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xmlns:r="http://schemas.openxmlformats.org/officeDocument/2006/relationships" name="Consolidado Historico" sheetId="1" state="visible" r:id="rId1"/>
    <sheet xmlns:r="http://schemas.openxmlformats.org/officeDocument/2006/relationships" name="Consolidado Semestral" sheetId="2" state="visible" r:id="rId2"/>
    <sheet xmlns:r="http://schemas.openxmlformats.org/officeDocument/2006/relationships" name="Consolidado Cierres" sheetId="3" state="visible" r:id="rId3"/>
    <sheet xmlns:r="http://schemas.openxmlformats.org/officeDocument/2006/relationships" name="Logica" sheetId="4" state="visible" r:id="rId4"/>
    <sheet xmlns:r="http://schemas.openxmlformats.org/officeDocument/2006/relationships" name="Variables" sheetId="5" state="visible" r:id="rId5"/>
    <sheet xmlns:r="http://schemas.openxmlformats.org/officeDocument/2006/relationships" name="Desglose Series" sheetId="6" state="visible" r:id="rId6"/>
    <sheet xmlns:r="http://schemas.openxmlformats.org/officeDocument/2006/relationships"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4" hidden="1">'Variables'!$A$1:$H$349</definedName>
  </definedNames>
  <calcPr calcId="191028" fullCalcOnLoad="1"/>
</workbook>
</file>

<file path=xl/styles.xml><?xml version="1.0" encoding="utf-8"?>
<styleSheet xmlns="http://schemas.openxmlformats.org/spreadsheetml/2006/main">
  <numFmts count="14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0.0000"/>
    <numFmt numFmtId="173" formatCode="0.000"/>
    <numFmt numFmtId="174" formatCode="yyyy\-mm\-dd"/>
    <numFmt numFmtId="175" formatCode="DD/MM/YYYY"/>
    <numFmt numFmtId="176" formatCode="yyyy-mm-dd"/>
    <numFmt numFmtId="177" formatCode="YYYY-MM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5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4" fontId="4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0" fontId="0" fillId="0" borderId="2" pivotButton="0" quotePrefix="0" xfId="0"/>
    <xf numFmtId="10" fontId="0" fillId="0" borderId="2" pivotButton="0" quotePrefix="0" xfId="2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4" pivotButton="0" quotePrefix="0" xfId="0"/>
    <xf numFmtId="14" fontId="4" fillId="0" borderId="0" pivotButton="0" quotePrefix="0" xfId="0"/>
    <xf numFmtId="0" fontId="0" fillId="0" borderId="4" pivotButton="0" quotePrefix="0" xfId="0"/>
    <xf numFmtId="3" fontId="0" fillId="0" borderId="1" pivotButton="0" quotePrefix="0" xfId="1"/>
    <xf numFmtId="165" fontId="0" fillId="0" borderId="1" pivotButton="0" quotePrefix="0" xfId="0"/>
    <xf numFmtId="172" fontId="0" fillId="0" borderId="1" pivotButton="0" quotePrefix="0" xfId="1"/>
    <xf numFmtId="172" fontId="0" fillId="0" borderId="1" pivotButton="0" quotePrefix="0" xfId="0"/>
    <xf numFmtId="0" fontId="0" fillId="4" borderId="3" applyAlignment="1" pivotButton="0" quotePrefix="0" xfId="0">
      <alignment horizontal="right"/>
    </xf>
    <xf numFmtId="0" fontId="0" fillId="4" borderId="3" pivotButton="0" quotePrefix="0" xfId="0"/>
    <xf numFmtId="14" fontId="0" fillId="4" borderId="3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4" fontId="4" fillId="0" borderId="3" pivotButton="0" quotePrefix="0" xfId="0"/>
    <xf numFmtId="165" fontId="0" fillId="0" borderId="3" pivotButton="0" quotePrefix="0" xfId="1"/>
    <xf numFmtId="173" fontId="0" fillId="0" borderId="1" pivotButton="0" quotePrefix="0" xfId="0"/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3" borderId="1" pivotButton="0" quotePrefix="0" xfId="0"/>
    <xf numFmtId="166" fontId="0" fillId="0" borderId="1" pivotButton="0" quotePrefix="0" xfId="0"/>
    <xf numFmtId="17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wrapText="1"/>
    </xf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165" fontId="5" fillId="0" borderId="1" pivotButton="0" quotePrefix="0" xfId="1"/>
    <xf numFmtId="165" fontId="0" fillId="0" borderId="1" pivotButton="0" quotePrefix="0" xfId="1"/>
    <xf numFmtId="166" fontId="0" fillId="0" borderId="1" pivotButton="0" quotePrefix="0" xfId="1"/>
    <xf numFmtId="170" fontId="0" fillId="0" borderId="1" pivotButton="0" quotePrefix="0" xfId="1"/>
    <xf numFmtId="0" fontId="6" fillId="0" borderId="1" pivotButton="0" quotePrefix="0" xfId="0"/>
    <xf numFmtId="167" fontId="0" fillId="0" borderId="1" pivotButton="0" quotePrefix="0" xfId="2"/>
    <xf numFmtId="175" fontId="4" fillId="3" borderId="1" pivotButton="0" quotePrefix="0" xfId="0"/>
    <xf numFmtId="175" fontId="4" fillId="0" borderId="3" pivotButton="0" quotePrefix="0" xfId="0"/>
    <xf numFmtId="165" fontId="0" fillId="0" borderId="3" pivotButton="0" quotePrefix="0" xfId="1"/>
    <xf numFmtId="175" fontId="0" fillId="0" borderId="0" pivotButton="0" quotePrefix="0" xfId="0"/>
    <xf numFmtId="175" fontId="4" fillId="0" borderId="0" pivotButton="0" quotePrefix="0" xfId="0"/>
    <xf numFmtId="172" fontId="0" fillId="0" borderId="1" pivotButton="0" quotePrefix="0" xfId="1"/>
    <xf numFmtId="172" fontId="0" fillId="0" borderId="1" pivotButton="0" quotePrefix="0" xfId="0"/>
    <xf numFmtId="173" fontId="0" fillId="0" borderId="1" pivotButton="0" quotePrefix="0" xfId="0"/>
    <xf numFmtId="167" fontId="0" fillId="4" borderId="1" pivotButton="0" quotePrefix="0" xfId="2"/>
    <xf numFmtId="164" fontId="0" fillId="0" borderId="1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7" pivotButton="0" quotePrefix="0" xfId="0"/>
    <xf numFmtId="0" fontId="0" fillId="0" borderId="8" pivotButton="0" quotePrefix="0" xfId="0"/>
    <xf numFmtId="174" fontId="0" fillId="0" borderId="0" pivotButton="0" quotePrefix="0" xfId="0"/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175" fontId="4" fillId="3" borderId="1" pivotButton="0" quotePrefix="0" xfId="0"/>
    <xf numFmtId="175" fontId="4" fillId="0" borderId="3" pivotButton="0" quotePrefix="0" xfId="0"/>
    <xf numFmtId="175" fontId="0" fillId="0" borderId="0" pivotButton="0" quotePrefix="0" xfId="0"/>
    <xf numFmtId="175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38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3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28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6" t="n">
        <v>0</v>
      </c>
      <c r="Q2" s="16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28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6" t="n">
        <v>0</v>
      </c>
      <c r="Q3" s="16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6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6" t="n">
        <v>0</v>
      </c>
      <c r="Q5" s="16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28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6" t="n">
        <v>1</v>
      </c>
      <c r="Q6" s="16" t="n">
        <v>1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28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6" t="n">
        <v>1</v>
      </c>
      <c r="Q7" s="16" t="n">
        <v>1</v>
      </c>
      <c r="R7" s="5" t="inlineStr">
        <is>
          <t>68-2024-12-31</t>
        </is>
      </c>
    </row>
    <row r="8">
      <c r="A8" s="43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6" t="n">
        <v>0</v>
      </c>
      <c r="Q8" s="16" t="n">
        <v>1</v>
      </c>
      <c r="R8" s="5" t="inlineStr">
        <is>
          <t>68-2025-06-30</t>
        </is>
      </c>
    </row>
    <row r="9">
      <c r="A9" s="39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4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6" t="n">
        <v>0</v>
      </c>
      <c r="Q9" s="16" t="n">
        <v>1</v>
      </c>
      <c r="R9" s="5" t="inlineStr">
        <is>
          <t>68-2025-12-31</t>
        </is>
      </c>
    </row>
    <row r="10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4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6" t="n">
        <v>0</v>
      </c>
      <c r="Q10" s="16" t="n">
        <v>1</v>
      </c>
      <c r="R10" s="5" t="inlineStr">
        <is>
          <t>69-2022-03-31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4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>
      <c r="A12" s="26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44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6" t="n">
        <v>0</v>
      </c>
      <c r="Q12" s="16" t="n">
        <v>1</v>
      </c>
      <c r="R12" s="5" t="inlineStr">
        <is>
          <t>69-2022-09-30</t>
        </is>
      </c>
    </row>
    <row r="13">
      <c r="A13" s="26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44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6" t="n">
        <v>0</v>
      </c>
      <c r="Q13" s="16" t="n">
        <v>1</v>
      </c>
      <c r="R13" s="5" t="inlineStr">
        <is>
          <t>69-2022-12-31</t>
        </is>
      </c>
    </row>
    <row r="14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3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28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6" t="n">
        <v>0</v>
      </c>
      <c r="Q14" s="16" t="n">
        <v>0</v>
      </c>
      <c r="R14" s="5" t="inlineStr">
        <is>
          <t>69-2023-03-31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4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28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6" t="n">
        <v>0</v>
      </c>
      <c r="Q15" s="16" t="n">
        <v>0</v>
      </c>
      <c r="R15" s="5" t="inlineStr">
        <is>
          <t>69-2023-06-30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44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>
      <c r="A17" s="26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44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6" t="n">
        <v>0</v>
      </c>
      <c r="Q17" s="16" t="n">
        <v>0</v>
      </c>
      <c r="R17" s="5" t="inlineStr">
        <is>
          <t>69-2023-12-31</t>
        </is>
      </c>
    </row>
    <row r="18">
      <c r="A18" s="26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43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6" t="n">
        <v>0</v>
      </c>
      <c r="Q18" s="16" t="n">
        <v>0</v>
      </c>
      <c r="R18" s="5" t="inlineStr">
        <is>
          <t>69-2024-03-31</t>
        </is>
      </c>
    </row>
    <row r="19">
      <c r="A19" s="39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44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6" t="n">
        <v>0</v>
      </c>
      <c r="Q19" s="16" t="n">
        <v>0</v>
      </c>
      <c r="R19" s="5" t="inlineStr">
        <is>
          <t>69-2024-06-30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44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>
      <c r="A21" s="26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44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6" t="n">
        <v>0</v>
      </c>
      <c r="Q21" s="16" t="n">
        <v>0</v>
      </c>
      <c r="R21" s="5" t="inlineStr">
        <is>
          <t>69-2024-12-31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44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28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44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28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44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4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44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28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44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28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44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28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4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28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44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28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4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44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>
      <c r="A34" s="26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44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28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 t="inlineStr">
        <is>
          <t>74-2022-06-30</t>
        </is>
      </c>
    </row>
    <row r="35">
      <c r="A35" s="26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43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 t="inlineStr">
        <is>
          <t>74-2022-12-31</t>
        </is>
      </c>
    </row>
    <row r="36">
      <c r="A36" s="26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44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 t="inlineStr">
        <is>
          <t>74-2023-06-30</t>
        </is>
      </c>
    </row>
    <row r="37">
      <c r="A37" s="26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44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 t="inlineStr">
        <is>
          <t>74-2023-12-31</t>
        </is>
      </c>
    </row>
    <row r="38">
      <c r="A38" s="26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44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 t="inlineStr">
        <is>
          <t>74-2024-06-30</t>
        </is>
      </c>
    </row>
    <row r="39">
      <c r="A39" s="26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4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6" t="n">
        <v>0</v>
      </c>
      <c r="Q39" s="16" t="n">
        <v>0</v>
      </c>
      <c r="R39" s="5" t="inlineStr">
        <is>
          <t>74-2024-12-31</t>
        </is>
      </c>
    </row>
    <row r="40">
      <c r="A40" s="26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44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28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6" t="n">
        <v>0</v>
      </c>
      <c r="Q40" s="16" t="n">
        <v>0</v>
      </c>
      <c r="R40" s="5" t="inlineStr">
        <is>
          <t>74-2025-06-30</t>
        </is>
      </c>
    </row>
    <row r="41">
      <c r="A41" s="26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28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6" t="n">
        <v>0</v>
      </c>
      <c r="Q41" s="16" t="n">
        <v>0</v>
      </c>
      <c r="R41" s="5" t="inlineStr">
        <is>
          <t>74-2025-12-31</t>
        </is>
      </c>
    </row>
    <row r="42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44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6" t="n">
        <v>1</v>
      </c>
      <c r="Q42" s="16" t="n">
        <v>1</v>
      </c>
      <c r="R42" s="5" t="inlineStr">
        <is>
          <t>77-2022-01-31</t>
        </is>
      </c>
    </row>
    <row r="43">
      <c r="A43" s="26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44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6" t="n">
        <v>1</v>
      </c>
      <c r="Q43" s="16" t="n">
        <v>1</v>
      </c>
      <c r="R43" s="5" t="inlineStr">
        <is>
          <t>77-2022-02-28</t>
        </is>
      </c>
    </row>
    <row r="44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44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6" t="n">
        <v>1</v>
      </c>
      <c r="Q44" s="16" t="n">
        <v>1</v>
      </c>
      <c r="R44" s="5" t="inlineStr">
        <is>
          <t>77-2022-03-31</t>
        </is>
      </c>
    </row>
    <row r="45">
      <c r="A45" s="39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44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6" t="n">
        <v>1</v>
      </c>
      <c r="Q45" s="16" t="n">
        <v>1</v>
      </c>
      <c r="R45" s="5" t="inlineStr">
        <is>
          <t>77-2022-04-30</t>
        </is>
      </c>
    </row>
    <row r="46">
      <c r="A46" s="26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44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6" t="n">
        <v>1</v>
      </c>
      <c r="Q46" s="16" t="n">
        <v>1</v>
      </c>
      <c r="R46" s="5" t="inlineStr">
        <is>
          <t>77-2022-05-31</t>
        </is>
      </c>
    </row>
    <row r="47">
      <c r="A47" s="26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44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6" t="n">
        <v>1</v>
      </c>
      <c r="Q47" s="16" t="n">
        <v>1</v>
      </c>
      <c r="R47" s="5" t="inlineStr">
        <is>
          <t>77-2022-06-30</t>
        </is>
      </c>
    </row>
    <row r="48">
      <c r="A48" s="26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44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6" t="n">
        <v>1</v>
      </c>
      <c r="Q48" s="16" t="n">
        <v>1</v>
      </c>
      <c r="R48" s="5" t="inlineStr">
        <is>
          <t>77-2022-07-31</t>
        </is>
      </c>
    </row>
    <row r="49">
      <c r="A49" s="26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44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6" t="n">
        <v>1</v>
      </c>
      <c r="Q49" s="16" t="n">
        <v>1</v>
      </c>
      <c r="R49" s="5" t="inlineStr">
        <is>
          <t>77-2022-08-31</t>
        </is>
      </c>
    </row>
    <row r="50">
      <c r="A50" s="26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44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28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6" t="n">
        <v>1</v>
      </c>
      <c r="Q50" s="16" t="n">
        <v>1</v>
      </c>
      <c r="R50" s="5" t="inlineStr">
        <is>
          <t>77-2022-09-30</t>
        </is>
      </c>
    </row>
    <row r="51">
      <c r="A51" s="26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44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28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6" t="n">
        <v>1</v>
      </c>
      <c r="Q51" s="16" t="n">
        <v>1</v>
      </c>
      <c r="R51" s="5" t="inlineStr">
        <is>
          <t>77-2022-10-31</t>
        </is>
      </c>
    </row>
    <row r="52">
      <c r="A52" s="26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44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28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6" t="n">
        <v>1</v>
      </c>
      <c r="Q52" s="16" t="n">
        <v>1</v>
      </c>
      <c r="R52" s="5" t="inlineStr">
        <is>
          <t>77-2022-11-30</t>
        </is>
      </c>
    </row>
    <row r="53">
      <c r="A53" s="26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44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28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6" t="n">
        <v>1</v>
      </c>
      <c r="Q53" s="16" t="n">
        <v>1</v>
      </c>
      <c r="R53" s="5" t="inlineStr">
        <is>
          <t>77-2022-12-31</t>
        </is>
      </c>
    </row>
    <row r="54">
      <c r="A54" s="26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44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28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6" t="n">
        <v>1</v>
      </c>
      <c r="Q54" s="16" t="n">
        <v>1</v>
      </c>
      <c r="R54" s="5" t="inlineStr">
        <is>
          <t>77-2023-01-31</t>
        </is>
      </c>
    </row>
    <row r="55">
      <c r="A55" s="26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44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6" t="n">
        <v>1</v>
      </c>
      <c r="Q55" s="16" t="n">
        <v>1</v>
      </c>
      <c r="R55" s="5" t="inlineStr">
        <is>
          <t>77-2023-02-28</t>
        </is>
      </c>
    </row>
    <row r="56">
      <c r="A56" s="26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44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6" t="n">
        <v>1</v>
      </c>
      <c r="Q56" s="16" t="n">
        <v>1</v>
      </c>
      <c r="R56" s="5" t="inlineStr">
        <is>
          <t>77-2023-03-31</t>
        </is>
      </c>
    </row>
    <row r="57">
      <c r="A57" s="68" t="n">
        <v>77</v>
      </c>
      <c r="B57" s="69" t="inlineStr">
        <is>
          <t>Disponibilidad de servicios tecnológicos</t>
        </is>
      </c>
      <c r="C57" s="69" t="inlineStr">
        <is>
          <t>Gestión de la tecnología e innovación digital</t>
        </is>
      </c>
      <c r="D57" s="69" t="inlineStr">
        <is>
          <t>Mensual</t>
        </is>
      </c>
      <c r="E57" s="69" t="inlineStr">
        <is>
          <t>Positivo</t>
        </is>
      </c>
      <c r="F57" s="145" t="n">
        <v>45046</v>
      </c>
      <c r="G57" s="69" t="n">
        <v>2023</v>
      </c>
      <c r="H57" s="69" t="inlineStr">
        <is>
          <t>Abril</t>
        </is>
      </c>
      <c r="I57" s="70" t="inlineStr">
        <is>
          <t>2023-1</t>
        </is>
      </c>
      <c r="J57" s="69" t="n">
        <v>97</v>
      </c>
      <c r="K57" s="71" t="n">
        <v>95.59999999999999</v>
      </c>
      <c r="L57" s="72">
        <f>IFERROR(IF(OR(J57=0,K57=""),"",IF(E57="Positivo",MIN(MAX(K57/J57,0),1.3),MIN(MAX(J57/K57,0),1.3))),"") </f>
        <v/>
      </c>
      <c r="M57" s="72">
        <f>IFERROR(IF(OR(J57=0,K57=""),"",IF(E57="Positivo",MAX(K57/J57,0),MAX(J57/K57,0))),"") </f>
        <v/>
      </c>
      <c r="N57" s="69" t="inlineStr">
        <is>
          <t>%</t>
        </is>
      </c>
      <c r="O57" s="69" t="inlineStr">
        <is>
          <t>%</t>
        </is>
      </c>
      <c r="P57" s="73" t="n">
        <v>1</v>
      </c>
      <c r="Q57" s="73" t="n">
        <v>1</v>
      </c>
      <c r="R57" s="5" t="inlineStr">
        <is>
          <t>77-2023-04-30</t>
        </is>
      </c>
    </row>
    <row r="58">
      <c r="A58" s="26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43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6" t="n">
        <v>1</v>
      </c>
      <c r="Q58" s="16" t="n">
        <v>1</v>
      </c>
      <c r="R58" s="5" t="inlineStr">
        <is>
          <t>77-2023-05-31</t>
        </is>
      </c>
    </row>
    <row r="59">
      <c r="A59" s="26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44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6" t="n">
        <v>1</v>
      </c>
      <c r="Q59" s="16" t="n">
        <v>1</v>
      </c>
      <c r="R59" s="5" t="inlineStr">
        <is>
          <t>77-2023-06-30</t>
        </is>
      </c>
    </row>
    <row r="60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44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6" t="n">
        <v>1</v>
      </c>
      <c r="Q60" s="16" t="n">
        <v>1</v>
      </c>
      <c r="R60" s="5" t="inlineStr">
        <is>
          <t>77-2023-07-31</t>
        </is>
      </c>
    </row>
    <row r="61">
      <c r="A61" s="39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44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6" t="n">
        <v>0</v>
      </c>
      <c r="Q61" s="16" t="n">
        <v>0</v>
      </c>
      <c r="R61" s="5" t="inlineStr">
        <is>
          <t>77-2023-08-31</t>
        </is>
      </c>
    </row>
    <row r="62">
      <c r="A62" s="39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44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6" t="n">
        <v>1</v>
      </c>
      <c r="Q62" s="16" t="n">
        <v>1</v>
      </c>
      <c r="R62" s="5" t="inlineStr">
        <is>
          <t>77-2023-09-30</t>
        </is>
      </c>
    </row>
    <row r="63">
      <c r="A63" s="26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44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6" t="n">
        <v>1</v>
      </c>
      <c r="Q63" s="16" t="n">
        <v>1</v>
      </c>
      <c r="R63" s="5" t="inlineStr">
        <is>
          <t>77-2023-10-31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44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6" t="n">
        <v>1</v>
      </c>
      <c r="Q64" s="16" t="n">
        <v>1</v>
      </c>
      <c r="R64" s="5" t="inlineStr">
        <is>
          <t>77-2023-11-30</t>
        </is>
      </c>
    </row>
    <row r="65">
      <c r="A65" s="26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44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6" t="n">
        <v>1</v>
      </c>
      <c r="Q65" s="16" t="n">
        <v>1</v>
      </c>
      <c r="R65" s="5" t="inlineStr">
        <is>
          <t>77-2023-12-31</t>
        </is>
      </c>
    </row>
    <row r="66">
      <c r="A66" s="26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44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6" t="n">
        <v>1</v>
      </c>
      <c r="Q66" s="16" t="n">
        <v>1</v>
      </c>
      <c r="R66" s="5" t="inlineStr">
        <is>
          <t>77-2024-01-31</t>
        </is>
      </c>
    </row>
    <row r="67">
      <c r="A67" s="26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44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28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6" t="n">
        <v>1</v>
      </c>
      <c r="Q67" s="16" t="n">
        <v>1</v>
      </c>
      <c r="R67" s="5" t="inlineStr">
        <is>
          <t>77-2024-02-29</t>
        </is>
      </c>
    </row>
    <row r="68">
      <c r="A68" s="26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44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6" t="n">
        <v>1</v>
      </c>
      <c r="Q68" s="16" t="n">
        <v>1</v>
      </c>
      <c r="R68" s="5" t="inlineStr">
        <is>
          <t>77-2024-03-31</t>
        </is>
      </c>
    </row>
    <row r="69">
      <c r="A69" s="26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43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6" t="n">
        <v>1</v>
      </c>
      <c r="Q69" s="16" t="n">
        <v>1</v>
      </c>
      <c r="R69" s="5" t="inlineStr">
        <is>
          <t>77-2024-04-30</t>
        </is>
      </c>
    </row>
    <row r="70">
      <c r="A70" s="39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44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28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6" t="n">
        <v>1</v>
      </c>
      <c r="Q70" s="16" t="n">
        <v>1</v>
      </c>
      <c r="R70" s="5" t="inlineStr">
        <is>
          <t>77-2024-05-31</t>
        </is>
      </c>
    </row>
    <row r="71">
      <c r="A71" s="39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44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6" t="n">
        <v>1</v>
      </c>
      <c r="Q71" s="16" t="n">
        <v>1</v>
      </c>
      <c r="R71" s="5" t="inlineStr">
        <is>
          <t>77-2024-06-30</t>
        </is>
      </c>
    </row>
    <row r="72">
      <c r="A72" s="39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44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6" t="n">
        <v>1</v>
      </c>
      <c r="Q72" s="16" t="n">
        <v>1</v>
      </c>
      <c r="R72" s="5" t="inlineStr">
        <is>
          <t>77-2024-07-31</t>
        </is>
      </c>
    </row>
    <row r="73">
      <c r="A73" s="26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44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6" t="n">
        <v>1</v>
      </c>
      <c r="Q73" s="16" t="n">
        <v>1</v>
      </c>
      <c r="R73" s="5" t="inlineStr">
        <is>
          <t>77-2024-08-31</t>
        </is>
      </c>
    </row>
    <row r="74">
      <c r="A74" s="39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44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28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6" t="n">
        <v>1</v>
      </c>
      <c r="Q74" s="16" t="n">
        <v>1</v>
      </c>
      <c r="R74" s="5" t="inlineStr">
        <is>
          <t>77-2024-09-30</t>
        </is>
      </c>
    </row>
    <row r="75">
      <c r="A75" s="26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44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6" t="n">
        <v>1</v>
      </c>
      <c r="Q75" s="16" t="n">
        <v>1</v>
      </c>
      <c r="R75" s="5" t="inlineStr">
        <is>
          <t>77-2024-10-31</t>
        </is>
      </c>
    </row>
    <row r="76">
      <c r="A76" s="26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43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6" t="n">
        <v>1</v>
      </c>
      <c r="Q76" s="16" t="n">
        <v>1</v>
      </c>
      <c r="R76" s="5" t="inlineStr">
        <is>
          <t>77-2024-11-30</t>
        </is>
      </c>
    </row>
    <row r="77">
      <c r="A77" s="39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44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10" t="n">
        <v>98.2</v>
      </c>
      <c r="L77" s="28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16" t="n">
        <v>1</v>
      </c>
      <c r="Q77" s="16" t="n">
        <v>1</v>
      </c>
      <c r="R77" s="5" t="inlineStr">
        <is>
          <t>77-2024-12-31</t>
        </is>
      </c>
    </row>
    <row r="78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44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5" t="n">
        <v>96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>
      <c r="A79" s="26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44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77-2025-02-28</t>
        </is>
      </c>
    </row>
    <row r="80">
      <c r="A80" s="39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44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28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6" t="n">
        <v>1</v>
      </c>
      <c r="Q80" s="16" t="n">
        <v>1</v>
      </c>
      <c r="R80" s="5" t="inlineStr">
        <is>
          <t>77-2025-03-31</t>
        </is>
      </c>
    </row>
    <row r="81">
      <c r="A81" s="39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44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6" t="n">
        <v>1</v>
      </c>
      <c r="Q81" s="16" t="n">
        <v>1</v>
      </c>
      <c r="R81" s="5" t="inlineStr">
        <is>
          <t>77-2025-04-30</t>
        </is>
      </c>
    </row>
    <row r="82">
      <c r="A82" s="26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44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6" t="n">
        <v>1</v>
      </c>
      <c r="Q82" s="16" t="n">
        <v>1</v>
      </c>
      <c r="R82" s="5" t="inlineStr">
        <is>
          <t>77-2025-05-31</t>
        </is>
      </c>
    </row>
    <row r="83">
      <c r="A83" s="39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44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28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6" t="n">
        <v>1</v>
      </c>
      <c r="Q83" s="16" t="n">
        <v>1</v>
      </c>
      <c r="R83" s="5" t="inlineStr">
        <is>
          <t>77-2025-06-30</t>
        </is>
      </c>
    </row>
    <row r="84">
      <c r="A84" s="26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44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6" t="n">
        <v>0</v>
      </c>
      <c r="Q84" s="16" t="n">
        <v>1</v>
      </c>
      <c r="R84" s="5" t="inlineStr">
        <is>
          <t>77-2025-07-31</t>
        </is>
      </c>
    </row>
    <row r="85">
      <c r="A85" s="39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44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28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6" t="n">
        <v>0</v>
      </c>
      <c r="Q85" s="16" t="n">
        <v>1</v>
      </c>
      <c r="R85" s="5" t="inlineStr">
        <is>
          <t>77-2025-08-31</t>
        </is>
      </c>
    </row>
    <row r="86">
      <c r="A86" s="26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44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6" t="n">
        <v>0</v>
      </c>
      <c r="Q86" s="16" t="n">
        <v>1</v>
      </c>
      <c r="R86" s="5" t="inlineStr">
        <is>
          <t>77-2025-09-30</t>
        </is>
      </c>
    </row>
    <row r="87">
      <c r="A87" s="39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44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6" t="n">
        <v>0</v>
      </c>
      <c r="Q87" s="16" t="n">
        <v>1</v>
      </c>
      <c r="R87" s="5" t="inlineStr">
        <is>
          <t>77-2025-10-31</t>
        </is>
      </c>
    </row>
    <row r="88">
      <c r="A88" s="26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44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6" t="n">
        <v>0</v>
      </c>
      <c r="Q88" s="16" t="n">
        <v>1</v>
      </c>
      <c r="R88" s="5" t="inlineStr">
        <is>
          <t>77-2025-11-30</t>
        </is>
      </c>
    </row>
    <row r="89">
      <c r="A89" s="39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4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28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6" t="n">
        <v>0</v>
      </c>
      <c r="Q89" s="16" t="n">
        <v>1</v>
      </c>
      <c r="R89" s="5" t="inlineStr">
        <is>
          <t>77-2025-12-31</t>
        </is>
      </c>
    </row>
    <row r="90">
      <c r="A90" s="39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44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6" t="n">
        <v>0</v>
      </c>
      <c r="Q90" s="16" t="n">
        <v>0</v>
      </c>
      <c r="R90" s="5" t="inlineStr">
        <is>
          <t>78-2023-04-30</t>
        </is>
      </c>
    </row>
    <row r="91">
      <c r="A91" s="26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44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6" t="n">
        <v>0</v>
      </c>
      <c r="Q91" s="16" t="n">
        <v>0</v>
      </c>
      <c r="R91" s="5" t="inlineStr">
        <is>
          <t>78-2023-06-30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43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28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6" t="n">
        <v>0</v>
      </c>
      <c r="Q92" s="16" t="n">
        <v>0</v>
      </c>
      <c r="R92" s="5" t="inlineStr">
        <is>
          <t>78-2023-08-31</t>
        </is>
      </c>
    </row>
    <row r="93">
      <c r="A93" s="39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44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10" t="n">
        <v>100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16" t="n">
        <v>0</v>
      </c>
      <c r="Q93" s="16" t="n">
        <v>0</v>
      </c>
      <c r="R93" s="5" t="inlineStr">
        <is>
          <t>78-2023-10-31</t>
        </is>
      </c>
    </row>
    <row r="94">
      <c r="A94" s="5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44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5" t="n">
        <v>122.22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78-2023-12-31</t>
        </is>
      </c>
    </row>
    <row r="95">
      <c r="A95" s="26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44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10" t="n">
        <v>100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16" t="n">
        <v>0</v>
      </c>
      <c r="Q95" s="16" t="n">
        <v>0</v>
      </c>
      <c r="R95" s="5" t="inlineStr">
        <is>
          <t>78-2024-04-30</t>
        </is>
      </c>
    </row>
    <row r="96">
      <c r="A96" s="5" t="n">
        <v>78</v>
      </c>
      <c r="B96" s="23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44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5" t="n">
        <v>80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78-2024-06-30</t>
        </is>
      </c>
    </row>
    <row r="97">
      <c r="A97" s="39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44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10" t="n">
        <v>100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16" t="n">
        <v>0</v>
      </c>
      <c r="Q97" s="16" t="n">
        <v>0</v>
      </c>
      <c r="R97" s="5" t="inlineStr">
        <is>
          <t>78-2024-08-31</t>
        </is>
      </c>
    </row>
    <row r="98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44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6" t="n">
        <v>0</v>
      </c>
      <c r="Q98" s="16" t="n">
        <v>0</v>
      </c>
      <c r="R98" s="5" t="inlineStr">
        <is>
          <t>78-2024-10-31</t>
        </is>
      </c>
    </row>
    <row r="99">
      <c r="A99" s="39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4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6" t="n">
        <v>0</v>
      </c>
      <c r="Q99" s="16" t="n">
        <v>0</v>
      </c>
      <c r="R99" s="5" t="inlineStr">
        <is>
          <t>78-2024-12-31</t>
        </is>
      </c>
    </row>
    <row r="100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44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5" t="n">
        <v>85</v>
      </c>
      <c r="K100" s="10" t="n">
        <v>100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6" t="n">
        <v>0</v>
      </c>
      <c r="Q100" s="16" t="n">
        <v>0</v>
      </c>
      <c r="R100" s="5" t="inlineStr">
        <is>
          <t>79-2023-06-30</t>
        </is>
      </c>
    </row>
    <row r="101">
      <c r="A101" s="39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44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119" t="n">
        <v>85</v>
      </c>
      <c r="K101" s="10" t="n">
        <v>100</v>
      </c>
      <c r="L101" s="28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6" t="n">
        <v>0</v>
      </c>
      <c r="Q101" s="16" t="n">
        <v>0</v>
      </c>
      <c r="R101" s="5" t="inlineStr">
        <is>
          <t>79-2023-08-31</t>
        </is>
      </c>
    </row>
    <row r="102">
      <c r="A102" s="26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44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10" t="n">
        <v>100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16" t="n">
        <v>0</v>
      </c>
      <c r="Q102" s="16" t="n">
        <v>0</v>
      </c>
      <c r="R102" s="5" t="inlineStr">
        <is>
          <t>79-2023-10-31</t>
        </is>
      </c>
    </row>
    <row r="103">
      <c r="A103" s="5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44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5" t="n">
        <v>95.45</v>
      </c>
      <c r="L103" s="120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79-2023-12-31</t>
        </is>
      </c>
    </row>
    <row r="104">
      <c r="A104" s="26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4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100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16" t="n">
        <v>0</v>
      </c>
      <c r="Q104" s="16" t="n">
        <v>0</v>
      </c>
      <c r="R104" s="5" t="inlineStr">
        <is>
          <t>84-2022-12-31</t>
        </is>
      </c>
    </row>
    <row r="105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4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100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84-2023-12-31</t>
        </is>
      </c>
    </row>
    <row r="106">
      <c r="A106" s="26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4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16" t="n">
        <v>0</v>
      </c>
      <c r="Q106" s="16" t="n">
        <v>0</v>
      </c>
      <c r="R106" s="5" t="inlineStr">
        <is>
          <t>84-2024-12-31</t>
        </is>
      </c>
    </row>
    <row r="107">
      <c r="A107" s="26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4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6" t="n">
        <v>0</v>
      </c>
      <c r="Q107" s="16" t="n">
        <v>0</v>
      </c>
      <c r="R107" s="5" t="inlineStr">
        <is>
          <t>84-2025-12-31</t>
        </is>
      </c>
    </row>
    <row r="108">
      <c r="A108" s="43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4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6" t="n">
        <v>0</v>
      </c>
      <c r="Q108" s="16" t="n">
        <v>0</v>
      </c>
      <c r="R108" s="5" t="inlineStr">
        <is>
          <t>85-2022-12-31</t>
        </is>
      </c>
    </row>
    <row r="109">
      <c r="A109" s="39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4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6" t="n">
        <v>0</v>
      </c>
      <c r="Q109" s="16" t="n">
        <v>0</v>
      </c>
      <c r="R109" s="5" t="inlineStr">
        <is>
          <t>85-2023-12-31</t>
        </is>
      </c>
    </row>
    <row r="110">
      <c r="A110" s="26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4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10" t="n">
        <v>100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16" t="n">
        <v>0</v>
      </c>
      <c r="Q110" s="16" t="n">
        <v>0</v>
      </c>
      <c r="R110" s="5" t="inlineStr">
        <is>
          <t>85-2024-12-31</t>
        </is>
      </c>
    </row>
    <row r="11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4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5" t="n">
        <v>100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85-2025-12-31</t>
        </is>
      </c>
    </row>
    <row r="112">
      <c r="A112" s="26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44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10" t="n">
        <v>100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16" t="n">
        <v>0</v>
      </c>
      <c r="Q112" s="16" t="n">
        <v>0</v>
      </c>
      <c r="R112" s="5" t="inlineStr">
        <is>
          <t>86-2022-06-30</t>
        </is>
      </c>
    </row>
    <row r="113">
      <c r="A113" s="26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44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10" t="n">
        <v>100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16" t="n">
        <v>0</v>
      </c>
      <c r="Q113" s="16" t="n">
        <v>0</v>
      </c>
      <c r="R113" s="5" t="inlineStr">
        <is>
          <t>86-2022-12-31</t>
        </is>
      </c>
    </row>
    <row r="114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44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120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86-2023-06-30</t>
        </is>
      </c>
    </row>
    <row r="115">
      <c r="A115" s="26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44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5" t="n">
        <v>100</v>
      </c>
      <c r="L115" s="28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16" t="n">
        <v>0</v>
      </c>
      <c r="Q115" s="16" t="n">
        <v>0</v>
      </c>
      <c r="R115" s="5" t="inlineStr">
        <is>
          <t>86-2023-12-31</t>
        </is>
      </c>
    </row>
    <row r="116">
      <c r="A116" s="26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44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10" t="n">
        <v>100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16" t="n">
        <v>0</v>
      </c>
      <c r="Q116" s="16" t="n">
        <v>0</v>
      </c>
      <c r="R116" s="5" t="inlineStr">
        <is>
          <t>86-2024-06-30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44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5" t="n">
        <v>100</v>
      </c>
      <c r="L117" s="120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86-2024-12-31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44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5" t="n">
        <v>100</v>
      </c>
      <c r="L118" s="28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86-2025-06-30</t>
        </is>
      </c>
    </row>
    <row r="119">
      <c r="A119" s="26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44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10" t="n">
        <v>100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16" t="n">
        <v>0</v>
      </c>
      <c r="Q119" s="16" t="n">
        <v>0</v>
      </c>
      <c r="R119" s="5" t="inlineStr">
        <is>
          <t>86-2025-12-31</t>
        </is>
      </c>
    </row>
    <row r="120">
      <c r="A120" s="5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44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5" t="n">
        <v>99</v>
      </c>
      <c r="L120" s="120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87-2022-12-31</t>
        </is>
      </c>
    </row>
    <row r="121">
      <c r="A121" s="26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44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28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16" t="n">
        <v>0</v>
      </c>
      <c r="Q121" s="16" t="n">
        <v>0</v>
      </c>
      <c r="R121" s="5" t="inlineStr">
        <is>
          <t>87-2023-12-31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44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6" t="n">
        <v>0</v>
      </c>
      <c r="Q122" s="16" t="n">
        <v>0</v>
      </c>
      <c r="R122" s="5" t="inlineStr">
        <is>
          <t>87-2024-12-31</t>
        </is>
      </c>
    </row>
    <row r="123">
      <c r="A123" s="39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44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10" t="n">
        <v>100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16" t="n">
        <v>0</v>
      </c>
      <c r="Q123" s="16" t="n">
        <v>0</v>
      </c>
      <c r="R123" s="5" t="inlineStr">
        <is>
          <t>87-2025-12-31</t>
        </is>
      </c>
    </row>
    <row r="124">
      <c r="A124" s="5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44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5" t="n">
        <v>99.344262295082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88-2022-12-31</t>
        </is>
      </c>
    </row>
    <row r="125">
      <c r="A125" s="26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43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10" t="n">
        <v>100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16" t="n">
        <v>0</v>
      </c>
      <c r="Q125" s="16" t="n">
        <v>0</v>
      </c>
      <c r="R125" s="5" t="inlineStr">
        <is>
          <t>88-2023-12-31</t>
        </is>
      </c>
    </row>
    <row r="126">
      <c r="A126" s="26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44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6" t="n">
        <v>0</v>
      </c>
      <c r="Q126" s="16" t="n">
        <v>0</v>
      </c>
      <c r="R126" s="5" t="inlineStr">
        <is>
          <t>88-2024-12-31</t>
        </is>
      </c>
    </row>
    <row r="127">
      <c r="A127" s="26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44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6" t="n">
        <v>0</v>
      </c>
      <c r="Q127" s="16" t="n">
        <v>0</v>
      </c>
      <c r="R127" s="5" t="inlineStr">
        <is>
          <t>88-2025-12-31</t>
        </is>
      </c>
    </row>
    <row r="128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44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16" t="n">
        <v>0</v>
      </c>
      <c r="Q128" s="16" t="n">
        <v>0</v>
      </c>
      <c r="R128" s="5" t="inlineStr">
        <is>
          <t>89-2022-12-31</t>
        </is>
      </c>
    </row>
    <row r="129">
      <c r="A129" s="39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44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28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16" t="n">
        <v>0</v>
      </c>
      <c r="Q129" s="16" t="n">
        <v>0</v>
      </c>
      <c r="R129" s="5" t="inlineStr">
        <is>
          <t>89-2023-12-31</t>
        </is>
      </c>
    </row>
    <row r="130">
      <c r="A130" s="26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44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10" t="n">
        <v>100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16" t="n">
        <v>0</v>
      </c>
      <c r="Q130" s="16" t="n">
        <v>0</v>
      </c>
      <c r="R130" s="5" t="inlineStr">
        <is>
          <t>89-2024-12-31</t>
        </is>
      </c>
    </row>
    <row r="131">
      <c r="A131" s="5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44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5" t="n">
        <v>100</v>
      </c>
      <c r="L131" s="120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89-2025-12-31</t>
        </is>
      </c>
    </row>
    <row r="132">
      <c r="A132" s="26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44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10" t="n">
        <v>100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16" t="n">
        <v>0</v>
      </c>
      <c r="Q132" s="16" t="n">
        <v>0</v>
      </c>
      <c r="R132" s="5" t="inlineStr">
        <is>
          <t>90-2022-12-31</t>
        </is>
      </c>
    </row>
    <row r="133">
      <c r="A133" s="26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44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10" t="n">
        <v>100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16" t="n">
        <v>0</v>
      </c>
      <c r="Q133" s="16" t="n">
        <v>0</v>
      </c>
      <c r="R133" s="5" t="inlineStr">
        <is>
          <t>90-2023-12-31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44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100</v>
      </c>
      <c r="L134" s="120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90-2024-12-31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44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5" t="n">
        <v>100</v>
      </c>
      <c r="L135" s="28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90-2025-12-31</t>
        </is>
      </c>
    </row>
    <row r="136">
      <c r="A136" s="26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44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100</v>
      </c>
      <c r="K136" s="10" t="n">
        <v>100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16" t="n">
        <v>0</v>
      </c>
      <c r="Q136" s="16" t="n">
        <v>0</v>
      </c>
      <c r="R136" s="5" t="inlineStr">
        <is>
          <t>91-2022-12-31</t>
        </is>
      </c>
    </row>
    <row r="137">
      <c r="A137" s="26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44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121" t="n">
        <v>100</v>
      </c>
      <c r="K137" s="122" t="n">
        <v>100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123" t="inlineStr">
        <is>
          <t>%</t>
        </is>
      </c>
      <c r="O137" s="123" t="inlineStr">
        <is>
          <t>%</t>
        </is>
      </c>
      <c r="P137" s="16" t="n">
        <v>0</v>
      </c>
      <c r="Q137" s="16" t="n">
        <v>0</v>
      </c>
      <c r="R137" s="5" t="inlineStr">
        <is>
          <t>91-2023-12-31</t>
        </is>
      </c>
    </row>
    <row r="138">
      <c r="A138" s="26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3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121" t="n">
        <v>100</v>
      </c>
      <c r="K138" s="122" t="n">
        <v>100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123" t="inlineStr">
        <is>
          <t>%</t>
        </is>
      </c>
      <c r="O138" s="123" t="inlineStr">
        <is>
          <t>%</t>
        </is>
      </c>
      <c r="P138" s="16" t="n">
        <v>0</v>
      </c>
      <c r="Q138" s="16" t="n">
        <v>0</v>
      </c>
      <c r="R138" s="5" t="inlineStr">
        <is>
          <t>91-2024-12-31</t>
        </is>
      </c>
    </row>
    <row r="139">
      <c r="A139" s="26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4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121" t="n">
        <v>100</v>
      </c>
      <c r="K139" s="122" t="n">
        <v>100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123" t="inlineStr">
        <is>
          <t>%</t>
        </is>
      </c>
      <c r="O139" s="123" t="inlineStr">
        <is>
          <t>%</t>
        </is>
      </c>
      <c r="P139" s="16" t="n">
        <v>0</v>
      </c>
      <c r="Q139" s="16" t="n">
        <v>0</v>
      </c>
      <c r="R139" s="5" t="inlineStr">
        <is>
          <t>91-2025-12-31</t>
        </is>
      </c>
    </row>
    <row r="140">
      <c r="A140" s="26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44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121" t="n">
        <v>100</v>
      </c>
      <c r="K140" s="122" t="n">
        <v>100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123" t="inlineStr">
        <is>
          <t>%</t>
        </is>
      </c>
      <c r="O140" s="123" t="inlineStr">
        <is>
          <t>%</t>
        </is>
      </c>
      <c r="P140" s="16" t="n">
        <v>0</v>
      </c>
      <c r="Q140" s="16" t="n">
        <v>0</v>
      </c>
      <c r="R140" s="5" t="inlineStr">
        <is>
          <t>92-2022-12-31</t>
        </is>
      </c>
    </row>
    <row r="141">
      <c r="A141" s="26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44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121" t="n">
        <v>100</v>
      </c>
      <c r="K141" s="122" t="n">
        <v>100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123" t="inlineStr">
        <is>
          <t>%</t>
        </is>
      </c>
      <c r="O141" s="123" t="inlineStr">
        <is>
          <t>%</t>
        </is>
      </c>
      <c r="P141" s="16" t="n">
        <v>0</v>
      </c>
      <c r="Q141" s="16" t="n">
        <v>0</v>
      </c>
      <c r="R141" s="5" t="inlineStr">
        <is>
          <t>92-2023-12-31</t>
        </is>
      </c>
    </row>
    <row r="142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44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121" t="n">
        <v>98</v>
      </c>
      <c r="K142" s="122" t="n">
        <v>100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123" t="inlineStr">
        <is>
          <t>%</t>
        </is>
      </c>
      <c r="O142" s="123" t="inlineStr">
        <is>
          <t>%</t>
        </is>
      </c>
      <c r="P142" s="16" t="n">
        <v>0</v>
      </c>
      <c r="Q142" s="16" t="n">
        <v>0</v>
      </c>
      <c r="R142" s="5" t="inlineStr">
        <is>
          <t>92-2024-12-31</t>
        </is>
      </c>
    </row>
    <row r="143">
      <c r="A143" s="26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44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121" t="n">
        <v>98</v>
      </c>
      <c r="K143" s="122" t="n">
        <v>100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123" t="inlineStr">
        <is>
          <t>%</t>
        </is>
      </c>
      <c r="O143" s="123" t="inlineStr">
        <is>
          <t>%</t>
        </is>
      </c>
      <c r="P143" s="16" t="n">
        <v>0</v>
      </c>
      <c r="Q143" s="16" t="n">
        <v>0</v>
      </c>
      <c r="R143" s="5" t="inlineStr">
        <is>
          <t>92-2025-12-31</t>
        </is>
      </c>
    </row>
    <row r="144">
      <c r="A144" s="26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44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121" t="n">
        <v>100</v>
      </c>
      <c r="K144" s="122" t="n">
        <v>100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123" t="inlineStr">
        <is>
          <t>%</t>
        </is>
      </c>
      <c r="O144" s="123" t="inlineStr">
        <is>
          <t>%</t>
        </is>
      </c>
      <c r="P144" s="16" t="n">
        <v>0</v>
      </c>
      <c r="Q144" s="16" t="n">
        <v>0</v>
      </c>
      <c r="R144" s="5" t="inlineStr">
        <is>
          <t>94-2022-12-31</t>
        </is>
      </c>
    </row>
    <row r="145">
      <c r="A145" s="26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44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121" t="n">
        <v>100</v>
      </c>
      <c r="K145" s="122" t="n">
        <v>100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123" t="inlineStr">
        <is>
          <t>%</t>
        </is>
      </c>
      <c r="O145" s="123" t="inlineStr">
        <is>
          <t>%</t>
        </is>
      </c>
      <c r="P145" s="16" t="n">
        <v>0</v>
      </c>
      <c r="Q145" s="16" t="n">
        <v>0</v>
      </c>
      <c r="R145" s="5" t="inlineStr">
        <is>
          <t>94-2023-12-31</t>
        </is>
      </c>
    </row>
    <row r="146">
      <c r="A146" s="26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44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121" t="n">
        <v>100</v>
      </c>
      <c r="K146" s="122" t="n">
        <v>100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123" t="inlineStr">
        <is>
          <t>%</t>
        </is>
      </c>
      <c r="O146" s="123" t="inlineStr">
        <is>
          <t>%</t>
        </is>
      </c>
      <c r="P146" s="16" t="n">
        <v>0</v>
      </c>
      <c r="Q146" s="16" t="n">
        <v>0</v>
      </c>
      <c r="R146" s="5" t="inlineStr">
        <is>
          <t>94-2024-12-31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44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121" t="n">
        <v>100</v>
      </c>
      <c r="K147" s="122" t="n">
        <v>100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123" t="inlineStr">
        <is>
          <t>%</t>
        </is>
      </c>
      <c r="O147" s="123" t="inlineStr">
        <is>
          <t>%</t>
        </is>
      </c>
      <c r="P147" s="16" t="n">
        <v>0</v>
      </c>
      <c r="Q147" s="16" t="n">
        <v>0</v>
      </c>
      <c r="R147" s="5" t="inlineStr">
        <is>
          <t>94-2025-12-31</t>
        </is>
      </c>
    </row>
    <row r="148">
      <c r="A148" s="39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44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121" t="n">
        <v>100</v>
      </c>
      <c r="K148" s="122" t="n">
        <v>100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123" t="inlineStr">
        <is>
          <t>%</t>
        </is>
      </c>
      <c r="O148" s="123" t="inlineStr">
        <is>
          <t>%</t>
        </is>
      </c>
      <c r="P148" s="16" t="n">
        <v>0</v>
      </c>
      <c r="Q148" s="16" t="n">
        <v>0</v>
      </c>
      <c r="R148" s="5" t="inlineStr">
        <is>
          <t>95-2022-06-30</t>
        </is>
      </c>
    </row>
    <row r="149">
      <c r="A149" s="26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44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119" t="n">
        <v>100</v>
      </c>
      <c r="K149" s="123" t="n">
        <v>100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123" t="inlineStr">
        <is>
          <t>%</t>
        </is>
      </c>
      <c r="O149" s="123" t="inlineStr">
        <is>
          <t>%</t>
        </is>
      </c>
      <c r="P149" s="16" t="n">
        <v>0</v>
      </c>
      <c r="Q149" s="16" t="n">
        <v>0</v>
      </c>
      <c r="R149" s="5" t="inlineStr">
        <is>
          <t>95-2022-12-31</t>
        </is>
      </c>
    </row>
    <row r="150">
      <c r="A150" s="26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43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119" t="n">
        <v>100</v>
      </c>
      <c r="K150" s="123" t="n">
        <v>100</v>
      </c>
      <c r="L150" s="28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123" t="inlineStr">
        <is>
          <t>%</t>
        </is>
      </c>
      <c r="O150" s="123" t="inlineStr">
        <is>
          <t>%</t>
        </is>
      </c>
      <c r="P150" s="16" t="n">
        <v>0</v>
      </c>
      <c r="Q150" s="16" t="n">
        <v>0</v>
      </c>
      <c r="R150" s="5" t="inlineStr">
        <is>
          <t>95-2023-06-30</t>
        </is>
      </c>
    </row>
    <row r="151">
      <c r="A151" s="26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44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119" t="n">
        <v>100</v>
      </c>
      <c r="K151" s="123" t="n">
        <v>100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123" t="inlineStr">
        <is>
          <t>%</t>
        </is>
      </c>
      <c r="O151" s="123" t="inlineStr">
        <is>
          <t>%</t>
        </is>
      </c>
      <c r="P151" s="16" t="n">
        <v>0</v>
      </c>
      <c r="Q151" s="16" t="n">
        <v>0</v>
      </c>
      <c r="R151" s="5" t="inlineStr">
        <is>
          <t>95-2023-12-31</t>
        </is>
      </c>
    </row>
    <row r="152">
      <c r="A152" s="26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44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119" t="n">
        <v>100</v>
      </c>
      <c r="K152" s="123" t="n">
        <v>100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123" t="inlineStr">
        <is>
          <t>%</t>
        </is>
      </c>
      <c r="O152" s="123" t="inlineStr">
        <is>
          <t>%</t>
        </is>
      </c>
      <c r="P152" s="16" t="n">
        <v>0</v>
      </c>
      <c r="Q152" s="16" t="n">
        <v>0</v>
      </c>
      <c r="R152" s="5" t="inlineStr">
        <is>
          <t>95-2024-06-30</t>
        </is>
      </c>
    </row>
    <row r="153">
      <c r="A153" s="26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44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119" t="n">
        <v>100</v>
      </c>
      <c r="K153" s="123" t="n">
        <v>100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123" t="inlineStr">
        <is>
          <t>%</t>
        </is>
      </c>
      <c r="O153" s="123" t="inlineStr">
        <is>
          <t>%</t>
        </is>
      </c>
      <c r="P153" s="16" t="n">
        <v>0</v>
      </c>
      <c r="Q153" s="16" t="n">
        <v>0</v>
      </c>
      <c r="R153" s="5" t="inlineStr">
        <is>
          <t>95-2024-12-31</t>
        </is>
      </c>
    </row>
    <row r="154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44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119" t="n">
        <v>100</v>
      </c>
      <c r="K154" s="123" t="n">
        <v>100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123" t="inlineStr">
        <is>
          <t>%</t>
        </is>
      </c>
      <c r="O154" s="123" t="inlineStr">
        <is>
          <t>%</t>
        </is>
      </c>
      <c r="P154" s="16" t="n">
        <v>0</v>
      </c>
      <c r="Q154" s="16" t="n">
        <v>0</v>
      </c>
      <c r="R154" s="5" t="inlineStr">
        <is>
          <t>95-2025-06-30</t>
        </is>
      </c>
    </row>
    <row r="155">
      <c r="A155" s="26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44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119" t="n">
        <v>100</v>
      </c>
      <c r="K155" s="123" t="n">
        <v>100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123" t="inlineStr">
        <is>
          <t>%</t>
        </is>
      </c>
      <c r="O155" s="123" t="inlineStr">
        <is>
          <t>%</t>
        </is>
      </c>
      <c r="P155" s="16" t="n">
        <v>0</v>
      </c>
      <c r="Q155" s="16" t="n">
        <v>0</v>
      </c>
      <c r="R155" s="5" t="inlineStr">
        <is>
          <t>95-2025-12-31</t>
        </is>
      </c>
    </row>
    <row r="156">
      <c r="A156" s="26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44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119" t="n">
        <v>509</v>
      </c>
      <c r="K156" s="123" t="n">
        <v>566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123" t="inlineStr">
        <is>
          <t>%</t>
        </is>
      </c>
      <c r="O156" s="123" t="inlineStr">
        <is>
          <t>%</t>
        </is>
      </c>
      <c r="P156" s="16" t="n">
        <v>0</v>
      </c>
      <c r="Q156" s="16" t="n">
        <v>0</v>
      </c>
      <c r="R156" s="5" t="inlineStr">
        <is>
          <t>96-2022-12-31</t>
        </is>
      </c>
    </row>
    <row r="157">
      <c r="A157" s="26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44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119" t="n">
        <v>100</v>
      </c>
      <c r="K157" s="123" t="n">
        <v>98.3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123" t="inlineStr">
        <is>
          <t>%</t>
        </is>
      </c>
      <c r="O157" s="123" t="inlineStr">
        <is>
          <t>%</t>
        </is>
      </c>
      <c r="P157" s="16" t="n">
        <v>0</v>
      </c>
      <c r="Q157" s="16" t="n">
        <v>0</v>
      </c>
      <c r="R157" s="5" t="inlineStr">
        <is>
          <t>100-2022-12-31</t>
        </is>
      </c>
    </row>
    <row r="158">
      <c r="A158" s="26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44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119" t="n">
        <v>100</v>
      </c>
      <c r="K158" s="123" t="n">
        <v>99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123" t="inlineStr">
        <is>
          <t>%</t>
        </is>
      </c>
      <c r="O158" s="123" t="inlineStr">
        <is>
          <t>%</t>
        </is>
      </c>
      <c r="P158" s="16" t="n">
        <v>0</v>
      </c>
      <c r="Q158" s="16" t="n">
        <v>0</v>
      </c>
      <c r="R158" s="5" t="inlineStr">
        <is>
          <t>100-2023-12-31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44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119" t="n">
        <v>100</v>
      </c>
      <c r="K159" s="123" t="n">
        <v>99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123" t="inlineStr">
        <is>
          <t>%</t>
        </is>
      </c>
      <c r="O159" s="123" t="inlineStr">
        <is>
          <t>%</t>
        </is>
      </c>
      <c r="P159" s="16" t="n">
        <v>0</v>
      </c>
      <c r="Q159" s="16" t="n">
        <v>0</v>
      </c>
      <c r="R159" s="5" t="inlineStr">
        <is>
          <t>100-2024-12-31</t>
        </is>
      </c>
    </row>
    <row r="160">
      <c r="A160" s="39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44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119" t="n">
        <v>100</v>
      </c>
      <c r="K160" s="123" t="n">
        <v>100</v>
      </c>
      <c r="L160" s="28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123" t="inlineStr">
        <is>
          <t>%</t>
        </is>
      </c>
      <c r="O160" s="123" t="inlineStr">
        <is>
          <t>%</t>
        </is>
      </c>
      <c r="P160" s="16" t="n">
        <v>0</v>
      </c>
      <c r="Q160" s="16" t="n">
        <v>0</v>
      </c>
      <c r="R160" s="5" t="inlineStr">
        <is>
          <t>100-2025-12-31</t>
        </is>
      </c>
    </row>
    <row r="161">
      <c r="A161" s="26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44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119" t="n">
        <v>2.14</v>
      </c>
      <c r="K161" s="123" t="n">
        <v>0.37174721189591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123" t="inlineStr">
        <is>
          <t>DEC</t>
        </is>
      </c>
      <c r="O161" s="123" t="inlineStr">
        <is>
          <t>DEC</t>
        </is>
      </c>
      <c r="P161" s="16" t="n">
        <v>1</v>
      </c>
      <c r="Q161" s="16" t="n">
        <v>2</v>
      </c>
      <c r="R161" s="5" t="inlineStr">
        <is>
          <t>104-2022-12-31</t>
        </is>
      </c>
    </row>
    <row r="162">
      <c r="A162" s="26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4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119" t="n">
        <v>2.14</v>
      </c>
      <c r="K162" s="123" t="n">
        <v>0.47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123" t="inlineStr">
        <is>
          <t>DEC</t>
        </is>
      </c>
      <c r="O162" s="123" t="inlineStr">
        <is>
          <t>DEC</t>
        </is>
      </c>
      <c r="P162" s="16" t="n">
        <v>2</v>
      </c>
      <c r="Q162" s="16" t="n">
        <v>2</v>
      </c>
      <c r="R162" s="5" t="inlineStr">
        <is>
          <t>104-2023-12-31</t>
        </is>
      </c>
    </row>
    <row r="163">
      <c r="A163" s="26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44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119" t="n">
        <v>1.2</v>
      </c>
      <c r="K163" s="123" t="n">
        <v>0.11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123" t="inlineStr">
        <is>
          <t>DEC</t>
        </is>
      </c>
      <c r="O163" s="123" t="inlineStr">
        <is>
          <t>DEC</t>
        </is>
      </c>
      <c r="P163" s="16" t="n">
        <v>2</v>
      </c>
      <c r="Q163" s="16" t="n">
        <v>2</v>
      </c>
      <c r="R163" s="5" t="inlineStr">
        <is>
          <t>104-2024-12-31</t>
        </is>
      </c>
    </row>
    <row r="164">
      <c r="A164" s="26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44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119" t="n">
        <v>2.14</v>
      </c>
      <c r="K164" s="123" t="n">
        <v>0.21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123" t="inlineStr">
        <is>
          <t>DEC</t>
        </is>
      </c>
      <c r="O164" s="123" t="inlineStr">
        <is>
          <t>DEC</t>
        </is>
      </c>
      <c r="P164" s="16" t="n">
        <v>1</v>
      </c>
      <c r="Q164" s="16" t="n">
        <v>2</v>
      </c>
      <c r="R164" s="5" t="inlineStr">
        <is>
          <t>104-2025-12-31</t>
        </is>
      </c>
    </row>
    <row r="165">
      <c r="A165" s="26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44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119" t="n">
        <v>0</v>
      </c>
      <c r="K165" s="123" t="n">
        <v>0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123" t="inlineStr">
        <is>
          <t>DEC</t>
        </is>
      </c>
      <c r="O165" s="123" t="inlineStr">
        <is>
          <t>DEC</t>
        </is>
      </c>
      <c r="P165" s="16" t="n">
        <v>0</v>
      </c>
      <c r="Q165" s="16" t="n">
        <v>0</v>
      </c>
      <c r="R165" s="5" t="inlineStr">
        <is>
          <t>106-2022-12-31</t>
        </is>
      </c>
    </row>
    <row r="166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44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119" t="n">
        <v>0</v>
      </c>
      <c r="K166" s="123" t="n">
        <v>0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123" t="inlineStr">
        <is>
          <t>ENT</t>
        </is>
      </c>
      <c r="O166" s="123" t="inlineStr">
        <is>
          <t>ENT</t>
        </is>
      </c>
      <c r="P166" s="16" t="n">
        <v>0</v>
      </c>
      <c r="Q166" s="16" t="n">
        <v>0</v>
      </c>
      <c r="R166" s="5" t="inlineStr">
        <is>
          <t>106-2023-12-31</t>
        </is>
      </c>
    </row>
    <row r="167">
      <c r="A167" s="26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44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119" t="n">
        <v>0</v>
      </c>
      <c r="K167" s="123" t="n">
        <v>0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123" t="inlineStr">
        <is>
          <t>ENT</t>
        </is>
      </c>
      <c r="O167" s="123" t="inlineStr">
        <is>
          <t>ENT</t>
        </is>
      </c>
      <c r="P167" s="16" t="n">
        <v>0</v>
      </c>
      <c r="Q167" s="16" t="n">
        <v>0</v>
      </c>
      <c r="R167" s="5" t="inlineStr">
        <is>
          <t>106-2024-12-31</t>
        </is>
      </c>
    </row>
    <row r="168">
      <c r="A168" s="26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44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119" t="n">
        <v>0</v>
      </c>
      <c r="K168" s="123" t="n">
        <v>0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123" t="inlineStr">
        <is>
          <t>DEC</t>
        </is>
      </c>
      <c r="O168" s="123" t="inlineStr">
        <is>
          <t>DEC</t>
        </is>
      </c>
      <c r="P168" s="16" t="n">
        <v>0</v>
      </c>
      <c r="Q168" s="16" t="n">
        <v>0</v>
      </c>
      <c r="R168" s="5" t="inlineStr">
        <is>
          <t>106-2025-12-31</t>
        </is>
      </c>
    </row>
    <row r="169">
      <c r="A169" s="26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44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119" t="n">
        <v>80</v>
      </c>
      <c r="K169" s="123" t="n">
        <v>0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123" t="inlineStr">
        <is>
          <t>%</t>
        </is>
      </c>
      <c r="O169" s="123" t="inlineStr">
        <is>
          <t>%</t>
        </is>
      </c>
      <c r="P169" s="16" t="n">
        <v>0</v>
      </c>
      <c r="Q169" s="16" t="n">
        <v>0</v>
      </c>
      <c r="R169" s="5" t="inlineStr">
        <is>
          <t>109-2023-10-31</t>
        </is>
      </c>
    </row>
    <row r="170">
      <c r="A170" s="26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44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119" t="n">
        <v>80</v>
      </c>
      <c r="K170" s="123" t="n">
        <v>85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123" t="inlineStr">
        <is>
          <t>%</t>
        </is>
      </c>
      <c r="O170" s="123" t="inlineStr">
        <is>
          <t>%</t>
        </is>
      </c>
      <c r="P170" s="16" t="n">
        <v>0</v>
      </c>
      <c r="Q170" s="16" t="n">
        <v>0</v>
      </c>
      <c r="R170" s="5" t="inlineStr">
        <is>
          <t>109-2024-10-31</t>
        </is>
      </c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44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119" t="n">
        <v>80</v>
      </c>
      <c r="K171" s="123" t="n">
        <v>94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123" t="inlineStr">
        <is>
          <t>%</t>
        </is>
      </c>
      <c r="O171" s="123" t="inlineStr">
        <is>
          <t>%</t>
        </is>
      </c>
      <c r="P171" s="16" t="n">
        <v>0</v>
      </c>
      <c r="Q171" s="16" t="n">
        <v>0</v>
      </c>
      <c r="R171" s="5" t="inlineStr">
        <is>
          <t>109-2025-10-31</t>
        </is>
      </c>
    </row>
    <row r="172">
      <c r="A172" s="39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44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119" t="n">
        <v>80</v>
      </c>
      <c r="K172" s="123" t="n">
        <v>73.4019151138716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123" t="inlineStr">
        <is>
          <t>%</t>
        </is>
      </c>
      <c r="O172" s="123" t="inlineStr">
        <is>
          <t>%</t>
        </is>
      </c>
      <c r="P172" s="16" t="n">
        <v>0</v>
      </c>
      <c r="Q172" s="16" t="n">
        <v>0</v>
      </c>
      <c r="R172" s="5" t="inlineStr">
        <is>
          <t>110-2022-10-31</t>
        </is>
      </c>
    </row>
    <row r="173">
      <c r="A173" s="26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43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124" t="n">
        <v>78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16" t="n">
        <v>0</v>
      </c>
      <c r="Q173" s="16" t="n">
        <v>0</v>
      </c>
      <c r="R173" s="5" t="inlineStr">
        <is>
          <t>110-2023-10-31</t>
        </is>
      </c>
    </row>
    <row r="174">
      <c r="A174" s="26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43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124" t="n">
        <v>78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6" t="n">
        <v>0</v>
      </c>
      <c r="Q174" s="16" t="n">
        <v>0</v>
      </c>
      <c r="R174" s="5" t="inlineStr">
        <is>
          <t>110-2023-12-31</t>
        </is>
      </c>
    </row>
    <row r="175">
      <c r="A175" s="26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44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124" t="n">
        <v>70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6" t="n">
        <v>0</v>
      </c>
      <c r="Q175" s="16" t="n">
        <v>0</v>
      </c>
      <c r="R175" s="5" t="inlineStr">
        <is>
          <t>111-2022-09-30</t>
        </is>
      </c>
    </row>
    <row r="176">
      <c r="A176" s="26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44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124" t="n">
        <v>87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6" t="n">
        <v>0</v>
      </c>
      <c r="Q176" s="16" t="n">
        <v>0</v>
      </c>
      <c r="R176" s="5" t="inlineStr">
        <is>
          <t>111-2023-03-31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44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124" t="n">
        <v>90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6" t="n">
        <v>0</v>
      </c>
      <c r="Q177" s="16" t="n">
        <v>0</v>
      </c>
      <c r="R177" s="5" t="inlineStr">
        <is>
          <t>111-2023-06-30</t>
        </is>
      </c>
    </row>
    <row r="178">
      <c r="A178" s="39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44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24" t="n">
        <v>93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6" t="n">
        <v>0</v>
      </c>
      <c r="Q178" s="16" t="n">
        <v>0</v>
      </c>
      <c r="R178" s="5" t="inlineStr">
        <is>
          <t>111-2023-09-30</t>
        </is>
      </c>
    </row>
    <row r="179">
      <c r="A179" s="26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44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96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6" t="n">
        <v>0</v>
      </c>
      <c r="Q179" s="16" t="n">
        <v>0</v>
      </c>
      <c r="R179" s="5" t="inlineStr">
        <is>
          <t>111-2023-12-31</t>
        </is>
      </c>
    </row>
    <row r="180">
      <c r="A180" s="26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44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10" t="n">
        <v>94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16" t="n">
        <v>0</v>
      </c>
      <c r="Q180" s="16" t="n">
        <v>0</v>
      </c>
      <c r="R180" s="5" t="inlineStr">
        <is>
          <t>111-2024-03-31</t>
        </is>
      </c>
    </row>
    <row r="181">
      <c r="A181" s="5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44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5" t="n">
        <v>98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111-2024-06-30</t>
        </is>
      </c>
    </row>
    <row r="182">
      <c r="A182" s="26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44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10" t="n">
        <v>86.7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16" t="n">
        <v>0</v>
      </c>
      <c r="Q182" s="16" t="n">
        <v>0</v>
      </c>
      <c r="R182" s="5" t="inlineStr">
        <is>
          <t>111-2024-09-30</t>
        </is>
      </c>
    </row>
    <row r="183">
      <c r="A183" s="26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4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6" t="n">
        <v>0</v>
      </c>
      <c r="Q183" s="16" t="n">
        <v>0</v>
      </c>
      <c r="R183" s="5" t="inlineStr">
        <is>
          <t>111-2024-12-31</t>
        </is>
      </c>
    </row>
    <row r="184">
      <c r="A184" s="26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44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10" t="n">
        <v>92.7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6" t="n">
        <v>0</v>
      </c>
      <c r="Q184" s="16" t="n">
        <v>0</v>
      </c>
      <c r="R184" s="5" t="inlineStr">
        <is>
          <t>111-2025-03-31</t>
        </is>
      </c>
    </row>
    <row r="185">
      <c r="A185" s="26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44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63" t="n">
        <v>100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16" t="n">
        <v>0</v>
      </c>
      <c r="Q185" s="16" t="n">
        <v>0</v>
      </c>
      <c r="R185" s="5" t="inlineStr">
        <is>
          <t>111-2025-06-30</t>
        </is>
      </c>
    </row>
    <row r="186">
      <c r="A186" s="26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43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63" t="n">
        <v>92.5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16" t="n">
        <v>0</v>
      </c>
      <c r="Q186" s="16" t="n">
        <v>0</v>
      </c>
      <c r="R186" s="5" t="inlineStr">
        <is>
          <t>111-2025-09-30</t>
        </is>
      </c>
    </row>
    <row r="187">
      <c r="A187" s="26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44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63" t="n">
        <v>96.59999999999999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6" t="n">
        <v>0</v>
      </c>
      <c r="Q187" s="16" t="n">
        <v>0</v>
      </c>
      <c r="R187" s="5" t="inlineStr">
        <is>
          <t>111-2025-12-31</t>
        </is>
      </c>
    </row>
    <row r="188">
      <c r="A188" s="26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44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63" t="n">
        <v>85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6" t="n">
        <v>0</v>
      </c>
      <c r="Q188" s="16" t="n">
        <v>0</v>
      </c>
      <c r="R188" s="5" t="inlineStr">
        <is>
          <t>112-2022-10-31</t>
        </is>
      </c>
    </row>
    <row r="189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44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63" t="n">
        <v>90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6" t="n">
        <v>0</v>
      </c>
      <c r="Q189" s="16" t="n">
        <v>0</v>
      </c>
      <c r="R189" s="5" t="inlineStr">
        <is>
          <t>112-2023-10-31</t>
        </is>
      </c>
    </row>
    <row r="190">
      <c r="A190" s="26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44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63" t="n">
        <v>90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6" t="n">
        <v>0</v>
      </c>
      <c r="Q190" s="16" t="n">
        <v>0</v>
      </c>
      <c r="R190" s="5" t="inlineStr">
        <is>
          <t>112-2024-10-31</t>
        </is>
      </c>
    </row>
    <row r="191">
      <c r="A191" s="26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44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63" t="n">
        <v>90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6" t="n">
        <v>0</v>
      </c>
      <c r="Q191" s="16" t="n">
        <v>0</v>
      </c>
      <c r="R191" s="5" t="inlineStr">
        <is>
          <t>112-2025-10-31</t>
        </is>
      </c>
    </row>
    <row r="192">
      <c r="A192" s="26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44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63" t="n">
        <v>78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6" t="n">
        <v>0</v>
      </c>
      <c r="Q192" s="16" t="n">
        <v>0</v>
      </c>
      <c r="R192" s="5" t="inlineStr">
        <is>
          <t>113-2022-10-31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44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63" t="n">
        <v>88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6" t="n">
        <v>0</v>
      </c>
      <c r="Q193" s="16" t="n">
        <v>0</v>
      </c>
      <c r="R193" s="5" t="inlineStr">
        <is>
          <t>113-2023-10-31</t>
        </is>
      </c>
    </row>
    <row r="194">
      <c r="A194" s="39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44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63" t="n">
        <v>88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6" t="n">
        <v>0</v>
      </c>
      <c r="Q194" s="16" t="n">
        <v>0</v>
      </c>
      <c r="R194" s="5" t="inlineStr">
        <is>
          <t>113-2024-10-31</t>
        </is>
      </c>
    </row>
    <row r="195">
      <c r="A195" s="39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44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63" t="n">
        <v>94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6" t="n">
        <v>0</v>
      </c>
      <c r="Q195" s="16" t="n">
        <v>0</v>
      </c>
      <c r="R195" s="5" t="inlineStr">
        <is>
          <t>113-2025-10-31</t>
        </is>
      </c>
    </row>
    <row r="196">
      <c r="A196" s="39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44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63" t="n">
        <v>82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6" t="n">
        <v>0</v>
      </c>
      <c r="Q196" s="16" t="n">
        <v>0</v>
      </c>
      <c r="R196" s="5" t="inlineStr">
        <is>
          <t>114-2022-10-31</t>
        </is>
      </c>
    </row>
    <row r="197">
      <c r="A197" s="26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44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63" t="n">
        <v>86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6" t="n">
        <v>0</v>
      </c>
      <c r="Q197" s="16" t="n">
        <v>0</v>
      </c>
      <c r="R197" s="5" t="inlineStr">
        <is>
          <t>114-2023-10-31</t>
        </is>
      </c>
    </row>
    <row r="198">
      <c r="A198" s="26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43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63" t="n">
        <v>81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6" t="n">
        <v>0</v>
      </c>
      <c r="Q198" s="16" t="n">
        <v>0</v>
      </c>
      <c r="R198" s="5" t="inlineStr">
        <is>
          <t>114-2024-10-31</t>
        </is>
      </c>
    </row>
    <row r="199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44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63" t="n">
        <v>74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6" t="n">
        <v>0</v>
      </c>
      <c r="Q199" s="16" t="n">
        <v>0</v>
      </c>
      <c r="R199" s="5" t="inlineStr">
        <is>
          <t>114-2025-10-31</t>
        </is>
      </c>
    </row>
    <row r="200">
      <c r="A200" s="26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44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124" t="n">
        <v>90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6" t="n">
        <v>0</v>
      </c>
      <c r="Q200" s="16" t="n">
        <v>0</v>
      </c>
      <c r="R200" s="5" t="inlineStr">
        <is>
          <t>115-2022-10-31</t>
        </is>
      </c>
    </row>
    <row r="20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44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124" t="n">
        <v>91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6" t="n">
        <v>0</v>
      </c>
      <c r="Q201" s="16" t="n">
        <v>0</v>
      </c>
      <c r="R201" s="5" t="inlineStr">
        <is>
          <t>115-2023-10-31</t>
        </is>
      </c>
    </row>
    <row r="202">
      <c r="A202" s="26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44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63" t="n">
        <v>90.7894054838542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6" t="n">
        <v>0</v>
      </c>
      <c r="Q202" s="16" t="n">
        <v>0</v>
      </c>
      <c r="R202" s="5" t="inlineStr">
        <is>
          <t>115-2023-12-31</t>
        </is>
      </c>
    </row>
    <row r="203">
      <c r="A203" s="26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44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124" t="n">
        <v>90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6" t="n">
        <v>0</v>
      </c>
      <c r="Q203" s="16" t="n">
        <v>0</v>
      </c>
      <c r="R203" s="5" t="inlineStr">
        <is>
          <t>115-2024-10-31</t>
        </is>
      </c>
    </row>
    <row r="204">
      <c r="A204" s="26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44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124" t="n">
        <v>89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6" t="n">
        <v>0</v>
      </c>
      <c r="Q204" s="16" t="n">
        <v>0</v>
      </c>
      <c r="R204" s="5" t="inlineStr">
        <is>
          <t>115-2025-10-31</t>
        </is>
      </c>
    </row>
    <row r="205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44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63" t="n">
        <v>83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6" t="n">
        <v>0</v>
      </c>
      <c r="Q205" s="16" t="n">
        <v>0</v>
      </c>
      <c r="R205" s="5" t="inlineStr">
        <is>
          <t>116-2023-04-30</t>
        </is>
      </c>
    </row>
    <row r="206">
      <c r="A206" s="39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44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124" t="n">
        <v>84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6" t="n">
        <v>0</v>
      </c>
      <c r="Q206" s="16" t="n">
        <v>0</v>
      </c>
      <c r="R206" s="5" t="inlineStr">
        <is>
          <t>116-2023-06-30</t>
        </is>
      </c>
    </row>
    <row r="207">
      <c r="A207" s="39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44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63" t="n">
        <v>84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6" t="n">
        <v>0</v>
      </c>
      <c r="Q207" s="16" t="n">
        <v>0</v>
      </c>
      <c r="R207" s="5" t="inlineStr">
        <is>
          <t>116-2023-08-31</t>
        </is>
      </c>
    </row>
    <row r="208">
      <c r="A208" s="39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44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63" t="n">
        <v>88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6" t="n">
        <v>0</v>
      </c>
      <c r="Q208" s="16" t="n">
        <v>0</v>
      </c>
      <c r="R208" s="5" t="inlineStr">
        <is>
          <t>116-2023-10-31</t>
        </is>
      </c>
    </row>
    <row r="209">
      <c r="A209" s="26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44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63" t="n">
        <v>88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6" t="n">
        <v>0</v>
      </c>
      <c r="Q209" s="16" t="n">
        <v>0</v>
      </c>
      <c r="R209" s="5" t="inlineStr">
        <is>
          <t>116-2023-12-31</t>
        </is>
      </c>
    </row>
    <row r="210">
      <c r="A210" s="26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44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10" t="n">
        <v>0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6" t="n">
        <v>0</v>
      </c>
      <c r="Q210" s="16" t="n">
        <v>0</v>
      </c>
      <c r="R210" s="5" t="inlineStr">
        <is>
          <t>116-2024-06-30</t>
        </is>
      </c>
    </row>
    <row r="21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44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63" t="n">
        <v>88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6" t="n">
        <v>0</v>
      </c>
      <c r="Q211" s="16" t="n">
        <v>0</v>
      </c>
      <c r="R211" s="5" t="inlineStr">
        <is>
          <t>116-2024-08-31</t>
        </is>
      </c>
    </row>
    <row r="212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44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63" t="n">
        <v>0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 t="inlineStr">
        <is>
          <t>116-2024-10-31</t>
        </is>
      </c>
    </row>
    <row r="213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44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63" t="n">
        <v>88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6" t="n">
        <v>0</v>
      </c>
      <c r="Q213" s="16" t="n">
        <v>0</v>
      </c>
      <c r="R213" s="5" t="inlineStr">
        <is>
          <t>116-2024-12-31</t>
        </is>
      </c>
    </row>
    <row r="214">
      <c r="A214" s="26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44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63" t="n">
        <v>100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6" t="n">
        <v>0</v>
      </c>
      <c r="Q214" s="16" t="n">
        <v>0</v>
      </c>
      <c r="R214" s="5" t="inlineStr">
        <is>
          <t>116-2025-12-31</t>
        </is>
      </c>
    </row>
    <row r="215">
      <c r="A215" s="26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44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63" t="n">
        <v>93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 t="inlineStr">
        <is>
          <t>117-2022-10-31</t>
        </is>
      </c>
    </row>
    <row r="216">
      <c r="A216" s="26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44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63" t="n">
        <v>90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 t="inlineStr">
        <is>
          <t>117-2023-10-31</t>
        </is>
      </c>
    </row>
    <row r="217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44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63" t="n">
        <v>89</v>
      </c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 t="inlineStr">
        <is>
          <t>117-2024-10-31</t>
        </is>
      </c>
    </row>
    <row r="218">
      <c r="A218" s="39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44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63" t="n">
        <v>100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 t="inlineStr">
        <is>
          <t>117-2025-10-31</t>
        </is>
      </c>
    </row>
    <row r="219">
      <c r="A219" s="39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44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63" t="n">
        <v>88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 t="inlineStr">
        <is>
          <t>118-2022-10-31</t>
        </is>
      </c>
    </row>
    <row r="220">
      <c r="A220" s="39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44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63" t="n">
        <v>94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16" t="n">
        <v>0</v>
      </c>
      <c r="Q220" s="16" t="n">
        <v>0</v>
      </c>
      <c r="R220" s="5" t="inlineStr">
        <is>
          <t>118-2023-10-31</t>
        </is>
      </c>
    </row>
    <row r="221">
      <c r="A221" s="26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4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124" t="n">
        <v>94.1385767790262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%</t>
        </is>
      </c>
      <c r="O221" s="11" t="inlineStr">
        <is>
          <t>%</t>
        </is>
      </c>
      <c r="P221" s="16" t="n">
        <v>0</v>
      </c>
      <c r="Q221" s="16" t="n">
        <v>0</v>
      </c>
      <c r="R221" s="5" t="inlineStr">
        <is>
          <t>118-2023-12-31</t>
        </is>
      </c>
    </row>
    <row r="222">
      <c r="A222" s="26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43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124" t="n">
        <v>86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11" t="inlineStr">
        <is>
          <t>%</t>
        </is>
      </c>
      <c r="P222" s="16" t="n">
        <v>0</v>
      </c>
      <c r="Q222" s="16" t="n">
        <v>0</v>
      </c>
      <c r="R222" s="5" t="inlineStr">
        <is>
          <t>118-2024-10-31</t>
        </is>
      </c>
    </row>
    <row r="223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44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124" t="n">
        <v>86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%</t>
        </is>
      </c>
      <c r="O223" s="11" t="inlineStr">
        <is>
          <t>%</t>
        </is>
      </c>
      <c r="P223" s="16" t="n">
        <v>0</v>
      </c>
      <c r="Q223" s="16" t="n">
        <v>0</v>
      </c>
      <c r="R223" s="5" t="inlineStr">
        <is>
          <t>118-2024-12-31</t>
        </is>
      </c>
    </row>
    <row r="224">
      <c r="A224" s="26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44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124" t="n">
        <v>98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16" t="n">
        <v>0</v>
      </c>
      <c r="Q224" s="16" t="n">
        <v>0</v>
      </c>
      <c r="R224" s="5" t="inlineStr">
        <is>
          <t>118-2025-10-31</t>
        </is>
      </c>
    </row>
    <row r="225">
      <c r="A225" s="26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44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124" t="n">
        <v>99.930127235874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$</t>
        </is>
      </c>
      <c r="O225" s="11" t="inlineStr">
        <is>
          <t>$</t>
        </is>
      </c>
      <c r="P225" s="16" t="n">
        <v>0</v>
      </c>
      <c r="Q225" s="16" t="n">
        <v>0</v>
      </c>
      <c r="R225" s="5" t="inlineStr">
        <is>
          <t>121-2022-01-31</t>
        </is>
      </c>
    </row>
    <row r="226">
      <c r="A226" s="26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44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124" t="n">
        <v>99.836200327347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$</t>
        </is>
      </c>
      <c r="O226" s="11" t="inlineStr">
        <is>
          <t>$</t>
        </is>
      </c>
      <c r="P226" s="16" t="n">
        <v>0</v>
      </c>
      <c r="Q226" s="16" t="n">
        <v>0</v>
      </c>
      <c r="R226" s="5" t="inlineStr">
        <is>
          <t>121-2022-02-28</t>
        </is>
      </c>
    </row>
    <row r="227">
      <c r="A227" s="26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44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124" t="n">
        <v>100.01054895053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$</t>
        </is>
      </c>
      <c r="O227" s="5" t="inlineStr">
        <is>
          <t>$</t>
        </is>
      </c>
      <c r="P227" s="16" t="n">
        <v>0</v>
      </c>
      <c r="Q227" s="16" t="n">
        <v>0</v>
      </c>
      <c r="R227" s="5" t="inlineStr">
        <is>
          <t>121-2022-03-31</t>
        </is>
      </c>
    </row>
    <row r="228">
      <c r="A228" s="26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44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124" t="n">
        <v>99.44290583621201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$</t>
        </is>
      </c>
      <c r="O228" s="5" t="inlineStr">
        <is>
          <t>$</t>
        </is>
      </c>
      <c r="P228" s="16" t="n">
        <v>0</v>
      </c>
      <c r="Q228" s="16" t="n">
        <v>0</v>
      </c>
      <c r="R228" s="5" t="inlineStr">
        <is>
          <t>121-2022-04-30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44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124" t="n">
        <v>99.527558823104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$</t>
        </is>
      </c>
      <c r="O229" s="11" t="inlineStr">
        <is>
          <t>$</t>
        </is>
      </c>
      <c r="P229" s="16" t="n">
        <v>0</v>
      </c>
      <c r="Q229" s="16" t="n">
        <v>0</v>
      </c>
      <c r="R229" s="5" t="inlineStr">
        <is>
          <t>121-2022-05-31</t>
        </is>
      </c>
    </row>
    <row r="230">
      <c r="A230" s="39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44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124" t="n">
        <v>100.01207569838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$</t>
        </is>
      </c>
      <c r="O230" s="5" t="inlineStr">
        <is>
          <t>$</t>
        </is>
      </c>
      <c r="P230" s="16" t="n">
        <v>0</v>
      </c>
      <c r="Q230" s="16" t="n">
        <v>0</v>
      </c>
      <c r="R230" s="5" t="inlineStr">
        <is>
          <t>121-2022-06-30</t>
        </is>
      </c>
    </row>
    <row r="231">
      <c r="A231" s="26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44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124" t="n">
        <v>100.06964761423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$</t>
        </is>
      </c>
      <c r="O231" s="5" t="inlineStr">
        <is>
          <t>$</t>
        </is>
      </c>
      <c r="P231" s="16" t="n">
        <v>0</v>
      </c>
      <c r="Q231" s="16" t="n">
        <v>0</v>
      </c>
      <c r="R231" s="5" t="inlineStr">
        <is>
          <t>121-2022-07-31</t>
        </is>
      </c>
    </row>
    <row r="232">
      <c r="A232" s="26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44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124" t="n">
        <v>100.56593556404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$</t>
        </is>
      </c>
      <c r="O232" s="5" t="inlineStr">
        <is>
          <t>$</t>
        </is>
      </c>
      <c r="P232" s="16" t="n">
        <v>0</v>
      </c>
      <c r="Q232" s="16" t="n">
        <v>0</v>
      </c>
      <c r="R232" s="5" t="inlineStr">
        <is>
          <t>121-2022-08-31</t>
        </is>
      </c>
    </row>
    <row r="233">
      <c r="A233" s="26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44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124" t="n">
        <v>100.37732729256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$</t>
        </is>
      </c>
      <c r="O233" s="11" t="inlineStr">
        <is>
          <t>$</t>
        </is>
      </c>
      <c r="P233" s="16" t="n">
        <v>0</v>
      </c>
      <c r="Q233" s="16" t="n">
        <v>0</v>
      </c>
      <c r="R233" s="5" t="inlineStr">
        <is>
          <t>121-2022-09-30</t>
        </is>
      </c>
    </row>
    <row r="234">
      <c r="A234" s="26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43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124" t="n">
        <v>101.60380995181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$</t>
        </is>
      </c>
      <c r="O234" s="11" t="inlineStr">
        <is>
          <t>$</t>
        </is>
      </c>
      <c r="P234" s="16" t="n">
        <v>0</v>
      </c>
      <c r="Q234" s="16" t="n">
        <v>0</v>
      </c>
      <c r="R234" s="5" t="inlineStr">
        <is>
          <t>121-2022-10-31</t>
        </is>
      </c>
    </row>
    <row r="235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44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124" t="n">
        <v>101.72418864889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$</t>
        </is>
      </c>
      <c r="O235" s="11" t="inlineStr">
        <is>
          <t>$</t>
        </is>
      </c>
      <c r="P235" s="16" t="n">
        <v>0</v>
      </c>
      <c r="Q235" s="16" t="n">
        <v>0</v>
      </c>
      <c r="R235" s="5" t="inlineStr">
        <is>
          <t>121-2022-11-30</t>
        </is>
      </c>
    </row>
    <row r="236">
      <c r="A236" s="26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44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124" t="n">
        <v>99.868284606334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$</t>
        </is>
      </c>
      <c r="O236" s="5" t="inlineStr">
        <is>
          <t>$</t>
        </is>
      </c>
      <c r="P236" s="16" t="n">
        <v>0</v>
      </c>
      <c r="Q236" s="16" t="n">
        <v>0</v>
      </c>
      <c r="R236" s="5" t="inlineStr">
        <is>
          <t>121-2022-12-31</t>
        </is>
      </c>
    </row>
    <row r="237">
      <c r="A237" s="26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44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124" t="n">
        <v>107.04104854011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$</t>
        </is>
      </c>
      <c r="O237" s="11" t="inlineStr">
        <is>
          <t>$</t>
        </is>
      </c>
      <c r="P237" s="16" t="n">
        <v>0</v>
      </c>
      <c r="Q237" s="16" t="n">
        <v>0</v>
      </c>
      <c r="R237" s="5" t="inlineStr">
        <is>
          <t>121-2023-01-31</t>
        </is>
      </c>
    </row>
    <row r="238">
      <c r="A238" s="26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44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124" t="n">
        <v>107.49236074846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$</t>
        </is>
      </c>
      <c r="O238" s="11" t="inlineStr">
        <is>
          <t>$</t>
        </is>
      </c>
      <c r="P238" s="16" t="n">
        <v>0</v>
      </c>
      <c r="Q238" s="16" t="n">
        <v>0</v>
      </c>
      <c r="R238" s="5" t="inlineStr">
        <is>
          <t>121-2023-02-28</t>
        </is>
      </c>
    </row>
    <row r="239">
      <c r="A239" s="26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44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124" t="n">
        <v>103.0366615056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$</t>
        </is>
      </c>
      <c r="O239" s="5" t="inlineStr">
        <is>
          <t>$</t>
        </is>
      </c>
      <c r="P239" s="16" t="n">
        <v>0</v>
      </c>
      <c r="Q239" s="16" t="n">
        <v>0</v>
      </c>
      <c r="R239" s="5" t="inlineStr">
        <is>
          <t>121-2023-03-31</t>
        </is>
      </c>
    </row>
    <row r="240">
      <c r="A240" s="26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44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124" t="n">
        <v>98.504433782026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$</t>
        </is>
      </c>
      <c r="O240" s="5" t="inlineStr">
        <is>
          <t>$</t>
        </is>
      </c>
      <c r="P240" s="16" t="n">
        <v>0</v>
      </c>
      <c r="Q240" s="16" t="n">
        <v>0</v>
      </c>
      <c r="R240" s="5" t="inlineStr">
        <is>
          <t>121-2023-04-30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44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124" t="n">
        <v>101.21742519278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$</t>
        </is>
      </c>
      <c r="O241" s="11" t="inlineStr">
        <is>
          <t>$</t>
        </is>
      </c>
      <c r="P241" s="16" t="n">
        <v>0</v>
      </c>
      <c r="Q241" s="16" t="n">
        <v>0</v>
      </c>
      <c r="R241" s="5" t="inlineStr">
        <is>
          <t>121-2023-05-31</t>
        </is>
      </c>
    </row>
    <row r="242">
      <c r="A242" s="39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44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124" t="n">
        <v>102.42831146953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$</t>
        </is>
      </c>
      <c r="O242" s="5" t="inlineStr">
        <is>
          <t>$</t>
        </is>
      </c>
      <c r="P242" s="16" t="n">
        <v>0</v>
      </c>
      <c r="Q242" s="16" t="n">
        <v>0</v>
      </c>
      <c r="R242" s="5" t="inlineStr">
        <is>
          <t>121-2023-06-30</t>
        </is>
      </c>
    </row>
    <row r="243">
      <c r="A243" s="26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44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124" t="n">
        <v>103.81483574784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$</t>
        </is>
      </c>
      <c r="O243" s="5" t="inlineStr">
        <is>
          <t>$</t>
        </is>
      </c>
      <c r="P243" s="16" t="n">
        <v>0</v>
      </c>
      <c r="Q243" s="16" t="n">
        <v>0</v>
      </c>
      <c r="R243" s="5" t="inlineStr">
        <is>
          <t>121-2023-07-31</t>
        </is>
      </c>
    </row>
    <row r="244">
      <c r="A244" s="26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44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124" t="n">
        <v>105.15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6" t="n">
        <v>0</v>
      </c>
      <c r="Q244" s="16" t="n">
        <v>0</v>
      </c>
      <c r="R244" s="5" t="inlineStr">
        <is>
          <t>121-2023-08-31</t>
        </is>
      </c>
    </row>
    <row r="245">
      <c r="A245" s="26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44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24" t="n">
        <v>104.64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16" t="n">
        <v>0</v>
      </c>
      <c r="Q245" s="16" t="n">
        <v>0</v>
      </c>
      <c r="R245" s="5" t="inlineStr">
        <is>
          <t>121-2023-09-30</t>
        </is>
      </c>
    </row>
    <row r="246">
      <c r="A246" s="26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44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10" t="n">
        <v>106.58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16" t="n">
        <v>0</v>
      </c>
      <c r="Q246" s="16" t="n">
        <v>0</v>
      </c>
      <c r="R246" s="5" t="inlineStr">
        <is>
          <t>121-2023-10-31</t>
        </is>
      </c>
    </row>
    <row r="247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44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124" t="n">
        <v>110.65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6" t="n">
        <v>0</v>
      </c>
      <c r="Q247" s="16" t="n">
        <v>0</v>
      </c>
      <c r="R247" s="5" t="inlineStr">
        <is>
          <t>121-2023-11-30</t>
        </is>
      </c>
    </row>
    <row r="248">
      <c r="A248" s="26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44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124" t="n">
        <v>111.3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16" t="n">
        <v>0</v>
      </c>
      <c r="Q248" s="16" t="n">
        <v>0</v>
      </c>
      <c r="R248" s="5" t="inlineStr">
        <is>
          <t>121-2023-12-31</t>
        </is>
      </c>
    </row>
    <row r="249">
      <c r="A249" s="26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44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124" t="n">
        <v>98.3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$</t>
        </is>
      </c>
      <c r="O249" s="11" t="inlineStr">
        <is>
          <t>$</t>
        </is>
      </c>
      <c r="P249" s="16" t="n">
        <v>0</v>
      </c>
      <c r="Q249" s="16" t="n">
        <v>0</v>
      </c>
      <c r="R249" s="5" t="inlineStr">
        <is>
          <t>121-2024-01-31</t>
        </is>
      </c>
    </row>
    <row r="250">
      <c r="A250" s="26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44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124" t="n">
        <v>100.37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$</t>
        </is>
      </c>
      <c r="O250" s="11" t="inlineStr">
        <is>
          <t>$</t>
        </is>
      </c>
      <c r="P250" s="16" t="n">
        <v>0</v>
      </c>
      <c r="Q250" s="16" t="n">
        <v>0</v>
      </c>
      <c r="R250" s="5" t="inlineStr">
        <is>
          <t>121-2024-02-29</t>
        </is>
      </c>
    </row>
    <row r="25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44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124" t="n">
        <v>101.02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16" t="n">
        <v>0</v>
      </c>
      <c r="Q251" s="16" t="n">
        <v>0</v>
      </c>
      <c r="R251" s="5" t="inlineStr">
        <is>
          <t>121-2024-03-31</t>
        </is>
      </c>
    </row>
    <row r="252">
      <c r="A252" s="26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44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124" t="n">
        <v>102.83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16" t="n">
        <v>0</v>
      </c>
      <c r="Q252" s="16" t="n">
        <v>0</v>
      </c>
      <c r="R252" s="5" t="inlineStr">
        <is>
          <t>121-2024-04-30</t>
        </is>
      </c>
    </row>
    <row r="253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44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124" t="n">
        <v>102.04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$</t>
        </is>
      </c>
      <c r="O253" s="11" t="inlineStr">
        <is>
          <t>$</t>
        </is>
      </c>
      <c r="P253" s="16" t="n">
        <v>0</v>
      </c>
      <c r="Q253" s="16" t="n">
        <v>0</v>
      </c>
      <c r="R253" s="5" t="inlineStr">
        <is>
          <t>121-2024-05-31</t>
        </is>
      </c>
    </row>
    <row r="254">
      <c r="A254" s="39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44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123" t="n">
        <v>101.89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16" t="n">
        <v>0</v>
      </c>
      <c r="Q254" s="16" t="n">
        <v>0</v>
      </c>
      <c r="R254" s="5" t="inlineStr">
        <is>
          <t>121-2024-06-30</t>
        </is>
      </c>
    </row>
    <row r="255">
      <c r="A255" s="26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44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123" t="n">
        <v>101.25</v>
      </c>
      <c r="L255" s="28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6" t="n">
        <v>0</v>
      </c>
      <c r="Q255" s="16" t="n">
        <v>0</v>
      </c>
      <c r="R255" s="5" t="inlineStr">
        <is>
          <t>121-2024-07-31</t>
        </is>
      </c>
    </row>
    <row r="256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44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124" t="n">
        <v>99.83</v>
      </c>
      <c r="L256" s="28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6" t="n">
        <v>0</v>
      </c>
      <c r="Q256" s="16" t="n">
        <v>0</v>
      </c>
      <c r="R256" s="5" t="inlineStr">
        <is>
          <t>121-2024-08-31</t>
        </is>
      </c>
    </row>
    <row r="257">
      <c r="A257" s="39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44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124" t="n">
        <v>101.89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6" t="n">
        <v>0</v>
      </c>
      <c r="Q257" s="16" t="n">
        <v>0</v>
      </c>
      <c r="R257" s="5" t="inlineStr">
        <is>
          <t>121-2024-09-30</t>
        </is>
      </c>
    </row>
    <row r="258">
      <c r="A258" s="39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44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24" t="n">
        <v>100.89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6" t="n">
        <v>0</v>
      </c>
      <c r="Q258" s="16" t="n">
        <v>0</v>
      </c>
      <c r="R258" s="5" t="inlineStr">
        <is>
          <t>121-2024-10-31</t>
        </is>
      </c>
    </row>
    <row r="259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44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10" t="n">
        <v>100.55</v>
      </c>
      <c r="L259" s="28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6" t="n">
        <v>0</v>
      </c>
      <c r="Q259" s="16" t="n">
        <v>0</v>
      </c>
      <c r="R259" s="5" t="inlineStr">
        <is>
          <t>121-2024-11-30</t>
        </is>
      </c>
    </row>
    <row r="260">
      <c r="A260" s="39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44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123" t="n">
        <v>100.17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6" t="n">
        <v>0</v>
      </c>
      <c r="Q260" s="16" t="n">
        <v>0</v>
      </c>
      <c r="R260" s="5" t="inlineStr">
        <is>
          <t>121-2024-12-31</t>
        </is>
      </c>
    </row>
    <row r="261">
      <c r="A261" s="39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44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23" t="n">
        <v>99.18000000000001</v>
      </c>
      <c r="L261" s="28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6" t="n">
        <v>0</v>
      </c>
      <c r="Q261" s="16" t="n">
        <v>0</v>
      </c>
      <c r="R261" s="5" t="inlineStr">
        <is>
          <t>121-2025-01-31</t>
        </is>
      </c>
    </row>
    <row r="262">
      <c r="A262" s="26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44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10" t="n">
        <v>107.66</v>
      </c>
      <c r="L262" s="28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6" t="n">
        <v>0</v>
      </c>
      <c r="Q262" s="16" t="n">
        <v>0</v>
      </c>
      <c r="R262" s="5" t="inlineStr">
        <is>
          <t>121-2025-02-28</t>
        </is>
      </c>
    </row>
    <row r="263">
      <c r="A263" s="26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44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124" t="n">
        <v>106.77</v>
      </c>
      <c r="L263" s="28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6" t="n">
        <v>0</v>
      </c>
      <c r="Q263" s="16" t="n">
        <v>0</v>
      </c>
      <c r="R263" s="5" t="inlineStr">
        <is>
          <t>121-2025-03-31</t>
        </is>
      </c>
    </row>
    <row r="264">
      <c r="A264" s="26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43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124" t="n">
        <v>106</v>
      </c>
      <c r="L264" s="28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6" t="n">
        <v>0</v>
      </c>
      <c r="Q264" s="16" t="n">
        <v>0</v>
      </c>
      <c r="R264" s="5" t="inlineStr">
        <is>
          <t>121-2025-04-30</t>
        </is>
      </c>
    </row>
    <row r="265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44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124" t="n">
        <v>114.9</v>
      </c>
      <c r="L265" s="28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6" t="n">
        <v>0</v>
      </c>
      <c r="Q265" s="16" t="n">
        <v>0</v>
      </c>
      <c r="R265" s="5" t="inlineStr">
        <is>
          <t>121-2025-05-31</t>
        </is>
      </c>
    </row>
    <row r="266">
      <c r="A266" s="26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44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124" t="n">
        <v>110.06</v>
      </c>
      <c r="L266" s="28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6" t="n">
        <v>0</v>
      </c>
      <c r="Q266" s="16" t="n">
        <v>0</v>
      </c>
      <c r="R266" s="5" t="inlineStr">
        <is>
          <t>121-2025-06-30</t>
        </is>
      </c>
    </row>
    <row r="267">
      <c r="A267" s="26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44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124" t="n">
        <v>112.24</v>
      </c>
      <c r="L267" s="28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6" t="n">
        <v>0</v>
      </c>
      <c r="Q267" s="16" t="n">
        <v>0</v>
      </c>
      <c r="R267" s="5" t="inlineStr">
        <is>
          <t>121-2025-07-31</t>
        </is>
      </c>
    </row>
    <row r="268">
      <c r="A268" s="26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44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124" t="n">
        <v>100.68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6" t="n">
        <v>0</v>
      </c>
      <c r="Q268" s="16" t="n">
        <v>0</v>
      </c>
      <c r="R268" s="5" t="inlineStr">
        <is>
          <t>121-2025-08-31</t>
        </is>
      </c>
    </row>
    <row r="269">
      <c r="A269" s="26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44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124" t="n">
        <v>99.29000000000001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6" t="n">
        <v>0</v>
      </c>
      <c r="Q269" s="16" t="n">
        <v>0</v>
      </c>
      <c r="R269" s="5" t="inlineStr">
        <is>
          <t>121-2025-09-30</t>
        </is>
      </c>
    </row>
    <row r="270">
      <c r="A270" s="26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44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124" t="n">
        <v>107.27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6" t="n">
        <v>0</v>
      </c>
      <c r="Q270" s="16" t="n">
        <v>0</v>
      </c>
      <c r="R270" s="5" t="inlineStr">
        <is>
          <t>121-2025-10-31</t>
        </is>
      </c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44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124" t="n">
        <v>106.53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6" t="n">
        <v>0</v>
      </c>
      <c r="Q271" s="16" t="n">
        <v>0</v>
      </c>
      <c r="R271" s="5" t="inlineStr">
        <is>
          <t>121-2025-11-30</t>
        </is>
      </c>
    </row>
    <row r="272">
      <c r="A272" s="39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44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124" t="n">
        <v>104.92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16" t="n">
        <v>0</v>
      </c>
      <c r="Q272" s="16" t="n">
        <v>0</v>
      </c>
      <c r="R272" s="5" t="inlineStr">
        <is>
          <t>121-2025-12-31</t>
        </is>
      </c>
    </row>
    <row r="273">
      <c r="A273" s="26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144" t="n">
        <v>44620</v>
      </c>
      <c r="G273" s="5" t="n">
        <v>2022</v>
      </c>
      <c r="H273" s="5" t="inlineStr">
        <is>
          <t>Febrero</t>
        </is>
      </c>
      <c r="I273" s="6" t="inlineStr">
        <is>
          <t>2022-1</t>
        </is>
      </c>
      <c r="J273" s="5" t="n">
        <v>80</v>
      </c>
      <c r="K273" s="124" t="n">
        <v>80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16" t="n">
        <v>0</v>
      </c>
      <c r="Q273" s="16" t="n">
        <v>0</v>
      </c>
      <c r="R273" s="5" t="inlineStr">
        <is>
          <t>122-2022-02-28</t>
        </is>
      </c>
    </row>
    <row r="274">
      <c r="A274" s="26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43" t="n">
        <v>44681</v>
      </c>
      <c r="G274" s="5" t="n">
        <v>2022</v>
      </c>
      <c r="H274" s="5" t="inlineStr">
        <is>
          <t>Abril</t>
        </is>
      </c>
      <c r="I274" s="6" t="inlineStr">
        <is>
          <t>2022-1</t>
        </is>
      </c>
      <c r="J274" s="5" t="n">
        <v>80</v>
      </c>
      <c r="K274" s="124" t="n">
        <v>100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16" t="n">
        <v>0</v>
      </c>
      <c r="Q274" s="16" t="n">
        <v>0</v>
      </c>
      <c r="R274" s="5" t="inlineStr">
        <is>
          <t>122-2022-04-30</t>
        </is>
      </c>
    </row>
    <row r="275">
      <c r="A275" s="26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4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80</v>
      </c>
      <c r="K275" s="124" t="n">
        <v>47.619047619048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 t="inlineStr">
        <is>
          <t>122-2022-06-30</t>
        </is>
      </c>
    </row>
    <row r="276">
      <c r="A276" s="26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4" t="n">
        <v>44773</v>
      </c>
      <c r="G276" s="5" t="n">
        <v>2022</v>
      </c>
      <c r="H276" s="5" t="inlineStr">
        <is>
          <t>Julio</t>
        </is>
      </c>
      <c r="I276" s="6" t="inlineStr">
        <is>
          <t>2022-2</t>
        </is>
      </c>
      <c r="J276" s="5" t="n">
        <v>80</v>
      </c>
      <c r="K276" s="124" t="n"/>
      <c r="L276" s="8" t="n"/>
      <c r="M276" s="8" t="n"/>
      <c r="N276" s="5" t="inlineStr">
        <is>
          <t>%</t>
        </is>
      </c>
      <c r="O276" s="5" t="inlineStr">
        <is>
          <t>No Aplica</t>
        </is>
      </c>
      <c r="P276" s="16" t="n">
        <v>0</v>
      </c>
      <c r="Q276" s="16" t="n">
        <v>0</v>
      </c>
      <c r="R276" s="5" t="inlineStr">
        <is>
          <t>122-2022-07-31</t>
        </is>
      </c>
      <c r="S276" t="inlineStr">
        <is>
          <t>No Aplica</t>
        </is>
      </c>
    </row>
    <row r="277">
      <c r="A277" s="26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4" t="n">
        <v>44804</v>
      </c>
      <c r="G277" s="5" t="n">
        <v>2022</v>
      </c>
      <c r="H277" s="5" t="inlineStr">
        <is>
          <t>Agosto</t>
        </is>
      </c>
      <c r="I277" s="6" t="inlineStr">
        <is>
          <t>2022-2</t>
        </is>
      </c>
      <c r="J277" s="5" t="n">
        <v>80</v>
      </c>
      <c r="K277" s="124" t="n">
        <v>98.717948717949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 t="inlineStr">
        <is>
          <t>122-2022-08-31</t>
        </is>
      </c>
    </row>
    <row r="278">
      <c r="A278" s="26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4" t="n">
        <v>44834</v>
      </c>
      <c r="G278" s="5" t="n">
        <v>2022</v>
      </c>
      <c r="H278" s="5" t="inlineStr">
        <is>
          <t>Septiembre</t>
        </is>
      </c>
      <c r="I278" s="6" t="inlineStr">
        <is>
          <t>2022-2</t>
        </is>
      </c>
      <c r="J278" s="5" t="n">
        <v>80</v>
      </c>
      <c r="K278" s="124" t="n"/>
      <c r="L278" s="8" t="n"/>
      <c r="M278" s="8" t="n"/>
      <c r="N278" s="5" t="inlineStr">
        <is>
          <t>%</t>
        </is>
      </c>
      <c r="O278" s="5" t="inlineStr">
        <is>
          <t>No Aplica</t>
        </is>
      </c>
      <c r="P278" s="16" t="n">
        <v>0</v>
      </c>
      <c r="Q278" s="16" t="n">
        <v>0</v>
      </c>
      <c r="R278" s="5" t="inlineStr">
        <is>
          <t>122-2022-09-30</t>
        </is>
      </c>
      <c r="S278" t="inlineStr">
        <is>
          <t>No Aplica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4" t="n">
        <v>44865</v>
      </c>
      <c r="G279" s="5" t="n">
        <v>2022</v>
      </c>
      <c r="H279" s="5" t="inlineStr">
        <is>
          <t>Octubre</t>
        </is>
      </c>
      <c r="I279" s="6" t="inlineStr">
        <is>
          <t>2022-2</t>
        </is>
      </c>
      <c r="J279" s="5" t="n">
        <v>80</v>
      </c>
      <c r="K279" s="124" t="n">
        <v>100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 t="inlineStr">
        <is>
          <t>122-2022-10-31</t>
        </is>
      </c>
    </row>
    <row r="280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4" t="n">
        <v>44895</v>
      </c>
      <c r="G280" s="5" t="n">
        <v>2022</v>
      </c>
      <c r="H280" s="5" t="inlineStr">
        <is>
          <t>Noviembre</t>
        </is>
      </c>
      <c r="I280" s="6" t="inlineStr">
        <is>
          <t>2022-2</t>
        </is>
      </c>
      <c r="J280" s="5" t="n">
        <v>80</v>
      </c>
      <c r="K280" s="124" t="n"/>
      <c r="L280" s="8" t="n"/>
      <c r="M280" s="8" t="n"/>
      <c r="N280" s="5" t="inlineStr">
        <is>
          <t>%</t>
        </is>
      </c>
      <c r="O280" s="5" t="inlineStr">
        <is>
          <t>No Aplica</t>
        </is>
      </c>
      <c r="P280" s="16" t="n">
        <v>0</v>
      </c>
      <c r="Q280" s="16" t="n">
        <v>0</v>
      </c>
      <c r="R280" s="5" t="inlineStr">
        <is>
          <t>122-2022-11-30</t>
        </is>
      </c>
      <c r="S280" t="inlineStr">
        <is>
          <t>No Aplica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4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80</v>
      </c>
      <c r="K281" s="124" t="n">
        <v>100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 t="inlineStr">
        <is>
          <t>122-2022-12-31</t>
        </is>
      </c>
    </row>
    <row r="282">
      <c r="A282" s="39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4" t="n">
        <v>44957</v>
      </c>
      <c r="G282" s="5" t="n">
        <v>2023</v>
      </c>
      <c r="H282" s="5" t="inlineStr">
        <is>
          <t>Enero</t>
        </is>
      </c>
      <c r="I282" s="6" t="inlineStr">
        <is>
          <t>2023-1</t>
        </is>
      </c>
      <c r="J282" s="5" t="n">
        <v>80</v>
      </c>
      <c r="K282" s="124" t="n"/>
      <c r="L282" s="8" t="n"/>
      <c r="M282" s="8" t="n"/>
      <c r="N282" s="5" t="inlineStr">
        <is>
          <t>%</t>
        </is>
      </c>
      <c r="O282" s="5" t="inlineStr">
        <is>
          <t>No Aplica</t>
        </is>
      </c>
      <c r="P282" s="16" t="n">
        <v>0</v>
      </c>
      <c r="Q282" s="16" t="n">
        <v>0</v>
      </c>
      <c r="R282" s="5" t="inlineStr">
        <is>
          <t>122-2023-01-31</t>
        </is>
      </c>
      <c r="S282" t="inlineStr">
        <is>
          <t>No Aplica</t>
        </is>
      </c>
    </row>
    <row r="283">
      <c r="A283" s="39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Bimestral</t>
        </is>
      </c>
      <c r="E283" s="5" t="inlineStr">
        <is>
          <t>Positivo</t>
        </is>
      </c>
      <c r="F283" s="144" t="n">
        <v>44985</v>
      </c>
      <c r="G283" s="5" t="n">
        <v>2023</v>
      </c>
      <c r="H283" s="5" t="inlineStr">
        <is>
          <t>Febrero</t>
        </is>
      </c>
      <c r="I283" s="6" t="inlineStr">
        <is>
          <t>2023-1</t>
        </is>
      </c>
      <c r="J283" s="5" t="n">
        <v>80</v>
      </c>
      <c r="K283" s="124" t="n">
        <v>100</v>
      </c>
      <c r="L283" s="28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 t="inlineStr">
        <is>
          <t>122-2023-02-28</t>
        </is>
      </c>
    </row>
    <row r="284">
      <c r="A284" s="39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44" t="n">
        <v>45016</v>
      </c>
      <c r="G284" s="5" t="n">
        <v>2023</v>
      </c>
      <c r="H284" s="5" t="inlineStr">
        <is>
          <t>Marzo</t>
        </is>
      </c>
      <c r="I284" s="6" t="inlineStr">
        <is>
          <t>2023-1</t>
        </is>
      </c>
      <c r="J284" s="5" t="n">
        <v>80</v>
      </c>
      <c r="K284" s="124" t="n"/>
      <c r="L284" s="8" t="n"/>
      <c r="M284" s="8" t="n"/>
      <c r="N284" s="5" t="inlineStr">
        <is>
          <t>%</t>
        </is>
      </c>
      <c r="O284" s="5" t="inlineStr">
        <is>
          <t>No Aplica</t>
        </is>
      </c>
      <c r="P284" s="16" t="n">
        <v>0</v>
      </c>
      <c r="Q284" s="16" t="n">
        <v>0</v>
      </c>
      <c r="R284" s="5" t="inlineStr">
        <is>
          <t>122-2023-03-31</t>
        </is>
      </c>
      <c r="S284" t="inlineStr">
        <is>
          <t>No Aplica</t>
        </is>
      </c>
    </row>
    <row r="285">
      <c r="A285" s="26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44" t="n">
        <v>45046</v>
      </c>
      <c r="G285" s="5" t="n">
        <v>2023</v>
      </c>
      <c r="H285" s="5" t="inlineStr">
        <is>
          <t>Abril</t>
        </is>
      </c>
      <c r="I285" s="6" t="inlineStr">
        <is>
          <t>2023-1</t>
        </is>
      </c>
      <c r="J285" s="5" t="n">
        <v>80</v>
      </c>
      <c r="K285" s="124" t="n">
        <v>100</v>
      </c>
      <c r="L285" s="28">
        <f>IFERROR(IF(OR(J285=0,K285=""),"",IF(E285="Positivo",MIN(MAX(K285/J285,0),1.3),MIN(MAX(J285/K285,0),1.3))),"") </f>
        <v/>
      </c>
      <c r="M285" s="28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 t="inlineStr">
        <is>
          <t>122-2023-04-30</t>
        </is>
      </c>
    </row>
    <row r="286">
      <c r="A286" s="26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4" t="n">
        <v>45077</v>
      </c>
      <c r="G286" s="5" t="n">
        <v>2023</v>
      </c>
      <c r="H286" s="5" t="inlineStr">
        <is>
          <t>Mayo</t>
        </is>
      </c>
      <c r="I286" s="6" t="inlineStr">
        <is>
          <t>2023-1</t>
        </is>
      </c>
      <c r="J286" s="5" t="n">
        <v>80</v>
      </c>
      <c r="K286" s="10" t="n"/>
      <c r="L286" s="8" t="n"/>
      <c r="M286" s="8" t="n"/>
      <c r="N286" s="5" t="inlineStr">
        <is>
          <t>%</t>
        </is>
      </c>
      <c r="O286" s="5" t="inlineStr">
        <is>
          <t>No Aplica</t>
        </is>
      </c>
      <c r="P286" s="16" t="n">
        <v>0</v>
      </c>
      <c r="Q286" s="16" t="n">
        <v>0</v>
      </c>
      <c r="R286" s="5" t="inlineStr">
        <is>
          <t>122-2023-05-31</t>
        </is>
      </c>
      <c r="S286" t="inlineStr">
        <is>
          <t>No Aplica</t>
        </is>
      </c>
    </row>
    <row r="287">
      <c r="A287" s="26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44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124" t="n">
        <v>75</v>
      </c>
      <c r="L287" s="28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16" t="n">
        <v>0</v>
      </c>
      <c r="Q287" s="16" t="n">
        <v>0</v>
      </c>
      <c r="R287" s="5" t="inlineStr">
        <is>
          <t>122-2023-06-30</t>
        </is>
      </c>
    </row>
    <row r="288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4" t="n">
        <v>45138</v>
      </c>
      <c r="G288" s="5" t="n">
        <v>2023</v>
      </c>
      <c r="H288" s="5" t="inlineStr">
        <is>
          <t>Julio</t>
        </is>
      </c>
      <c r="I288" s="6" t="inlineStr">
        <is>
          <t>2023-2</t>
        </is>
      </c>
      <c r="J288" s="5" t="n">
        <v>80</v>
      </c>
      <c r="K288" s="124" t="n"/>
      <c r="L288" s="8" t="n"/>
      <c r="M288" s="8" t="n"/>
      <c r="N288" s="5" t="inlineStr">
        <is>
          <t>%</t>
        </is>
      </c>
      <c r="O288" s="5" t="inlineStr">
        <is>
          <t>No Aplica</t>
        </is>
      </c>
      <c r="P288" s="16" t="n">
        <v>0</v>
      </c>
      <c r="Q288" s="16" t="n">
        <v>0</v>
      </c>
      <c r="R288" s="5" t="inlineStr">
        <is>
          <t>122-2023-07-31</t>
        </is>
      </c>
      <c r="S288" t="inlineStr">
        <is>
          <t>No Aplica</t>
        </is>
      </c>
    </row>
    <row r="289">
      <c r="A289" s="26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44" t="n">
        <v>45169</v>
      </c>
      <c r="G289" s="5" t="n">
        <v>2023</v>
      </c>
      <c r="H289" s="5" t="inlineStr">
        <is>
          <t>Agosto</t>
        </is>
      </c>
      <c r="I289" s="6" t="inlineStr">
        <is>
          <t>2023-2</t>
        </is>
      </c>
      <c r="J289" s="5" t="n">
        <v>80</v>
      </c>
      <c r="K289" s="124" t="n">
        <v>80</v>
      </c>
      <c r="L289" s="28">
        <f>IFERROR(IF(OR(J289=0,K289=""),"",IF(E289="Positivo",MIN(MAX(K289/J289,0),1.3),MIN(MAX(J289/K289,0),1.3))),"") </f>
        <v/>
      </c>
      <c r="M289" s="28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 t="inlineStr">
        <is>
          <t>122-2023-08-31</t>
        </is>
      </c>
    </row>
    <row r="290">
      <c r="A290" s="26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44" t="n">
        <v>45199</v>
      </c>
      <c r="G290" s="5" t="n">
        <v>2023</v>
      </c>
      <c r="H290" s="5" t="inlineStr">
        <is>
          <t>Septiembre</t>
        </is>
      </c>
      <c r="I290" s="6" t="inlineStr">
        <is>
          <t>2023-2</t>
        </is>
      </c>
      <c r="J290" s="5" t="n">
        <v>80</v>
      </c>
      <c r="K290" s="124" t="n"/>
      <c r="L290" s="8" t="n"/>
      <c r="M290" s="8" t="n"/>
      <c r="N290" s="5" t="inlineStr">
        <is>
          <t>%</t>
        </is>
      </c>
      <c r="O290" s="5" t="inlineStr">
        <is>
          <t>No Aplica</t>
        </is>
      </c>
      <c r="P290" s="16" t="n">
        <v>0</v>
      </c>
      <c r="Q290" s="16" t="n">
        <v>0</v>
      </c>
      <c r="R290" s="5" t="inlineStr">
        <is>
          <t>122-2023-09-30</t>
        </is>
      </c>
      <c r="S290" t="inlineStr">
        <is>
          <t>No Aplica</t>
        </is>
      </c>
    </row>
    <row r="29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44" t="n">
        <v>45230</v>
      </c>
      <c r="G291" s="5" t="n">
        <v>2023</v>
      </c>
      <c r="H291" s="5" t="inlineStr">
        <is>
          <t>Octubre</t>
        </is>
      </c>
      <c r="I291" s="6" t="inlineStr">
        <is>
          <t>2023-2</t>
        </is>
      </c>
      <c r="J291" s="5" t="n">
        <v>80</v>
      </c>
      <c r="K291" s="124" t="n">
        <v>100</v>
      </c>
      <c r="L291" s="28">
        <f>IFERROR(IF(OR(J291=0,K291=""),"",IF(E291="Positivo",MIN(MAX(K291/J291,0),1.3),MIN(MAX(J291/K291,0),1.3))),"") </f>
        <v/>
      </c>
      <c r="M291" s="28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 t="inlineStr">
        <is>
          <t>122-2023-10-31</t>
        </is>
      </c>
    </row>
    <row r="292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44" t="n">
        <v>45260</v>
      </c>
      <c r="G292" s="5" t="n">
        <v>2023</v>
      </c>
      <c r="H292" s="5" t="inlineStr">
        <is>
          <t>Noviembre</t>
        </is>
      </c>
      <c r="I292" s="6" t="inlineStr">
        <is>
          <t>2023-2</t>
        </is>
      </c>
      <c r="J292" s="5" t="n">
        <v>80</v>
      </c>
      <c r="K292" s="124" t="n"/>
      <c r="L292" s="8" t="n"/>
      <c r="M292" s="8" t="n"/>
      <c r="N292" s="5" t="inlineStr">
        <is>
          <t>%</t>
        </is>
      </c>
      <c r="O292" s="5" t="inlineStr">
        <is>
          <t>No Aplica</t>
        </is>
      </c>
      <c r="P292" s="16" t="n">
        <v>0</v>
      </c>
      <c r="Q292" s="16" t="n">
        <v>0</v>
      </c>
      <c r="R292" s="5" t="inlineStr">
        <is>
          <t>122-2023-11-30</t>
        </is>
      </c>
      <c r="S292" t="inlineStr">
        <is>
          <t>No Aplica</t>
        </is>
      </c>
    </row>
    <row r="293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44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124" t="n">
        <v>90.91</v>
      </c>
      <c r="L293" s="28">
        <f>IFERROR(IF(OR(J293=0,K293=""),"",IF(E293="Positivo",MIN(MAX(K293/J293,0),1.3),MIN(MAX(J293/K293,0),1.3))),"") </f>
        <v/>
      </c>
      <c r="M293" s="28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16" t="n">
        <v>0</v>
      </c>
      <c r="Q293" s="16" t="n">
        <v>0</v>
      </c>
      <c r="R293" s="5" t="inlineStr">
        <is>
          <t>122-2023-12-31</t>
        </is>
      </c>
    </row>
    <row r="294">
      <c r="A294" s="39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44" t="n">
        <v>45322</v>
      </c>
      <c r="G294" s="5" t="n">
        <v>2024</v>
      </c>
      <c r="H294" s="5" t="inlineStr">
        <is>
          <t>Enero</t>
        </is>
      </c>
      <c r="I294" s="6" t="inlineStr">
        <is>
          <t>2024-1</t>
        </is>
      </c>
      <c r="J294" s="5" t="n">
        <v>80</v>
      </c>
      <c r="K294" s="124" t="n"/>
      <c r="L294" s="8" t="n"/>
      <c r="M294" s="8" t="n"/>
      <c r="N294" s="5" t="inlineStr">
        <is>
          <t>%</t>
        </is>
      </c>
      <c r="O294" s="5" t="inlineStr">
        <is>
          <t>No Aplica</t>
        </is>
      </c>
      <c r="P294" s="16" t="n">
        <v>0</v>
      </c>
      <c r="Q294" s="16" t="n">
        <v>0</v>
      </c>
      <c r="R294" s="5" t="inlineStr">
        <is>
          <t>122-2024-01-31</t>
        </is>
      </c>
      <c r="S294" t="inlineStr">
        <is>
          <t>No Aplica</t>
        </is>
      </c>
    </row>
    <row r="295">
      <c r="A295" s="39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44" t="n">
        <v>45351</v>
      </c>
      <c r="G295" s="5" t="n">
        <v>2024</v>
      </c>
      <c r="H295" s="5" t="inlineStr">
        <is>
          <t>Febrero</t>
        </is>
      </c>
      <c r="I295" s="6" t="inlineStr">
        <is>
          <t>2024-1</t>
        </is>
      </c>
      <c r="J295" s="5" t="n">
        <v>80</v>
      </c>
      <c r="K295" s="124" t="n">
        <v>96.67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 t="inlineStr">
        <is>
          <t>122-2024-02-29</t>
        </is>
      </c>
    </row>
    <row r="296">
      <c r="A296" s="39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44" t="n">
        <v>45382</v>
      </c>
      <c r="G296" s="5" t="n">
        <v>2024</v>
      </c>
      <c r="H296" s="5" t="inlineStr">
        <is>
          <t>Marzo</t>
        </is>
      </c>
      <c r="I296" s="6" t="inlineStr">
        <is>
          <t>2024-1</t>
        </is>
      </c>
      <c r="J296" s="5" t="n">
        <v>80</v>
      </c>
      <c r="K296" s="124" t="n"/>
      <c r="L296" s="8" t="n"/>
      <c r="M296" s="8" t="n"/>
      <c r="N296" s="5" t="inlineStr">
        <is>
          <t>%</t>
        </is>
      </c>
      <c r="O296" s="5" t="inlineStr">
        <is>
          <t>No Aplica</t>
        </is>
      </c>
      <c r="P296" s="16" t="n">
        <v>0</v>
      </c>
      <c r="Q296" s="16" t="n">
        <v>0</v>
      </c>
      <c r="R296" s="5" t="inlineStr">
        <is>
          <t>122-2024-03-31</t>
        </is>
      </c>
      <c r="S296" t="inlineStr">
        <is>
          <t>No Aplica</t>
        </is>
      </c>
    </row>
    <row r="297">
      <c r="A297" s="5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44" t="n">
        <v>45412</v>
      </c>
      <c r="G297" s="5" t="n">
        <v>2024</v>
      </c>
      <c r="H297" s="5" t="inlineStr">
        <is>
          <t>Abril</t>
        </is>
      </c>
      <c r="I297" s="6" t="inlineStr">
        <is>
          <t>2024-1</t>
        </is>
      </c>
      <c r="J297" s="5" t="n">
        <v>80</v>
      </c>
      <c r="K297" s="123" t="n">
        <v>97.67</v>
      </c>
      <c r="L297" s="120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122-2024-04-30</t>
        </is>
      </c>
    </row>
    <row r="298">
      <c r="A298" s="5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44" t="n">
        <v>45443</v>
      </c>
      <c r="G298" s="5" t="n">
        <v>2024</v>
      </c>
      <c r="H298" s="5" t="inlineStr">
        <is>
          <t>Mayo</t>
        </is>
      </c>
      <c r="I298" s="6" t="inlineStr">
        <is>
          <t>2024-1</t>
        </is>
      </c>
      <c r="J298" s="5" t="n">
        <v>80</v>
      </c>
      <c r="K298" s="5" t="n"/>
      <c r="L298" s="28" t="n"/>
      <c r="M298" s="28" t="n"/>
      <c r="N298" s="5" t="inlineStr">
        <is>
          <t>%</t>
        </is>
      </c>
      <c r="O298" s="5" t="inlineStr">
        <is>
          <t>No Aplica</t>
        </is>
      </c>
      <c r="P298" s="5" t="n">
        <v>0</v>
      </c>
      <c r="Q298" s="5" t="n">
        <v>0</v>
      </c>
      <c r="R298" s="5" t="inlineStr">
        <is>
          <t>122-2024-05-31</t>
        </is>
      </c>
      <c r="S298" t="inlineStr">
        <is>
          <t>No Aplica</t>
        </is>
      </c>
    </row>
    <row r="299">
      <c r="A299" s="26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44" t="n">
        <v>45473</v>
      </c>
      <c r="G299" s="5" t="n">
        <v>2024</v>
      </c>
      <c r="H299" s="5" t="inlineStr">
        <is>
          <t>Junio</t>
        </is>
      </c>
      <c r="I299" s="6" t="inlineStr">
        <is>
          <t>2024-1</t>
        </is>
      </c>
      <c r="J299" s="5" t="n">
        <v>80</v>
      </c>
      <c r="K299" t="n">
        <v>95</v>
      </c>
      <c r="L299" s="28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 t="inlineStr">
        <is>
          <t>122-2024-06-30</t>
        </is>
      </c>
    </row>
    <row r="300">
      <c r="A300" s="26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43" t="n">
        <v>45504</v>
      </c>
      <c r="G300" s="5" t="n">
        <v>2024</v>
      </c>
      <c r="H300" s="5" t="inlineStr">
        <is>
          <t>Julio</t>
        </is>
      </c>
      <c r="I300" s="6" t="inlineStr">
        <is>
          <t>2024-2</t>
        </is>
      </c>
      <c r="J300" s="5" t="n">
        <v>80</v>
      </c>
      <c r="K300" s="123" t="n"/>
      <c r="L300" s="8" t="n"/>
      <c r="M300" s="28" t="n"/>
      <c r="N300" s="5" t="inlineStr">
        <is>
          <t>%</t>
        </is>
      </c>
      <c r="O300" s="5" t="inlineStr">
        <is>
          <t>No Aplica</t>
        </is>
      </c>
      <c r="P300" s="16" t="n">
        <v>0</v>
      </c>
      <c r="Q300" s="16" t="n">
        <v>0</v>
      </c>
      <c r="R300" s="5" t="inlineStr">
        <is>
          <t>122-2024-07-31</t>
        </is>
      </c>
      <c r="S300" t="inlineStr">
        <is>
          <t>No Aplica</t>
        </is>
      </c>
    </row>
    <row r="301">
      <c r="A301" s="39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44" t="n">
        <v>45535</v>
      </c>
      <c r="G301" s="5" t="n">
        <v>2024</v>
      </c>
      <c r="H301" s="5" t="inlineStr">
        <is>
          <t>Agosto</t>
        </is>
      </c>
      <c r="I301" s="6" t="inlineStr">
        <is>
          <t>2024-2</t>
        </is>
      </c>
      <c r="J301" s="5" t="n">
        <v>80</v>
      </c>
      <c r="K301" s="123" t="n">
        <v>79.06999999999999</v>
      </c>
      <c r="L301" s="28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16" t="n">
        <v>0</v>
      </c>
      <c r="Q301" s="16" t="n">
        <v>0</v>
      </c>
      <c r="R301" s="5" t="inlineStr">
        <is>
          <t>122-2024-08-31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44" t="n">
        <v>45565</v>
      </c>
      <c r="G302" s="5" t="n">
        <v>2024</v>
      </c>
      <c r="H302" s="5" t="inlineStr">
        <is>
          <t>Septiembre</t>
        </is>
      </c>
      <c r="I302" s="6" t="inlineStr">
        <is>
          <t>2024-2</t>
        </is>
      </c>
      <c r="J302" s="5" t="n">
        <v>80</v>
      </c>
      <c r="K302" s="123" t="n"/>
      <c r="L302" s="8" t="n"/>
      <c r="M302" s="28" t="n"/>
      <c r="N302" s="5" t="inlineStr">
        <is>
          <t>%</t>
        </is>
      </c>
      <c r="O302" s="5" t="inlineStr">
        <is>
          <t>No Aplica</t>
        </is>
      </c>
      <c r="P302" s="16" t="n">
        <v>0</v>
      </c>
      <c r="Q302" s="16" t="n">
        <v>0</v>
      </c>
      <c r="R302" s="5" t="inlineStr">
        <is>
          <t>122-2024-09-30</t>
        </is>
      </c>
      <c r="S302" t="inlineStr">
        <is>
          <t>No Aplica</t>
        </is>
      </c>
    </row>
    <row r="303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44" t="n">
        <v>45596</v>
      </c>
      <c r="G303" s="5" t="n">
        <v>2024</v>
      </c>
      <c r="H303" s="5" t="inlineStr">
        <is>
          <t>Octubre</t>
        </is>
      </c>
      <c r="I303" s="6" t="inlineStr">
        <is>
          <t>2024-2</t>
        </is>
      </c>
      <c r="J303" s="5" t="n">
        <v>80</v>
      </c>
      <c r="K303" s="123" t="n">
        <v>97.5</v>
      </c>
      <c r="L303" s="28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16" t="n">
        <v>0</v>
      </c>
      <c r="Q303" s="16" t="n">
        <v>0</v>
      </c>
      <c r="R303" s="5" t="inlineStr">
        <is>
          <t>122-2024-10-31</t>
        </is>
      </c>
    </row>
    <row r="304">
      <c r="A304" s="43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44" t="n">
        <v>45626</v>
      </c>
      <c r="G304" s="5" t="n">
        <v>2024</v>
      </c>
      <c r="H304" s="5" t="inlineStr">
        <is>
          <t>Noviembre</t>
        </is>
      </c>
      <c r="I304" s="6" t="inlineStr">
        <is>
          <t>2024-2</t>
        </is>
      </c>
      <c r="J304" s="5" t="n">
        <v>80</v>
      </c>
      <c r="K304" s="123" t="n"/>
      <c r="L304" s="8" t="n"/>
      <c r="M304" s="28" t="n"/>
      <c r="N304" s="5" t="inlineStr">
        <is>
          <t>%</t>
        </is>
      </c>
      <c r="O304" s="5" t="inlineStr">
        <is>
          <t>No Aplica</t>
        </is>
      </c>
      <c r="P304" s="16" t="n">
        <v>0</v>
      </c>
      <c r="Q304" s="16" t="n">
        <v>0</v>
      </c>
      <c r="R304" s="5" t="inlineStr">
        <is>
          <t>122-2024-11-30</t>
        </is>
      </c>
      <c r="S304" t="inlineStr">
        <is>
          <t>No Aplica</t>
        </is>
      </c>
    </row>
    <row r="305">
      <c r="A305" s="39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44" t="n">
        <v>45657</v>
      </c>
      <c r="G305" s="5" t="n">
        <v>2024</v>
      </c>
      <c r="H305" s="5" t="inlineStr">
        <is>
          <t>Diciembre</t>
        </is>
      </c>
      <c r="I305" s="6" t="inlineStr">
        <is>
          <t>2024-2</t>
        </is>
      </c>
      <c r="J305" s="5" t="n">
        <v>80</v>
      </c>
      <c r="K305" s="123" t="n">
        <v>100</v>
      </c>
      <c r="L305" s="28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16" t="n">
        <v>0</v>
      </c>
      <c r="Q305" s="16" t="n">
        <v>0</v>
      </c>
      <c r="R305" s="5" t="inlineStr">
        <is>
          <t>122-2024-12-31</t>
        </is>
      </c>
    </row>
    <row r="306">
      <c r="A306" s="26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44" t="n">
        <v>45688</v>
      </c>
      <c r="G306" s="5" t="n">
        <v>2025</v>
      </c>
      <c r="H306" s="5" t="inlineStr">
        <is>
          <t>Enero</t>
        </is>
      </c>
      <c r="I306" s="6" t="inlineStr">
        <is>
          <t>2025-1</t>
        </is>
      </c>
      <c r="J306" s="124" t="n">
        <v>90</v>
      </c>
      <c r="K306" s="124" t="n"/>
      <c r="L306" s="28" t="n"/>
      <c r="M306" s="8" t="n"/>
      <c r="N306" s="123" t="inlineStr">
        <is>
          <t>%</t>
        </is>
      </c>
      <c r="O306" s="123" t="inlineStr">
        <is>
          <t>No Aplica</t>
        </is>
      </c>
      <c r="P306" s="16" t="n">
        <v>0</v>
      </c>
      <c r="Q306" s="16" t="n">
        <v>0</v>
      </c>
      <c r="R306" s="5" t="inlineStr">
        <is>
          <t>122-2025-01-31</t>
        </is>
      </c>
      <c r="S306" t="inlineStr">
        <is>
          <t>No Aplica</t>
        </is>
      </c>
    </row>
    <row r="307">
      <c r="A307" s="26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143" t="n">
        <v>45716</v>
      </c>
      <c r="G307" s="5" t="n">
        <v>2025</v>
      </c>
      <c r="H307" s="5" t="inlineStr">
        <is>
          <t>Febrero</t>
        </is>
      </c>
      <c r="I307" s="6" t="inlineStr">
        <is>
          <t>2025-1</t>
        </is>
      </c>
      <c r="J307" s="124" t="n">
        <v>90</v>
      </c>
      <c r="K307" s="124" t="n">
        <v>100</v>
      </c>
      <c r="L307" s="28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123" t="inlineStr">
        <is>
          <t>%</t>
        </is>
      </c>
      <c r="O307" s="123" t="inlineStr">
        <is>
          <t>%</t>
        </is>
      </c>
      <c r="P307" s="16" t="n">
        <v>0</v>
      </c>
      <c r="Q307" s="16" t="n">
        <v>0</v>
      </c>
      <c r="R307" s="5" t="inlineStr">
        <is>
          <t>122-2025-02-28</t>
        </is>
      </c>
    </row>
    <row r="308">
      <c r="A308" s="26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44" t="n">
        <v>45747</v>
      </c>
      <c r="G308" s="5" t="n">
        <v>2025</v>
      </c>
      <c r="H308" s="5" t="inlineStr">
        <is>
          <t>Marzo</t>
        </is>
      </c>
      <c r="I308" s="6" t="inlineStr">
        <is>
          <t>2025-1</t>
        </is>
      </c>
      <c r="J308" s="124" t="n">
        <v>90</v>
      </c>
      <c r="K308" s="124" t="n"/>
      <c r="L308" s="28" t="n"/>
      <c r="M308" s="8" t="n"/>
      <c r="N308" s="123" t="inlineStr">
        <is>
          <t>%</t>
        </is>
      </c>
      <c r="O308" s="123" t="inlineStr">
        <is>
          <t>No Aplica</t>
        </is>
      </c>
      <c r="P308" s="16" t="n">
        <v>0</v>
      </c>
      <c r="Q308" s="16" t="n">
        <v>0</v>
      </c>
      <c r="R308" s="5" t="inlineStr">
        <is>
          <t>122-2025-03-31</t>
        </is>
      </c>
      <c r="S308" t="inlineStr">
        <is>
          <t>No Aplica</t>
        </is>
      </c>
    </row>
    <row r="309" customFormat="1" s="2">
      <c r="A309" s="26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144" t="n">
        <v>45777</v>
      </c>
      <c r="G309" s="5" t="n">
        <v>2025</v>
      </c>
      <c r="H309" s="5" t="inlineStr">
        <is>
          <t>Abril</t>
        </is>
      </c>
      <c r="I309" s="6" t="inlineStr">
        <is>
          <t>2025-1</t>
        </is>
      </c>
      <c r="J309" s="124" t="n">
        <v>90</v>
      </c>
      <c r="K309" s="124" t="n">
        <v>100</v>
      </c>
      <c r="L309" s="28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123" t="inlineStr">
        <is>
          <t>%</t>
        </is>
      </c>
      <c r="O309" s="123" t="inlineStr">
        <is>
          <t>%</t>
        </is>
      </c>
      <c r="P309" s="16" t="n">
        <v>0</v>
      </c>
      <c r="Q309" s="16" t="n">
        <v>0</v>
      </c>
      <c r="R309" s="5" t="inlineStr">
        <is>
          <t>122-2025-04-30</t>
        </is>
      </c>
    </row>
    <row r="310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44" t="n">
        <v>45808</v>
      </c>
      <c r="G310" s="5" t="n">
        <v>2025</v>
      </c>
      <c r="H310" s="5" t="inlineStr">
        <is>
          <t>Mayo</t>
        </is>
      </c>
      <c r="I310" s="6" t="inlineStr">
        <is>
          <t>2025-1</t>
        </is>
      </c>
      <c r="J310" s="124" t="n">
        <v>90</v>
      </c>
      <c r="K310" s="124" t="n"/>
      <c r="L310" s="28" t="n"/>
      <c r="M310" s="8" t="n"/>
      <c r="N310" s="123" t="inlineStr">
        <is>
          <t>%</t>
        </is>
      </c>
      <c r="O310" s="123" t="inlineStr">
        <is>
          <t>No Aplica</t>
        </is>
      </c>
      <c r="P310" s="16" t="n">
        <v>0</v>
      </c>
      <c r="Q310" s="16" t="n">
        <v>0</v>
      </c>
      <c r="R310" s="5" t="inlineStr">
        <is>
          <t>122-2025-05-31</t>
        </is>
      </c>
      <c r="S310" t="inlineStr">
        <is>
          <t>No Aplica</t>
        </is>
      </c>
    </row>
    <row r="311" customFormat="1" s="2">
      <c r="A311" s="26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144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124" t="n">
        <v>90</v>
      </c>
      <c r="K311" s="124" t="n">
        <v>43.48</v>
      </c>
      <c r="L311" s="28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123" t="inlineStr">
        <is>
          <t>%</t>
        </is>
      </c>
      <c r="O311" s="123" t="inlineStr">
        <is>
          <t>%</t>
        </is>
      </c>
      <c r="P311" s="16" t="n">
        <v>0</v>
      </c>
      <c r="Q311" s="16" t="n">
        <v>0</v>
      </c>
      <c r="R311" s="5" t="inlineStr">
        <is>
          <t>122-2025-06-30</t>
        </is>
      </c>
    </row>
    <row r="312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44" t="n">
        <v>45869</v>
      </c>
      <c r="G312" s="5" t="n">
        <v>2025</v>
      </c>
      <c r="H312" s="5" t="inlineStr">
        <is>
          <t>Julio</t>
        </is>
      </c>
      <c r="I312" s="6" t="inlineStr">
        <is>
          <t>2025-2</t>
        </is>
      </c>
      <c r="J312" s="124" t="n">
        <v>90</v>
      </c>
      <c r="K312" s="124" t="n">
        <v>78.26000000000001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123" t="inlineStr">
        <is>
          <t>%</t>
        </is>
      </c>
      <c r="O312" s="123" t="inlineStr">
        <is>
          <t>%</t>
        </is>
      </c>
      <c r="P312" s="16" t="n">
        <v>0</v>
      </c>
      <c r="Q312" s="16" t="n">
        <v>0</v>
      </c>
      <c r="R312" s="5" t="inlineStr">
        <is>
          <t>122-2025-07-31</t>
        </is>
      </c>
    </row>
    <row r="313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44" t="n">
        <v>45900</v>
      </c>
      <c r="G313" s="5" t="n">
        <v>2025</v>
      </c>
      <c r="H313" s="5" t="inlineStr">
        <is>
          <t>Agosto</t>
        </is>
      </c>
      <c r="I313" s="6" t="inlineStr">
        <is>
          <t>2025-2</t>
        </is>
      </c>
      <c r="J313" s="124" t="n">
        <v>90</v>
      </c>
      <c r="K313" s="124" t="n">
        <v>57.89</v>
      </c>
      <c r="L313" s="28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123" t="inlineStr">
        <is>
          <t>%</t>
        </is>
      </c>
      <c r="O313" s="123" t="inlineStr">
        <is>
          <t>%</t>
        </is>
      </c>
      <c r="P313" s="16" t="n">
        <v>0</v>
      </c>
      <c r="Q313" s="16" t="n">
        <v>0</v>
      </c>
      <c r="R313" s="5" t="inlineStr">
        <is>
          <t>122-2025-08-31</t>
        </is>
      </c>
    </row>
    <row r="314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44" t="n">
        <v>45930</v>
      </c>
      <c r="G314" s="5" t="n">
        <v>2025</v>
      </c>
      <c r="H314" s="5" t="inlineStr">
        <is>
          <t>Septiembre</t>
        </is>
      </c>
      <c r="I314" s="6" t="inlineStr">
        <is>
          <t>2025-2</t>
        </is>
      </c>
      <c r="J314" s="124" t="n">
        <v>90</v>
      </c>
      <c r="K314" s="124" t="n">
        <v>81.81999999999999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123" t="inlineStr">
        <is>
          <t>%</t>
        </is>
      </c>
      <c r="O314" s="123" t="inlineStr">
        <is>
          <t>%</t>
        </is>
      </c>
      <c r="P314" s="16" t="n">
        <v>0</v>
      </c>
      <c r="Q314" s="16" t="n">
        <v>0</v>
      </c>
      <c r="R314" s="5" t="inlineStr">
        <is>
          <t>122-2025-09-30</t>
        </is>
      </c>
    </row>
    <row r="315" customFormat="1" s="2">
      <c r="A315" s="39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44" t="n">
        <v>45961</v>
      </c>
      <c r="G315" s="5" t="n">
        <v>2025</v>
      </c>
      <c r="H315" s="5" t="inlineStr">
        <is>
          <t>Octubre</t>
        </is>
      </c>
      <c r="I315" s="6" t="inlineStr">
        <is>
          <t>2025-2</t>
        </is>
      </c>
      <c r="J315" s="124" t="n">
        <v>90</v>
      </c>
      <c r="K315" s="124" t="n">
        <v>88.89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123" t="inlineStr">
        <is>
          <t>%</t>
        </is>
      </c>
      <c r="O315" s="123" t="inlineStr">
        <is>
          <t>%</t>
        </is>
      </c>
      <c r="P315" s="16" t="n">
        <v>0</v>
      </c>
      <c r="Q315" s="16" t="n">
        <v>0</v>
      </c>
      <c r="R315" s="5" t="inlineStr">
        <is>
          <t>122-2025-10-31</t>
        </is>
      </c>
    </row>
    <row r="316" customFormat="1" s="2">
      <c r="A316" s="39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44" t="n">
        <v>45991</v>
      </c>
      <c r="G316" s="5" t="n">
        <v>2025</v>
      </c>
      <c r="H316" s="5" t="inlineStr">
        <is>
          <t>Noviembre</t>
        </is>
      </c>
      <c r="I316" s="6" t="inlineStr">
        <is>
          <t>2025-2</t>
        </is>
      </c>
      <c r="J316" s="124" t="n">
        <v>90</v>
      </c>
      <c r="K316" s="124" t="n">
        <v>90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123" t="inlineStr">
        <is>
          <t>%</t>
        </is>
      </c>
      <c r="O316" s="123" t="inlineStr">
        <is>
          <t>%</t>
        </is>
      </c>
      <c r="P316" s="16" t="n">
        <v>0</v>
      </c>
      <c r="Q316" s="16" t="n">
        <v>0</v>
      </c>
      <c r="R316" s="5" t="inlineStr">
        <is>
          <t>122-2025-11-30</t>
        </is>
      </c>
    </row>
    <row r="317" customFormat="1" s="2">
      <c r="A317" s="39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44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124" t="n">
        <v>90</v>
      </c>
      <c r="K317" s="124" t="n">
        <v>100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123" t="inlineStr">
        <is>
          <t>%</t>
        </is>
      </c>
      <c r="O317" s="123" t="inlineStr">
        <is>
          <t>%</t>
        </is>
      </c>
      <c r="P317" s="16" t="n">
        <v>0</v>
      </c>
      <c r="Q317" s="16" t="n">
        <v>0</v>
      </c>
      <c r="R317" s="5" t="inlineStr">
        <is>
          <t>122-2025-12-31</t>
        </is>
      </c>
    </row>
    <row r="318" customFormat="1" s="2">
      <c r="A318" s="26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44" t="n">
        <v>44592</v>
      </c>
      <c r="G318" s="5" t="n">
        <v>2022</v>
      </c>
      <c r="H318" s="5" t="inlineStr">
        <is>
          <t>Enero</t>
        </is>
      </c>
      <c r="I318" s="6" t="inlineStr">
        <is>
          <t>2022-1</t>
        </is>
      </c>
      <c r="J318" s="125" t="n">
        <v>1.6</v>
      </c>
      <c r="K318" s="125" t="n">
        <v>0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123" t="inlineStr">
        <is>
          <t>DEC</t>
        </is>
      </c>
      <c r="O318" s="123" t="inlineStr">
        <is>
          <t>%</t>
        </is>
      </c>
      <c r="P318" s="16" t="n">
        <v>1</v>
      </c>
      <c r="Q318" s="16" t="n">
        <v>2</v>
      </c>
      <c r="R318" s="5" t="inlineStr">
        <is>
          <t>124-2022-01-31</t>
        </is>
      </c>
    </row>
    <row r="319" customFormat="1" s="2">
      <c r="A319" s="26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44" t="n">
        <v>44620</v>
      </c>
      <c r="G319" s="5" t="n">
        <v>2022</v>
      </c>
      <c r="H319" s="5" t="inlineStr">
        <is>
          <t>Febrero</t>
        </is>
      </c>
      <c r="I319" s="6" t="inlineStr">
        <is>
          <t>2022-1</t>
        </is>
      </c>
      <c r="J319" s="125" t="n">
        <v>1.6</v>
      </c>
      <c r="K319" s="125" t="n">
        <v>0.06988120195667399</v>
      </c>
      <c r="L319" s="28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123" t="inlineStr">
        <is>
          <t>DEC</t>
        </is>
      </c>
      <c r="O319" s="123" t="inlineStr">
        <is>
          <t>%</t>
        </is>
      </c>
      <c r="P319" s="16" t="n">
        <v>1</v>
      </c>
      <c r="Q319" s="16" t="n">
        <v>2</v>
      </c>
      <c r="R319" s="5" t="inlineStr">
        <is>
          <t>124-2022-02-28</t>
        </is>
      </c>
    </row>
    <row r="320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44" t="n">
        <v>44651</v>
      </c>
      <c r="G320" s="5" t="n">
        <v>2022</v>
      </c>
      <c r="H320" s="5" t="inlineStr">
        <is>
          <t>Marzo</t>
        </is>
      </c>
      <c r="I320" s="6" t="inlineStr">
        <is>
          <t>2022-1</t>
        </is>
      </c>
      <c r="J320" s="125" t="n">
        <v>1.6</v>
      </c>
      <c r="K320" s="125" t="n">
        <v>0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123" t="inlineStr">
        <is>
          <t>DEC</t>
        </is>
      </c>
      <c r="O320" s="123" t="inlineStr">
        <is>
          <t>%</t>
        </is>
      </c>
      <c r="P320" s="16" t="n">
        <v>1</v>
      </c>
      <c r="Q320" s="16" t="n">
        <v>2</v>
      </c>
      <c r="R320" s="5" t="inlineStr">
        <is>
          <t>124-2022-03-31</t>
        </is>
      </c>
    </row>
    <row r="321">
      <c r="A321" s="26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44" t="n">
        <v>44681</v>
      </c>
      <c r="G321" s="5" t="n">
        <v>2022</v>
      </c>
      <c r="H321" s="5" t="inlineStr">
        <is>
          <t>Abril</t>
        </is>
      </c>
      <c r="I321" s="6" t="inlineStr">
        <is>
          <t>2022-1</t>
        </is>
      </c>
      <c r="J321" s="125" t="n">
        <v>1.6</v>
      </c>
      <c r="K321" s="125" t="n">
        <v>0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123" t="inlineStr">
        <is>
          <t>DEC</t>
        </is>
      </c>
      <c r="O321" s="123" t="inlineStr">
        <is>
          <t>DEC</t>
        </is>
      </c>
      <c r="P321" s="16" t="n">
        <v>1</v>
      </c>
      <c r="Q321" s="16" t="n">
        <v>2</v>
      </c>
      <c r="R321" s="5" t="inlineStr">
        <is>
          <t>124-2022-04-30</t>
        </is>
      </c>
    </row>
    <row r="322">
      <c r="A322" s="26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44" t="n">
        <v>44712</v>
      </c>
      <c r="G322" s="5" t="n">
        <v>2022</v>
      </c>
      <c r="H322" s="5" t="inlineStr">
        <is>
          <t>Mayo</t>
        </is>
      </c>
      <c r="I322" s="6" t="inlineStr">
        <is>
          <t>2022-1</t>
        </is>
      </c>
      <c r="J322" s="125" t="n">
        <v>1.6</v>
      </c>
      <c r="K322" s="125" t="n">
        <v>0.053361792956243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123" t="inlineStr">
        <is>
          <t>DEC</t>
        </is>
      </c>
      <c r="O322" s="123" t="inlineStr">
        <is>
          <t>DEC</t>
        </is>
      </c>
      <c r="P322" s="16" t="n">
        <v>1</v>
      </c>
      <c r="Q322" s="16" t="n">
        <v>2</v>
      </c>
      <c r="R322" s="5" t="inlineStr">
        <is>
          <t>124-2022-05-31</t>
        </is>
      </c>
    </row>
    <row r="323">
      <c r="A323" s="26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44" t="n">
        <v>44742</v>
      </c>
      <c r="G323" s="5" t="n">
        <v>2022</v>
      </c>
      <c r="H323" s="5" t="inlineStr">
        <is>
          <t>Junio</t>
        </is>
      </c>
      <c r="I323" s="6" t="inlineStr">
        <is>
          <t>2022-1</t>
        </is>
      </c>
      <c r="J323" s="125" t="n">
        <v>1.6</v>
      </c>
      <c r="K323" s="125" t="n">
        <v>0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123" t="inlineStr">
        <is>
          <t>DEC</t>
        </is>
      </c>
      <c r="O323" s="123" t="inlineStr">
        <is>
          <t>DEC</t>
        </is>
      </c>
      <c r="P323" s="16" t="n">
        <v>1</v>
      </c>
      <c r="Q323" s="16" t="n">
        <v>2</v>
      </c>
      <c r="R323" s="5" t="inlineStr">
        <is>
          <t>124-2022-06-30</t>
        </is>
      </c>
    </row>
    <row r="324">
      <c r="A324" s="26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44" t="n">
        <v>44773</v>
      </c>
      <c r="G324" s="5" t="n">
        <v>2022</v>
      </c>
      <c r="H324" s="5" t="inlineStr">
        <is>
          <t>Julio</t>
        </is>
      </c>
      <c r="I324" s="6" t="inlineStr">
        <is>
          <t>2022-2</t>
        </is>
      </c>
      <c r="J324" s="125" t="n">
        <v>1.6</v>
      </c>
      <c r="K324" s="125" t="n">
        <v>0</v>
      </c>
      <c r="L324" s="28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123" t="inlineStr">
        <is>
          <t>DEC</t>
        </is>
      </c>
      <c r="O324" s="123" t="inlineStr">
        <is>
          <t>DEC</t>
        </is>
      </c>
      <c r="P324" s="16" t="n">
        <v>1</v>
      </c>
      <c r="Q324" s="16" t="n">
        <v>2</v>
      </c>
      <c r="R324" s="5" t="inlineStr">
        <is>
          <t>124-2022-07-31</t>
        </is>
      </c>
    </row>
    <row r="325">
      <c r="A325" s="39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44" t="n">
        <v>44804</v>
      </c>
      <c r="G325" s="5" t="n">
        <v>2022</v>
      </c>
      <c r="H325" s="5" t="inlineStr">
        <is>
          <t>Agosto</t>
        </is>
      </c>
      <c r="I325" s="6" t="inlineStr">
        <is>
          <t>2022-2</t>
        </is>
      </c>
      <c r="J325" s="123" t="n">
        <v>1.6</v>
      </c>
      <c r="K325" s="123" t="n">
        <v>0.1865671641791</v>
      </c>
      <c r="L325" s="28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123" t="inlineStr">
        <is>
          <t>DEC</t>
        </is>
      </c>
      <c r="O325" s="123" t="inlineStr">
        <is>
          <t>DEC</t>
        </is>
      </c>
      <c r="P325" s="16" t="n">
        <v>1</v>
      </c>
      <c r="Q325" s="16" t="n">
        <v>2</v>
      </c>
      <c r="R325" s="5" t="inlineStr">
        <is>
          <t>124-2022-08-31</t>
        </is>
      </c>
    </row>
    <row r="326">
      <c r="A326" s="39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44" t="n">
        <v>44834</v>
      </c>
      <c r="G326" s="5" t="n">
        <v>2022</v>
      </c>
      <c r="H326" s="5" t="inlineStr">
        <is>
          <t>Septiembre</t>
        </is>
      </c>
      <c r="I326" s="6" t="inlineStr">
        <is>
          <t>2022-2</t>
        </is>
      </c>
      <c r="J326" s="123" t="n">
        <v>1.6</v>
      </c>
      <c r="K326" s="123" t="n">
        <v>0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123" t="inlineStr">
        <is>
          <t>DEC</t>
        </is>
      </c>
      <c r="O326" s="123" t="inlineStr">
        <is>
          <t>DEC</t>
        </is>
      </c>
      <c r="P326" s="16" t="n">
        <v>1</v>
      </c>
      <c r="Q326" s="16" t="n">
        <v>2</v>
      </c>
      <c r="R326" s="5" t="inlineStr">
        <is>
          <t>124-2022-09-30</t>
        </is>
      </c>
    </row>
    <row r="327">
      <c r="A327" s="39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44" t="n">
        <v>44865</v>
      </c>
      <c r="G327" s="5" t="n">
        <v>2022</v>
      </c>
      <c r="H327" s="5" t="inlineStr">
        <is>
          <t>Octubre</t>
        </is>
      </c>
      <c r="I327" s="6" t="inlineStr">
        <is>
          <t>2022-2</t>
        </is>
      </c>
      <c r="J327" s="123" t="n">
        <v>1.6</v>
      </c>
      <c r="K327" s="123" t="n">
        <v>0.055187637969095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123" t="inlineStr">
        <is>
          <t>DEC</t>
        </is>
      </c>
      <c r="O327" s="123" t="inlineStr">
        <is>
          <t>DEC</t>
        </is>
      </c>
      <c r="P327" s="16" t="n">
        <v>1</v>
      </c>
      <c r="Q327" s="16" t="n">
        <v>2</v>
      </c>
      <c r="R327" s="5" t="inlineStr">
        <is>
          <t>124-2022-10-31</t>
        </is>
      </c>
    </row>
    <row r="328">
      <c r="A328" s="26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43" t="n">
        <v>44895</v>
      </c>
      <c r="G328" s="5" t="n">
        <v>2022</v>
      </c>
      <c r="H328" s="5" t="inlineStr">
        <is>
          <t>Noviembre</t>
        </is>
      </c>
      <c r="I328" s="6" t="inlineStr">
        <is>
          <t>2022-2</t>
        </is>
      </c>
      <c r="J328" s="5" t="n">
        <v>1.6</v>
      </c>
      <c r="K328" s="5" t="n">
        <v>0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inlineStr">
        <is>
          <t>DEC</t>
        </is>
      </c>
      <c r="O328" s="5" t="inlineStr">
        <is>
          <t>DEC</t>
        </is>
      </c>
      <c r="P328" s="16" t="n">
        <v>1</v>
      </c>
      <c r="Q328" s="16" t="n">
        <v>2</v>
      </c>
      <c r="R328" s="5" t="inlineStr">
        <is>
          <t>124-2022-11-30</t>
        </is>
      </c>
    </row>
    <row r="329">
      <c r="A329" s="5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44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1.6</v>
      </c>
      <c r="K329" s="5" t="n">
        <v>0</v>
      </c>
      <c r="L329" s="28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16" t="n">
        <v>1</v>
      </c>
      <c r="Q329" s="16" t="n">
        <v>2</v>
      </c>
      <c r="R329" s="5" t="inlineStr">
        <is>
          <t>124-2022-12-31</t>
        </is>
      </c>
    </row>
    <row r="330">
      <c r="A330" s="5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44" t="n">
        <v>44957</v>
      </c>
      <c r="G330" s="5" t="n">
        <v>2023</v>
      </c>
      <c r="H330" s="5" t="inlineStr">
        <is>
          <t>Enero</t>
        </is>
      </c>
      <c r="I330" s="6" t="inlineStr">
        <is>
          <t>2023-1</t>
        </is>
      </c>
      <c r="J330" s="5" t="n">
        <v>1.6</v>
      </c>
      <c r="K330" s="5" t="n">
        <v>0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inlineStr">
        <is>
          <t>DEC</t>
        </is>
      </c>
      <c r="O330" s="5" t="inlineStr">
        <is>
          <t>DEC</t>
        </is>
      </c>
      <c r="P330" s="5" t="n">
        <v>1</v>
      </c>
      <c r="Q330" s="5" t="n">
        <v>2</v>
      </c>
      <c r="R330" s="5" t="inlineStr">
        <is>
          <t>124-2023-01-31</t>
        </is>
      </c>
    </row>
    <row r="331">
      <c r="A331" s="26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44" t="n">
        <v>44985</v>
      </c>
      <c r="G331" s="5" t="n">
        <v>2023</v>
      </c>
      <c r="H331" s="5" t="inlineStr">
        <is>
          <t>Febrero</t>
        </is>
      </c>
      <c r="I331" s="6" t="inlineStr">
        <is>
          <t>2023-1</t>
        </is>
      </c>
      <c r="J331" s="5" t="n">
        <v>1.6</v>
      </c>
      <c r="K331" s="5" t="n">
        <v>0</v>
      </c>
      <c r="L331" s="28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16" t="n">
        <v>1</v>
      </c>
      <c r="Q331" s="16" t="n">
        <v>2</v>
      </c>
      <c r="R331" s="5" t="inlineStr">
        <is>
          <t>124-2023-02-28</t>
        </is>
      </c>
    </row>
    <row r="332">
      <c r="A332" s="39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44" t="n">
        <v>45016</v>
      </c>
      <c r="G332" s="5" t="n">
        <v>2023</v>
      </c>
      <c r="H332" s="5" t="inlineStr">
        <is>
          <t>Marzo</t>
        </is>
      </c>
      <c r="I332" s="6" t="inlineStr">
        <is>
          <t>2023-1</t>
        </is>
      </c>
      <c r="J332" s="5" t="n">
        <v>1.6</v>
      </c>
      <c r="K332" s="123" t="n">
        <v>0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16" t="n">
        <v>1</v>
      </c>
      <c r="Q332" s="16" t="n">
        <v>2</v>
      </c>
      <c r="R332" s="5" t="inlineStr">
        <is>
          <t>124-2023-03-31</t>
        </is>
      </c>
    </row>
    <row r="333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44" t="n">
        <v>45046</v>
      </c>
      <c r="G333" s="5" t="n">
        <v>2023</v>
      </c>
      <c r="H333" s="5" t="inlineStr">
        <is>
          <t>Abril</t>
        </is>
      </c>
      <c r="I333" s="6" t="inlineStr">
        <is>
          <t>2023-1</t>
        </is>
      </c>
      <c r="J333" s="5" t="n">
        <v>1.6</v>
      </c>
      <c r="K333" s="10" t="n">
        <v>0.10435690060005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6" t="n">
        <v>1</v>
      </c>
      <c r="Q333" s="16" t="n">
        <v>2</v>
      </c>
      <c r="R333" s="5" t="inlineStr">
        <is>
          <t>124-2023-04-30</t>
        </is>
      </c>
    </row>
    <row r="334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43" t="n">
        <v>45077</v>
      </c>
      <c r="G334" s="5" t="n">
        <v>2023</v>
      </c>
      <c r="H334" s="5" t="inlineStr">
        <is>
          <t>Mayo</t>
        </is>
      </c>
      <c r="I334" s="6" t="inlineStr">
        <is>
          <t>2023-1</t>
        </is>
      </c>
      <c r="J334" s="5" t="n">
        <v>1.6</v>
      </c>
      <c r="K334" s="123" t="n">
        <v>0.051072522982635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6" t="n">
        <v>1</v>
      </c>
      <c r="Q334" s="16" t="n">
        <v>2</v>
      </c>
      <c r="R334" s="5" t="inlineStr">
        <is>
          <t>124-2023-05-31</t>
        </is>
      </c>
    </row>
    <row r="335">
      <c r="A335" s="26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44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1.6</v>
      </c>
      <c r="K335" s="123" t="n">
        <v>0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16" t="n">
        <v>1</v>
      </c>
      <c r="Q335" s="16" t="n">
        <v>2</v>
      </c>
      <c r="R335" s="5" t="inlineStr">
        <is>
          <t>124-2023-06-30</t>
        </is>
      </c>
    </row>
    <row r="336">
      <c r="A336" s="5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44" t="n">
        <v>45138</v>
      </c>
      <c r="G336" s="5" t="n">
        <v>2023</v>
      </c>
      <c r="H336" s="5" t="inlineStr">
        <is>
          <t>Julio</t>
        </is>
      </c>
      <c r="I336" s="6" t="inlineStr">
        <is>
          <t>2023-2</t>
        </is>
      </c>
      <c r="J336" s="5" t="n">
        <v>1.6</v>
      </c>
      <c r="K336" s="5" t="n">
        <v>0.075471698113208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5" t="n">
        <v>1</v>
      </c>
      <c r="Q336" s="16" t="n">
        <v>2</v>
      </c>
      <c r="R336" s="5" t="inlineStr">
        <is>
          <t>124-2023-07-31</t>
        </is>
      </c>
    </row>
    <row r="337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44" t="n">
        <v>45169</v>
      </c>
      <c r="G337" s="5" t="n">
        <v>2023</v>
      </c>
      <c r="H337" s="5" t="inlineStr">
        <is>
          <t>Agosto</t>
        </is>
      </c>
      <c r="I337" s="6" t="inlineStr">
        <is>
          <t>2023-2</t>
        </is>
      </c>
      <c r="J337" s="5" t="n">
        <v>1.6</v>
      </c>
      <c r="K337" s="10" t="n">
        <v>0.06</v>
      </c>
      <c r="L337" s="28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6" t="n">
        <v>1</v>
      </c>
      <c r="Q337" s="16" t="n">
        <v>2</v>
      </c>
      <c r="R337" s="5" t="inlineStr">
        <is>
          <t>124-2023-08-31</t>
        </is>
      </c>
    </row>
    <row r="338">
      <c r="A338" s="26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43" t="n">
        <v>45199</v>
      </c>
      <c r="G338" s="5" t="n">
        <v>2023</v>
      </c>
      <c r="H338" s="5" t="inlineStr">
        <is>
          <t>Septiembre</t>
        </is>
      </c>
      <c r="I338" s="6" t="inlineStr">
        <is>
          <t>2023-2</t>
        </is>
      </c>
      <c r="J338" s="5" t="n">
        <v>1.6</v>
      </c>
      <c r="K338" s="123" t="n">
        <v>0</v>
      </c>
      <c r="L338" s="28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6" t="n">
        <v>1</v>
      </c>
      <c r="Q338" s="16" t="n">
        <v>2</v>
      </c>
      <c r="R338" s="5" t="inlineStr">
        <is>
          <t>124-2023-09-30</t>
        </is>
      </c>
    </row>
    <row r="339">
      <c r="A339" s="39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44" t="n">
        <v>45230</v>
      </c>
      <c r="G339" s="5" t="n">
        <v>2023</v>
      </c>
      <c r="H339" s="5" t="inlineStr">
        <is>
          <t>Octubre</t>
        </is>
      </c>
      <c r="I339" s="6" t="inlineStr">
        <is>
          <t>2023-2</t>
        </is>
      </c>
      <c r="J339" s="5" t="n">
        <v>1.6</v>
      </c>
      <c r="K339" s="123" t="n">
        <v>0.05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16" t="n">
        <v>1</v>
      </c>
      <c r="Q339" s="16" t="n">
        <v>2</v>
      </c>
      <c r="R339" s="5" t="inlineStr">
        <is>
          <t>124-2023-10-31</t>
        </is>
      </c>
    </row>
    <row r="340">
      <c r="A340" s="5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44" t="n">
        <v>45260</v>
      </c>
      <c r="G340" s="5" t="n">
        <v>2023</v>
      </c>
      <c r="H340" s="5" t="inlineStr">
        <is>
          <t>Noviembre</t>
        </is>
      </c>
      <c r="I340" s="6" t="inlineStr">
        <is>
          <t>2023-2</t>
        </is>
      </c>
      <c r="J340" s="5" t="n">
        <v>1.6</v>
      </c>
      <c r="K340" s="5" t="n">
        <v>0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DEC</t>
        </is>
      </c>
      <c r="O340" s="5" t="inlineStr">
        <is>
          <t>DEC</t>
        </is>
      </c>
      <c r="P340" s="5" t="n">
        <v>1</v>
      </c>
      <c r="Q340" s="5" t="n">
        <v>2</v>
      </c>
      <c r="R340" s="5" t="inlineStr">
        <is>
          <t>124-2023-11-30</t>
        </is>
      </c>
    </row>
    <row r="341">
      <c r="A341" s="26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44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1.6</v>
      </c>
      <c r="K341" s="10" t="n">
        <v>0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DEC</t>
        </is>
      </c>
      <c r="O341" s="5" t="inlineStr">
        <is>
          <t>DEC</t>
        </is>
      </c>
      <c r="P341" s="16" t="n">
        <v>1</v>
      </c>
      <c r="Q341" s="16" t="n">
        <v>2</v>
      </c>
      <c r="R341" s="5" t="inlineStr">
        <is>
          <t>124-2023-12-31</t>
        </is>
      </c>
    </row>
    <row r="342">
      <c r="A342" s="39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44" t="n">
        <v>45322</v>
      </c>
      <c r="G342" s="5" t="n">
        <v>2024</v>
      </c>
      <c r="H342" s="5" t="inlineStr">
        <is>
          <t>Enero</t>
        </is>
      </c>
      <c r="I342" s="6" t="inlineStr">
        <is>
          <t>2024-1</t>
        </is>
      </c>
      <c r="J342" s="5" t="n">
        <v>0.2</v>
      </c>
      <c r="K342" s="123" t="n">
        <v>0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DEC</t>
        </is>
      </c>
      <c r="O342" s="5" t="inlineStr">
        <is>
          <t>DEC</t>
        </is>
      </c>
      <c r="P342" s="16" t="n">
        <v>1</v>
      </c>
      <c r="Q342" s="16" t="n">
        <v>2</v>
      </c>
      <c r="R342" s="5" t="inlineStr">
        <is>
          <t>124-2024-01-31</t>
        </is>
      </c>
    </row>
    <row r="343">
      <c r="A343" s="26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44" t="n">
        <v>45351</v>
      </c>
      <c r="G343" s="5" t="n">
        <v>2024</v>
      </c>
      <c r="H343" s="5" t="inlineStr">
        <is>
          <t>Febrero</t>
        </is>
      </c>
      <c r="I343" s="6" t="inlineStr">
        <is>
          <t>2024-1</t>
        </is>
      </c>
      <c r="J343" s="5" t="n">
        <v>0.2</v>
      </c>
      <c r="K343" s="10" t="n">
        <v>0</v>
      </c>
      <c r="L343" s="28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DEC</t>
        </is>
      </c>
      <c r="O343" s="5" t="inlineStr">
        <is>
          <t>DEC</t>
        </is>
      </c>
      <c r="P343" s="16" t="n">
        <v>1</v>
      </c>
      <c r="Q343" s="16" t="n">
        <v>2</v>
      </c>
      <c r="R343" s="5" t="inlineStr">
        <is>
          <t>124-2024-02-29</t>
        </is>
      </c>
    </row>
    <row r="344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44" t="n">
        <v>45382</v>
      </c>
      <c r="G344" s="5" t="n">
        <v>2024</v>
      </c>
      <c r="H344" s="5" t="inlineStr">
        <is>
          <t>Marzo</t>
        </is>
      </c>
      <c r="I344" s="6" t="inlineStr">
        <is>
          <t>2024-1</t>
        </is>
      </c>
      <c r="J344" s="5" t="n">
        <v>0.2</v>
      </c>
      <c r="K344" s="5" t="n">
        <v>0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124-2024-03-31</t>
        </is>
      </c>
    </row>
    <row r="345">
      <c r="A345" s="47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44" t="n">
        <v>45412</v>
      </c>
      <c r="G345" s="5" t="n">
        <v>2024</v>
      </c>
      <c r="H345" s="5" t="inlineStr">
        <is>
          <t>Abril</t>
        </is>
      </c>
      <c r="I345" s="6" t="inlineStr">
        <is>
          <t>2024-1</t>
        </is>
      </c>
      <c r="J345" s="5" t="n">
        <v>0.2</v>
      </c>
      <c r="K345" s="125" t="n">
        <v>0</v>
      </c>
      <c r="L345" s="46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47" t="inlineStr">
        <is>
          <t>DEC</t>
        </is>
      </c>
      <c r="O345" s="5" t="inlineStr">
        <is>
          <t>DEC</t>
        </is>
      </c>
      <c r="P345" s="16" t="n">
        <v>1</v>
      </c>
      <c r="Q345" s="16" t="n">
        <v>2</v>
      </c>
      <c r="R345" s="5" t="inlineStr">
        <is>
          <t>124-2024-04-30</t>
        </is>
      </c>
    </row>
    <row r="346">
      <c r="A346" s="47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44" t="n">
        <v>45443</v>
      </c>
      <c r="G346" s="5" t="n">
        <v>2024</v>
      </c>
      <c r="H346" s="5" t="inlineStr">
        <is>
          <t>Mayo</t>
        </is>
      </c>
      <c r="I346" s="6" t="inlineStr">
        <is>
          <t>2024-1</t>
        </is>
      </c>
      <c r="J346" s="5" t="n">
        <v>0.2</v>
      </c>
      <c r="K346" s="125" t="n">
        <v>0.041823504809703</v>
      </c>
      <c r="L346" s="28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47" t="inlineStr">
        <is>
          <t>DEC</t>
        </is>
      </c>
      <c r="O346" s="5" t="inlineStr">
        <is>
          <t>DEC</t>
        </is>
      </c>
      <c r="P346" s="16" t="n">
        <v>1</v>
      </c>
      <c r="Q346" s="16" t="n">
        <v>2</v>
      </c>
      <c r="R346" s="5" t="inlineStr">
        <is>
          <t>124-2024-05-31</t>
        </is>
      </c>
    </row>
    <row r="347">
      <c r="A347" s="47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44" t="n">
        <v>45473</v>
      </c>
      <c r="G347" s="5" t="n">
        <v>2024</v>
      </c>
      <c r="H347" s="5" t="inlineStr">
        <is>
          <t>Junio</t>
        </is>
      </c>
      <c r="I347" s="6" t="inlineStr">
        <is>
          <t>2024-1</t>
        </is>
      </c>
      <c r="J347" s="5" t="n">
        <v>0.2</v>
      </c>
      <c r="K347" s="125" t="n">
        <v>0</v>
      </c>
      <c r="L347" s="46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47" t="inlineStr">
        <is>
          <t>DEC</t>
        </is>
      </c>
      <c r="O347" s="5" t="inlineStr">
        <is>
          <t>DEC</t>
        </is>
      </c>
      <c r="P347" s="16" t="n">
        <v>1</v>
      </c>
      <c r="Q347" s="16" t="n">
        <v>2</v>
      </c>
      <c r="R347" s="5" t="inlineStr">
        <is>
          <t>124-2024-06-30</t>
        </is>
      </c>
    </row>
    <row r="348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44" t="n">
        <v>45504</v>
      </c>
      <c r="G348" s="5" t="n">
        <v>2024</v>
      </c>
      <c r="H348" s="5" t="inlineStr">
        <is>
          <t>Julio</t>
        </is>
      </c>
      <c r="I348" s="6" t="inlineStr">
        <is>
          <t>2024-2</t>
        </is>
      </c>
      <c r="J348" s="5" t="n">
        <v>0.2</v>
      </c>
      <c r="K348" s="10" t="n">
        <v>0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6" t="n">
        <v>1</v>
      </c>
      <c r="Q348" s="16" t="n">
        <v>2</v>
      </c>
      <c r="R348" s="5" t="inlineStr">
        <is>
          <t>124-2024-07-31</t>
        </is>
      </c>
    </row>
    <row r="349">
      <c r="A349" s="5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44" t="n">
        <v>45535</v>
      </c>
      <c r="G349" s="5" t="n">
        <v>2024</v>
      </c>
      <c r="H349" s="5" t="inlineStr">
        <is>
          <t>Agosto</t>
        </is>
      </c>
      <c r="I349" s="6" t="inlineStr">
        <is>
          <t>2024-2</t>
        </is>
      </c>
      <c r="J349" s="5" t="n">
        <v>0.2</v>
      </c>
      <c r="K349" s="123" t="n">
        <v>0</v>
      </c>
      <c r="L349" s="120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2</v>
      </c>
      <c r="R349" s="5" t="inlineStr">
        <is>
          <t>124-2024-08-31</t>
        </is>
      </c>
    </row>
    <row r="350">
      <c r="A350" s="39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44" t="n">
        <v>45565</v>
      </c>
      <c r="G350" s="5" t="n">
        <v>2024</v>
      </c>
      <c r="H350" s="5" t="inlineStr">
        <is>
          <t>Septiembre</t>
        </is>
      </c>
      <c r="I350" s="6" t="inlineStr">
        <is>
          <t>2024-2</t>
        </is>
      </c>
      <c r="J350" s="5" t="n">
        <v>0.2</v>
      </c>
      <c r="K350" s="123" t="n">
        <v>0</v>
      </c>
      <c r="L350" s="28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DEC</t>
        </is>
      </c>
      <c r="O350" s="5" t="inlineStr">
        <is>
          <t>DEC</t>
        </is>
      </c>
      <c r="P350" s="16" t="n">
        <v>1</v>
      </c>
      <c r="Q350" s="16" t="n">
        <v>2</v>
      </c>
      <c r="R350" s="5" t="inlineStr">
        <is>
          <t>124-2024-09-30</t>
        </is>
      </c>
    </row>
    <row r="351">
      <c r="A351" s="5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44" t="n">
        <v>45596</v>
      </c>
      <c r="G351" s="5" t="n">
        <v>2024</v>
      </c>
      <c r="H351" s="5" t="inlineStr">
        <is>
          <t>Octubre</t>
        </is>
      </c>
      <c r="I351" s="6" t="inlineStr">
        <is>
          <t>2024-2</t>
        </is>
      </c>
      <c r="J351" s="5" t="n">
        <v>0.2</v>
      </c>
      <c r="K351" s="5" t="n">
        <v>0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DEC</t>
        </is>
      </c>
      <c r="O351" s="5" t="inlineStr">
        <is>
          <t>DEC</t>
        </is>
      </c>
      <c r="P351" s="5" t="n">
        <v>1</v>
      </c>
      <c r="Q351" s="5" t="n">
        <v>2</v>
      </c>
      <c r="R351" s="5" t="inlineStr">
        <is>
          <t>124-2024-10-31</t>
        </is>
      </c>
    </row>
    <row r="352">
      <c r="A352" s="39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44" t="n">
        <v>45626</v>
      </c>
      <c r="G352" s="5" t="n">
        <v>2024</v>
      </c>
      <c r="H352" s="5" t="inlineStr">
        <is>
          <t>Noviembre</t>
        </is>
      </c>
      <c r="I352" s="6" t="inlineStr">
        <is>
          <t>2024-2</t>
        </is>
      </c>
      <c r="J352" s="5" t="n">
        <v>0.2</v>
      </c>
      <c r="K352" s="123" t="n">
        <v>0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16" t="n">
        <v>1</v>
      </c>
      <c r="Q352" s="16" t="n">
        <v>2</v>
      </c>
      <c r="R352" s="5" t="inlineStr">
        <is>
          <t>124-2024-11-30</t>
        </is>
      </c>
    </row>
    <row r="353">
      <c r="A353" s="39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44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0.2</v>
      </c>
      <c r="K353" s="123" t="n">
        <v>0.1141552511415525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16" t="n">
        <v>1</v>
      </c>
      <c r="Q353" s="16" t="n">
        <v>2</v>
      </c>
      <c r="R353" s="5" t="inlineStr">
        <is>
          <t>124-2024-12-31</t>
        </is>
      </c>
    </row>
    <row r="354">
      <c r="A354" s="26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44" t="n">
        <v>45688</v>
      </c>
      <c r="G354" s="5" t="n">
        <v>2025</v>
      </c>
      <c r="H354" s="5" t="inlineStr">
        <is>
          <t>Enero</t>
        </is>
      </c>
      <c r="I354" s="6" t="inlineStr">
        <is>
          <t>2025-1</t>
        </is>
      </c>
      <c r="J354" s="5" t="n">
        <v>0.2</v>
      </c>
      <c r="K354" s="10" t="n">
        <v>0.0911577028258887</v>
      </c>
      <c r="L354" s="28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16" t="n">
        <v>1</v>
      </c>
      <c r="Q354" s="16" t="n">
        <v>2</v>
      </c>
      <c r="R354" s="5" t="inlineStr">
        <is>
          <t>124-2025-01-31</t>
        </is>
      </c>
    </row>
    <row r="355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43" t="n">
        <v>45716</v>
      </c>
      <c r="G355" s="5" t="n">
        <v>2025</v>
      </c>
      <c r="H355" s="5" t="inlineStr">
        <is>
          <t>Febrero</t>
        </is>
      </c>
      <c r="I355" s="6" t="inlineStr">
        <is>
          <t>2025-1</t>
        </is>
      </c>
      <c r="J355" s="5" t="n">
        <v>0.2</v>
      </c>
      <c r="K355" s="123" t="n">
        <v>0</v>
      </c>
      <c r="L355" s="28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6" t="n">
        <v>1</v>
      </c>
      <c r="Q355" s="16" t="n">
        <v>2</v>
      </c>
      <c r="R355" s="5" t="inlineStr">
        <is>
          <t>124-2025-02-28</t>
        </is>
      </c>
    </row>
    <row r="356">
      <c r="A356" s="39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44" t="n">
        <v>45747</v>
      </c>
      <c r="G356" s="5" t="n">
        <v>2025</v>
      </c>
      <c r="H356" s="5" t="inlineStr">
        <is>
          <t>Marzo</t>
        </is>
      </c>
      <c r="I356" s="6" t="inlineStr">
        <is>
          <t>2025-1</t>
        </is>
      </c>
      <c r="J356" s="5" t="n">
        <v>0.2</v>
      </c>
      <c r="K356" s="123" t="n">
        <v>0.06</v>
      </c>
      <c r="L356" s="28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16" t="n">
        <v>1</v>
      </c>
      <c r="Q356" s="16" t="n">
        <v>2</v>
      </c>
      <c r="R356" s="5" t="inlineStr">
        <is>
          <t>124-2025-03-31</t>
        </is>
      </c>
    </row>
    <row r="357">
      <c r="A357" s="5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44" t="n">
        <v>45777</v>
      </c>
      <c r="G357" s="5" t="n">
        <v>2025</v>
      </c>
      <c r="H357" s="5" t="inlineStr">
        <is>
          <t>Abril</t>
        </is>
      </c>
      <c r="I357" s="6" t="inlineStr">
        <is>
          <t>2025-1</t>
        </is>
      </c>
      <c r="J357" s="5" t="n">
        <v>0.2</v>
      </c>
      <c r="K357" s="5" t="n">
        <v>0</v>
      </c>
      <c r="L357" s="28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5" t="n">
        <v>1</v>
      </c>
      <c r="Q357" s="5" t="n">
        <v>2</v>
      </c>
      <c r="R357" s="5" t="inlineStr">
        <is>
          <t>124-2025-04-30</t>
        </is>
      </c>
    </row>
    <row r="358">
      <c r="A358" s="26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44" t="n">
        <v>45808</v>
      </c>
      <c r="G358" s="5" t="n">
        <v>2025</v>
      </c>
      <c r="H358" s="5" t="inlineStr">
        <is>
          <t>Mayo</t>
        </is>
      </c>
      <c r="I358" s="6" t="inlineStr">
        <is>
          <t>2025-1</t>
        </is>
      </c>
      <c r="J358" s="5" t="n">
        <v>0.2</v>
      </c>
      <c r="K358" s="10" t="n">
        <v>0.06</v>
      </c>
      <c r="L358" s="28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6" t="n">
        <v>1</v>
      </c>
      <c r="Q358" s="16" t="n">
        <v>2</v>
      </c>
      <c r="R358" s="5" t="inlineStr">
        <is>
          <t>124-2025-05-31</t>
        </is>
      </c>
    </row>
    <row r="359">
      <c r="A359" s="26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43" t="n">
        <v>45838</v>
      </c>
      <c r="G359" s="5" t="n">
        <v>2025</v>
      </c>
      <c r="H359" s="5" t="inlineStr">
        <is>
          <t>Junio</t>
        </is>
      </c>
      <c r="I359" s="6" t="inlineStr">
        <is>
          <t>2025-1</t>
        </is>
      </c>
      <c r="J359" s="5" t="n">
        <v>0.2</v>
      </c>
      <c r="K359" s="123" t="n">
        <v>0</v>
      </c>
      <c r="L359" s="28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6" t="n">
        <v>1</v>
      </c>
      <c r="Q359" s="16" t="n">
        <v>2</v>
      </c>
      <c r="R359" s="5" t="inlineStr">
        <is>
          <t>124-2025-06-30</t>
        </is>
      </c>
    </row>
    <row r="360">
      <c r="A360" s="39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44" t="n">
        <v>45869</v>
      </c>
      <c r="G360" s="5" t="n">
        <v>2025</v>
      </c>
      <c r="H360" s="5" t="inlineStr">
        <is>
          <t>Julio</t>
        </is>
      </c>
      <c r="I360" s="6" t="inlineStr">
        <is>
          <t>2025-2</t>
        </is>
      </c>
      <c r="J360" s="5" t="n">
        <v>0.2</v>
      </c>
      <c r="K360" s="123" t="n">
        <v>0.08</v>
      </c>
      <c r="L360" s="28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6" t="n">
        <v>1</v>
      </c>
      <c r="Q360" s="16" t="n">
        <v>2</v>
      </c>
      <c r="R360" s="5" t="inlineStr">
        <is>
          <t>124-2025-07-31</t>
        </is>
      </c>
    </row>
    <row r="361">
      <c r="A361" s="5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44" t="n">
        <v>45900</v>
      </c>
      <c r="G361" s="5" t="n">
        <v>2025</v>
      </c>
      <c r="H361" s="5" t="inlineStr">
        <is>
          <t>Agosto</t>
        </is>
      </c>
      <c r="I361" s="6" t="inlineStr">
        <is>
          <t>2025-2</t>
        </is>
      </c>
      <c r="J361" s="5" t="n">
        <v>0.2</v>
      </c>
      <c r="K361" s="5" t="n">
        <v>0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5" t="n">
        <v>1</v>
      </c>
      <c r="Q361" s="5" t="n">
        <v>2</v>
      </c>
      <c r="R361" s="5" t="inlineStr">
        <is>
          <t>124-2025-08-31</t>
        </is>
      </c>
    </row>
    <row r="362">
      <c r="A362" s="26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44" t="n">
        <v>45930</v>
      </c>
      <c r="G362" s="5" t="n">
        <v>2025</v>
      </c>
      <c r="H362" s="5" t="inlineStr">
        <is>
          <t>Septiembre</t>
        </is>
      </c>
      <c r="I362" s="6" t="inlineStr">
        <is>
          <t>2025-2</t>
        </is>
      </c>
      <c r="J362" s="5" t="n">
        <v>0.2</v>
      </c>
      <c r="K362" s="10" t="n">
        <v>0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16" t="n">
        <v>1</v>
      </c>
      <c r="Q362" s="16" t="n">
        <v>2</v>
      </c>
      <c r="R362" s="5" t="inlineStr">
        <is>
          <t>124-2025-09-30</t>
        </is>
      </c>
    </row>
    <row r="363" customFormat="1" s="33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44" t="n">
        <v>45961</v>
      </c>
      <c r="G363" s="5" t="n">
        <v>2025</v>
      </c>
      <c r="H363" s="5" t="inlineStr">
        <is>
          <t>Octubre</t>
        </is>
      </c>
      <c r="I363" s="6" t="inlineStr">
        <is>
          <t>2025-2</t>
        </is>
      </c>
      <c r="J363" s="5" t="n">
        <v>0.2</v>
      </c>
      <c r="K363" s="125" t="n">
        <v>0</v>
      </c>
      <c r="L363" s="28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6" t="n">
        <v>1</v>
      </c>
      <c r="Q363" s="16" t="n">
        <v>2</v>
      </c>
      <c r="R363" s="5" t="inlineStr">
        <is>
          <t>124-2025-10-31</t>
        </is>
      </c>
    </row>
    <row r="364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44" t="n">
        <v>45991</v>
      </c>
      <c r="G364" s="5" t="n">
        <v>2025</v>
      </c>
      <c r="H364" s="5" t="inlineStr">
        <is>
          <t>Noviembre</t>
        </is>
      </c>
      <c r="I364" s="6" t="inlineStr">
        <is>
          <t>2025-2</t>
        </is>
      </c>
      <c r="J364" s="5" t="n">
        <v>0.2</v>
      </c>
      <c r="K364" s="125" t="n">
        <v>0</v>
      </c>
      <c r="L364" s="28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6" t="n">
        <v>1</v>
      </c>
      <c r="Q364" s="16" t="n">
        <v>2</v>
      </c>
      <c r="R364" s="5" t="inlineStr">
        <is>
          <t>124-2025-11-30</t>
        </is>
      </c>
    </row>
    <row r="365">
      <c r="A365" s="26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44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0.2</v>
      </c>
      <c r="K365" s="125" t="n">
        <v>0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6" t="n">
        <v>1</v>
      </c>
      <c r="Q365" s="16" t="n">
        <v>2</v>
      </c>
      <c r="R365" s="5" t="inlineStr">
        <is>
          <t>124-2025-12-31</t>
        </is>
      </c>
    </row>
    <row r="366">
      <c r="A366" s="26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44" t="n">
        <v>44592</v>
      </c>
      <c r="G366" s="5" t="n">
        <v>2022</v>
      </c>
      <c r="H366" s="5" t="inlineStr">
        <is>
          <t>Enero</t>
        </is>
      </c>
      <c r="I366" s="6" t="inlineStr">
        <is>
          <t>2022-1</t>
        </is>
      </c>
      <c r="J366" s="5" t="n">
        <v>4.7</v>
      </c>
      <c r="K366" s="125" t="n">
        <v>0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16" t="n">
        <v>1</v>
      </c>
      <c r="Q366" s="16" t="n">
        <v>2</v>
      </c>
      <c r="R366" s="5" t="inlineStr">
        <is>
          <t>125-2022-01-31</t>
        </is>
      </c>
    </row>
    <row r="367">
      <c r="A367" s="26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44" t="n">
        <v>44620</v>
      </c>
      <c r="G367" s="5" t="n">
        <v>2022</v>
      </c>
      <c r="H367" s="5" t="inlineStr">
        <is>
          <t>Febrero</t>
        </is>
      </c>
      <c r="I367" s="6" t="inlineStr">
        <is>
          <t>2022-1</t>
        </is>
      </c>
      <c r="J367" s="5" t="n">
        <v>4.7</v>
      </c>
      <c r="K367" s="125" t="n">
        <v>0.20964360587002</v>
      </c>
      <c r="L367" s="28">
        <f>IFERROR(IF(OR(J367=0,K367=""),"",IF(E367="Positivo",MIN(MAX(K367/J367,0),1.3),MIN(MAX(J367/K367,0),1.3))),"") </f>
        <v/>
      </c>
      <c r="M367" s="28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6" t="n">
        <v>1</v>
      </c>
      <c r="Q367" s="16" t="n">
        <v>2</v>
      </c>
      <c r="R367" s="5" t="inlineStr">
        <is>
          <t>125-2022-02-28</t>
        </is>
      </c>
    </row>
    <row r="368">
      <c r="A368" s="39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44" t="n">
        <v>44651</v>
      </c>
      <c r="G368" s="5" t="n">
        <v>2022</v>
      </c>
      <c r="H368" s="5" t="inlineStr">
        <is>
          <t>Marzo</t>
        </is>
      </c>
      <c r="I368" s="6" t="inlineStr">
        <is>
          <t>2022-1</t>
        </is>
      </c>
      <c r="J368" s="5" t="n">
        <v>4.7</v>
      </c>
      <c r="K368" s="125" t="n">
        <v>0</v>
      </c>
      <c r="L368" s="28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6" t="n">
        <v>1</v>
      </c>
      <c r="Q368" s="16" t="n">
        <v>2</v>
      </c>
      <c r="R368" s="5" t="inlineStr">
        <is>
          <t>125-2022-03-31</t>
        </is>
      </c>
    </row>
    <row r="369">
      <c r="A369" s="39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44" t="n">
        <v>44681</v>
      </c>
      <c r="G369" s="5" t="n">
        <v>2022</v>
      </c>
      <c r="H369" s="5" t="inlineStr">
        <is>
          <t>Abril</t>
        </is>
      </c>
      <c r="I369" s="6" t="inlineStr">
        <is>
          <t>2022-1</t>
        </is>
      </c>
      <c r="J369" s="5" t="n">
        <v>4.7</v>
      </c>
      <c r="K369" s="125" t="n">
        <v>0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6" t="n">
        <v>1</v>
      </c>
      <c r="Q369" s="16" t="n">
        <v>2</v>
      </c>
      <c r="R369" s="5" t="inlineStr">
        <is>
          <t>125-2022-04-30</t>
        </is>
      </c>
    </row>
    <row r="370">
      <c r="A370" s="39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44" t="n">
        <v>44712</v>
      </c>
      <c r="G370" s="5" t="n">
        <v>2022</v>
      </c>
      <c r="H370" s="5" t="inlineStr">
        <is>
          <t>Mayo</t>
        </is>
      </c>
      <c r="I370" s="6" t="inlineStr">
        <is>
          <t>2022-1</t>
        </is>
      </c>
      <c r="J370" s="5" t="n">
        <v>4.7</v>
      </c>
      <c r="K370" s="125" t="n">
        <v>0.26680896478122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6" t="n">
        <v>1</v>
      </c>
      <c r="Q370" s="16" t="n">
        <v>2</v>
      </c>
      <c r="R370" s="5" t="inlineStr">
        <is>
          <t>125-2022-05-31</t>
        </is>
      </c>
    </row>
    <row r="371">
      <c r="A371" s="26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44" t="n">
        <v>44742</v>
      </c>
      <c r="G371" s="5" t="n">
        <v>2022</v>
      </c>
      <c r="H371" s="5" t="inlineStr">
        <is>
          <t>Junio</t>
        </is>
      </c>
      <c r="I371" s="6" t="inlineStr">
        <is>
          <t>2022-1</t>
        </is>
      </c>
      <c r="J371" s="5" t="n">
        <v>4.7</v>
      </c>
      <c r="K371" s="123" t="n">
        <v>0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6" t="n">
        <v>1</v>
      </c>
      <c r="Q371" s="16" t="n">
        <v>2</v>
      </c>
      <c r="R371" s="5" t="inlineStr">
        <is>
          <t>125-2022-06-30</t>
        </is>
      </c>
    </row>
    <row r="372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44" t="n">
        <v>44773</v>
      </c>
      <c r="G372" s="5" t="n">
        <v>2022</v>
      </c>
      <c r="H372" s="5" t="inlineStr">
        <is>
          <t>Julio</t>
        </is>
      </c>
      <c r="I372" s="6" t="inlineStr">
        <is>
          <t>2022-2</t>
        </is>
      </c>
      <c r="J372" s="5" t="n">
        <v>4.7</v>
      </c>
      <c r="K372" s="123" t="n">
        <v>0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6" t="n">
        <v>1</v>
      </c>
      <c r="Q372" s="16" t="n">
        <v>2</v>
      </c>
      <c r="R372" s="5" t="inlineStr">
        <is>
          <t>125-2022-07-31</t>
        </is>
      </c>
    </row>
    <row r="373">
      <c r="A373" s="26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44" t="n">
        <v>44804</v>
      </c>
      <c r="G373" s="5" t="n">
        <v>2022</v>
      </c>
      <c r="H373" s="5" t="inlineStr">
        <is>
          <t>Agosto</t>
        </is>
      </c>
      <c r="I373" s="6" t="inlineStr">
        <is>
          <t>2022-2</t>
        </is>
      </c>
      <c r="J373" s="5" t="n">
        <v>4.7</v>
      </c>
      <c r="K373" s="123" t="n">
        <v>0.31094527363184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6" t="n">
        <v>1</v>
      </c>
      <c r="Q373" s="16" t="n">
        <v>2</v>
      </c>
      <c r="R373" s="5" t="inlineStr">
        <is>
          <t>125-2022-08-31</t>
        </is>
      </c>
    </row>
    <row r="374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44" t="n">
        <v>44834</v>
      </c>
      <c r="G374" s="5" t="n">
        <v>2022</v>
      </c>
      <c r="H374" s="5" t="inlineStr">
        <is>
          <t>Septiembre</t>
        </is>
      </c>
      <c r="I374" s="6" t="inlineStr">
        <is>
          <t>2022-2</t>
        </is>
      </c>
      <c r="J374" s="5" t="n">
        <v>4.7</v>
      </c>
      <c r="K374" s="123" t="n">
        <v>0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6" t="n">
        <v>1</v>
      </c>
      <c r="Q374" s="16" t="n">
        <v>2</v>
      </c>
      <c r="R374" s="5" t="inlineStr">
        <is>
          <t>125-2022-09-30</t>
        </is>
      </c>
    </row>
    <row r="375">
      <c r="A375" s="26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44" t="n">
        <v>44865</v>
      </c>
      <c r="G375" s="5" t="n">
        <v>2022</v>
      </c>
      <c r="H375" s="5" t="inlineStr">
        <is>
          <t>Octubre</t>
        </is>
      </c>
      <c r="I375" s="6" t="inlineStr">
        <is>
          <t>2022-2</t>
        </is>
      </c>
      <c r="J375" s="5" t="n">
        <v>4.7</v>
      </c>
      <c r="K375" s="123" t="n">
        <v>0.16556291390728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6" t="n">
        <v>1</v>
      </c>
      <c r="Q375" s="16" t="n">
        <v>2</v>
      </c>
      <c r="R375" s="5" t="inlineStr">
        <is>
          <t>125-2022-10-31</t>
        </is>
      </c>
    </row>
    <row r="376">
      <c r="A376" s="26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44" t="n">
        <v>44895</v>
      </c>
      <c r="G376" s="5" t="n">
        <v>2022</v>
      </c>
      <c r="H376" s="5" t="inlineStr">
        <is>
          <t>Noviembre</t>
        </is>
      </c>
      <c r="I376" s="6" t="inlineStr">
        <is>
          <t>2022-2</t>
        </is>
      </c>
      <c r="J376" s="5" t="n">
        <v>4.7</v>
      </c>
      <c r="K376" s="123" t="n">
        <v>0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16" t="n">
        <v>1</v>
      </c>
      <c r="Q376" s="16" t="n">
        <v>2</v>
      </c>
      <c r="R376" s="5" t="inlineStr">
        <is>
          <t>125-2022-11-30</t>
        </is>
      </c>
    </row>
    <row r="377">
      <c r="A377" s="39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44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4.7</v>
      </c>
      <c r="K377" s="123" t="n">
        <v>0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16" t="n">
        <v>1</v>
      </c>
      <c r="Q377" s="16" t="n">
        <v>2</v>
      </c>
      <c r="R377" s="5" t="inlineStr">
        <is>
          <t>125-2022-12-31</t>
        </is>
      </c>
    </row>
    <row r="378">
      <c r="A378" s="39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44" t="n">
        <v>44957</v>
      </c>
      <c r="G378" s="5" t="n">
        <v>2023</v>
      </c>
      <c r="H378" s="5" t="inlineStr">
        <is>
          <t>Enero</t>
        </is>
      </c>
      <c r="I378" s="6" t="inlineStr">
        <is>
          <t>2023-1</t>
        </is>
      </c>
      <c r="J378" s="5" t="n">
        <v>4.7</v>
      </c>
      <c r="K378" s="123" t="n">
        <v>0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6" t="n">
        <v>1</v>
      </c>
      <c r="Q378" s="16" t="n">
        <v>2</v>
      </c>
      <c r="R378" s="5" t="inlineStr">
        <is>
          <t>125-2023-01-31</t>
        </is>
      </c>
    </row>
    <row r="379">
      <c r="A379" s="39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44" t="n">
        <v>44985</v>
      </c>
      <c r="G379" s="5" t="n">
        <v>2023</v>
      </c>
      <c r="H379" s="5" t="inlineStr">
        <is>
          <t>Febrero</t>
        </is>
      </c>
      <c r="I379" s="6" t="inlineStr">
        <is>
          <t>2023-1</t>
        </is>
      </c>
      <c r="J379" s="5" t="n">
        <v>4.7</v>
      </c>
      <c r="K379" s="123" t="n">
        <v>0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6" t="n">
        <v>1</v>
      </c>
      <c r="Q379" s="16" t="n">
        <v>2</v>
      </c>
      <c r="R379" s="5" t="inlineStr">
        <is>
          <t>125-2023-02-28</t>
        </is>
      </c>
    </row>
    <row r="380">
      <c r="A380" s="26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43" t="n">
        <v>45016</v>
      </c>
      <c r="G380" s="5" t="n">
        <v>2023</v>
      </c>
      <c r="H380" s="5" t="inlineStr">
        <is>
          <t>Marzo</t>
        </is>
      </c>
      <c r="I380" s="6" t="inlineStr">
        <is>
          <t>2023-1</t>
        </is>
      </c>
      <c r="J380" s="5" t="n">
        <v>4.7</v>
      </c>
      <c r="K380" s="123" t="n">
        <v>0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6" t="n">
        <v>1</v>
      </c>
      <c r="Q380" s="16" t="n">
        <v>2</v>
      </c>
      <c r="R380" s="5" t="inlineStr">
        <is>
          <t>125-2023-03-31</t>
        </is>
      </c>
    </row>
    <row r="381">
      <c r="A381" s="39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44" t="n">
        <v>45046</v>
      </c>
      <c r="G381" s="5" t="n">
        <v>2023</v>
      </c>
      <c r="H381" s="5" t="inlineStr">
        <is>
          <t>Abril</t>
        </is>
      </c>
      <c r="I381" s="6" t="inlineStr">
        <is>
          <t>2023-1</t>
        </is>
      </c>
      <c r="J381" s="5" t="n">
        <v>4.7</v>
      </c>
      <c r="K381" s="123" t="n">
        <v>0.13044612575007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6" t="n">
        <v>1</v>
      </c>
      <c r="Q381" s="16" t="n">
        <v>2</v>
      </c>
      <c r="R381" s="5" t="inlineStr">
        <is>
          <t>125-2023-04-30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44" t="n">
        <v>45077</v>
      </c>
      <c r="G382" s="5" t="n">
        <v>2023</v>
      </c>
      <c r="H382" s="5" t="inlineStr">
        <is>
          <t>Mayo</t>
        </is>
      </c>
      <c r="I382" s="6" t="inlineStr">
        <is>
          <t>2023-1</t>
        </is>
      </c>
      <c r="J382" s="5" t="n">
        <v>4.7</v>
      </c>
      <c r="K382" s="123" t="n">
        <v>0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16" t="n">
        <v>1</v>
      </c>
      <c r="Q382" s="16" t="n">
        <v>2</v>
      </c>
      <c r="R382" s="5" t="inlineStr">
        <is>
          <t>125-2023-05-31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44" t="n">
        <v>45107</v>
      </c>
      <c r="G383" s="5" t="n">
        <v>2023</v>
      </c>
      <c r="H383" s="5" t="inlineStr">
        <is>
          <t>Junio</t>
        </is>
      </c>
      <c r="I383" s="6" t="inlineStr">
        <is>
          <t>2023-1</t>
        </is>
      </c>
      <c r="J383" s="5" t="n">
        <v>4.7</v>
      </c>
      <c r="K383" s="123" t="n">
        <v>0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16" t="n">
        <v>1</v>
      </c>
      <c r="Q383" s="16" t="n">
        <v>2</v>
      </c>
      <c r="R383" s="5" t="inlineStr">
        <is>
          <t>125-2023-06-30</t>
        </is>
      </c>
    </row>
    <row r="384">
      <c r="A384" s="26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44" t="n">
        <v>45138</v>
      </c>
      <c r="G384" s="5" t="n">
        <v>2023</v>
      </c>
      <c r="H384" s="5" t="inlineStr">
        <is>
          <t>Julio</t>
        </is>
      </c>
      <c r="I384" s="6" t="inlineStr">
        <is>
          <t>2023-2</t>
        </is>
      </c>
      <c r="J384" s="5" t="n">
        <v>4.7</v>
      </c>
      <c r="K384" s="123" t="n">
        <v>1.0566037735849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6" t="n">
        <v>1</v>
      </c>
      <c r="Q384" s="16" t="n">
        <v>2</v>
      </c>
      <c r="R384" s="5" t="inlineStr">
        <is>
          <t>125-2023-07-31</t>
        </is>
      </c>
    </row>
    <row r="385">
      <c r="A385" s="26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44" t="n">
        <v>45169</v>
      </c>
      <c r="G385" s="5" t="n">
        <v>2023</v>
      </c>
      <c r="H385" s="5" t="inlineStr">
        <is>
          <t>Agosto</t>
        </is>
      </c>
      <c r="I385" s="6" t="inlineStr">
        <is>
          <t>2023-2</t>
        </is>
      </c>
      <c r="J385" s="5" t="n">
        <v>4.7</v>
      </c>
      <c r="K385" s="123" t="n">
        <v>0.92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6" t="n">
        <v>1</v>
      </c>
      <c r="Q385" s="16" t="n">
        <v>2</v>
      </c>
      <c r="R385" s="5" t="inlineStr">
        <is>
          <t>125-2023-08-31</t>
        </is>
      </c>
    </row>
    <row r="386">
      <c r="A386" s="26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44" t="n">
        <v>45199</v>
      </c>
      <c r="G386" s="5" t="n">
        <v>2023</v>
      </c>
      <c r="H386" s="5" t="inlineStr">
        <is>
          <t>Septiembre</t>
        </is>
      </c>
      <c r="I386" s="6" t="inlineStr">
        <is>
          <t>2023-2</t>
        </is>
      </c>
      <c r="J386" s="5" t="n">
        <v>4.7</v>
      </c>
      <c r="K386" s="123" t="n">
        <v>0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6" t="n">
        <v>1</v>
      </c>
      <c r="Q386" s="16" t="n">
        <v>2</v>
      </c>
      <c r="R386" s="5" t="inlineStr">
        <is>
          <t>125-2023-09-30</t>
        </is>
      </c>
    </row>
    <row r="387">
      <c r="A387" s="26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44" t="n">
        <v>45230</v>
      </c>
      <c r="G387" s="5" t="n">
        <v>2023</v>
      </c>
      <c r="H387" s="5" t="inlineStr">
        <is>
          <t>Octubre</t>
        </is>
      </c>
      <c r="I387" s="6" t="inlineStr">
        <is>
          <t>2023-2</t>
        </is>
      </c>
      <c r="J387" s="5" t="n">
        <v>4.7</v>
      </c>
      <c r="K387" s="123" t="n">
        <v>0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16" t="n">
        <v>1</v>
      </c>
      <c r="Q387" s="16" t="n">
        <v>2</v>
      </c>
      <c r="R387" s="5" t="inlineStr">
        <is>
          <t>125-2023-10-31</t>
        </is>
      </c>
    </row>
    <row r="388">
      <c r="A388" s="39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44" t="n">
        <v>45260</v>
      </c>
      <c r="G388" s="5" t="n">
        <v>2023</v>
      </c>
      <c r="H388" s="5" t="inlineStr">
        <is>
          <t>Noviembre</t>
        </is>
      </c>
      <c r="I388" s="6" t="inlineStr">
        <is>
          <t>2023-2</t>
        </is>
      </c>
      <c r="J388" s="5" t="n">
        <v>4.7</v>
      </c>
      <c r="K388" s="123" t="n">
        <v>0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16" t="n">
        <v>1</v>
      </c>
      <c r="Q388" s="16" t="n">
        <v>2</v>
      </c>
      <c r="R388" s="5" t="inlineStr">
        <is>
          <t>125-2023-11-30</t>
        </is>
      </c>
    </row>
    <row r="389">
      <c r="A389" s="39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44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4.7</v>
      </c>
      <c r="K389" s="123" t="n">
        <v>0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6" t="n">
        <v>1</v>
      </c>
      <c r="Q389" s="16" t="n">
        <v>2</v>
      </c>
      <c r="R389" s="5" t="inlineStr">
        <is>
          <t>125-2023-12-31</t>
        </is>
      </c>
    </row>
    <row r="390">
      <c r="A390" s="39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44" t="n">
        <v>45322</v>
      </c>
      <c r="G390" s="5" t="n">
        <v>2024</v>
      </c>
      <c r="H390" s="5" t="inlineStr">
        <is>
          <t>Enero</t>
        </is>
      </c>
      <c r="I390" s="6" t="inlineStr">
        <is>
          <t>2024-1</t>
        </is>
      </c>
      <c r="J390" s="5" t="n">
        <v>1.9</v>
      </c>
      <c r="K390" s="123" t="n">
        <v>0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6" t="n">
        <v>1</v>
      </c>
      <c r="Q390" s="16" t="n">
        <v>2</v>
      </c>
      <c r="R390" s="5" t="inlineStr">
        <is>
          <t>125-2024-01-31</t>
        </is>
      </c>
    </row>
    <row r="391">
      <c r="A391" s="26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44" t="n">
        <v>45351</v>
      </c>
      <c r="G391" s="5" t="n">
        <v>2024</v>
      </c>
      <c r="H391" s="5" t="inlineStr">
        <is>
          <t>Febrero</t>
        </is>
      </c>
      <c r="I391" s="6" t="inlineStr">
        <is>
          <t>2024-1</t>
        </is>
      </c>
      <c r="J391" s="5" t="n">
        <v>1.9</v>
      </c>
      <c r="K391" s="123" t="n">
        <v>0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6" t="n">
        <v>1</v>
      </c>
      <c r="Q391" s="16" t="n">
        <v>2</v>
      </c>
      <c r="R391" s="5" t="inlineStr">
        <is>
          <t>125-2024-02-29</t>
        </is>
      </c>
    </row>
    <row r="392">
      <c r="A392" s="26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43" t="n">
        <v>45382</v>
      </c>
      <c r="G392" s="5" t="n">
        <v>2024</v>
      </c>
      <c r="H392" s="5" t="inlineStr">
        <is>
          <t>Marzo</t>
        </is>
      </c>
      <c r="I392" s="6" t="inlineStr">
        <is>
          <t>2024-1</t>
        </is>
      </c>
      <c r="J392" s="5" t="n">
        <v>1.9</v>
      </c>
      <c r="K392" s="123" t="n">
        <v>0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6" t="n">
        <v>1</v>
      </c>
      <c r="Q392" s="16" t="n">
        <v>2</v>
      </c>
      <c r="R392" s="5" t="inlineStr">
        <is>
          <t>125-2024-03-31</t>
        </is>
      </c>
    </row>
    <row r="393">
      <c r="A393" s="26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44" t="n">
        <v>45412</v>
      </c>
      <c r="G393" s="5" t="n">
        <v>2024</v>
      </c>
      <c r="H393" s="5" t="inlineStr">
        <is>
          <t>Abril</t>
        </is>
      </c>
      <c r="I393" s="6" t="inlineStr">
        <is>
          <t>2024-1</t>
        </is>
      </c>
      <c r="J393" s="5" t="n">
        <v>1.9</v>
      </c>
      <c r="K393" s="10" t="n">
        <v>0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6" t="n">
        <v>1</v>
      </c>
      <c r="Q393" s="16" t="n">
        <v>2</v>
      </c>
      <c r="R393" s="5" t="inlineStr">
        <is>
          <t>125-2024-04-30</t>
        </is>
      </c>
    </row>
    <row r="394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44" t="n">
        <v>45443</v>
      </c>
      <c r="G394" s="5" t="n">
        <v>2024</v>
      </c>
      <c r="H394" s="5" t="inlineStr">
        <is>
          <t>Mayo</t>
        </is>
      </c>
      <c r="I394" s="6" t="inlineStr">
        <is>
          <t>2024-1</t>
        </is>
      </c>
      <c r="J394" s="5" t="n">
        <v>1.9</v>
      </c>
      <c r="K394" s="123" t="n">
        <v>0.2091175240485153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16" t="n">
        <v>1</v>
      </c>
      <c r="Q394" s="16" t="n">
        <v>2</v>
      </c>
      <c r="R394" s="5" t="inlineStr">
        <is>
          <t>125-2024-05-31</t>
        </is>
      </c>
    </row>
    <row r="395">
      <c r="A395" s="26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44" t="n">
        <v>45473</v>
      </c>
      <c r="G395" s="5" t="n">
        <v>2024</v>
      </c>
      <c r="H395" s="5" t="inlineStr">
        <is>
          <t>Junio</t>
        </is>
      </c>
      <c r="I395" s="6" t="inlineStr">
        <is>
          <t>2024-1</t>
        </is>
      </c>
      <c r="J395" s="5" t="n">
        <v>1.9</v>
      </c>
      <c r="K395" s="123" t="n">
        <v>0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16" t="n">
        <v>1</v>
      </c>
      <c r="Q395" s="16" t="n">
        <v>2</v>
      </c>
      <c r="R395" s="5" t="inlineStr">
        <is>
          <t>125-2024-06-30</t>
        </is>
      </c>
    </row>
    <row r="396">
      <c r="A396" s="26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44" t="n">
        <v>45504</v>
      </c>
      <c r="G396" s="5" t="n">
        <v>2024</v>
      </c>
      <c r="H396" s="5" t="inlineStr">
        <is>
          <t>Julio</t>
        </is>
      </c>
      <c r="I396" s="6" t="inlineStr">
        <is>
          <t>2024-2</t>
        </is>
      </c>
      <c r="J396" s="5" t="n">
        <v>1.9</v>
      </c>
      <c r="K396" s="123" t="n">
        <v>0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6" t="n">
        <v>1</v>
      </c>
      <c r="Q396" s="16" t="n">
        <v>2</v>
      </c>
      <c r="R396" s="5" t="inlineStr">
        <is>
          <t>125-2024-07-31</t>
        </is>
      </c>
    </row>
    <row r="397">
      <c r="A397" s="26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44" t="n">
        <v>45535</v>
      </c>
      <c r="G397" s="5" t="n">
        <v>2024</v>
      </c>
      <c r="H397" s="5" t="inlineStr">
        <is>
          <t>Agosto</t>
        </is>
      </c>
      <c r="I397" s="6" t="inlineStr">
        <is>
          <t>2024-2</t>
        </is>
      </c>
      <c r="J397" s="5" t="n">
        <v>1.9</v>
      </c>
      <c r="K397" s="123" t="n">
        <v>0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16" t="n">
        <v>1</v>
      </c>
      <c r="Q397" s="16" t="n">
        <v>2</v>
      </c>
      <c r="R397" s="5" t="inlineStr">
        <is>
          <t>125-2024-08-31</t>
        </is>
      </c>
    </row>
    <row r="398">
      <c r="A398" s="26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44" t="n">
        <v>45565</v>
      </c>
      <c r="G398" s="5" t="n">
        <v>2024</v>
      </c>
      <c r="H398" s="5" t="inlineStr">
        <is>
          <t>Septiembre</t>
        </is>
      </c>
      <c r="I398" s="6" t="inlineStr">
        <is>
          <t>2024-2</t>
        </is>
      </c>
      <c r="J398" s="5" t="n">
        <v>1.9</v>
      </c>
      <c r="K398" s="123" t="n">
        <v>0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16" t="n">
        <v>1</v>
      </c>
      <c r="Q398" s="16" t="n">
        <v>2</v>
      </c>
      <c r="R398" s="5" t="inlineStr">
        <is>
          <t>125-2024-09-30</t>
        </is>
      </c>
    </row>
    <row r="399">
      <c r="A399" s="26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44" t="n">
        <v>45596</v>
      </c>
      <c r="G399" s="5" t="n">
        <v>2024</v>
      </c>
      <c r="H399" s="5" t="inlineStr">
        <is>
          <t>Octubre</t>
        </is>
      </c>
      <c r="I399" s="6" t="inlineStr">
        <is>
          <t>2024-2</t>
        </is>
      </c>
      <c r="J399" s="5" t="n">
        <v>1.9</v>
      </c>
      <c r="K399" s="123" t="n">
        <v>0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16" t="n">
        <v>1</v>
      </c>
      <c r="Q399" s="16" t="n">
        <v>2</v>
      </c>
      <c r="R399" s="5" t="inlineStr">
        <is>
          <t>125-2024-10-31</t>
        </is>
      </c>
    </row>
    <row r="400">
      <c r="A400" s="26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44" t="n">
        <v>45626</v>
      </c>
      <c r="G400" s="5" t="n">
        <v>2024</v>
      </c>
      <c r="H400" s="5" t="inlineStr">
        <is>
          <t>Noviembre</t>
        </is>
      </c>
      <c r="I400" s="6" t="inlineStr">
        <is>
          <t>2024-2</t>
        </is>
      </c>
      <c r="J400" s="5" t="n">
        <v>1.9</v>
      </c>
      <c r="K400" s="123" t="n">
        <v>0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16" t="n">
        <v>1</v>
      </c>
      <c r="Q400" s="16" t="n">
        <v>2</v>
      </c>
      <c r="R400" s="5" t="inlineStr">
        <is>
          <t>125-2024-11-30</t>
        </is>
      </c>
    </row>
    <row r="40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43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1.9</v>
      </c>
      <c r="K401" s="123" t="n">
        <v>0.91324200913242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125-2024-12-31</t>
        </is>
      </c>
    </row>
    <row r="402">
      <c r="A402" s="5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43" t="n">
        <v>45688</v>
      </c>
      <c r="G402" s="5" t="n">
        <v>2025</v>
      </c>
      <c r="H402" s="5" t="inlineStr">
        <is>
          <t>Enero</t>
        </is>
      </c>
      <c r="I402" s="6" t="inlineStr">
        <is>
          <t>2025-1</t>
        </is>
      </c>
      <c r="J402" s="5" t="n">
        <v>1.9</v>
      </c>
      <c r="K402" s="123" t="n">
        <v>0.2734731084776664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2</v>
      </c>
      <c r="R402" s="5" t="inlineStr">
        <is>
          <t>125-2025-01-31</t>
        </is>
      </c>
    </row>
    <row r="403">
      <c r="A403" s="26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43" t="n">
        <v>45716</v>
      </c>
      <c r="G403" s="5" t="n">
        <v>2025</v>
      </c>
      <c r="H403" s="5" t="inlineStr">
        <is>
          <t>Febrero</t>
        </is>
      </c>
      <c r="I403" s="6" t="inlineStr">
        <is>
          <t>2025-1</t>
        </is>
      </c>
      <c r="J403" s="5" t="n">
        <v>1.9</v>
      </c>
      <c r="K403" s="123" t="n">
        <v>0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16" t="n">
        <v>1</v>
      </c>
      <c r="Q403" s="16" t="n">
        <v>2</v>
      </c>
      <c r="R403" s="5" t="inlineStr">
        <is>
          <t>125-2025-02-28</t>
        </is>
      </c>
    </row>
    <row r="404">
      <c r="A404" s="26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44" t="n">
        <v>45747</v>
      </c>
      <c r="G404" s="5" t="n">
        <v>2025</v>
      </c>
      <c r="H404" s="5" t="inlineStr">
        <is>
          <t>Marzo</t>
        </is>
      </c>
      <c r="I404" s="6" t="inlineStr">
        <is>
          <t>2025-1</t>
        </is>
      </c>
      <c r="J404" s="5" t="n">
        <v>1.9</v>
      </c>
      <c r="K404" s="123" t="n">
        <v>0.45</v>
      </c>
      <c r="L404" s="28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16" t="n">
        <v>1</v>
      </c>
      <c r="Q404" s="16" t="n">
        <v>2</v>
      </c>
      <c r="R404" s="5" t="inlineStr">
        <is>
          <t>125-2025-03-31</t>
        </is>
      </c>
    </row>
    <row r="405">
      <c r="A405" s="26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43" t="n">
        <v>45777</v>
      </c>
      <c r="G405" s="5" t="n">
        <v>2025</v>
      </c>
      <c r="H405" s="5" t="inlineStr">
        <is>
          <t>Abril</t>
        </is>
      </c>
      <c r="I405" s="6" t="inlineStr">
        <is>
          <t>2025-1</t>
        </is>
      </c>
      <c r="J405" s="5" t="n">
        <v>1.9</v>
      </c>
      <c r="K405" s="123" t="n">
        <v>0</v>
      </c>
      <c r="L405" s="28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16" t="n">
        <v>1</v>
      </c>
      <c r="Q405" s="16" t="n">
        <v>2</v>
      </c>
      <c r="R405" s="5" t="inlineStr">
        <is>
          <t>125-2025-04-30</t>
        </is>
      </c>
    </row>
    <row r="406">
      <c r="A406" s="26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44" t="n">
        <v>45808</v>
      </c>
      <c r="G406" s="5" t="n">
        <v>2025</v>
      </c>
      <c r="H406" s="5" t="inlineStr">
        <is>
          <t>Mayo</t>
        </is>
      </c>
      <c r="I406" s="6" t="inlineStr">
        <is>
          <t>2025-1</t>
        </is>
      </c>
      <c r="J406" s="5" t="n">
        <v>1.9</v>
      </c>
      <c r="K406" s="10" t="n">
        <v>0.24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16" t="n">
        <v>1</v>
      </c>
      <c r="Q406" s="16" t="n">
        <v>2</v>
      </c>
      <c r="R406" s="5" t="inlineStr">
        <is>
          <t>125-2025-05-31</t>
        </is>
      </c>
    </row>
    <row r="407">
      <c r="A407" s="5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43" t="n">
        <v>45838</v>
      </c>
      <c r="G407" s="5" t="n">
        <v>2025</v>
      </c>
      <c r="H407" s="5" t="inlineStr">
        <is>
          <t>Junio</t>
        </is>
      </c>
      <c r="I407" s="6" t="inlineStr">
        <is>
          <t>2025-1</t>
        </is>
      </c>
      <c r="J407" s="5" t="n">
        <v>1.9</v>
      </c>
      <c r="K407" s="123" t="n">
        <v>0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5" t="n">
        <v>1</v>
      </c>
      <c r="Q407" s="5" t="n">
        <v>2</v>
      </c>
      <c r="R407" s="5" t="inlineStr">
        <is>
          <t>125-2025-06-30</t>
        </is>
      </c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43" t="n">
        <v>45869</v>
      </c>
      <c r="G408" s="5" t="n">
        <v>2025</v>
      </c>
      <c r="H408" s="5" t="inlineStr">
        <is>
          <t>Julio</t>
        </is>
      </c>
      <c r="I408" s="6" t="inlineStr">
        <is>
          <t>2025-2</t>
        </is>
      </c>
      <c r="J408" s="5" t="n">
        <v>1.9</v>
      </c>
      <c r="K408" s="123" t="n">
        <v>0.25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125-2025-07-31</t>
        </is>
      </c>
    </row>
    <row r="409">
      <c r="A409" s="26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43" t="n">
        <v>45900</v>
      </c>
      <c r="G409" s="5" t="n">
        <v>2025</v>
      </c>
      <c r="H409" s="5" t="inlineStr">
        <is>
          <t>Agosto</t>
        </is>
      </c>
      <c r="I409" s="6" t="inlineStr">
        <is>
          <t>2025-2</t>
        </is>
      </c>
      <c r="J409" s="5" t="n">
        <v>1.9</v>
      </c>
      <c r="K409" s="123" t="n">
        <v>0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16" t="n">
        <v>1</v>
      </c>
      <c r="Q409" s="16" t="n">
        <v>2</v>
      </c>
      <c r="R409" s="5" t="inlineStr">
        <is>
          <t>125-2025-08-31</t>
        </is>
      </c>
    </row>
    <row r="410">
      <c r="A410" s="26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44" t="n">
        <v>45930</v>
      </c>
      <c r="G410" s="5" t="n">
        <v>2025</v>
      </c>
      <c r="H410" s="5" t="inlineStr">
        <is>
          <t>Septiembre</t>
        </is>
      </c>
      <c r="I410" s="6" t="inlineStr">
        <is>
          <t>2025-2</t>
        </is>
      </c>
      <c r="J410" s="5" t="n">
        <v>1.9</v>
      </c>
      <c r="K410" s="123" t="n">
        <v>0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 t="inlineStr">
        <is>
          <t>125-2025-09-30</t>
        </is>
      </c>
    </row>
    <row r="411">
      <c r="A411" s="26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43" t="n">
        <v>45961</v>
      </c>
      <c r="G411" s="5" t="n">
        <v>2025</v>
      </c>
      <c r="H411" s="5" t="inlineStr">
        <is>
          <t>Octubre</t>
        </is>
      </c>
      <c r="I411" s="6" t="inlineStr">
        <is>
          <t>2025-2</t>
        </is>
      </c>
      <c r="J411" s="5" t="n">
        <v>1.9</v>
      </c>
      <c r="K411" s="123" t="n">
        <v>0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 t="inlineStr">
        <is>
          <t>125-2025-10-31</t>
        </is>
      </c>
    </row>
    <row r="412">
      <c r="A412" s="5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43" t="n">
        <v>45991</v>
      </c>
      <c r="G412" s="5" t="n">
        <v>2025</v>
      </c>
      <c r="H412" s="5" t="inlineStr">
        <is>
          <t>Noviembre</t>
        </is>
      </c>
      <c r="I412" s="6" t="inlineStr">
        <is>
          <t>2025-2</t>
        </is>
      </c>
      <c r="J412" s="5" t="n">
        <v>1.9</v>
      </c>
      <c r="K412" s="123" t="n">
        <v>0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5" t="n">
        <v>1</v>
      </c>
      <c r="Q412" s="5" t="n">
        <v>2</v>
      </c>
      <c r="R412" s="5" t="inlineStr">
        <is>
          <t>125-2025-11-30</t>
        </is>
      </c>
    </row>
    <row r="413">
      <c r="A413" s="5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43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1.9</v>
      </c>
      <c r="K413" s="123" t="n">
        <v>0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5" t="n">
        <v>1</v>
      </c>
      <c r="Q413" s="5" t="n">
        <v>2</v>
      </c>
      <c r="R413" s="5" t="inlineStr">
        <is>
          <t>125-2025-12-31</t>
        </is>
      </c>
    </row>
    <row r="414">
      <c r="A414" s="26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143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5" t="n">
        <v>2</v>
      </c>
      <c r="K414" s="123" t="n">
        <v>0.12391573729864</v>
      </c>
      <c r="L414" s="28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16" t="n">
        <v>0</v>
      </c>
      <c r="Q414" s="16" t="n">
        <v>2</v>
      </c>
      <c r="R414" s="5" t="inlineStr">
        <is>
          <t>126-2022-12-31</t>
        </is>
      </c>
    </row>
    <row r="415">
      <c r="A415" s="39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144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2</v>
      </c>
      <c r="K415" s="123" t="n">
        <v>0.12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16" t="n">
        <v>0</v>
      </c>
      <c r="Q415" s="16" t="n">
        <v>2</v>
      </c>
      <c r="R415" s="5" t="inlineStr">
        <is>
          <t>126-2023-12-31</t>
        </is>
      </c>
    </row>
    <row r="416">
      <c r="A416" s="26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144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2</v>
      </c>
      <c r="K416" s="123" t="n">
        <v>0.1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inlineStr">
        <is>
          <t>DEC</t>
        </is>
      </c>
      <c r="O416" s="5" t="inlineStr">
        <is>
          <t>DEC</t>
        </is>
      </c>
      <c r="P416" s="16" t="n">
        <v>0</v>
      </c>
      <c r="Q416" s="16" t="n">
        <v>1</v>
      </c>
      <c r="R416" s="5" t="inlineStr">
        <is>
          <t>126-2024-12-31</t>
        </is>
      </c>
    </row>
    <row r="417">
      <c r="A417" s="26" t="n">
        <v>126</v>
      </c>
      <c r="B417" s="5" t="inlineStr">
        <is>
          <t>Indice de Prevalencia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144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2</v>
      </c>
      <c r="K417" s="123" t="n">
        <v>0.16</v>
      </c>
      <c r="L417" s="28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inlineStr">
        <is>
          <t>ENT</t>
        </is>
      </c>
      <c r="O417" s="5" t="inlineStr">
        <is>
          <t>DEC</t>
        </is>
      </c>
      <c r="P417" s="16" t="n">
        <v>0</v>
      </c>
      <c r="Q417" s="16" t="n">
        <v>1</v>
      </c>
      <c r="R417" s="5" t="inlineStr">
        <is>
          <t>126-2025-12-31</t>
        </is>
      </c>
    </row>
    <row r="418">
      <c r="A418" s="43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144" t="n">
        <v>44926</v>
      </c>
      <c r="G418" s="5" t="n">
        <v>2022</v>
      </c>
      <c r="H418" s="5" t="inlineStr">
        <is>
          <t>Diciembre</t>
        </is>
      </c>
      <c r="I418" s="6" t="inlineStr">
        <is>
          <t>2022-2</t>
        </is>
      </c>
      <c r="J418" s="5" t="n">
        <v>0</v>
      </c>
      <c r="K418" s="123" t="n">
        <v>0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n"/>
      <c r="O418" s="5" t="n"/>
      <c r="P418" s="16" t="n">
        <v>0</v>
      </c>
      <c r="Q418" s="16" t="n">
        <v>0</v>
      </c>
      <c r="R418" s="5" t="inlineStr">
        <is>
          <t>127-2022-12-31</t>
        </is>
      </c>
    </row>
    <row r="419">
      <c r="A419" s="39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144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0</v>
      </c>
      <c r="K419" s="123" t="n">
        <v>0</v>
      </c>
      <c r="L419" s="28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n"/>
      <c r="O419" s="5" t="n"/>
      <c r="P419" s="16" t="n">
        <v>0</v>
      </c>
      <c r="Q419" s="16" t="n">
        <v>0</v>
      </c>
      <c r="R419" s="5" t="inlineStr">
        <is>
          <t>127-2023-12-31</t>
        </is>
      </c>
    </row>
    <row r="420">
      <c r="A420" s="26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144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0</v>
      </c>
      <c r="K420" s="10" t="n">
        <v>0</v>
      </c>
      <c r="L420" s="28">
        <f>IFERROR(IF(OR(J420=0,K420=""),"",IF(E420="Positivo",MIN(MAX(K420/J420,0),1.3),MIN(MAX(J420/K420,0),1.3))),"") </f>
        <v/>
      </c>
      <c r="M420" s="28">
        <f>IFERROR(IF(OR(J420=0,K420=""),"",IF(E420="Positivo",MAX(K420/J420,0),MAX(J420/K420,0))),"") </f>
        <v/>
      </c>
      <c r="N420" s="5" t="n"/>
      <c r="O420" s="5" t="n"/>
      <c r="P420" s="16" t="n">
        <v>0</v>
      </c>
      <c r="Q420" s="16" t="n">
        <v>0</v>
      </c>
      <c r="R420" s="5" t="inlineStr">
        <is>
          <t>127-2024-12-31</t>
        </is>
      </c>
    </row>
    <row r="421">
      <c r="A421" s="5" t="n">
        <v>127</v>
      </c>
      <c r="B421" s="5" t="inlineStr">
        <is>
          <t>Indice de Incidencia EL Enfermedad laboral</t>
        </is>
      </c>
      <c r="C421" s="5" t="inlineStr">
        <is>
          <t>GESTIÓN DE SEGURIDAD Y SALUD EN EL TRABAJO</t>
        </is>
      </c>
      <c r="D421" s="5" t="inlineStr">
        <is>
          <t>Anual</t>
        </is>
      </c>
      <c r="E421" s="5" t="inlineStr">
        <is>
          <t>Negativo</t>
        </is>
      </c>
      <c r="F421" s="144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0</v>
      </c>
      <c r="K421" s="5" t="n">
        <v>0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inlineStr">
        <is>
          <t>ENT</t>
        </is>
      </c>
      <c r="O421" s="5" t="inlineStr">
        <is>
          <t>DEC</t>
        </is>
      </c>
      <c r="P421" s="5" t="n">
        <v>0</v>
      </c>
      <c r="Q421" s="5" t="n">
        <v>0</v>
      </c>
      <c r="R421" s="5" t="inlineStr">
        <is>
          <t>127-2025-12-31</t>
        </is>
      </c>
    </row>
    <row r="422">
      <c r="A422" s="26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44" t="n">
        <v>44592</v>
      </c>
      <c r="G422" s="5" t="n">
        <v>2022</v>
      </c>
      <c r="H422" s="5" t="inlineStr">
        <is>
          <t>Enero</t>
        </is>
      </c>
      <c r="I422" s="6" t="inlineStr">
        <is>
          <t>2022-1</t>
        </is>
      </c>
      <c r="J422" s="5" t="n">
        <v>1</v>
      </c>
      <c r="K422" s="10" t="n">
        <v>0.55904961565339</v>
      </c>
      <c r="L422" s="28">
        <f>IFERROR(IF(OR(J422=0,K422=""),"",IF(E422="Positivo",MIN(MAX(K422/J422,0),1.3),MIN(MAX(J422/K422,0),1.3))),"") </f>
        <v/>
      </c>
      <c r="M422" s="28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16" t="n">
        <v>0</v>
      </c>
      <c r="Q422" s="16" t="n">
        <v>2</v>
      </c>
      <c r="R422" s="5" t="inlineStr">
        <is>
          <t>128-2022-01-31</t>
        </is>
      </c>
    </row>
    <row r="423">
      <c r="A423" s="26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44" t="n">
        <v>44620</v>
      </c>
      <c r="G423" s="5" t="n">
        <v>2022</v>
      </c>
      <c r="H423" s="5" t="inlineStr">
        <is>
          <t>Febrero</t>
        </is>
      </c>
      <c r="I423" s="6" t="inlineStr">
        <is>
          <t>2022-1</t>
        </is>
      </c>
      <c r="J423" s="5" t="n">
        <v>1</v>
      </c>
      <c r="K423" s="10" t="n">
        <v>0.93990216631726</v>
      </c>
      <c r="L423" s="28">
        <f>IFERROR(IF(OR(J423=0,K423=""),"",IF(E423="Positivo",MIN(MAX(K423/J423,0),1.3),MIN(MAX(J423/K423,0),1.3))),"") </f>
        <v/>
      </c>
      <c r="M423" s="28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16" t="n">
        <v>0</v>
      </c>
      <c r="Q423" s="16" t="n">
        <v>2</v>
      </c>
      <c r="R423" s="5" t="inlineStr">
        <is>
          <t>128-2022-02-28</t>
        </is>
      </c>
    </row>
    <row r="424">
      <c r="A424" s="26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43" t="n">
        <v>44651</v>
      </c>
      <c r="G424" s="5" t="n">
        <v>2022</v>
      </c>
      <c r="H424" s="5" t="inlineStr">
        <is>
          <t>Marzo</t>
        </is>
      </c>
      <c r="I424" s="6" t="inlineStr">
        <is>
          <t>2022-1</t>
        </is>
      </c>
      <c r="J424" s="5" t="n">
        <v>1</v>
      </c>
      <c r="K424" s="123" t="n">
        <v>0.67280262662145</v>
      </c>
      <c r="L424" s="28">
        <f>IFERROR(IF(OR(J424=0,K424=""),"",IF(E424="Positivo",MIN(MAX(K424/J424,0),1.3),MIN(MAX(J424/K424,0),1.3))),"") </f>
        <v/>
      </c>
      <c r="M424" s="28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16" t="n">
        <v>0</v>
      </c>
      <c r="Q424" s="16" t="n">
        <v>2</v>
      </c>
      <c r="R424" s="5" t="inlineStr">
        <is>
          <t>128-2022-03-31</t>
        </is>
      </c>
    </row>
    <row r="425">
      <c r="A425" s="39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44" t="n">
        <v>44681</v>
      </c>
      <c r="G425" s="5" t="n">
        <v>2022</v>
      </c>
      <c r="H425" s="5" t="inlineStr">
        <is>
          <t>Abril</t>
        </is>
      </c>
      <c r="I425" s="6" t="inlineStr">
        <is>
          <t>2022-1</t>
        </is>
      </c>
      <c r="J425" s="5" t="n">
        <v>1</v>
      </c>
      <c r="K425" s="123" t="n">
        <v>0.77818283791363</v>
      </c>
      <c r="L425" s="28">
        <f>IFERROR(IF(OR(J425=0,K425=""),"",IF(E425="Positivo",MIN(MAX(K425/J425,0),1.3),MIN(MAX(J425/K425,0),1.3))),"") </f>
        <v/>
      </c>
      <c r="M425" s="28">
        <f>IFERROR(IF(OR(J425=0,K425=""),"",IF(E425="Positivo",MAX(K425/J425,0),MAX(J425/K425,0))),"") </f>
        <v/>
      </c>
      <c r="N425" s="5" t="inlineStr">
        <is>
          <t>DEC</t>
        </is>
      </c>
      <c r="O425" s="5" t="inlineStr">
        <is>
          <t>DEC</t>
        </is>
      </c>
      <c r="P425" s="16" t="n">
        <v>0</v>
      </c>
      <c r="Q425" s="16" t="n">
        <v>2</v>
      </c>
      <c r="R425" s="5" t="inlineStr">
        <is>
          <t>128-2022-04-30</t>
        </is>
      </c>
    </row>
    <row r="426">
      <c r="A426" s="5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44" t="n">
        <v>44712</v>
      </c>
      <c r="G426" s="5" t="n">
        <v>2022</v>
      </c>
      <c r="H426" s="5" t="inlineStr">
        <is>
          <t>Mayo</t>
        </is>
      </c>
      <c r="I426" s="6" t="inlineStr">
        <is>
          <t>2022-1</t>
        </is>
      </c>
      <c r="J426" s="5" t="n">
        <v>1</v>
      </c>
      <c r="K426" s="5" t="n">
        <v>0.5412410428419</v>
      </c>
      <c r="L426" s="28">
        <f>IFERROR(IF(OR(J426=0,K426=""),"",IF(E426="Positivo",MIN(MAX(K426/J426,0),1.3),MIN(MAX(J426/K426,0),1.3))),"") </f>
        <v/>
      </c>
      <c r="M426" s="28">
        <f>IFERROR(IF(OR(J426=0,K426=""),"",IF(E426="Positivo",MAX(K426/J426,0),MAX(J426/K426,0))),"") </f>
        <v/>
      </c>
      <c r="N426" s="5" t="inlineStr">
        <is>
          <t>DEC</t>
        </is>
      </c>
      <c r="O426" s="5" t="inlineStr">
        <is>
          <t>DEC</t>
        </is>
      </c>
      <c r="P426" s="5" t="n">
        <v>0</v>
      </c>
      <c r="Q426" s="5" t="n">
        <v>2</v>
      </c>
      <c r="R426" s="5" t="inlineStr">
        <is>
          <t>128-2022-05-31</t>
        </is>
      </c>
    </row>
    <row r="427">
      <c r="A427" s="26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44" t="n">
        <v>44742</v>
      </c>
      <c r="G427" s="5" t="n">
        <v>2022</v>
      </c>
      <c r="H427" s="5" t="inlineStr">
        <is>
          <t>Junio</t>
        </is>
      </c>
      <c r="I427" s="6" t="inlineStr">
        <is>
          <t>2022-1</t>
        </is>
      </c>
      <c r="J427" s="5" t="n">
        <v>1</v>
      </c>
      <c r="K427" s="10" t="n">
        <v>0.8128834355828199</v>
      </c>
      <c r="L427" s="28">
        <f>IFERROR(IF(OR(J427=0,K427=""),"",IF(E427="Positivo",MIN(MAX(K427/J427,0),1.3),MIN(MAX(J427/K427,0),1.3))),"") </f>
        <v/>
      </c>
      <c r="M427" s="28">
        <f>IFERROR(IF(OR(J427=0,K427=""),"",IF(E427="Positivo",MAX(K427/J427,0),MAX(J427/K427,0))),"") </f>
        <v/>
      </c>
      <c r="N427" s="5" t="inlineStr">
        <is>
          <t>DEC</t>
        </is>
      </c>
      <c r="O427" s="5" t="inlineStr">
        <is>
          <t>DEC</t>
        </is>
      </c>
      <c r="P427" s="16" t="n">
        <v>0</v>
      </c>
      <c r="Q427" s="16" t="n">
        <v>2</v>
      </c>
      <c r="R427" s="5" t="inlineStr">
        <is>
          <t>128-2022-06-30</t>
        </is>
      </c>
    </row>
    <row r="428">
      <c r="A428" s="39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44" t="n">
        <v>44773</v>
      </c>
      <c r="G428" s="5" t="n">
        <v>2022</v>
      </c>
      <c r="H428" s="5" t="inlineStr">
        <is>
          <t>Julio</t>
        </is>
      </c>
      <c r="I428" s="6" t="inlineStr">
        <is>
          <t>2022-2</t>
        </is>
      </c>
      <c r="J428" s="5" t="n">
        <v>1</v>
      </c>
      <c r="K428" s="123" t="n">
        <v>1.1950826969832</v>
      </c>
      <c r="L428" s="28">
        <f>IFERROR(IF(OR(J428=0,K428=""),"",IF(E428="Positivo",MIN(MAX(K428/J428,0),1.3),MIN(MAX(J428/K428,0),1.3))),"") </f>
        <v/>
      </c>
      <c r="M428" s="28">
        <f>IFERROR(IF(OR(J428=0,K428=""),"",IF(E428="Positivo",MAX(K428/J428,0),MAX(J428/K428,0))),"") </f>
        <v/>
      </c>
      <c r="N428" s="5" t="inlineStr">
        <is>
          <t>DEC</t>
        </is>
      </c>
      <c r="O428" s="20" t="inlineStr">
        <is>
          <t>DEC</t>
        </is>
      </c>
      <c r="P428" s="16" t="n">
        <v>0</v>
      </c>
      <c r="Q428" s="16" t="n">
        <v>2</v>
      </c>
      <c r="R428" s="5" t="inlineStr">
        <is>
          <t>128-2022-07-31</t>
        </is>
      </c>
    </row>
    <row r="429">
      <c r="A429" s="26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44" t="n">
        <v>44804</v>
      </c>
      <c r="G429" s="5" t="n">
        <v>2022</v>
      </c>
      <c r="H429" s="5" t="inlineStr">
        <is>
          <t>Agosto</t>
        </is>
      </c>
      <c r="I429" s="6" t="inlineStr">
        <is>
          <t>2022-2</t>
        </is>
      </c>
      <c r="J429" s="5" t="n">
        <v>1</v>
      </c>
      <c r="K429" s="10" t="n">
        <v>0.85085933966531</v>
      </c>
      <c r="L429" s="28">
        <f>IFERROR(IF(OR(J429=0,K429=""),"",IF(E429="Positivo",MIN(MAX(K429/J429,0),1.3),MIN(MAX(J429/K429,0),1.3))),"") </f>
        <v/>
      </c>
      <c r="M429" s="28">
        <f>IFERROR(IF(OR(J429=0,K429=""),"",IF(E429="Positivo",MAX(K429/J429,0),MAX(J429/K429,0))),"") </f>
        <v/>
      </c>
      <c r="N429" s="5" t="inlineStr">
        <is>
          <t>DEC</t>
        </is>
      </c>
      <c r="O429" s="5" t="inlineStr">
        <is>
          <t>DEC</t>
        </is>
      </c>
      <c r="P429" s="16" t="n">
        <v>0</v>
      </c>
      <c r="Q429" s="16" t="n">
        <v>2</v>
      </c>
      <c r="R429" s="5" t="inlineStr">
        <is>
          <t>128-2022-08-31</t>
        </is>
      </c>
    </row>
    <row r="430">
      <c r="A430" s="26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44" t="n">
        <v>44834</v>
      </c>
      <c r="G430" s="5" t="n">
        <v>2022</v>
      </c>
      <c r="H430" s="5" t="inlineStr">
        <is>
          <t>Septiembre</t>
        </is>
      </c>
      <c r="I430" s="6" t="inlineStr">
        <is>
          <t>2022-2</t>
        </is>
      </c>
      <c r="J430" s="5" t="n">
        <v>1</v>
      </c>
      <c r="K430" s="123" t="n">
        <v>0.59967748437815</v>
      </c>
      <c r="L430" s="28">
        <f>IFERROR(IF(OR(J430=0,K430=""),"",IF(E430="Positivo",MIN(MAX(K430/J430,0),1.3),MIN(MAX(J430/K430,0),1.3))),"") </f>
        <v/>
      </c>
      <c r="M430" s="28">
        <f>IFERROR(IF(OR(J430=0,K430=""),"",IF(E430="Positivo",MAX(K430/J430,0),MAX(J430/K430,0))),"") </f>
        <v/>
      </c>
      <c r="N430" s="5" t="inlineStr">
        <is>
          <t>DEC</t>
        </is>
      </c>
      <c r="O430" s="5" t="inlineStr">
        <is>
          <t>DEC</t>
        </is>
      </c>
      <c r="P430" s="16" t="n">
        <v>0</v>
      </c>
      <c r="Q430" s="16" t="n">
        <v>2</v>
      </c>
      <c r="R430" s="5" t="inlineStr">
        <is>
          <t>128-2022-09-30</t>
        </is>
      </c>
    </row>
    <row r="431">
      <c r="A431" s="5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43" t="n">
        <v>44865</v>
      </c>
      <c r="G431" s="5" t="n">
        <v>2022</v>
      </c>
      <c r="H431" s="5" t="inlineStr">
        <is>
          <t>Octubre</t>
        </is>
      </c>
      <c r="I431" s="6" t="inlineStr">
        <is>
          <t>2022-2</t>
        </is>
      </c>
      <c r="J431" s="124" t="n">
        <v>1</v>
      </c>
      <c r="K431" s="123" t="n">
        <v>0.75110864745011</v>
      </c>
      <c r="L431" s="28">
        <f>IFERROR(IF(OR(J431=0,K431=""),"",IF(E431="Positivo",MIN(MAX(K431/J431,0),1.3),MIN(MAX(J431/K431,0),1.3))),"") </f>
        <v/>
      </c>
      <c r="M431" s="28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5" t="n">
        <v>0</v>
      </c>
      <c r="Q431" s="5" t="n">
        <v>1</v>
      </c>
      <c r="R431" s="5" t="inlineStr">
        <is>
          <t>128-2022-10-31</t>
        </is>
      </c>
    </row>
    <row r="432">
      <c r="A432" s="5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43" t="n">
        <v>44895</v>
      </c>
      <c r="G432" s="5" t="n">
        <v>2022</v>
      </c>
      <c r="H432" s="5" t="inlineStr">
        <is>
          <t>Noviembre</t>
        </is>
      </c>
      <c r="I432" s="6" t="inlineStr">
        <is>
          <t>2022-2</t>
        </is>
      </c>
      <c r="J432" s="124" t="n">
        <v>1</v>
      </c>
      <c r="K432" s="123" t="n">
        <v>0.917176209005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5" t="n">
        <v>0</v>
      </c>
      <c r="Q432" s="5" t="n">
        <v>2</v>
      </c>
      <c r="R432" s="5" t="inlineStr">
        <is>
          <t>128-2022-11-30</t>
        </is>
      </c>
    </row>
    <row r="433">
      <c r="A433" s="43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44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126" t="n">
        <v>1</v>
      </c>
      <c r="K433" s="123" t="n">
        <v>0.8000698242755701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6" t="n">
        <v>0</v>
      </c>
      <c r="Q433" s="16" t="n">
        <v>2</v>
      </c>
      <c r="R433" s="5" t="inlineStr">
        <is>
          <t>128-2022-12-31</t>
        </is>
      </c>
    </row>
    <row r="434">
      <c r="A434" s="39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44" t="n">
        <v>44957</v>
      </c>
      <c r="G434" s="5" t="n">
        <v>2023</v>
      </c>
      <c r="H434" s="5" t="inlineStr">
        <is>
          <t>Enero</t>
        </is>
      </c>
      <c r="I434" s="6" t="inlineStr">
        <is>
          <t>2023-1</t>
        </is>
      </c>
      <c r="J434" s="126" t="n">
        <v>1</v>
      </c>
      <c r="K434" s="123" t="n">
        <v>1.0928581372686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6" t="n">
        <v>0</v>
      </c>
      <c r="Q434" s="16" t="n">
        <v>2</v>
      </c>
      <c r="R434" s="5" t="inlineStr">
        <is>
          <t>128-2023-01-31</t>
        </is>
      </c>
    </row>
    <row r="435">
      <c r="A435" s="43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44" t="n">
        <v>44985</v>
      </c>
      <c r="G435" s="5" t="n">
        <v>2023</v>
      </c>
      <c r="H435" s="5" t="inlineStr">
        <is>
          <t>Febrero</t>
        </is>
      </c>
      <c r="I435" s="6" t="inlineStr">
        <is>
          <t>2023-1</t>
        </is>
      </c>
      <c r="J435" s="126" t="n">
        <v>1</v>
      </c>
      <c r="K435" s="123" t="n">
        <v>0.9150865622423699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16" t="n">
        <v>0</v>
      </c>
      <c r="Q435" s="16" t="n">
        <v>2</v>
      </c>
      <c r="R435" s="5" t="inlineStr">
        <is>
          <t>128-2023-02-28</t>
        </is>
      </c>
    </row>
    <row r="436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44" t="n">
        <v>45016</v>
      </c>
      <c r="G436" s="5" t="n">
        <v>2023</v>
      </c>
      <c r="H436" s="5" t="inlineStr">
        <is>
          <t>Marzo</t>
        </is>
      </c>
      <c r="I436" s="6" t="inlineStr">
        <is>
          <t>2023-1</t>
        </is>
      </c>
      <c r="J436" s="119" t="n">
        <v>1</v>
      </c>
      <c r="K436" s="123" t="n">
        <v>0.76441973592773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16" t="n">
        <v>0</v>
      </c>
      <c r="Q436" s="16" t="n">
        <v>2</v>
      </c>
      <c r="R436" s="5" t="inlineStr">
        <is>
          <t>128-2023-03-31</t>
        </is>
      </c>
    </row>
    <row r="437">
      <c r="A437" s="5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43" t="n">
        <v>45046</v>
      </c>
      <c r="G437" s="5" t="n">
        <v>2023</v>
      </c>
      <c r="H437" s="5" t="inlineStr">
        <is>
          <t>Abril</t>
        </is>
      </c>
      <c r="I437" s="6" t="inlineStr">
        <is>
          <t>2023-1</t>
        </is>
      </c>
      <c r="J437" s="11" t="n">
        <v>1</v>
      </c>
      <c r="K437" s="123" t="n">
        <v>1.0132293339451</v>
      </c>
      <c r="L437" s="28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5" t="n">
        <v>0</v>
      </c>
      <c r="Q437" s="5" t="n">
        <v>2</v>
      </c>
      <c r="R437" s="5" t="inlineStr">
        <is>
          <t>128-2023-04-30</t>
        </is>
      </c>
    </row>
    <row r="438">
      <c r="A438" s="5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43" t="n">
        <v>45077</v>
      </c>
      <c r="G438" s="5" t="n">
        <v>2023</v>
      </c>
      <c r="H438" s="5" t="inlineStr">
        <is>
          <t>Mayo</t>
        </is>
      </c>
      <c r="I438" s="6" t="inlineStr">
        <is>
          <t>2023-1</t>
        </is>
      </c>
      <c r="J438" s="11" t="n">
        <v>1</v>
      </c>
      <c r="K438" s="123" t="n">
        <v>0.75808249721293</v>
      </c>
      <c r="L438" s="28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5" t="n">
        <v>0</v>
      </c>
      <c r="Q438" s="5" t="n">
        <v>2</v>
      </c>
      <c r="R438" s="5" t="inlineStr">
        <is>
          <t>128-2023-05-31</t>
        </is>
      </c>
    </row>
    <row r="439">
      <c r="A439" s="26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43" t="n">
        <v>45107</v>
      </c>
      <c r="G439" s="5" t="n">
        <v>2023</v>
      </c>
      <c r="H439" s="5" t="inlineStr">
        <is>
          <t>Junio</t>
        </is>
      </c>
      <c r="I439" s="6" t="inlineStr">
        <is>
          <t>2023-1</t>
        </is>
      </c>
      <c r="J439" s="5" t="n">
        <v>1</v>
      </c>
      <c r="K439" s="123" t="n">
        <v>1.1262282690854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6" t="n">
        <v>0</v>
      </c>
      <c r="Q439" s="16" t="n">
        <v>2</v>
      </c>
      <c r="R439" s="5" t="inlineStr">
        <is>
          <t>128-2023-06-30</t>
        </is>
      </c>
    </row>
    <row r="440">
      <c r="A440" s="39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44" t="n">
        <v>45138</v>
      </c>
      <c r="G440" s="5" t="n">
        <v>2023</v>
      </c>
      <c r="H440" s="5" t="inlineStr">
        <is>
          <t>Julio</t>
        </is>
      </c>
      <c r="I440" s="6" t="inlineStr">
        <is>
          <t>2023-2</t>
        </is>
      </c>
      <c r="J440" s="119" t="n">
        <v>1</v>
      </c>
      <c r="K440" s="123" t="n">
        <v>1.1748003549246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16" t="n">
        <v>0</v>
      </c>
      <c r="Q440" s="16" t="n">
        <v>2</v>
      </c>
      <c r="R440" s="5" t="inlineStr">
        <is>
          <t>128-2023-07-31</t>
        </is>
      </c>
    </row>
    <row r="441">
      <c r="A441" s="26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43" t="n">
        <v>45169</v>
      </c>
      <c r="G441" s="5" t="n">
        <v>2023</v>
      </c>
      <c r="H441" s="5" t="inlineStr">
        <is>
          <t>Agosto</t>
        </is>
      </c>
      <c r="I441" s="6" t="inlineStr">
        <is>
          <t>2023-2</t>
        </is>
      </c>
      <c r="J441" s="5" t="n">
        <v>1</v>
      </c>
      <c r="K441" s="123" t="n">
        <v>0.95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16" t="n">
        <v>0</v>
      </c>
      <c r="Q441" s="16" t="n">
        <v>2</v>
      </c>
      <c r="R441" s="5" t="inlineStr">
        <is>
          <t>128-2023-08-31</t>
        </is>
      </c>
    </row>
    <row r="442">
      <c r="A442" s="26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44" t="n">
        <v>45199</v>
      </c>
      <c r="G442" s="5" t="n">
        <v>2023</v>
      </c>
      <c r="H442" s="5" t="inlineStr">
        <is>
          <t>Septiembre</t>
        </is>
      </c>
      <c r="I442" s="6" t="inlineStr">
        <is>
          <t>2023-2</t>
        </is>
      </c>
      <c r="J442" s="5" t="n">
        <v>1</v>
      </c>
      <c r="K442" s="10" t="n">
        <v>0.51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6" t="n">
        <v>0</v>
      </c>
      <c r="Q442" s="16" t="n">
        <v>2</v>
      </c>
      <c r="R442" s="5" t="inlineStr">
        <is>
          <t>128-2023-09-30</t>
        </is>
      </c>
    </row>
    <row r="443">
      <c r="A443" s="43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44" t="n">
        <v>45230</v>
      </c>
      <c r="G443" s="5" t="n">
        <v>2023</v>
      </c>
      <c r="H443" s="5" t="inlineStr">
        <is>
          <t>Octubre</t>
        </is>
      </c>
      <c r="I443" s="6" t="inlineStr">
        <is>
          <t>2023-2</t>
        </is>
      </c>
      <c r="J443" s="123" t="n">
        <v>1</v>
      </c>
      <c r="K443" s="123" t="n">
        <v>0.5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6" t="n">
        <v>0</v>
      </c>
      <c r="Q443" s="16" t="n">
        <v>1</v>
      </c>
      <c r="R443" s="5" t="inlineStr">
        <is>
          <t>128-2023-10-31</t>
        </is>
      </c>
    </row>
    <row r="444">
      <c r="A444" s="43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44" t="n">
        <v>45260</v>
      </c>
      <c r="G444" s="5" t="n">
        <v>2023</v>
      </c>
      <c r="H444" s="5" t="inlineStr">
        <is>
          <t>Noviembre</t>
        </is>
      </c>
      <c r="I444" s="6" t="inlineStr">
        <is>
          <t>2023-2</t>
        </is>
      </c>
      <c r="J444" s="119" t="n">
        <v>1</v>
      </c>
      <c r="K444" s="123" t="n">
        <v>0.72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6" t="n">
        <v>0</v>
      </c>
      <c r="Q444" s="16" t="n">
        <v>2</v>
      </c>
      <c r="R444" s="5" t="inlineStr">
        <is>
          <t>128-2023-11-30</t>
        </is>
      </c>
    </row>
    <row r="445">
      <c r="A445" s="39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44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119" t="n">
        <v>1</v>
      </c>
      <c r="K445" s="123" t="n">
        <v>0.64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6" t="n">
        <v>0</v>
      </c>
      <c r="Q445" s="16" t="n">
        <v>2</v>
      </c>
      <c r="R445" s="5" t="inlineStr">
        <is>
          <t>128-2023-12-31</t>
        </is>
      </c>
    </row>
    <row r="446">
      <c r="A446" s="43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44" t="n">
        <v>45322</v>
      </c>
      <c r="G446" s="5" t="n">
        <v>2024</v>
      </c>
      <c r="H446" s="5" t="inlineStr">
        <is>
          <t>Enero</t>
        </is>
      </c>
      <c r="I446" s="6" t="inlineStr">
        <is>
          <t>2024-1</t>
        </is>
      </c>
      <c r="J446" s="5" t="n">
        <v>1</v>
      </c>
      <c r="K446" s="123" t="n">
        <v>0.7046625690693488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16" t="n">
        <v>0</v>
      </c>
      <c r="Q446" s="16" t="n">
        <v>2</v>
      </c>
      <c r="R446" s="5" t="inlineStr">
        <is>
          <t>128-2024-01-31</t>
        </is>
      </c>
    </row>
    <row r="447">
      <c r="A447" s="26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44" t="n">
        <v>45351</v>
      </c>
      <c r="G447" s="5" t="n">
        <v>2024</v>
      </c>
      <c r="H447" s="5" t="inlineStr">
        <is>
          <t>Febrero</t>
        </is>
      </c>
      <c r="I447" s="6" t="inlineStr">
        <is>
          <t>2024-1</t>
        </is>
      </c>
      <c r="J447" s="5" t="n">
        <v>1</v>
      </c>
      <c r="K447" s="10" t="n">
        <v>0.8976964769647697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16" t="n">
        <v>0</v>
      </c>
      <c r="Q447" s="16" t="n">
        <v>2</v>
      </c>
      <c r="R447" s="5" t="inlineStr">
        <is>
          <t>128-2024-02-29</t>
        </is>
      </c>
    </row>
    <row r="448">
      <c r="A448" s="26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43" t="n">
        <v>45382</v>
      </c>
      <c r="G448" s="5" t="n">
        <v>2024</v>
      </c>
      <c r="H448" s="5" t="inlineStr">
        <is>
          <t>Marzo</t>
        </is>
      </c>
      <c r="I448" s="6" t="inlineStr">
        <is>
          <t>2024-1</t>
        </is>
      </c>
      <c r="J448" s="5" t="n">
        <v>1</v>
      </c>
      <c r="K448" s="123" t="n">
        <v>1.050740418118467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16" t="n">
        <v>0</v>
      </c>
      <c r="Q448" s="16" t="n">
        <v>2</v>
      </c>
      <c r="R448" s="5" t="inlineStr">
        <is>
          <t>128-2024-03-31</t>
        </is>
      </c>
    </row>
    <row r="449">
      <c r="A449" s="39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44" t="n">
        <v>45412</v>
      </c>
      <c r="G449" s="5" t="n">
        <v>2024</v>
      </c>
      <c r="H449" s="5" t="inlineStr">
        <is>
          <t>Abril</t>
        </is>
      </c>
      <c r="I449" s="6" t="inlineStr">
        <is>
          <t>2024-1</t>
        </is>
      </c>
      <c r="J449" s="5" t="n">
        <v>1</v>
      </c>
      <c r="K449" s="123" t="n">
        <v>0.4018847006651884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6" t="n">
        <v>0</v>
      </c>
      <c r="Q449" s="16" t="n">
        <v>2</v>
      </c>
      <c r="R449" s="5" t="inlineStr">
        <is>
          <t>128-2024-04-30</t>
        </is>
      </c>
    </row>
    <row r="450">
      <c r="A450" s="26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44" t="n">
        <v>45443</v>
      </c>
      <c r="G450" s="5" t="n">
        <v>2024</v>
      </c>
      <c r="H450" s="5" t="inlineStr">
        <is>
          <t>Mayo</t>
        </is>
      </c>
      <c r="I450" s="6" t="inlineStr">
        <is>
          <t>2024-1</t>
        </is>
      </c>
      <c r="J450" s="5" t="n">
        <v>1</v>
      </c>
      <c r="K450" s="10" t="n">
        <v>0.5513098361279039</v>
      </c>
      <c r="L450" s="28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6" t="n">
        <v>0</v>
      </c>
      <c r="Q450" s="16" t="n">
        <v>2</v>
      </c>
      <c r="R450" s="5" t="inlineStr">
        <is>
          <t>128-2024-05-31</t>
        </is>
      </c>
    </row>
    <row r="451">
      <c r="A451" s="43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44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123" t="n">
        <v>0.3576864535768646</v>
      </c>
      <c r="L451" s="28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6" t="n">
        <v>0</v>
      </c>
      <c r="Q451" s="16" t="n">
        <v>2</v>
      </c>
      <c r="R451" s="5" t="inlineStr">
        <is>
          <t>128-2024-06-30</t>
        </is>
      </c>
    </row>
    <row r="452">
      <c r="A452" s="39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44" t="n">
        <v>45504</v>
      </c>
      <c r="G452" s="5" t="n">
        <v>2024</v>
      </c>
      <c r="H452" s="5" t="inlineStr">
        <is>
          <t>Julio</t>
        </is>
      </c>
      <c r="I452" s="6" t="inlineStr">
        <is>
          <t>2024-2</t>
        </is>
      </c>
      <c r="J452" s="5" t="n">
        <v>1</v>
      </c>
      <c r="K452" s="123" t="n">
        <v>0.6497473204864774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6" t="n">
        <v>0</v>
      </c>
      <c r="Q452" s="16" t="n">
        <v>2</v>
      </c>
      <c r="R452" s="5" t="inlineStr">
        <is>
          <t>128-2024-07-31</t>
        </is>
      </c>
    </row>
    <row r="453">
      <c r="A453" s="39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44" t="n">
        <v>45535</v>
      </c>
      <c r="G453" s="5" t="n">
        <v>2024</v>
      </c>
      <c r="H453" s="5" t="inlineStr">
        <is>
          <t>Agosto</t>
        </is>
      </c>
      <c r="I453" s="6" t="inlineStr">
        <is>
          <t>2024-2</t>
        </is>
      </c>
      <c r="J453" s="5" t="n">
        <v>1</v>
      </c>
      <c r="K453" s="11" t="n">
        <v>0.5116883116883117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6" t="n">
        <v>0</v>
      </c>
      <c r="Q453" s="16" t="n">
        <v>2</v>
      </c>
      <c r="R453" s="5" t="inlineStr">
        <is>
          <t>128-2024-08-31</t>
        </is>
      </c>
    </row>
    <row r="454">
      <c r="A454" s="26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44" t="n">
        <v>45565</v>
      </c>
      <c r="G454" s="5" t="n">
        <v>2024</v>
      </c>
      <c r="H454" s="5" t="inlineStr">
        <is>
          <t>Septiembre</t>
        </is>
      </c>
      <c r="I454" s="6" t="inlineStr">
        <is>
          <t>2024-2</t>
        </is>
      </c>
      <c r="J454" s="5" t="n">
        <v>1</v>
      </c>
      <c r="K454" s="11" t="n">
        <v>0.697433774834437</v>
      </c>
      <c r="L454" s="28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6" t="n">
        <v>0</v>
      </c>
      <c r="Q454" s="16" t="n">
        <v>2</v>
      </c>
      <c r="R454" s="5" t="inlineStr">
        <is>
          <t>128-2024-09-30</t>
        </is>
      </c>
    </row>
    <row r="455">
      <c r="A455" s="26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44" t="n">
        <v>45596</v>
      </c>
      <c r="G455" s="5" t="n">
        <v>2024</v>
      </c>
      <c r="H455" s="5" t="inlineStr">
        <is>
          <t>Octubre</t>
        </is>
      </c>
      <c r="I455" s="6" t="inlineStr">
        <is>
          <t>2024-2</t>
        </is>
      </c>
      <c r="J455" s="5" t="n">
        <v>1</v>
      </c>
      <c r="K455" s="123" t="n">
        <v>0.6119240989557992</v>
      </c>
      <c r="L455" s="28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6" t="n">
        <v>0</v>
      </c>
      <c r="Q455" s="16" t="n">
        <v>1</v>
      </c>
      <c r="R455" s="5" t="inlineStr">
        <is>
          <t>128-2024-10-31</t>
        </is>
      </c>
    </row>
    <row r="456">
      <c r="A456" s="26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43" t="n">
        <v>45626</v>
      </c>
      <c r="G456" s="5" t="n">
        <v>2024</v>
      </c>
      <c r="H456" s="5" t="inlineStr">
        <is>
          <t>Noviembre</t>
        </is>
      </c>
      <c r="I456" s="6" t="inlineStr">
        <is>
          <t>2024-2</t>
        </is>
      </c>
      <c r="J456" s="5" t="n">
        <v>1</v>
      </c>
      <c r="K456" s="123" t="n">
        <v>0.96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6" t="n">
        <v>0</v>
      </c>
      <c r="Q456" s="16" t="n">
        <v>2</v>
      </c>
      <c r="R456" s="5" t="inlineStr">
        <is>
          <t>128-2024-11-30</t>
        </is>
      </c>
    </row>
    <row r="457">
      <c r="A457" s="26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44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123" t="n">
        <v>0.7769423558897243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6" t="n">
        <v>0</v>
      </c>
      <c r="Q457" s="16" t="n">
        <v>2</v>
      </c>
      <c r="R457" s="5" t="inlineStr">
        <is>
          <t>128-2024-12-31</t>
        </is>
      </c>
    </row>
    <row r="458">
      <c r="A458" s="26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44" t="n">
        <v>45688</v>
      </c>
      <c r="G458" s="5" t="n">
        <v>2025</v>
      </c>
      <c r="H458" s="5" t="inlineStr">
        <is>
          <t>Enero</t>
        </is>
      </c>
      <c r="I458" s="6" t="inlineStr">
        <is>
          <t>2025-1</t>
        </is>
      </c>
      <c r="J458" s="5" t="n">
        <v>1</v>
      </c>
      <c r="K458" s="123" t="n">
        <v>0.86</v>
      </c>
      <c r="L458" s="28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DEC</t>
        </is>
      </c>
      <c r="O458" s="5" t="inlineStr">
        <is>
          <t>DEC</t>
        </is>
      </c>
      <c r="P458" s="16" t="n">
        <v>0</v>
      </c>
      <c r="Q458" s="16" t="n">
        <v>2</v>
      </c>
      <c r="R458" s="5" t="inlineStr">
        <is>
          <t>128-2025-01-31</t>
        </is>
      </c>
    </row>
    <row r="459">
      <c r="A459" s="26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44" t="n">
        <v>45716</v>
      </c>
      <c r="G459" s="5" t="n">
        <v>2025</v>
      </c>
      <c r="H459" s="5" t="inlineStr">
        <is>
          <t>Febrero</t>
        </is>
      </c>
      <c r="I459" s="6" t="inlineStr">
        <is>
          <t>2025-1</t>
        </is>
      </c>
      <c r="J459" s="5" t="n">
        <v>1</v>
      </c>
      <c r="K459" s="123" t="n">
        <v>0.99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16" t="n">
        <v>0</v>
      </c>
      <c r="Q459" s="16" t="n">
        <v>2</v>
      </c>
      <c r="R459" s="5" t="inlineStr">
        <is>
          <t>128-2025-02-28</t>
        </is>
      </c>
    </row>
    <row r="460">
      <c r="A460" s="26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44" t="n">
        <v>45747</v>
      </c>
      <c r="G460" s="5" t="n">
        <v>2025</v>
      </c>
      <c r="H460" s="5" t="inlineStr">
        <is>
          <t>Marzo</t>
        </is>
      </c>
      <c r="I460" s="6" t="inlineStr">
        <is>
          <t>2025-1</t>
        </is>
      </c>
      <c r="J460" s="5" t="n">
        <v>1</v>
      </c>
      <c r="K460" s="123" t="n">
        <v>0.96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16" t="n">
        <v>0</v>
      </c>
      <c r="Q460" s="16" t="n">
        <v>2</v>
      </c>
      <c r="R460" s="5" t="inlineStr">
        <is>
          <t>128-2025-03-31</t>
        </is>
      </c>
    </row>
    <row r="461">
      <c r="A461" s="26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44" t="n">
        <v>45777</v>
      </c>
      <c r="G461" s="5" t="n">
        <v>2025</v>
      </c>
      <c r="H461" s="5" t="inlineStr">
        <is>
          <t>Abril</t>
        </is>
      </c>
      <c r="I461" s="6" t="inlineStr">
        <is>
          <t>2025-1</t>
        </is>
      </c>
      <c r="J461" s="5" t="n">
        <v>1</v>
      </c>
      <c r="K461" s="123" t="n">
        <v>0.9399999999999999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16" t="n">
        <v>0</v>
      </c>
      <c r="Q461" s="16" t="n">
        <v>2</v>
      </c>
      <c r="R461" s="5" t="inlineStr">
        <is>
          <t>128-2025-04-30</t>
        </is>
      </c>
    </row>
    <row r="462">
      <c r="A462" s="26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44" t="n">
        <v>45808</v>
      </c>
      <c r="G462" s="5" t="n">
        <v>2025</v>
      </c>
      <c r="H462" s="5" t="inlineStr">
        <is>
          <t>Mayo</t>
        </is>
      </c>
      <c r="I462" s="6" t="inlineStr">
        <is>
          <t>2025-1</t>
        </is>
      </c>
      <c r="J462" s="5" t="n">
        <v>1</v>
      </c>
      <c r="K462" s="123" t="n">
        <v>0.88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16" t="n">
        <v>0</v>
      </c>
      <c r="Q462" s="16" t="n">
        <v>2</v>
      </c>
      <c r="R462" s="5" t="inlineStr">
        <is>
          <t>128-2025-05-31</t>
        </is>
      </c>
    </row>
    <row r="463">
      <c r="A463" s="26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44" t="n">
        <v>45838</v>
      </c>
      <c r="G463" s="5" t="n">
        <v>2025</v>
      </c>
      <c r="H463" s="5" t="inlineStr">
        <is>
          <t>Junio</t>
        </is>
      </c>
      <c r="I463" s="6" t="inlineStr">
        <is>
          <t>2025-1</t>
        </is>
      </c>
      <c r="J463" s="5" t="n">
        <v>1</v>
      </c>
      <c r="K463" s="123" t="n">
        <v>0.97</v>
      </c>
      <c r="L463" s="28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DEC</t>
        </is>
      </c>
      <c r="O463" s="5" t="inlineStr">
        <is>
          <t>DEC</t>
        </is>
      </c>
      <c r="P463" s="16" t="n">
        <v>0</v>
      </c>
      <c r="Q463" s="16" t="n">
        <v>2</v>
      </c>
      <c r="R463" s="5" t="inlineStr">
        <is>
          <t>128-2025-06-30</t>
        </is>
      </c>
    </row>
    <row r="464">
      <c r="A464" s="26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44" t="n">
        <v>45869</v>
      </c>
      <c r="G464" s="5" t="n">
        <v>2025</v>
      </c>
      <c r="H464" s="5" t="inlineStr">
        <is>
          <t>Julio</t>
        </is>
      </c>
      <c r="I464" s="6" t="inlineStr">
        <is>
          <t>2025-2</t>
        </is>
      </c>
      <c r="J464" s="5" t="n">
        <v>1</v>
      </c>
      <c r="K464" s="123" t="n">
        <v>0.98</v>
      </c>
      <c r="L464" s="28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16" t="n">
        <v>0</v>
      </c>
      <c r="Q464" s="16" t="n">
        <v>2</v>
      </c>
      <c r="R464" s="5" t="inlineStr">
        <is>
          <t>128-2025-07-31</t>
        </is>
      </c>
    </row>
    <row r="465">
      <c r="A465" s="26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44" t="n">
        <v>45900</v>
      </c>
      <c r="G465" s="5" t="n">
        <v>2025</v>
      </c>
      <c r="H465" s="5" t="inlineStr">
        <is>
          <t>Agosto</t>
        </is>
      </c>
      <c r="I465" s="6" t="inlineStr">
        <is>
          <t>2025-2</t>
        </is>
      </c>
      <c r="J465" s="5" t="n">
        <v>1</v>
      </c>
      <c r="K465" s="123" t="n">
        <v>0.97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inlineStr">
        <is>
          <t>ENT</t>
        </is>
      </c>
      <c r="O465" s="5" t="inlineStr">
        <is>
          <t>DEC</t>
        </is>
      </c>
      <c r="P465" s="16" t="n">
        <v>0</v>
      </c>
      <c r="Q465" s="16" t="n">
        <v>2</v>
      </c>
      <c r="R465" s="5" t="inlineStr">
        <is>
          <t>128-2025-08-31</t>
        </is>
      </c>
    </row>
    <row r="466">
      <c r="A466" s="26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44" t="n">
        <v>45930</v>
      </c>
      <c r="G466" s="5" t="n">
        <v>2025</v>
      </c>
      <c r="H466" s="5" t="inlineStr">
        <is>
          <t>Septiembre</t>
        </is>
      </c>
      <c r="I466" s="6" t="inlineStr">
        <is>
          <t>2025-2</t>
        </is>
      </c>
      <c r="J466" s="5" t="n">
        <v>1</v>
      </c>
      <c r="K466" s="123" t="n">
        <v>0.72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inlineStr">
        <is>
          <t>ENT</t>
        </is>
      </c>
      <c r="O466" s="5" t="inlineStr">
        <is>
          <t>DEC</t>
        </is>
      </c>
      <c r="P466" s="16" t="n">
        <v>0</v>
      </c>
      <c r="Q466" s="16" t="n">
        <v>2</v>
      </c>
      <c r="R466" s="5" t="inlineStr">
        <is>
          <t>128-2025-09-30</t>
        </is>
      </c>
    </row>
    <row r="467">
      <c r="A467" s="26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44" t="n">
        <v>45961</v>
      </c>
      <c r="G467" s="5" t="n">
        <v>2025</v>
      </c>
      <c r="H467" s="5" t="inlineStr">
        <is>
          <t>Octubre</t>
        </is>
      </c>
      <c r="I467" s="6" t="inlineStr">
        <is>
          <t>2025-2</t>
        </is>
      </c>
      <c r="J467" s="5" t="n">
        <v>1</v>
      </c>
      <c r="K467" s="123" t="n">
        <v>0.6899999999999999</v>
      </c>
      <c r="L467" s="28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inlineStr">
        <is>
          <t>ENT</t>
        </is>
      </c>
      <c r="O467" s="5" t="inlineStr">
        <is>
          <t>DEC</t>
        </is>
      </c>
      <c r="P467" s="16" t="n">
        <v>0</v>
      </c>
      <c r="Q467" s="16" t="n">
        <v>2</v>
      </c>
      <c r="R467" s="5" t="inlineStr">
        <is>
          <t>128-2025-10-31</t>
        </is>
      </c>
    </row>
    <row r="468">
      <c r="A468" s="26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43" t="n">
        <v>45991</v>
      </c>
      <c r="G468" s="5" t="n">
        <v>2025</v>
      </c>
      <c r="H468" s="5" t="inlineStr">
        <is>
          <t>Noviembre</t>
        </is>
      </c>
      <c r="I468" s="6" t="inlineStr">
        <is>
          <t>2025-2</t>
        </is>
      </c>
      <c r="J468" s="5" t="n">
        <v>1</v>
      </c>
      <c r="K468" s="123" t="n">
        <v>0.95</v>
      </c>
      <c r="L468" s="28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inlineStr">
        <is>
          <t>ENT</t>
        </is>
      </c>
      <c r="O468" s="5" t="inlineStr">
        <is>
          <t>DEC</t>
        </is>
      </c>
      <c r="P468" s="16" t="n">
        <v>0</v>
      </c>
      <c r="Q468" s="16" t="n">
        <v>2</v>
      </c>
      <c r="R468" s="5" t="inlineStr">
        <is>
          <t>128-2025-11-30</t>
        </is>
      </c>
    </row>
    <row r="469">
      <c r="A469" s="26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44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</v>
      </c>
      <c r="K469" s="10" t="n">
        <v>0.97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ENT</t>
        </is>
      </c>
      <c r="O469" s="5" t="inlineStr">
        <is>
          <t>DEC</t>
        </is>
      </c>
      <c r="P469" s="16" t="n">
        <v>0</v>
      </c>
      <c r="Q469" s="16" t="n">
        <v>2</v>
      </c>
      <c r="R469" s="5" t="inlineStr">
        <is>
          <t>128-2025-12-31</t>
        </is>
      </c>
    </row>
    <row r="470">
      <c r="A470" s="26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144" t="n">
        <v>44865</v>
      </c>
      <c r="G470" s="5" t="n">
        <v>2022</v>
      </c>
      <c r="H470" s="5" t="inlineStr">
        <is>
          <t>Octubre</t>
        </is>
      </c>
      <c r="I470" s="6" t="inlineStr">
        <is>
          <t>2022-2</t>
        </is>
      </c>
      <c r="J470" s="5" t="n">
        <v>80</v>
      </c>
      <c r="K470" s="123" t="n">
        <v>90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16" t="n">
        <v>0</v>
      </c>
      <c r="Q470" s="16" t="n">
        <v>0</v>
      </c>
      <c r="R470" s="5" t="inlineStr">
        <is>
          <t>133-2022-10-31</t>
        </is>
      </c>
    </row>
    <row r="471">
      <c r="A471" s="26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144" t="n">
        <v>45230</v>
      </c>
      <c r="G471" s="5" t="n">
        <v>2023</v>
      </c>
      <c r="H471" s="5" t="inlineStr">
        <is>
          <t>Octubre</t>
        </is>
      </c>
      <c r="I471" s="6" t="inlineStr">
        <is>
          <t>2023-2</t>
        </is>
      </c>
      <c r="J471" s="5" t="n">
        <v>80</v>
      </c>
      <c r="K471" s="125" t="n">
        <v>93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16" t="n">
        <v>0</v>
      </c>
      <c r="Q471" s="16" t="n">
        <v>0</v>
      </c>
      <c r="R471" s="5" t="inlineStr">
        <is>
          <t>133-2023-10-31</t>
        </is>
      </c>
    </row>
    <row r="472">
      <c r="A472" s="26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144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80</v>
      </c>
      <c r="K472" s="125" t="n">
        <v>92.78911564625851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16" t="n">
        <v>0</v>
      </c>
      <c r="Q472" s="16" t="n">
        <v>0</v>
      </c>
      <c r="R472" s="5" t="inlineStr">
        <is>
          <t>133-2023-12-31</t>
        </is>
      </c>
    </row>
    <row r="473">
      <c r="A473" s="26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144" t="n">
        <v>45596</v>
      </c>
      <c r="G473" s="5" t="n">
        <v>2024</v>
      </c>
      <c r="H473" s="5" t="inlineStr">
        <is>
          <t>Octubre</t>
        </is>
      </c>
      <c r="I473" s="6" t="inlineStr">
        <is>
          <t>2024-2</t>
        </is>
      </c>
      <c r="J473" s="5" t="n">
        <v>80</v>
      </c>
      <c r="K473" s="125" t="n">
        <v>91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16" t="n">
        <v>0</v>
      </c>
      <c r="Q473" s="16" t="n">
        <v>0</v>
      </c>
      <c r="R473" s="5" t="inlineStr">
        <is>
          <t>133-2024-10-31</t>
        </is>
      </c>
    </row>
    <row r="474">
      <c r="A474" s="26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144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80</v>
      </c>
      <c r="K474" s="125" t="n">
        <v>91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16" t="n">
        <v>0</v>
      </c>
      <c r="Q474" s="16" t="n">
        <v>0</v>
      </c>
      <c r="R474" s="5" t="inlineStr">
        <is>
          <t>133-2024-12-31</t>
        </is>
      </c>
    </row>
    <row r="475">
      <c r="A475" s="26" t="n">
        <v>133</v>
      </c>
      <c r="B475" s="5" t="inlineStr">
        <is>
          <t>Nivel de Satisfacción Servicios Prestados</t>
        </is>
      </c>
      <c r="C475" s="5" t="inlineStr">
        <is>
          <t>VISIBILIDAD NACIONAL E INTERNACIONAL</t>
        </is>
      </c>
      <c r="D475" s="5" t="inlineStr">
        <is>
          <t>Anual</t>
        </is>
      </c>
      <c r="E475" s="5" t="inlineStr">
        <is>
          <t>Positivo</t>
        </is>
      </c>
      <c r="F475" s="144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80</v>
      </c>
      <c r="K475" s="125" t="n">
        <v>96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16" t="n">
        <v>0</v>
      </c>
      <c r="Q475" s="16" t="n">
        <v>0</v>
      </c>
      <c r="R475" s="5" t="inlineStr">
        <is>
          <t>133-2025-10-31</t>
        </is>
      </c>
    </row>
    <row r="476">
      <c r="A476" s="26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144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90</v>
      </c>
      <c r="K476" s="125" t="n">
        <v>105.56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16" t="n">
        <v>0</v>
      </c>
      <c r="Q476" s="16" t="n">
        <v>0</v>
      </c>
      <c r="R476" s="5" t="inlineStr">
        <is>
          <t>136-2023-06-30</t>
        </is>
      </c>
    </row>
    <row r="477">
      <c r="A477" s="26" t="n">
        <v>136</v>
      </c>
      <c r="B477" s="5" t="inlineStr">
        <is>
          <t>Ejecución de actividades culturales</t>
        </is>
      </c>
      <c r="C477" s="5" t="inlineStr">
        <is>
          <t>Biblioteca Institucional</t>
        </is>
      </c>
      <c r="D477" s="5" t="inlineStr">
        <is>
          <t>Semestral</t>
        </is>
      </c>
      <c r="E477" s="5" t="inlineStr">
        <is>
          <t>Positivo</t>
        </is>
      </c>
      <c r="F477" s="144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90</v>
      </c>
      <c r="K477" s="123" t="n">
        <v>94.44</v>
      </c>
      <c r="L477" s="28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16" t="n">
        <v>0</v>
      </c>
      <c r="Q477" s="16" t="n">
        <v>0</v>
      </c>
      <c r="R477" s="5" t="inlineStr">
        <is>
          <t>136-2023-12-31</t>
        </is>
      </c>
    </row>
    <row r="478">
      <c r="A478" s="26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144" t="n">
        <v>45016</v>
      </c>
      <c r="G478" s="5" t="n">
        <v>2023</v>
      </c>
      <c r="H478" s="5" t="inlineStr">
        <is>
          <t>Marzo</t>
        </is>
      </c>
      <c r="I478" s="6" t="inlineStr">
        <is>
          <t>2023-1</t>
        </is>
      </c>
      <c r="J478" s="5" t="n">
        <v>86</v>
      </c>
      <c r="K478" s="123" t="n">
        <v>87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16" t="n">
        <v>0</v>
      </c>
      <c r="Q478" s="16" t="n">
        <v>0</v>
      </c>
      <c r="R478" s="5" t="inlineStr">
        <is>
          <t>137-2023-03-31</t>
        </is>
      </c>
    </row>
    <row r="479">
      <c r="A479" s="26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144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126</v>
      </c>
      <c r="K479" s="123" t="n">
        <v>126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16" t="n">
        <v>0</v>
      </c>
      <c r="Q479" s="16" t="n">
        <v>0</v>
      </c>
      <c r="R479" s="5" t="inlineStr">
        <is>
          <t>137-2023-06-30</t>
        </is>
      </c>
    </row>
    <row r="480">
      <c r="A480" s="26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144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138</v>
      </c>
      <c r="K480" s="10" t="n">
        <v>138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16" t="n">
        <v>0</v>
      </c>
      <c r="Q480" s="16" t="n">
        <v>0</v>
      </c>
      <c r="R480" s="5" t="inlineStr">
        <is>
          <t>137-2023-09-30</t>
        </is>
      </c>
    </row>
    <row r="481">
      <c r="A481" s="5" t="n">
        <v>137</v>
      </c>
      <c r="B481" s="5" t="inlineStr">
        <is>
          <t>Ejecución de Talleres de formación</t>
        </is>
      </c>
      <c r="C481" s="5" t="inlineStr">
        <is>
          <t>Biblioteca Institucional</t>
        </is>
      </c>
      <c r="D481" s="5" t="inlineStr">
        <is>
          <t>Trimestral</t>
        </is>
      </c>
      <c r="E481" s="5" t="inlineStr">
        <is>
          <t>Positivo</t>
        </is>
      </c>
      <c r="F481" s="144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97</v>
      </c>
      <c r="K481" s="5" t="n">
        <v>97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137-2023-12-31</t>
        </is>
      </c>
    </row>
    <row r="482">
      <c r="A482" s="26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144" t="n">
        <v>44957</v>
      </c>
      <c r="G482" s="5" t="n">
        <v>2023</v>
      </c>
      <c r="H482" s="5" t="inlineStr">
        <is>
          <t>Enero</t>
        </is>
      </c>
      <c r="I482" s="6" t="inlineStr">
        <is>
          <t>2023-1</t>
        </is>
      </c>
      <c r="J482" s="5" t="n">
        <v>58.044</v>
      </c>
      <c r="K482" s="10" t="n">
        <v>60.66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$</t>
        </is>
      </c>
      <c r="O482" s="5" t="inlineStr">
        <is>
          <t>$</t>
        </is>
      </c>
      <c r="P482" s="16" t="n">
        <v>2</v>
      </c>
      <c r="Q482" s="16" t="n">
        <v>2</v>
      </c>
      <c r="R482" s="5" t="inlineStr">
        <is>
          <t>139-2023-01-31</t>
        </is>
      </c>
    </row>
    <row r="483">
      <c r="A483" s="26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144" t="n">
        <v>44985</v>
      </c>
      <c r="G483" s="5" t="n">
        <v>2023</v>
      </c>
      <c r="H483" s="5" t="inlineStr">
        <is>
          <t>Febrero</t>
        </is>
      </c>
      <c r="I483" s="6" t="inlineStr">
        <is>
          <t>2023-1</t>
        </is>
      </c>
      <c r="J483" s="5" t="n">
        <v>163.873</v>
      </c>
      <c r="K483" s="10" t="n">
        <v>115.421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$</t>
        </is>
      </c>
      <c r="O483" s="5" t="inlineStr">
        <is>
          <t>$</t>
        </is>
      </c>
      <c r="P483" s="16" t="n">
        <v>2</v>
      </c>
      <c r="Q483" s="16" t="n">
        <v>2</v>
      </c>
      <c r="R483" s="5" t="inlineStr">
        <is>
          <t>139-2023-02-28</t>
        </is>
      </c>
    </row>
    <row r="484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144" t="n">
        <v>45016</v>
      </c>
      <c r="G484" s="5" t="n">
        <v>2023</v>
      </c>
      <c r="H484" s="5" t="inlineStr">
        <is>
          <t>Marzo</t>
        </is>
      </c>
      <c r="I484" s="6" t="inlineStr">
        <is>
          <t>2023-1</t>
        </is>
      </c>
      <c r="J484" s="5" t="n">
        <v>336.818</v>
      </c>
      <c r="K484" s="125" t="n">
        <v>167.493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$</t>
        </is>
      </c>
      <c r="O484" s="5" t="inlineStr">
        <is>
          <t>$</t>
        </is>
      </c>
      <c r="P484" s="16" t="n">
        <v>2</v>
      </c>
      <c r="Q484" s="16" t="n">
        <v>2</v>
      </c>
      <c r="R484" s="5" t="inlineStr">
        <is>
          <t>139-2023-03-31</t>
        </is>
      </c>
    </row>
    <row r="485">
      <c r="A485" s="26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143" t="n">
        <v>45046</v>
      </c>
      <c r="G485" s="5" t="n">
        <v>2023</v>
      </c>
      <c r="H485" s="5" t="inlineStr">
        <is>
          <t>Abril</t>
        </is>
      </c>
      <c r="I485" s="6" t="inlineStr">
        <is>
          <t>2023-1</t>
        </is>
      </c>
      <c r="J485" s="5" t="n">
        <v>424.518</v>
      </c>
      <c r="K485" s="125" t="n">
        <v>251.406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$</t>
        </is>
      </c>
      <c r="O485" s="5" t="inlineStr">
        <is>
          <t>$</t>
        </is>
      </c>
      <c r="P485" s="16" t="n">
        <v>2</v>
      </c>
      <c r="Q485" s="16" t="n">
        <v>2</v>
      </c>
      <c r="R485" s="5" t="inlineStr">
        <is>
          <t>139-2023-04-30</t>
        </is>
      </c>
    </row>
    <row r="486">
      <c r="A486" s="26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144" t="n">
        <v>45077</v>
      </c>
      <c r="G486" s="5" t="n">
        <v>2023</v>
      </c>
      <c r="H486" s="5" t="inlineStr">
        <is>
          <t>Mayo</t>
        </is>
      </c>
      <c r="I486" s="6" t="inlineStr">
        <is>
          <t>2023-1</t>
        </is>
      </c>
      <c r="J486" s="5" t="n">
        <v>498.739</v>
      </c>
      <c r="K486" s="125" t="n">
        <v>329.68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$</t>
        </is>
      </c>
      <c r="O486" s="5" t="inlineStr">
        <is>
          <t>$</t>
        </is>
      </c>
      <c r="P486" s="16" t="n">
        <v>2</v>
      </c>
      <c r="Q486" s="16" t="n">
        <v>2</v>
      </c>
      <c r="R486" s="5" t="inlineStr">
        <is>
          <t>139-2023-05-31</t>
        </is>
      </c>
    </row>
    <row r="487">
      <c r="A487" s="26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144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570.083</v>
      </c>
      <c r="K487" s="125" t="n">
        <v>410.077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inlineStr">
        <is>
          <t>$</t>
        </is>
      </c>
      <c r="O487" s="5" t="inlineStr">
        <is>
          <t>$</t>
        </is>
      </c>
      <c r="P487" s="16" t="n">
        <v>2</v>
      </c>
      <c r="Q487" s="16" t="n">
        <v>2</v>
      </c>
      <c r="R487" s="5" t="inlineStr">
        <is>
          <t>139-2023-06-30</t>
        </is>
      </c>
    </row>
    <row r="488">
      <c r="A488" s="26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144" t="n">
        <v>45138</v>
      </c>
      <c r="G488" s="5" t="n">
        <v>2023</v>
      </c>
      <c r="H488" s="5" t="inlineStr">
        <is>
          <t>Julio</t>
        </is>
      </c>
      <c r="I488" s="6" t="inlineStr">
        <is>
          <t>2023-2</t>
        </is>
      </c>
      <c r="J488" s="5" t="n">
        <v>657.579</v>
      </c>
      <c r="K488" s="125" t="n">
        <v>491.44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$</t>
        </is>
      </c>
      <c r="O488" s="5" t="inlineStr">
        <is>
          <t>$</t>
        </is>
      </c>
      <c r="P488" s="16" t="n">
        <v>2</v>
      </c>
      <c r="Q488" s="16" t="n">
        <v>2</v>
      </c>
      <c r="R488" s="5" t="inlineStr">
        <is>
          <t>139-2023-07-31</t>
        </is>
      </c>
    </row>
    <row r="489">
      <c r="A489" s="26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144" t="n">
        <v>45169</v>
      </c>
      <c r="G489" s="5" t="n">
        <v>2023</v>
      </c>
      <c r="H489" s="5" t="inlineStr">
        <is>
          <t>Agosto</t>
        </is>
      </c>
      <c r="I489" s="6" t="inlineStr">
        <is>
          <t>2023-2</t>
        </is>
      </c>
      <c r="J489" s="5" t="n">
        <v>742.862</v>
      </c>
      <c r="K489" s="125" t="n">
        <v>579.8339999999999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$</t>
        </is>
      </c>
      <c r="O489" s="5" t="inlineStr">
        <is>
          <t>$</t>
        </is>
      </c>
      <c r="P489" s="16" t="n">
        <v>2</v>
      </c>
      <c r="Q489" s="16" t="n">
        <v>2</v>
      </c>
      <c r="R489" s="5" t="inlineStr">
        <is>
          <t>139-2023-08-31</t>
        </is>
      </c>
    </row>
    <row r="490">
      <c r="A490" s="26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144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767.867</v>
      </c>
      <c r="K490" s="125" t="n">
        <v>654.855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$</t>
        </is>
      </c>
      <c r="O490" s="5" t="inlineStr">
        <is>
          <t>$</t>
        </is>
      </c>
      <c r="P490" s="16" t="n">
        <v>2</v>
      </c>
      <c r="Q490" s="16" t="n">
        <v>2</v>
      </c>
      <c r="R490" s="5" t="inlineStr">
        <is>
          <t>139-2023-09-30</t>
        </is>
      </c>
    </row>
    <row r="491">
      <c r="A491" s="26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144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838.952</v>
      </c>
      <c r="K491" s="125" t="n">
        <v>743.862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$</t>
        </is>
      </c>
      <c r="O491" s="5" t="inlineStr">
        <is>
          <t>$</t>
        </is>
      </c>
      <c r="P491" s="16" t="n">
        <v>2</v>
      </c>
      <c r="Q491" s="16" t="n">
        <v>2</v>
      </c>
      <c r="R491" s="5" t="inlineStr">
        <is>
          <t>139-2023-10-31</t>
        </is>
      </c>
    </row>
    <row r="492">
      <c r="A492" s="26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44" t="n">
        <v>45260</v>
      </c>
      <c r="G492" s="5" t="n">
        <v>2023</v>
      </c>
      <c r="H492" s="5" t="inlineStr">
        <is>
          <t>Noviembre</t>
        </is>
      </c>
      <c r="I492" s="6" t="inlineStr">
        <is>
          <t>2023-2</t>
        </is>
      </c>
      <c r="J492" s="5" t="n">
        <v>910.107</v>
      </c>
      <c r="K492" s="125" t="n">
        <v>840.422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inlineStr">
        <is>
          <t>$</t>
        </is>
      </c>
      <c r="O492" s="5" t="inlineStr">
        <is>
          <t>$</t>
        </is>
      </c>
      <c r="P492" s="16" t="n">
        <v>2</v>
      </c>
      <c r="Q492" s="16" t="n">
        <v>2</v>
      </c>
      <c r="R492" s="5" t="inlineStr">
        <is>
          <t>139-2023-11-30</t>
        </is>
      </c>
    </row>
    <row r="493">
      <c r="A493" s="39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4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981.982</v>
      </c>
      <c r="K493" s="125" t="n">
        <v>964.284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6" t="n">
        <v>2</v>
      </c>
      <c r="Q493" s="16" t="n">
        <v>2</v>
      </c>
      <c r="R493" s="5" t="inlineStr">
        <is>
          <t>139-2023-12-31</t>
        </is>
      </c>
    </row>
    <row r="494">
      <c r="A494" s="39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44" t="n">
        <v>45322</v>
      </c>
      <c r="G494" s="5" t="n">
        <v>2024</v>
      </c>
      <c r="H494" s="5" t="inlineStr">
        <is>
          <t>Enero</t>
        </is>
      </c>
      <c r="I494" s="6" t="inlineStr">
        <is>
          <t>2024-1</t>
        </is>
      </c>
      <c r="J494" s="5" t="n">
        <v>79.365133</v>
      </c>
      <c r="K494" s="125" t="n">
        <v>79.446462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6" t="n">
        <v>2</v>
      </c>
      <c r="Q494" s="16" t="n">
        <v>2</v>
      </c>
      <c r="R494" s="5" t="inlineStr">
        <is>
          <t>139-2024-01-31</t>
        </is>
      </c>
    </row>
    <row r="495">
      <c r="A495" s="39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44" t="n">
        <v>45351</v>
      </c>
      <c r="G495" s="5" t="n">
        <v>2024</v>
      </c>
      <c r="H495" s="5" t="inlineStr">
        <is>
          <t>Febrero</t>
        </is>
      </c>
      <c r="I495" s="6" t="inlineStr">
        <is>
          <t>2024-1</t>
        </is>
      </c>
      <c r="J495" s="5" t="n">
        <v>181.948879</v>
      </c>
      <c r="K495" s="125" t="n">
        <v>168.893529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6" t="n">
        <v>2</v>
      </c>
      <c r="Q495" s="16" t="n">
        <v>2</v>
      </c>
      <c r="R495" s="5" t="inlineStr">
        <is>
          <t>139-2024-02-29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44" t="n">
        <v>45382</v>
      </c>
      <c r="G496" s="5" t="n">
        <v>2024</v>
      </c>
      <c r="H496" s="5" t="inlineStr">
        <is>
          <t>Marzo</t>
        </is>
      </c>
      <c r="I496" s="6" t="inlineStr">
        <is>
          <t>2024-1</t>
        </is>
      </c>
      <c r="J496" s="5" t="n">
        <v>357.099826</v>
      </c>
      <c r="K496" s="123" t="n">
        <v>224.836963</v>
      </c>
      <c r="L496" s="28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6" t="n">
        <v>2</v>
      </c>
      <c r="Q496" s="16" t="n">
        <v>2</v>
      </c>
      <c r="R496" s="5" t="inlineStr">
        <is>
          <t>139-2024-03-31</t>
        </is>
      </c>
    </row>
    <row r="497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44" t="n">
        <v>45412</v>
      </c>
      <c r="G497" s="5" t="n">
        <v>2024</v>
      </c>
      <c r="H497" s="5" t="inlineStr">
        <is>
          <t>Abril</t>
        </is>
      </c>
      <c r="I497" s="6" t="inlineStr">
        <is>
          <t>2024-1</t>
        </is>
      </c>
      <c r="J497" s="5" t="n">
        <v>452.152245</v>
      </c>
      <c r="K497" s="10" t="n">
        <v>311.054847</v>
      </c>
      <c r="L497" s="28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6" t="n">
        <v>2</v>
      </c>
      <c r="Q497" s="16" t="n">
        <v>2</v>
      </c>
      <c r="R497" s="5" t="inlineStr">
        <is>
          <t>139-2024-04-30</t>
        </is>
      </c>
    </row>
    <row r="498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44" t="n">
        <v>45443</v>
      </c>
      <c r="G498" s="5" t="n">
        <v>2024</v>
      </c>
      <c r="H498" s="5" t="inlineStr">
        <is>
          <t>Mayo</t>
        </is>
      </c>
      <c r="I498" s="6" t="inlineStr">
        <is>
          <t>2024-1</t>
        </is>
      </c>
      <c r="J498" s="5" t="n">
        <v>539.127899</v>
      </c>
      <c r="K498" s="123" t="n">
        <v>391.4132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16" t="n">
        <v>2</v>
      </c>
      <c r="Q498" s="16" t="n">
        <v>2</v>
      </c>
      <c r="R498" s="5" t="inlineStr">
        <is>
          <t>139-2024-05-31</t>
        </is>
      </c>
    </row>
    <row r="499">
      <c r="A499" s="26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44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624.0215930000001</v>
      </c>
      <c r="K499" s="123" t="n">
        <v>470.811775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6" t="n">
        <v>2</v>
      </c>
      <c r="Q499" s="16" t="n">
        <v>2</v>
      </c>
      <c r="R499" s="5" t="inlineStr">
        <is>
          <t>139-2024-06-30</t>
        </is>
      </c>
    </row>
    <row r="500">
      <c r="A500" s="26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44" t="n">
        <v>45504</v>
      </c>
      <c r="G500" s="5" t="n">
        <v>2024</v>
      </c>
      <c r="H500" s="5" t="inlineStr">
        <is>
          <t>Julio</t>
        </is>
      </c>
      <c r="I500" s="6" t="inlineStr">
        <is>
          <t>2024-2</t>
        </is>
      </c>
      <c r="J500" s="5" t="n">
        <v>720.622196</v>
      </c>
      <c r="K500" s="123" t="n">
        <v>569.495364</v>
      </c>
      <c r="L500" s="28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6" t="n">
        <v>2</v>
      </c>
      <c r="Q500" s="16" t="n">
        <v>2</v>
      </c>
      <c r="R500" s="5" t="inlineStr">
        <is>
          <t>139-2024-07-31</t>
        </is>
      </c>
    </row>
    <row r="501">
      <c r="A501" s="26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44" t="n">
        <v>45535</v>
      </c>
      <c r="G501" s="5" t="n">
        <v>2024</v>
      </c>
      <c r="H501" s="5" t="inlineStr">
        <is>
          <t>Agosto</t>
        </is>
      </c>
      <c r="I501" s="6" t="inlineStr">
        <is>
          <t>2024-2</t>
        </is>
      </c>
      <c r="J501" s="5" t="n">
        <v>822.013096</v>
      </c>
      <c r="K501" s="123" t="n">
        <v>656.461442</v>
      </c>
      <c r="L501" s="28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6" t="n">
        <v>2</v>
      </c>
      <c r="Q501" s="16" t="n">
        <v>2</v>
      </c>
      <c r="R501" s="5" t="inlineStr">
        <is>
          <t>139-2024-08-31</t>
        </is>
      </c>
    </row>
    <row r="502">
      <c r="A502" s="26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44" t="n">
        <v>45565</v>
      </c>
      <c r="G502" s="5" t="n">
        <v>2024</v>
      </c>
      <c r="H502" s="5" t="inlineStr">
        <is>
          <t>Septiembre</t>
        </is>
      </c>
      <c r="I502" s="6" t="inlineStr">
        <is>
          <t>2024-2</t>
        </is>
      </c>
      <c r="J502" s="5" t="n">
        <v>927.161132</v>
      </c>
      <c r="K502" s="123" t="n">
        <v>737.626948</v>
      </c>
      <c r="L502" s="28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6" t="n">
        <v>2</v>
      </c>
      <c r="Q502" s="16" t="n">
        <v>2</v>
      </c>
      <c r="R502" s="5" t="inlineStr">
        <is>
          <t>139-2024-09-30</t>
        </is>
      </c>
    </row>
    <row r="503">
      <c r="A503" s="26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44" t="n">
        <v>45596</v>
      </c>
      <c r="G503" s="5" t="n">
        <v>2024</v>
      </c>
      <c r="H503" s="5" t="inlineStr">
        <is>
          <t>Octubre</t>
        </is>
      </c>
      <c r="I503" s="6" t="inlineStr">
        <is>
          <t>2024-2</t>
        </is>
      </c>
      <c r="J503" s="5" t="n">
        <v>1966.696715</v>
      </c>
      <c r="K503" s="123" t="n">
        <v>1039.535584</v>
      </c>
      <c r="L503" s="28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6" t="n">
        <v>2</v>
      </c>
      <c r="Q503" s="16" t="n">
        <v>2</v>
      </c>
      <c r="R503" s="5" t="inlineStr">
        <is>
          <t>139-2024-10-31</t>
        </is>
      </c>
    </row>
    <row r="504">
      <c r="A504" s="26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44" t="n">
        <v>45626</v>
      </c>
      <c r="G504" s="5" t="n">
        <v>2024</v>
      </c>
      <c r="H504" s="5" t="inlineStr">
        <is>
          <t>Noviembre</t>
        </is>
      </c>
      <c r="I504" s="6" t="inlineStr">
        <is>
          <t>2024-2</t>
        </is>
      </c>
      <c r="J504" s="5" t="n">
        <v>2267.126486</v>
      </c>
      <c r="K504" s="123" t="n">
        <v>1136.282148</v>
      </c>
      <c r="L504" s="28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6" t="n">
        <v>2</v>
      </c>
      <c r="Q504" s="16" t="n">
        <v>2</v>
      </c>
      <c r="R504" s="5" t="inlineStr">
        <is>
          <t>139-2024-11-30</t>
        </is>
      </c>
    </row>
    <row r="505">
      <c r="A505" s="39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44" t="n">
        <v>45657</v>
      </c>
      <c r="G505" s="5" t="n">
        <v>2024</v>
      </c>
      <c r="H505" s="5" t="inlineStr">
        <is>
          <t>Diciembre</t>
        </is>
      </c>
      <c r="I505" s="6" t="inlineStr">
        <is>
          <t>2024-2</t>
        </is>
      </c>
      <c r="J505" s="5" t="n">
        <v>1338.614396</v>
      </c>
      <c r="K505" s="123" t="n">
        <v>1214.751881</v>
      </c>
      <c r="L505" s="28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$</t>
        </is>
      </c>
      <c r="O505" s="5" t="inlineStr">
        <is>
          <t>$</t>
        </is>
      </c>
      <c r="P505" s="16" t="n">
        <v>2</v>
      </c>
      <c r="Q505" s="16" t="n">
        <v>2</v>
      </c>
      <c r="R505" s="5" t="inlineStr">
        <is>
          <t>139-2024-12-31</t>
        </is>
      </c>
    </row>
    <row r="506">
      <c r="A506" s="39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144" t="n">
        <v>44742</v>
      </c>
      <c r="G506" s="5" t="n">
        <v>2022</v>
      </c>
      <c r="H506" s="5" t="inlineStr">
        <is>
          <t>Junio</t>
        </is>
      </c>
      <c r="I506" s="6" t="inlineStr">
        <is>
          <t>2022-1</t>
        </is>
      </c>
      <c r="J506" s="5" t="n">
        <v>100</v>
      </c>
      <c r="K506" s="123" t="n">
        <v>147</v>
      </c>
      <c r="L506" s="8" t="n"/>
      <c r="M506" s="8" t="n"/>
      <c r="N506" s="5" t="inlineStr">
        <is>
          <t>Metrica</t>
        </is>
      </c>
      <c r="O506" s="5" t="n"/>
      <c r="P506" s="16" t="n">
        <v>0</v>
      </c>
      <c r="Q506" s="16" t="n">
        <v>0</v>
      </c>
      <c r="R506" s="5" t="inlineStr">
        <is>
          <t>143-2022-06-30</t>
        </is>
      </c>
      <c r="S506" t="inlineStr">
        <is>
          <t>Metrica</t>
        </is>
      </c>
    </row>
    <row r="507">
      <c r="A507" s="39" t="n">
        <v>143</v>
      </c>
      <c r="B507" s="5" t="inlineStr">
        <is>
          <t>Proyectos de investigación e innovación- Metrica</t>
        </is>
      </c>
      <c r="C507" s="5" t="inlineStr">
        <is>
          <t>Investigación, desarrollo tecnológico, innovación y creación</t>
        </is>
      </c>
      <c r="D507" s="5" t="inlineStr">
        <is>
          <t>Trimestral</t>
        </is>
      </c>
      <c r="E507" s="5" t="inlineStr">
        <is>
          <t>Positivo</t>
        </is>
      </c>
      <c r="F507" s="144" t="n">
        <v>44926</v>
      </c>
      <c r="G507" s="5" t="n">
        <v>2022</v>
      </c>
      <c r="H507" s="5" t="inlineStr">
        <is>
          <t>Diciembre</t>
        </is>
      </c>
      <c r="I507" s="6" t="inlineStr">
        <is>
          <t>2022-2</t>
        </is>
      </c>
      <c r="J507" s="5" t="n">
        <v>100</v>
      </c>
      <c r="K507" s="123" t="n">
        <v>158</v>
      </c>
      <c r="L507" s="8" t="n"/>
      <c r="M507" s="8" t="n"/>
      <c r="N507" s="5" t="inlineStr">
        <is>
          <t>Metrica</t>
        </is>
      </c>
      <c r="O507" s="5" t="n"/>
      <c r="P507" s="16" t="n">
        <v>0</v>
      </c>
      <c r="Q507" s="16" t="n">
        <v>0</v>
      </c>
      <c r="R507" s="5" t="inlineStr">
        <is>
          <t>143-2022-12-31</t>
        </is>
      </c>
      <c r="S507" t="inlineStr">
        <is>
          <t>Metrica</t>
        </is>
      </c>
    </row>
    <row r="508">
      <c r="A508" s="26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143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100</v>
      </c>
      <c r="K508" s="123" t="n">
        <v>146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n"/>
      <c r="O508" s="5" t="inlineStr">
        <is>
          <t>ENT</t>
        </is>
      </c>
      <c r="P508" s="16" t="n">
        <v>0</v>
      </c>
      <c r="Q508" s="16" t="n">
        <v>0</v>
      </c>
      <c r="R508" s="5" t="inlineStr">
        <is>
          <t>143-2023-06-30</t>
        </is>
      </c>
    </row>
    <row r="509">
      <c r="A509" s="5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144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100</v>
      </c>
      <c r="K509" s="5" t="n">
        <v>146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n"/>
      <c r="O509" s="5" t="inlineStr">
        <is>
          <t>ENT</t>
        </is>
      </c>
      <c r="P509" s="5" t="n">
        <v>0</v>
      </c>
      <c r="Q509" s="5" t="n">
        <v>0</v>
      </c>
      <c r="R509" s="5" t="inlineStr">
        <is>
          <t>143-2023-12-31</t>
        </is>
      </c>
    </row>
    <row r="510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144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100</v>
      </c>
      <c r="K510" s="10" t="n">
        <v>112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n"/>
      <c r="O510" s="5" t="inlineStr">
        <is>
          <t>ENT</t>
        </is>
      </c>
      <c r="P510" s="16" t="n">
        <v>0</v>
      </c>
      <c r="Q510" s="16" t="n">
        <v>0</v>
      </c>
      <c r="R510" s="5" t="inlineStr">
        <is>
          <t>143-2024-06-30</t>
        </is>
      </c>
    </row>
    <row r="511">
      <c r="A511" s="26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144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10" t="n">
        <v>135</v>
      </c>
      <c r="L511" s="28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n"/>
      <c r="O511" s="5" t="inlineStr">
        <is>
          <t>ENT</t>
        </is>
      </c>
      <c r="P511" s="16" t="n">
        <v>0</v>
      </c>
      <c r="Q511" s="16" t="n">
        <v>0</v>
      </c>
      <c r="R511" s="5" t="inlineStr">
        <is>
          <t>143-2024-12-31</t>
        </is>
      </c>
    </row>
    <row r="512">
      <c r="A512" s="26" t="n">
        <v>143</v>
      </c>
      <c r="B512" s="5" t="inlineStr">
        <is>
          <t>Proyectos de investigación e innovación</t>
        </is>
      </c>
      <c r="C512" s="5" t="inlineStr">
        <is>
          <t>Investigación, desarrollo tecnológico, innovación y creación</t>
        </is>
      </c>
      <c r="D512" s="5" t="inlineStr">
        <is>
          <t>Semestral</t>
        </is>
      </c>
      <c r="E512" s="5" t="inlineStr">
        <is>
          <t>Positivo</t>
        </is>
      </c>
      <c r="F512" s="144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100</v>
      </c>
      <c r="K512" s="123" t="n">
        <v>159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n"/>
      <c r="O512" s="5" t="inlineStr">
        <is>
          <t>ENT</t>
        </is>
      </c>
      <c r="P512" s="16" t="n">
        <v>0</v>
      </c>
      <c r="Q512" s="16" t="n">
        <v>0</v>
      </c>
      <c r="R512" s="5" t="inlineStr">
        <is>
          <t>143-2025-06-30</t>
        </is>
      </c>
    </row>
    <row r="513">
      <c r="A513" s="26" t="n">
        <v>143</v>
      </c>
      <c r="B513" s="5" t="inlineStr">
        <is>
          <t>Proyectos de investigación e innovación- Metrica</t>
        </is>
      </c>
      <c r="C513" s="5" t="inlineStr">
        <is>
          <t>Investigación, desarrollo tecnológico, innovación y creación</t>
        </is>
      </c>
      <c r="D513" s="5" t="inlineStr">
        <is>
          <t>Trimestral</t>
        </is>
      </c>
      <c r="E513" s="5" t="inlineStr">
        <is>
          <t>Positivo</t>
        </is>
      </c>
      <c r="F513" s="143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100</v>
      </c>
      <c r="K513" s="123" t="n">
        <v>191</v>
      </c>
      <c r="L513" s="8" t="n"/>
      <c r="M513" s="28" t="n"/>
      <c r="N513" s="5" t="inlineStr">
        <is>
          <t>Metrica</t>
        </is>
      </c>
      <c r="O513" s="5" t="n"/>
      <c r="P513" s="16" t="n">
        <v>0</v>
      </c>
      <c r="Q513" s="16" t="n">
        <v>0</v>
      </c>
      <c r="R513" s="5" t="inlineStr">
        <is>
          <t>143-2025-12-31</t>
        </is>
      </c>
      <c r="S513" t="inlineStr">
        <is>
          <t>Metrica</t>
        </is>
      </c>
    </row>
    <row r="514">
      <c r="A514" s="26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144" t="n">
        <v>44742</v>
      </c>
      <c r="G514" s="5" t="n">
        <v>2022</v>
      </c>
      <c r="H514" s="5" t="inlineStr">
        <is>
          <t>Junio</t>
        </is>
      </c>
      <c r="I514" s="6" t="inlineStr">
        <is>
          <t>2022-1</t>
        </is>
      </c>
      <c r="J514" s="5" t="n">
        <v>3</v>
      </c>
      <c r="K514" s="123" t="n">
        <v>3.2169811320755</v>
      </c>
      <c r="L514" s="28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DEC</t>
        </is>
      </c>
      <c r="P514" s="16" t="n">
        <v>2</v>
      </c>
      <c r="Q514" s="16" t="n">
        <v>2</v>
      </c>
      <c r="R514" s="5" t="inlineStr">
        <is>
          <t>144-2022-06-30</t>
        </is>
      </c>
    </row>
    <row r="515">
      <c r="A515" s="26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144" t="n">
        <v>44926</v>
      </c>
      <c r="G515" s="5" t="n">
        <v>2022</v>
      </c>
      <c r="H515" s="5" t="inlineStr">
        <is>
          <t>Diciembre</t>
        </is>
      </c>
      <c r="I515" s="6" t="inlineStr">
        <is>
          <t>2022-2</t>
        </is>
      </c>
      <c r="J515" s="5" t="n">
        <v>3</v>
      </c>
      <c r="K515" s="123" t="n">
        <v>3.55</v>
      </c>
      <c r="L515" s="28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DEC</t>
        </is>
      </c>
      <c r="P515" s="16" t="n">
        <v>2</v>
      </c>
      <c r="Q515" s="16" t="n">
        <v>2</v>
      </c>
      <c r="R515" s="5" t="inlineStr">
        <is>
          <t>144-2022-12-31</t>
        </is>
      </c>
    </row>
    <row r="516">
      <c r="A516" s="26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144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3</v>
      </c>
      <c r="K516" s="123" t="n">
        <v>4.83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n">
        <v>0</v>
      </c>
      <c r="O516" s="5" t="inlineStr">
        <is>
          <t>ENT</t>
        </is>
      </c>
      <c r="P516" s="16" t="n">
        <v>0</v>
      </c>
      <c r="Q516" s="16" t="n">
        <v>0</v>
      </c>
      <c r="R516" s="5" t="inlineStr">
        <is>
          <t>144-2023-12-31</t>
        </is>
      </c>
    </row>
    <row r="517">
      <c r="A517" s="26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144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123" t="n">
        <v>4.6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n"/>
      <c r="O517" s="5" t="n"/>
      <c r="P517" s="16" t="n">
        <v>0</v>
      </c>
      <c r="Q517" s="16" t="n">
        <v>0</v>
      </c>
      <c r="R517" s="5" t="inlineStr">
        <is>
          <t>144-2024-12-31</t>
        </is>
      </c>
    </row>
    <row r="518">
      <c r="A518" s="26" t="n">
        <v>144</v>
      </c>
      <c r="B518" s="5" t="inlineStr">
        <is>
          <t>Productos de investigación</t>
        </is>
      </c>
      <c r="C518" s="5" t="inlineStr">
        <is>
          <t>Investigación, desarrollo tecnológico, innovación y creación</t>
        </is>
      </c>
      <c r="D518" s="5" t="inlineStr">
        <is>
          <t>Anual</t>
        </is>
      </c>
      <c r="E518" s="5" t="inlineStr">
        <is>
          <t>Positivo</t>
        </is>
      </c>
      <c r="F518" s="144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4</v>
      </c>
      <c r="K518" s="123" t="n">
        <v>1.95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DEC</t>
        </is>
      </c>
      <c r="P518" s="16" t="n">
        <v>2</v>
      </c>
      <c r="Q518" s="16" t="n">
        <v>2</v>
      </c>
      <c r="R518" s="5" t="inlineStr">
        <is>
          <t>144-2025-12-31</t>
        </is>
      </c>
    </row>
    <row r="519">
      <c r="A519" s="26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144" t="n">
        <v>44742</v>
      </c>
      <c r="G519" s="5" t="n">
        <v>2022</v>
      </c>
      <c r="H519" s="5" t="inlineStr">
        <is>
          <t>Junio</t>
        </is>
      </c>
      <c r="I519" s="6" t="inlineStr">
        <is>
          <t>2022-1</t>
        </is>
      </c>
      <c r="J519" s="5" t="n">
        <v>1</v>
      </c>
      <c r="K519" s="123" t="n">
        <v>2.1186440677966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DEC</t>
        </is>
      </c>
      <c r="P519" s="16" t="n">
        <v>0</v>
      </c>
      <c r="Q519" s="16" t="n">
        <v>2</v>
      </c>
      <c r="R519" s="5" t="inlineStr">
        <is>
          <t>145-2022-06-30</t>
        </is>
      </c>
    </row>
    <row r="520">
      <c r="A520" s="26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Trimestral</t>
        </is>
      </c>
      <c r="E520" s="5" t="inlineStr">
        <is>
          <t>Positivo</t>
        </is>
      </c>
      <c r="F520" s="144" t="n">
        <v>44926</v>
      </c>
      <c r="G520" s="5" t="n">
        <v>2022</v>
      </c>
      <c r="H520" s="5" t="inlineStr">
        <is>
          <t>Diciembre</t>
        </is>
      </c>
      <c r="I520" s="6" t="inlineStr">
        <is>
          <t>2022-2</t>
        </is>
      </c>
      <c r="J520" s="5" t="n">
        <v>1</v>
      </c>
      <c r="K520" s="123" t="n">
        <v>2.1186440677966</v>
      </c>
      <c r="L520" s="28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DEC</t>
        </is>
      </c>
      <c r="P520" s="16" t="n">
        <v>0</v>
      </c>
      <c r="Q520" s="16" t="n">
        <v>2</v>
      </c>
      <c r="R520" s="5" t="inlineStr">
        <is>
          <t>145-2022-12-31</t>
        </is>
      </c>
    </row>
    <row r="521">
      <c r="A521" s="39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144" t="n">
        <v>45107</v>
      </c>
      <c r="G521" s="5" t="n">
        <v>2023</v>
      </c>
      <c r="H521" s="5" t="inlineStr">
        <is>
          <t>Junio</t>
        </is>
      </c>
      <c r="I521" s="6" t="inlineStr">
        <is>
          <t>2023-1</t>
        </is>
      </c>
      <c r="J521" s="5" t="n">
        <v>1</v>
      </c>
      <c r="K521" s="123" t="n">
        <v>2</v>
      </c>
      <c r="L521" s="28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DEC</t>
        </is>
      </c>
      <c r="P521" s="16" t="n">
        <v>0</v>
      </c>
      <c r="Q521" s="16" t="n">
        <v>0</v>
      </c>
      <c r="R521" s="5" t="inlineStr">
        <is>
          <t>145-2023-06-30</t>
        </is>
      </c>
    </row>
    <row r="522">
      <c r="A522" s="39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144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1</v>
      </c>
      <c r="K522" s="123" t="n">
        <v>2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DEC</t>
        </is>
      </c>
      <c r="P522" s="16" t="n">
        <v>0</v>
      </c>
      <c r="Q522" s="16" t="n">
        <v>0</v>
      </c>
      <c r="R522" s="5" t="inlineStr">
        <is>
          <t>145-2023-12-31</t>
        </is>
      </c>
    </row>
    <row r="523">
      <c r="A523" s="39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1</v>
      </c>
      <c r="K523" s="123" t="n">
        <v>1.97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DEC</t>
        </is>
      </c>
      <c r="P523" s="16" t="n">
        <v>0</v>
      </c>
      <c r="Q523" s="16" t="n">
        <v>2</v>
      </c>
      <c r="R523" s="5" t="inlineStr">
        <is>
          <t>145-2024-06-30</t>
        </is>
      </c>
    </row>
    <row r="524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144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</v>
      </c>
      <c r="K524" s="123" t="n">
        <v>1.94</v>
      </c>
      <c r="L524" s="28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DEC</t>
        </is>
      </c>
      <c r="P524" s="16" t="n">
        <v>0</v>
      </c>
      <c r="Q524" s="16" t="n">
        <v>2</v>
      </c>
      <c r="R524" s="5" t="inlineStr">
        <is>
          <t>145-2024-12-31</t>
        </is>
      </c>
    </row>
    <row r="525">
      <c r="A525" s="26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Semestral</t>
        </is>
      </c>
      <c r="E525" s="5" t="inlineStr">
        <is>
          <t>Positivo</t>
        </is>
      </c>
      <c r="F525" s="144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</v>
      </c>
      <c r="K525" s="5" t="n">
        <v>1.74</v>
      </c>
      <c r="L525" s="28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16" t="n">
        <v>0</v>
      </c>
      <c r="Q525" s="16" t="n">
        <v>2</v>
      </c>
      <c r="R525" s="5" t="inlineStr">
        <is>
          <t>145-2025-06-30</t>
        </is>
      </c>
    </row>
    <row r="526">
      <c r="A526" s="26" t="n">
        <v>145</v>
      </c>
      <c r="B526" s="5" t="inlineStr">
        <is>
          <t>Semilleros de Investigación, Innovación y Creación</t>
        </is>
      </c>
      <c r="C526" s="5" t="inlineStr">
        <is>
          <t>Formación para la investigación, creación e innovación</t>
        </is>
      </c>
      <c r="D526" s="5" t="inlineStr">
        <is>
          <t>Trimestral</t>
        </is>
      </c>
      <c r="E526" s="5" t="inlineStr">
        <is>
          <t>Positivo</t>
        </is>
      </c>
      <c r="F526" s="144" t="n">
        <v>46022</v>
      </c>
      <c r="G526" s="5" t="n">
        <v>2025</v>
      </c>
      <c r="H526" s="5" t="inlineStr">
        <is>
          <t>Diciembre</t>
        </is>
      </c>
      <c r="I526" s="6" t="inlineStr">
        <is>
          <t>2025-2</t>
        </is>
      </c>
      <c r="J526" s="5" t="n">
        <v>1</v>
      </c>
      <c r="K526" s="5" t="n">
        <v>1.62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DEC</t>
        </is>
      </c>
      <c r="P526" s="16" t="n">
        <v>0</v>
      </c>
      <c r="Q526" s="16" t="n">
        <v>2</v>
      </c>
      <c r="R526" s="5" t="inlineStr">
        <is>
          <t>145-2025-12-31</t>
        </is>
      </c>
    </row>
    <row r="527">
      <c r="A527" s="26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144" t="n">
        <v>44742</v>
      </c>
      <c r="G527" s="5" t="n">
        <v>2022</v>
      </c>
      <c r="H527" s="5" t="inlineStr">
        <is>
          <t>Junio</t>
        </is>
      </c>
      <c r="I527" s="6" t="inlineStr">
        <is>
          <t>2022-1</t>
        </is>
      </c>
      <c r="J527" s="5" t="n">
        <v>230</v>
      </c>
      <c r="K527" s="123" t="n">
        <v>100.43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16" t="n">
        <v>0</v>
      </c>
      <c r="Q527" s="16" t="n">
        <v>0</v>
      </c>
      <c r="R527" s="5" t="inlineStr">
        <is>
          <t>146-2022-06-30</t>
        </is>
      </c>
    </row>
    <row r="528">
      <c r="A528" s="26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Trimestral</t>
        </is>
      </c>
      <c r="E528" s="5" t="inlineStr">
        <is>
          <t>Positivo</t>
        </is>
      </c>
      <c r="F528" s="144" t="n">
        <v>44926</v>
      </c>
      <c r="G528" s="5" t="n">
        <v>2022</v>
      </c>
      <c r="H528" s="5" t="inlineStr">
        <is>
          <t>Diciembre</t>
        </is>
      </c>
      <c r="I528" s="6" t="inlineStr">
        <is>
          <t>2022-2</t>
        </is>
      </c>
      <c r="J528" s="5" t="n">
        <v>230</v>
      </c>
      <c r="K528" s="5" t="n">
        <v>121.74</v>
      </c>
      <c r="L528" s="28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16" t="n">
        <v>0</v>
      </c>
      <c r="Q528" s="16" t="n">
        <v>0</v>
      </c>
      <c r="R528" s="5" t="inlineStr">
        <is>
          <t>146-2022-12-31</t>
        </is>
      </c>
    </row>
    <row r="529">
      <c r="A529" s="26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144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230</v>
      </c>
      <c r="K529" s="5" t="n">
        <v>120.87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16" t="n">
        <v>0</v>
      </c>
      <c r="Q529" s="16" t="n">
        <v>0</v>
      </c>
      <c r="R529" s="5" t="inlineStr">
        <is>
          <t>146-2023-06-30</t>
        </is>
      </c>
    </row>
    <row r="530">
      <c r="A530" s="26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144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230</v>
      </c>
      <c r="K530" s="5" t="n">
        <v>148.7</v>
      </c>
      <c r="L530" s="28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16" t="n">
        <v>0</v>
      </c>
      <c r="Q530" s="16" t="n">
        <v>0</v>
      </c>
      <c r="R530" s="5" t="inlineStr">
        <is>
          <t>146-2023-12-31</t>
        </is>
      </c>
    </row>
    <row r="531">
      <c r="A531" s="26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144" t="n">
        <v>45473</v>
      </c>
      <c r="G531" s="5" t="n">
        <v>2024</v>
      </c>
      <c r="H531" s="5" t="inlineStr">
        <is>
          <t>Junio</t>
        </is>
      </c>
      <c r="I531" s="6" t="inlineStr">
        <is>
          <t>2024-1</t>
        </is>
      </c>
      <c r="J531" s="5" t="n">
        <v>294</v>
      </c>
      <c r="K531" s="5" t="n">
        <v>113.61</v>
      </c>
      <c r="L531" s="28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16" t="n">
        <v>0</v>
      </c>
      <c r="Q531" s="16" t="n">
        <v>0</v>
      </c>
      <c r="R531" s="5" t="inlineStr">
        <is>
          <t>146-2024-06-30</t>
        </is>
      </c>
    </row>
    <row r="532">
      <c r="A532" s="26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144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294</v>
      </c>
      <c r="K532" s="5" t="n">
        <v>116.67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16" t="n">
        <v>0</v>
      </c>
      <c r="Q532" s="16" t="n">
        <v>0</v>
      </c>
      <c r="R532" s="5" t="inlineStr">
        <is>
          <t>146-2024-12-31</t>
        </is>
      </c>
    </row>
    <row r="533">
      <c r="A533" s="39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Semestral</t>
        </is>
      </c>
      <c r="E533" s="5" t="inlineStr">
        <is>
          <t>Positivo</t>
        </is>
      </c>
      <c r="F533" s="144" t="n">
        <v>45838</v>
      </c>
      <c r="G533" s="5" t="n">
        <v>2025</v>
      </c>
      <c r="H533" s="5" t="inlineStr">
        <is>
          <t>Junio</t>
        </is>
      </c>
      <c r="I533" s="6" t="inlineStr">
        <is>
          <t>2025-1</t>
        </is>
      </c>
      <c r="J533" s="5" t="n">
        <v>100</v>
      </c>
      <c r="K533" s="5" t="n">
        <v>107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16" t="n">
        <v>0</v>
      </c>
      <c r="Q533" s="16" t="n">
        <v>0</v>
      </c>
      <c r="R533" s="5" t="inlineStr">
        <is>
          <t>146-2025-06-30</t>
        </is>
      </c>
    </row>
    <row r="534">
      <c r="A534" s="39" t="n">
        <v>146</v>
      </c>
      <c r="B534" s="5" t="inlineStr">
        <is>
          <t>Docentes vinculados a investigación</t>
        </is>
      </c>
      <c r="C534" s="5" t="inlineStr">
        <is>
          <t>Investigación, desarrollo tecnológico, innovación y creación</t>
        </is>
      </c>
      <c r="D534" s="5" t="inlineStr">
        <is>
          <t>Trimestral</t>
        </is>
      </c>
      <c r="E534" s="5" t="inlineStr">
        <is>
          <t>Positivo</t>
        </is>
      </c>
      <c r="F534" s="144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100</v>
      </c>
      <c r="K534" s="5" t="n">
        <v>133</v>
      </c>
      <c r="L534" s="28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ENT</t>
        </is>
      </c>
      <c r="P534" s="16" t="n">
        <v>0</v>
      </c>
      <c r="Q534" s="16" t="n">
        <v>0</v>
      </c>
      <c r="R534" s="5" t="inlineStr">
        <is>
          <t>146-2025-12-31</t>
        </is>
      </c>
    </row>
    <row r="535">
      <c r="A535" s="39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144" t="n">
        <v>44926</v>
      </c>
      <c r="G535" s="5" t="n">
        <v>2022</v>
      </c>
      <c r="H535" s="5" t="inlineStr">
        <is>
          <t>Diciembre</t>
        </is>
      </c>
      <c r="I535" s="6" t="inlineStr">
        <is>
          <t>2022-2</t>
        </is>
      </c>
      <c r="J535" s="5" t="n">
        <v>18</v>
      </c>
      <c r="K535" s="5" t="n">
        <v>11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ENT</t>
        </is>
      </c>
      <c r="P535" s="16" t="n">
        <v>0</v>
      </c>
      <c r="Q535" s="16" t="n">
        <v>0</v>
      </c>
      <c r="R535" s="5" t="inlineStr">
        <is>
          <t>147-2022-12-31</t>
        </is>
      </c>
    </row>
    <row r="536">
      <c r="A536" s="26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144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13</v>
      </c>
      <c r="K536" s="123" t="n">
        <v>12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ENT</t>
        </is>
      </c>
      <c r="P536" s="16" t="n">
        <v>0</v>
      </c>
      <c r="Q536" s="16" t="n">
        <v>0</v>
      </c>
      <c r="R536" s="5" t="inlineStr">
        <is>
          <t>147-2023-12-31</t>
        </is>
      </c>
    </row>
    <row r="537">
      <c r="A537" s="26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143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0</v>
      </c>
      <c r="K537" s="123" t="n">
        <v>12</v>
      </c>
      <c r="L537" s="28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n"/>
      <c r="O537" s="5" t="n"/>
      <c r="P537" s="16" t="n">
        <v>0</v>
      </c>
      <c r="Q537" s="16" t="n">
        <v>0</v>
      </c>
      <c r="R537" s="5" t="inlineStr">
        <is>
          <t>147-2024-12-31</t>
        </is>
      </c>
    </row>
    <row r="538">
      <c r="A538" s="26" t="n">
        <v>147</v>
      </c>
      <c r="B538" s="5" t="inlineStr">
        <is>
          <t>Grupos de investigación categorizados</t>
        </is>
      </c>
      <c r="C538" s="5" t="inlineStr">
        <is>
          <t>Investigación, desarrollo tecnológico, innovación y creación</t>
        </is>
      </c>
      <c r="D538" s="5" t="inlineStr">
        <is>
          <t>Anual</t>
        </is>
      </c>
      <c r="E538" s="5" t="inlineStr">
        <is>
          <t>Positivo</t>
        </is>
      </c>
      <c r="F538" s="144" t="n">
        <v>46022</v>
      </c>
      <c r="G538" s="5" t="n">
        <v>2025</v>
      </c>
      <c r="H538" s="5" t="inlineStr">
        <is>
          <t>Diciembre</t>
        </is>
      </c>
      <c r="I538" s="6" t="inlineStr">
        <is>
          <t>2025-2</t>
        </is>
      </c>
      <c r="J538" s="5" t="n">
        <v>16</v>
      </c>
      <c r="K538" s="123" t="n">
        <v>16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16" t="n">
        <v>0</v>
      </c>
      <c r="Q538" s="16" t="n">
        <v>0</v>
      </c>
      <c r="R538" s="5" t="inlineStr">
        <is>
          <t>147-2025-12-31</t>
        </is>
      </c>
    </row>
    <row r="539">
      <c r="A539" s="26" t="n">
        <v>148</v>
      </c>
      <c r="B539" s="5" t="inlineStr">
        <is>
          <t>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Trimestral</t>
        </is>
      </c>
      <c r="E539" s="5" t="inlineStr">
        <is>
          <t>Positivo</t>
        </is>
      </c>
      <c r="F539" s="144" t="n">
        <v>44742</v>
      </c>
      <c r="G539" s="5" t="n">
        <v>2022</v>
      </c>
      <c r="H539" s="5" t="inlineStr">
        <is>
          <t>Junio</t>
        </is>
      </c>
      <c r="I539" s="6" t="inlineStr">
        <is>
          <t>2022-1</t>
        </is>
      </c>
      <c r="J539" s="5" t="n">
        <v>2</v>
      </c>
      <c r="K539" s="123" t="n">
        <v>1.56749025217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16" t="n">
        <v>0</v>
      </c>
      <c r="Q539" s="16" t="n">
        <v>1</v>
      </c>
      <c r="R539" s="5" t="inlineStr">
        <is>
          <t>148-2022-06-30</t>
        </is>
      </c>
    </row>
    <row r="540">
      <c r="A540" s="26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144" t="n">
        <v>44926</v>
      </c>
      <c r="G540" s="5" t="n">
        <v>2022</v>
      </c>
      <c r="H540" s="5" t="inlineStr">
        <is>
          <t>Diciembre</t>
        </is>
      </c>
      <c r="I540" s="6" t="inlineStr">
        <is>
          <t>2022-2</t>
        </is>
      </c>
      <c r="J540" s="5" t="n">
        <v>2</v>
      </c>
      <c r="K540" s="123" t="n">
        <v>3.0897703549061</v>
      </c>
      <c r="L540" s="28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16" t="n">
        <v>0</v>
      </c>
      <c r="Q540" s="16" t="n">
        <v>1</v>
      </c>
      <c r="R540" s="5" t="inlineStr">
        <is>
          <t>148-2022-12-31</t>
        </is>
      </c>
    </row>
    <row r="541">
      <c r="A541" s="26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144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2.5</v>
      </c>
      <c r="K541" s="123" t="n">
        <v>4.11</v>
      </c>
      <c r="L541" s="28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16" t="n">
        <v>2</v>
      </c>
      <c r="Q541" s="16" t="n">
        <v>1</v>
      </c>
      <c r="R541" s="5" t="inlineStr">
        <is>
          <t>148-2023-06-30</t>
        </is>
      </c>
    </row>
    <row r="542">
      <c r="A542" s="26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144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5</v>
      </c>
      <c r="K542" s="123" t="n">
        <v>5.71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16" t="n">
        <v>0</v>
      </c>
      <c r="Q542" s="16" t="n">
        <v>1</v>
      </c>
      <c r="R542" s="5" t="inlineStr">
        <is>
          <t>148-2023-12-31</t>
        </is>
      </c>
    </row>
    <row r="543">
      <c r="A543" s="26" t="n">
        <v>148</v>
      </c>
      <c r="B543" s="5" t="inlineStr">
        <is>
          <t>% 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5</v>
      </c>
      <c r="K543" s="123" t="n">
        <v>4.3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%</t>
        </is>
      </c>
      <c r="O543" s="5" t="inlineStr">
        <is>
          <t>%</t>
        </is>
      </c>
      <c r="P543" s="16" t="n">
        <v>0</v>
      </c>
      <c r="Q543" s="16" t="n">
        <v>1</v>
      </c>
      <c r="R543" s="5" t="inlineStr">
        <is>
          <t>148-2024-06-30</t>
        </is>
      </c>
    </row>
    <row r="544">
      <c r="A544" s="26" t="n">
        <v>148</v>
      </c>
      <c r="B544" s="5" t="inlineStr">
        <is>
          <t>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144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5</v>
      </c>
      <c r="K544" s="123" t="n">
        <v>6.3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%</t>
        </is>
      </c>
      <c r="O544" s="5" t="inlineStr">
        <is>
          <t>%</t>
        </is>
      </c>
      <c r="P544" s="16" t="n">
        <v>0</v>
      </c>
      <c r="Q544" s="16" t="n">
        <v>1</v>
      </c>
      <c r="R544" s="5" t="inlineStr">
        <is>
          <t>148-2024-12-31</t>
        </is>
      </c>
    </row>
    <row r="545">
      <c r="A545" s="39" t="n">
        <v>148</v>
      </c>
      <c r="B545" s="5" t="inlineStr">
        <is>
          <t>% 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Semestral</t>
        </is>
      </c>
      <c r="E545" s="5" t="inlineStr">
        <is>
          <t>Positivo</t>
        </is>
      </c>
      <c r="F545" s="144" t="n">
        <v>45838</v>
      </c>
      <c r="G545" s="5" t="n">
        <v>2025</v>
      </c>
      <c r="H545" s="5" t="inlineStr">
        <is>
          <t>Junio</t>
        </is>
      </c>
      <c r="I545" s="6" t="inlineStr">
        <is>
          <t>2025-1</t>
        </is>
      </c>
      <c r="J545" s="5" t="n">
        <v>4</v>
      </c>
      <c r="K545" s="123" t="n">
        <v>4.08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16" t="n">
        <v>0</v>
      </c>
      <c r="Q545" s="16" t="n">
        <v>1</v>
      </c>
      <c r="R545" s="5" t="inlineStr">
        <is>
          <t>148-2025-06-30</t>
        </is>
      </c>
    </row>
    <row r="546">
      <c r="A546" s="39" t="n">
        <v>148</v>
      </c>
      <c r="B546" s="5" t="inlineStr">
        <is>
          <t>Estudiantes vinculados a investigación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144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5</v>
      </c>
      <c r="K546" s="123" t="n">
        <v>6.78</v>
      </c>
      <c r="L546" s="28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16" t="n">
        <v>0</v>
      </c>
      <c r="Q546" s="16" t="n">
        <v>1</v>
      </c>
      <c r="R546" s="5" t="inlineStr">
        <is>
          <t>148-2025-12-31</t>
        </is>
      </c>
    </row>
    <row r="547">
      <c r="A547" s="39" t="n">
        <v>150</v>
      </c>
      <c r="B547" s="5" t="inlineStr">
        <is>
          <t>Nivel de Satisfacción Servicios Prestados</t>
        </is>
      </c>
      <c r="C547" s="5" t="inlineStr">
        <is>
          <t>Investigación, desarrollo tecnológico e innovación</t>
        </is>
      </c>
      <c r="D547" s="5" t="inlineStr">
        <is>
          <t>Anual</t>
        </is>
      </c>
      <c r="E547" s="5" t="inlineStr">
        <is>
          <t>Positivo</t>
        </is>
      </c>
      <c r="F547" s="144" t="n">
        <v>44865</v>
      </c>
      <c r="G547" s="5" t="n">
        <v>2022</v>
      </c>
      <c r="H547" s="5" t="inlineStr">
        <is>
          <t>Octubre</t>
        </is>
      </c>
      <c r="I547" s="6" t="inlineStr">
        <is>
          <t>2022-2</t>
        </is>
      </c>
      <c r="J547" s="5" t="n">
        <v>80</v>
      </c>
      <c r="K547" s="123" t="n">
        <v>80</v>
      </c>
      <c r="L547" s="28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16" t="n">
        <v>0</v>
      </c>
      <c r="Q547" s="16" t="n">
        <v>0</v>
      </c>
      <c r="R547" s="5" t="inlineStr">
        <is>
          <t>150-2022-10-31</t>
        </is>
      </c>
    </row>
    <row r="548">
      <c r="A548" s="26" t="n">
        <v>150</v>
      </c>
      <c r="B548" s="5" t="inlineStr">
        <is>
          <t>Nivel de Satisfacción Servicios Prestados</t>
        </is>
      </c>
      <c r="C548" s="5" t="inlineStr">
        <is>
          <t>INVESTIGACIÓN,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44" t="n">
        <v>45230</v>
      </c>
      <c r="G548" s="5" t="n">
        <v>2023</v>
      </c>
      <c r="H548" s="5" t="inlineStr">
        <is>
          <t>Octubre</t>
        </is>
      </c>
      <c r="I548" s="6" t="inlineStr">
        <is>
          <t>2023-2</t>
        </is>
      </c>
      <c r="J548" s="5" t="n">
        <v>80</v>
      </c>
      <c r="K548" s="123" t="n">
        <v>94</v>
      </c>
      <c r="L548" s="28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16" t="n">
        <v>0</v>
      </c>
      <c r="Q548" s="16" t="n">
        <v>0</v>
      </c>
      <c r="R548" s="5" t="inlineStr">
        <is>
          <t>150-2023-10-31</t>
        </is>
      </c>
    </row>
    <row r="549">
      <c r="A549" s="26" t="n">
        <v>150</v>
      </c>
      <c r="B549" s="5" t="inlineStr">
        <is>
          <t>Nivel de Satisfacción Servicios Prestados</t>
        </is>
      </c>
      <c r="C549" s="5" t="inlineStr">
        <is>
          <t>Investigación, desarrollo tecnológico e innovación</t>
        </is>
      </c>
      <c r="D549" s="5" t="inlineStr">
        <is>
          <t>Anual</t>
        </is>
      </c>
      <c r="E549" s="5" t="inlineStr">
        <is>
          <t>Positivo</t>
        </is>
      </c>
      <c r="F549" s="144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80</v>
      </c>
      <c r="K549" s="123" t="n">
        <v>84.34350070811109</v>
      </c>
      <c r="L549" s="28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16" t="n">
        <v>0</v>
      </c>
      <c r="Q549" s="16" t="n">
        <v>0</v>
      </c>
      <c r="R549" s="5" t="inlineStr">
        <is>
          <t>150-2023-12-31</t>
        </is>
      </c>
    </row>
    <row r="550">
      <c r="A550" s="26" t="n">
        <v>150</v>
      </c>
      <c r="B550" s="5" t="inlineStr">
        <is>
          <t>Nivel de Satisfacción Servicios Prestados- Investigación, desarrollo tecnológico, innovación y creación</t>
        </is>
      </c>
      <c r="C550" s="5" t="inlineStr">
        <is>
          <t>Investigación, desarrollo tecnológico, innovación y creación</t>
        </is>
      </c>
      <c r="D550" s="5" t="inlineStr">
        <is>
          <t>Anual</t>
        </is>
      </c>
      <c r="E550" s="5" t="inlineStr">
        <is>
          <t>Positivo</t>
        </is>
      </c>
      <c r="F550" s="144" t="n">
        <v>45596</v>
      </c>
      <c r="G550" s="5" t="n">
        <v>2024</v>
      </c>
      <c r="H550" s="5" t="inlineStr">
        <is>
          <t>Octubre</t>
        </is>
      </c>
      <c r="I550" s="6" t="inlineStr">
        <is>
          <t>2024-2</t>
        </is>
      </c>
      <c r="J550" s="5" t="n">
        <v>80</v>
      </c>
      <c r="K550" s="123" t="n">
        <v>89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6" t="n">
        <v>0</v>
      </c>
      <c r="Q550" s="16" t="n">
        <v>0</v>
      </c>
      <c r="R550" s="5" t="inlineStr">
        <is>
          <t>150-2024-10-31</t>
        </is>
      </c>
    </row>
    <row r="551">
      <c r="A551" s="26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144" t="n">
        <v>44865</v>
      </c>
      <c r="G551" s="5" t="n">
        <v>2022</v>
      </c>
      <c r="H551" s="5" t="inlineStr">
        <is>
          <t>Octubre</t>
        </is>
      </c>
      <c r="I551" s="6" t="inlineStr">
        <is>
          <t>2022-2</t>
        </is>
      </c>
      <c r="J551" s="5" t="n">
        <v>80</v>
      </c>
      <c r="K551" s="123" t="n">
        <v>83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16" t="n">
        <v>0</v>
      </c>
      <c r="Q551" s="16" t="n">
        <v>0</v>
      </c>
      <c r="R551" s="5" t="inlineStr">
        <is>
          <t>151-2022-10-31</t>
        </is>
      </c>
    </row>
    <row r="552">
      <c r="A552" s="26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144" t="n">
        <v>45230</v>
      </c>
      <c r="G552" s="5" t="n">
        <v>2023</v>
      </c>
      <c r="H552" s="5" t="inlineStr">
        <is>
          <t>Octubre</t>
        </is>
      </c>
      <c r="I552" s="6" t="inlineStr">
        <is>
          <t>2023-2</t>
        </is>
      </c>
      <c r="J552" s="5" t="n">
        <v>80</v>
      </c>
      <c r="K552" s="123" t="n">
        <v>90.37</v>
      </c>
      <c r="L552" s="28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6" t="n">
        <v>0</v>
      </c>
      <c r="Q552" s="16" t="n">
        <v>0</v>
      </c>
      <c r="R552" s="5" t="inlineStr">
        <is>
          <t>151-2023-10-31</t>
        </is>
      </c>
    </row>
    <row r="553">
      <c r="A553" s="26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144" t="n">
        <v>45596</v>
      </c>
      <c r="G553" s="5" t="n">
        <v>2024</v>
      </c>
      <c r="H553" s="5" t="inlineStr">
        <is>
          <t>Octubre</t>
        </is>
      </c>
      <c r="I553" s="6" t="inlineStr">
        <is>
          <t>2024-2</t>
        </is>
      </c>
      <c r="J553" s="5" t="n">
        <v>80</v>
      </c>
      <c r="K553" s="123" t="n">
        <v>80</v>
      </c>
      <c r="L553" s="28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6" t="n">
        <v>0</v>
      </c>
      <c r="Q553" s="16" t="n">
        <v>0</v>
      </c>
      <c r="R553" s="5" t="inlineStr">
        <is>
          <t>151-2024-10-31</t>
        </is>
      </c>
    </row>
    <row r="554">
      <c r="A554" s="26" t="n">
        <v>151</v>
      </c>
      <c r="B554" s="5" t="inlineStr">
        <is>
          <t>Nivel de Satisfacción Servicios Prestados</t>
        </is>
      </c>
      <c r="C554" s="5" t="inlineStr">
        <is>
          <t>Biblioteca Institucional</t>
        </is>
      </c>
      <c r="D554" s="5" t="inlineStr">
        <is>
          <t>Anual</t>
        </is>
      </c>
      <c r="E554" s="5" t="inlineStr">
        <is>
          <t>Positivo</t>
        </is>
      </c>
      <c r="F554" s="144" t="n">
        <v>45961</v>
      </c>
      <c r="G554" s="5" t="n">
        <v>2025</v>
      </c>
      <c r="H554" s="5" t="inlineStr">
        <is>
          <t>Octubre</t>
        </is>
      </c>
      <c r="I554" s="6" t="inlineStr">
        <is>
          <t>2025-2</t>
        </is>
      </c>
      <c r="J554" s="5" t="n">
        <v>80</v>
      </c>
      <c r="K554" s="123" t="n">
        <v>95</v>
      </c>
      <c r="L554" s="28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16" t="n">
        <v>0</v>
      </c>
      <c r="Q554" s="16" t="n">
        <v>0</v>
      </c>
      <c r="R554" s="5" t="inlineStr">
        <is>
          <t>151-2025-10-31</t>
        </is>
      </c>
    </row>
    <row r="555">
      <c r="A555" s="26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144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3</v>
      </c>
      <c r="K555" s="123" t="n">
        <v>4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No Aplica</t>
        </is>
      </c>
      <c r="O555" s="5" t="inlineStr">
        <is>
          <t>No Aplica</t>
        </is>
      </c>
      <c r="P555" s="16" t="n">
        <v>0</v>
      </c>
      <c r="Q555" s="16" t="n">
        <v>0</v>
      </c>
      <c r="R555" s="5" t="inlineStr">
        <is>
          <t>157-2023-06-30</t>
        </is>
      </c>
    </row>
    <row r="556">
      <c r="A556" s="26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144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3</v>
      </c>
      <c r="K556" s="123" t="n">
        <v>7</v>
      </c>
      <c r="L556" s="28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No Aplica</t>
        </is>
      </c>
      <c r="O556" s="5" t="inlineStr">
        <is>
          <t>No Aplica</t>
        </is>
      </c>
      <c r="P556" s="16" t="n">
        <v>0</v>
      </c>
      <c r="Q556" s="16" t="n">
        <v>0</v>
      </c>
      <c r="R556" s="5" t="inlineStr">
        <is>
          <t>157-2023-12-31</t>
        </is>
      </c>
    </row>
    <row r="557">
      <c r="A557" s="39" t="n">
        <v>157</v>
      </c>
      <c r="B557" s="5" t="inlineStr">
        <is>
          <t>Indexación de bases de datos o SIRES</t>
        </is>
      </c>
      <c r="C557" s="5" t="inlineStr">
        <is>
          <t>Editorial y Publicaciones</t>
        </is>
      </c>
      <c r="D557" s="5" t="inlineStr">
        <is>
          <t>Anual</t>
        </is>
      </c>
      <c r="E557" s="5" t="inlineStr">
        <is>
          <t>Positivo</t>
        </is>
      </c>
      <c r="F557" s="144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123" t="n">
        <v>125</v>
      </c>
      <c r="L557" s="28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n"/>
      <c r="O557" s="5" t="n"/>
      <c r="P557" s="16" t="n">
        <v>0</v>
      </c>
      <c r="Q557" s="16" t="n">
        <v>0</v>
      </c>
      <c r="R557" s="5" t="inlineStr">
        <is>
          <t>157-2024-12-31</t>
        </is>
      </c>
    </row>
    <row r="558">
      <c r="A558" s="39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144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80</v>
      </c>
      <c r="K558" s="123" t="n">
        <v>0</v>
      </c>
      <c r="L558" s="28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6" t="n">
        <v>0</v>
      </c>
      <c r="Q558" s="16" t="n">
        <v>0</v>
      </c>
      <c r="R558" s="5" t="inlineStr">
        <is>
          <t>159-2022-06-30</t>
        </is>
      </c>
    </row>
    <row r="559">
      <c r="A559" s="39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Trimestral</t>
        </is>
      </c>
      <c r="E559" s="5" t="inlineStr">
        <is>
          <t>Positivo</t>
        </is>
      </c>
      <c r="F559" s="144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80</v>
      </c>
      <c r="K559" s="123" t="n">
        <v>70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6" t="n">
        <v>0</v>
      </c>
      <c r="Q559" s="16" t="n">
        <v>0</v>
      </c>
      <c r="R559" s="5" t="inlineStr">
        <is>
          <t>159-2022-12-31</t>
        </is>
      </c>
    </row>
    <row r="560">
      <c r="A560" s="26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143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123" t="n">
        <v>96</v>
      </c>
      <c r="L560" s="28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16" t="n">
        <v>0</v>
      </c>
      <c r="Q560" s="16" t="n">
        <v>0</v>
      </c>
      <c r="R560" s="5" t="inlineStr">
        <is>
          <t>159-2023-06-30</t>
        </is>
      </c>
    </row>
    <row r="561">
      <c r="A561" s="39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144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123" t="n">
        <v>100</v>
      </c>
      <c r="L561" s="28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16" t="n">
        <v>0</v>
      </c>
      <c r="Q561" s="16" t="n">
        <v>0</v>
      </c>
      <c r="R561" s="5" t="inlineStr">
        <is>
          <t>159-2023-12-31</t>
        </is>
      </c>
    </row>
    <row r="562">
      <c r="A562" s="5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144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5" t="n">
        <v>95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159-2024-06-30</t>
        </is>
      </c>
    </row>
    <row r="563">
      <c r="A563" s="26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144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10" t="n">
        <v>97.8</v>
      </c>
      <c r="L563" s="28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16" t="n">
        <v>0</v>
      </c>
      <c r="Q563" s="16" t="n">
        <v>0</v>
      </c>
      <c r="R563" s="5" t="inlineStr">
        <is>
          <t>159-2024-12-31</t>
        </is>
      </c>
    </row>
    <row r="564">
      <c r="A564" s="26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Semestral</t>
        </is>
      </c>
      <c r="E564" s="5" t="inlineStr">
        <is>
          <t>Positivo</t>
        </is>
      </c>
      <c r="F564" s="143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123" t="n">
        <v>100</v>
      </c>
      <c r="L564" s="28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16" t="n">
        <v>0</v>
      </c>
      <c r="Q564" s="16" t="n">
        <v>0</v>
      </c>
      <c r="R564" s="5" t="inlineStr">
        <is>
          <t>159-2025-06-30</t>
        </is>
      </c>
    </row>
    <row r="565">
      <c r="A565" s="5" t="n">
        <v>159</v>
      </c>
      <c r="B565" s="5" t="inlineStr">
        <is>
          <t>Nivel de Satisfacción Servicios Prestados</t>
        </is>
      </c>
      <c r="C565" s="5" t="inlineStr">
        <is>
          <t>Editorial y Publicaciones</t>
        </is>
      </c>
      <c r="D565" s="5" t="inlineStr">
        <is>
          <t>Trimestral</t>
        </is>
      </c>
      <c r="E565" s="5" t="inlineStr">
        <is>
          <t>Positivo</t>
        </is>
      </c>
      <c r="F565" s="144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5" t="n">
        <v>100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159-2025-12-31</t>
        </is>
      </c>
    </row>
    <row r="566">
      <c r="A566" s="26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144" t="n">
        <v>44651</v>
      </c>
      <c r="G566" s="5" t="n">
        <v>2022</v>
      </c>
      <c r="H566" s="5" t="inlineStr">
        <is>
          <t>Marzo</t>
        </is>
      </c>
      <c r="I566" s="6" t="inlineStr">
        <is>
          <t>2022-1</t>
        </is>
      </c>
      <c r="J566" s="5" t="n">
        <v>80</v>
      </c>
      <c r="K566" s="10" t="n">
        <v>0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16" t="n">
        <v>0</v>
      </c>
      <c r="Q566" s="16" t="n">
        <v>1</v>
      </c>
      <c r="R566" s="5" t="inlineStr">
        <is>
          <t>167-2022-03-31</t>
        </is>
      </c>
    </row>
    <row r="567">
      <c r="A567" s="26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144" t="n">
        <v>44742</v>
      </c>
      <c r="G567" s="5" t="n">
        <v>2022</v>
      </c>
      <c r="H567" s="5" t="inlineStr">
        <is>
          <t>Junio</t>
        </is>
      </c>
      <c r="I567" s="6" t="inlineStr">
        <is>
          <t>2022-1</t>
        </is>
      </c>
      <c r="J567" s="5" t="n">
        <v>80</v>
      </c>
      <c r="K567" s="10" t="n">
        <v>97.64</v>
      </c>
      <c r="L567" s="28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16" t="n">
        <v>0</v>
      </c>
      <c r="Q567" s="16" t="n">
        <v>1</v>
      </c>
      <c r="R567" s="5" t="inlineStr">
        <is>
          <t>167-2022-06-30</t>
        </is>
      </c>
    </row>
    <row r="568">
      <c r="A568" s="5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Trimestral</t>
        </is>
      </c>
      <c r="E568" s="5" t="inlineStr">
        <is>
          <t>Positivo</t>
        </is>
      </c>
      <c r="F568" s="144" t="n">
        <v>44926</v>
      </c>
      <c r="G568" s="5" t="n">
        <v>2022</v>
      </c>
      <c r="H568" s="5" t="inlineStr">
        <is>
          <t>Diciembre</t>
        </is>
      </c>
      <c r="I568" s="6" t="inlineStr">
        <is>
          <t>2022-2</t>
        </is>
      </c>
      <c r="J568" s="5" t="n">
        <v>80</v>
      </c>
      <c r="K568" s="5" t="n">
        <v>96.55</v>
      </c>
      <c r="L568" s="28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1</v>
      </c>
      <c r="R568" s="5" t="inlineStr">
        <is>
          <t>167-2022-12-31</t>
        </is>
      </c>
    </row>
    <row r="569">
      <c r="A569" s="26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144" t="n">
        <v>45107</v>
      </c>
      <c r="G569" s="5" t="n">
        <v>2023</v>
      </c>
      <c r="H569" s="5" t="inlineStr">
        <is>
          <t>Junio</t>
        </is>
      </c>
      <c r="I569" s="6" t="inlineStr">
        <is>
          <t>2023-1</t>
        </is>
      </c>
      <c r="J569" s="5" t="n">
        <v>80</v>
      </c>
      <c r="K569" s="10" t="n">
        <v>97.7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16" t="n">
        <v>0</v>
      </c>
      <c r="Q569" s="16" t="n">
        <v>1</v>
      </c>
      <c r="R569" s="5" t="inlineStr">
        <is>
          <t>167-2023-06-30</t>
        </is>
      </c>
    </row>
    <row r="570">
      <c r="A570" s="26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14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10" t="n">
        <v>96.15000000000001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16" t="n">
        <v>0</v>
      </c>
      <c r="Q570" s="16" t="n">
        <v>1</v>
      </c>
      <c r="R570" s="5" t="inlineStr">
        <is>
          <t>167-2023-12-31</t>
        </is>
      </c>
    </row>
    <row r="571">
      <c r="A571" s="5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144" t="n">
        <v>45473</v>
      </c>
      <c r="G571" s="5" t="n">
        <v>2024</v>
      </c>
      <c r="H571" s="5" t="inlineStr">
        <is>
          <t>Junio</t>
        </is>
      </c>
      <c r="I571" s="6" t="inlineStr">
        <is>
          <t>2024-1</t>
        </is>
      </c>
      <c r="J571" s="5" t="n">
        <v>85</v>
      </c>
      <c r="K571" s="5" t="n">
        <v>96.86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1</v>
      </c>
      <c r="R571" s="5" t="inlineStr">
        <is>
          <t>167-2024-06-30</t>
        </is>
      </c>
    </row>
    <row r="572">
      <c r="A572" s="26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144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85</v>
      </c>
      <c r="K572" s="10" t="n">
        <v>96.8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6" t="n">
        <v>0</v>
      </c>
      <c r="Q572" s="16" t="n">
        <v>1</v>
      </c>
      <c r="R572" s="5" t="inlineStr">
        <is>
          <t>167-2024-12-31</t>
        </is>
      </c>
    </row>
    <row r="573">
      <c r="A573" s="26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Semestral</t>
        </is>
      </c>
      <c r="E573" s="5" t="inlineStr">
        <is>
          <t>Positivo</t>
        </is>
      </c>
      <c r="F573" s="144" t="n">
        <v>45838</v>
      </c>
      <c r="G573" s="5" t="n">
        <v>2025</v>
      </c>
      <c r="H573" s="5" t="inlineStr">
        <is>
          <t>Junio</t>
        </is>
      </c>
      <c r="I573" s="6" t="inlineStr">
        <is>
          <t>2025-1</t>
        </is>
      </c>
      <c r="J573" s="5" t="n">
        <v>90</v>
      </c>
      <c r="K573" s="123" t="n">
        <v>93.63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16" t="n">
        <v>0</v>
      </c>
      <c r="Q573" s="16" t="n">
        <v>1</v>
      </c>
      <c r="R573" s="5" t="inlineStr">
        <is>
          <t>167-2025-06-30</t>
        </is>
      </c>
    </row>
    <row r="574">
      <c r="A574" s="26" t="n">
        <v>167</v>
      </c>
      <c r="B574" s="5" t="inlineStr">
        <is>
          <t>Satisfacción actividades plan de bienestar</t>
        </is>
      </c>
      <c r="C574" s="5" t="inlineStr">
        <is>
          <t>GESTIÓN Y DESARROLLO DEL TALENTO HUMANO</t>
        </is>
      </c>
      <c r="D574" s="5" t="inlineStr">
        <is>
          <t>Trimestral</t>
        </is>
      </c>
      <c r="E574" s="5" t="inlineStr">
        <is>
          <t>Positivo</t>
        </is>
      </c>
      <c r="F574" s="143" t="n">
        <v>46022</v>
      </c>
      <c r="G574" s="5" t="n">
        <v>2025</v>
      </c>
      <c r="H574" s="5" t="inlineStr">
        <is>
          <t>Diciembre</t>
        </is>
      </c>
      <c r="I574" s="6" t="inlineStr">
        <is>
          <t>2025-2</t>
        </is>
      </c>
      <c r="J574" s="5" t="n">
        <v>90</v>
      </c>
      <c r="K574" s="123" t="n">
        <v>94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6" t="n">
        <v>0</v>
      </c>
      <c r="Q574" s="16" t="n">
        <v>1</v>
      </c>
      <c r="R574" s="5" t="inlineStr">
        <is>
          <t>167-2025-12-31</t>
        </is>
      </c>
    </row>
    <row r="575">
      <c r="A575" s="26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144" t="n">
        <v>44592</v>
      </c>
      <c r="G575" s="5" t="n">
        <v>2022</v>
      </c>
      <c r="H575" s="5" t="inlineStr">
        <is>
          <t>Enero</t>
        </is>
      </c>
      <c r="I575" s="6" t="inlineStr">
        <is>
          <t>2022-1</t>
        </is>
      </c>
      <c r="J575" s="5" t="n">
        <v>90</v>
      </c>
      <c r="K575" s="123" t="n">
        <v>0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 t="inlineStr">
        <is>
          <t>172-2022-01-31</t>
        </is>
      </c>
    </row>
    <row r="576">
      <c r="A576" s="26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144" t="n">
        <v>44620</v>
      </c>
      <c r="G576" s="5" t="n">
        <v>2022</v>
      </c>
      <c r="H576" s="5" t="inlineStr">
        <is>
          <t>Febrero</t>
        </is>
      </c>
      <c r="I576" s="6" t="inlineStr">
        <is>
          <t>2022-1</t>
        </is>
      </c>
      <c r="J576" s="5" t="n">
        <v>90</v>
      </c>
      <c r="K576" s="123" t="n">
        <v>0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16" t="n">
        <v>0</v>
      </c>
      <c r="Q576" s="16" t="n">
        <v>0</v>
      </c>
      <c r="R576" s="5" t="inlineStr">
        <is>
          <t>172-2022-02-28</t>
        </is>
      </c>
    </row>
    <row r="577">
      <c r="A577" s="26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144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90</v>
      </c>
      <c r="K577" s="123" t="n">
        <v>0</v>
      </c>
      <c r="L577" s="28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6" t="n">
        <v>0</v>
      </c>
      <c r="Q577" s="16" t="n">
        <v>0</v>
      </c>
      <c r="R577" s="5" t="inlineStr">
        <is>
          <t>172-2022-03-31</t>
        </is>
      </c>
    </row>
    <row r="578">
      <c r="A578" s="26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144" t="n">
        <v>44681</v>
      </c>
      <c r="G578" s="5" t="n">
        <v>2022</v>
      </c>
      <c r="H578" s="5" t="inlineStr">
        <is>
          <t>Abril</t>
        </is>
      </c>
      <c r="I578" s="6" t="inlineStr">
        <is>
          <t>2022-1</t>
        </is>
      </c>
      <c r="J578" s="5" t="n">
        <v>90</v>
      </c>
      <c r="K578" s="123" t="n">
        <v>0</v>
      </c>
      <c r="L578" s="28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16" t="n">
        <v>0</v>
      </c>
      <c r="Q578" s="16" t="n">
        <v>0</v>
      </c>
      <c r="R578" s="5" t="inlineStr">
        <is>
          <t>172-2022-04-30</t>
        </is>
      </c>
    </row>
    <row r="579">
      <c r="A579" s="26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144" t="n">
        <v>44712</v>
      </c>
      <c r="G579" s="5" t="n">
        <v>2022</v>
      </c>
      <c r="H579" s="5" t="inlineStr">
        <is>
          <t>Mayo</t>
        </is>
      </c>
      <c r="I579" s="6" t="inlineStr">
        <is>
          <t>2022-1</t>
        </is>
      </c>
      <c r="J579" s="5" t="n">
        <v>90</v>
      </c>
      <c r="K579" s="123" t="n">
        <v>0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16" t="n">
        <v>0</v>
      </c>
      <c r="Q579" s="16" t="n">
        <v>0</v>
      </c>
      <c r="R579" s="5" t="inlineStr">
        <is>
          <t>172-2022-05-31</t>
        </is>
      </c>
    </row>
    <row r="580">
      <c r="A580" s="26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144" t="n">
        <v>44742</v>
      </c>
      <c r="G580" s="5" t="n">
        <v>2022</v>
      </c>
      <c r="H580" s="5" t="inlineStr">
        <is>
          <t>Junio</t>
        </is>
      </c>
      <c r="I580" s="6" t="inlineStr">
        <is>
          <t>2022-1</t>
        </is>
      </c>
      <c r="J580" s="5" t="n">
        <v>90</v>
      </c>
      <c r="K580" s="123" t="n">
        <v>95.238095238095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0</v>
      </c>
      <c r="R580" s="5" t="inlineStr">
        <is>
          <t>172-2022-06-30</t>
        </is>
      </c>
    </row>
    <row r="581">
      <c r="A581" s="26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144" t="n">
        <v>44773</v>
      </c>
      <c r="G581" s="5" t="n">
        <v>2022</v>
      </c>
      <c r="H581" s="5" t="inlineStr">
        <is>
          <t>Julio</t>
        </is>
      </c>
      <c r="I581" s="6" t="inlineStr">
        <is>
          <t>2022-2</t>
        </is>
      </c>
      <c r="J581" s="5" t="n">
        <v>90</v>
      </c>
      <c r="K581" s="123" t="n">
        <v>95.652173913043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0</v>
      </c>
      <c r="R581" s="5" t="inlineStr">
        <is>
          <t>172-2022-07-31</t>
        </is>
      </c>
    </row>
    <row r="582">
      <c r="A582" s="39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144" t="n">
        <v>44804</v>
      </c>
      <c r="G582" s="5" t="n">
        <v>2022</v>
      </c>
      <c r="H582" s="5" t="inlineStr">
        <is>
          <t>Agosto</t>
        </is>
      </c>
      <c r="I582" s="6" t="inlineStr">
        <is>
          <t>2022-2</t>
        </is>
      </c>
      <c r="J582" s="5" t="n">
        <v>90</v>
      </c>
      <c r="K582" s="123" t="n">
        <v>100</v>
      </c>
      <c r="L582" s="28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16" t="n">
        <v>0</v>
      </c>
      <c r="Q582" s="16" t="n">
        <v>0</v>
      </c>
      <c r="R582" s="5" t="inlineStr">
        <is>
          <t>172-2022-08-31</t>
        </is>
      </c>
    </row>
    <row r="583">
      <c r="A583" s="39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144" t="n">
        <v>44834</v>
      </c>
      <c r="G583" s="5" t="n">
        <v>2022</v>
      </c>
      <c r="H583" s="5" t="inlineStr">
        <is>
          <t>Septiembre</t>
        </is>
      </c>
      <c r="I583" s="6" t="inlineStr">
        <is>
          <t>2022-2</t>
        </is>
      </c>
      <c r="J583" s="5" t="n">
        <v>90</v>
      </c>
      <c r="K583" s="123" t="n">
        <v>100</v>
      </c>
      <c r="L583" s="28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0</v>
      </c>
      <c r="R583" s="5" t="inlineStr">
        <is>
          <t>172-2022-09-30</t>
        </is>
      </c>
    </row>
    <row r="584">
      <c r="A584" s="39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144" t="n">
        <v>44865</v>
      </c>
      <c r="G584" s="5" t="n">
        <v>2022</v>
      </c>
      <c r="H584" s="5" t="inlineStr">
        <is>
          <t>Octubre</t>
        </is>
      </c>
      <c r="I584" s="6" t="inlineStr">
        <is>
          <t>2022-2</t>
        </is>
      </c>
      <c r="J584" s="5" t="n">
        <v>90</v>
      </c>
      <c r="K584" s="123" t="n">
        <v>96.385542168675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0</v>
      </c>
      <c r="R584" s="5" t="inlineStr">
        <is>
          <t>172-2022-10-31</t>
        </is>
      </c>
    </row>
    <row r="585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44" t="n">
        <v>44895</v>
      </c>
      <c r="G585" s="5" t="n">
        <v>2022</v>
      </c>
      <c r="H585" s="5" t="inlineStr">
        <is>
          <t>Noviembre</t>
        </is>
      </c>
      <c r="I585" s="6" t="inlineStr">
        <is>
          <t>2022-2</t>
        </is>
      </c>
      <c r="J585" s="5" t="n">
        <v>90</v>
      </c>
      <c r="K585" s="123" t="n">
        <v>100</v>
      </c>
      <c r="L585" s="28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0</v>
      </c>
      <c r="R585" s="5" t="inlineStr">
        <is>
          <t>172-2022-11-30</t>
        </is>
      </c>
    </row>
    <row r="586">
      <c r="A586" s="26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44" t="n">
        <v>44926</v>
      </c>
      <c r="G586" s="5" t="n">
        <v>2022</v>
      </c>
      <c r="H586" s="5" t="inlineStr">
        <is>
          <t>Diciembre</t>
        </is>
      </c>
      <c r="I586" s="6" t="inlineStr">
        <is>
          <t>2022-2</t>
        </is>
      </c>
      <c r="J586" s="5" t="n">
        <v>90</v>
      </c>
      <c r="K586" s="10" t="n">
        <v>100</v>
      </c>
      <c r="L586" s="28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16" t="n">
        <v>0</v>
      </c>
      <c r="Q586" s="16" t="n">
        <v>0</v>
      </c>
      <c r="R586" s="5" t="inlineStr">
        <is>
          <t>172-2022-12-31</t>
        </is>
      </c>
    </row>
    <row r="587">
      <c r="A587" s="26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44" t="n">
        <v>44957</v>
      </c>
      <c r="G587" s="5" t="n">
        <v>2023</v>
      </c>
      <c r="H587" s="5" t="inlineStr">
        <is>
          <t>Enero</t>
        </is>
      </c>
      <c r="I587" s="6" t="inlineStr">
        <is>
          <t>2023-1</t>
        </is>
      </c>
      <c r="J587" s="5" t="n">
        <v>95</v>
      </c>
      <c r="K587" s="123" t="n">
        <v>0</v>
      </c>
      <c r="L587" s="28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0</v>
      </c>
      <c r="R587" s="5" t="inlineStr">
        <is>
          <t>172-2023-01-31</t>
        </is>
      </c>
    </row>
    <row r="588">
      <c r="A588" s="26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44" t="n">
        <v>45016</v>
      </c>
      <c r="G588" s="5" t="n">
        <v>2023</v>
      </c>
      <c r="H588" s="5" t="inlineStr">
        <is>
          <t>Marzo</t>
        </is>
      </c>
      <c r="I588" s="6" t="inlineStr">
        <is>
          <t>2023-1</t>
        </is>
      </c>
      <c r="J588" s="5" t="n">
        <v>95</v>
      </c>
      <c r="K588" s="123" t="n">
        <v>100</v>
      </c>
      <c r="L588" s="28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6" t="n">
        <v>0</v>
      </c>
      <c r="Q588" s="16" t="n">
        <v>0</v>
      </c>
      <c r="R588" s="5" t="inlineStr">
        <is>
          <t>172-2023-03-31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44" t="n">
        <v>45046</v>
      </c>
      <c r="G589" s="5" t="n">
        <v>2023</v>
      </c>
      <c r="H589" s="5" t="inlineStr">
        <is>
          <t>Abril</t>
        </is>
      </c>
      <c r="I589" s="6" t="inlineStr">
        <is>
          <t>2023-1</t>
        </is>
      </c>
      <c r="J589" s="5" t="n">
        <v>95</v>
      </c>
      <c r="K589" s="123" t="n">
        <v>85.71428571428601</v>
      </c>
      <c r="L589" s="28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 t="inlineStr">
        <is>
          <t>172-2023-04-30</t>
        </is>
      </c>
    </row>
    <row r="590">
      <c r="A590" s="26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44" t="n">
        <v>45077</v>
      </c>
      <c r="G590" s="5" t="n">
        <v>2023</v>
      </c>
      <c r="H590" s="5" t="inlineStr">
        <is>
          <t>Mayo</t>
        </is>
      </c>
      <c r="I590" s="6" t="inlineStr">
        <is>
          <t>2023-1</t>
        </is>
      </c>
      <c r="J590" s="5" t="n">
        <v>95</v>
      </c>
      <c r="K590" s="123" t="n">
        <v>93.333333333333</v>
      </c>
      <c r="L590" s="28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 t="inlineStr">
        <is>
          <t>172-2023-05-31</t>
        </is>
      </c>
    </row>
    <row r="591">
      <c r="A591" s="26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44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95</v>
      </c>
      <c r="K591" s="123" t="n">
        <v>91.666666666667</v>
      </c>
      <c r="L591" s="28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 t="inlineStr">
        <is>
          <t>172-2023-06-30</t>
        </is>
      </c>
    </row>
    <row r="592">
      <c r="A592" s="26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44" t="n">
        <v>45138</v>
      </c>
      <c r="G592" s="5" t="n">
        <v>2023</v>
      </c>
      <c r="H592" s="5" t="inlineStr">
        <is>
          <t>Julio</t>
        </is>
      </c>
      <c r="I592" s="6" t="inlineStr">
        <is>
          <t>2023-2</t>
        </is>
      </c>
      <c r="J592" s="5" t="n">
        <v>95</v>
      </c>
      <c r="K592" s="123" t="n">
        <v>95</v>
      </c>
      <c r="L592" s="28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 t="inlineStr">
        <is>
          <t>172-2023-07-31</t>
        </is>
      </c>
    </row>
    <row r="593">
      <c r="A593" s="26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44" t="n">
        <v>45169</v>
      </c>
      <c r="G593" s="5" t="n">
        <v>2023</v>
      </c>
      <c r="H593" s="5" t="inlineStr">
        <is>
          <t>Agosto</t>
        </is>
      </c>
      <c r="I593" s="6" t="inlineStr">
        <is>
          <t>2023-2</t>
        </is>
      </c>
      <c r="J593" s="5" t="n">
        <v>95</v>
      </c>
      <c r="K593" s="123" t="n">
        <v>91.67</v>
      </c>
      <c r="L593" s="28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 t="inlineStr">
        <is>
          <t>172-2023-08-31</t>
        </is>
      </c>
    </row>
    <row r="594">
      <c r="A594" s="39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44" t="n">
        <v>45199</v>
      </c>
      <c r="G594" s="5" t="n">
        <v>2023</v>
      </c>
      <c r="H594" s="5" t="inlineStr">
        <is>
          <t>Septiembre</t>
        </is>
      </c>
      <c r="I594" s="6" t="inlineStr">
        <is>
          <t>2023-2</t>
        </is>
      </c>
      <c r="J594" s="5" t="n">
        <v>95</v>
      </c>
      <c r="K594" s="123" t="n">
        <v>96.67</v>
      </c>
      <c r="L594" s="28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 t="inlineStr">
        <is>
          <t>172-2023-09-30</t>
        </is>
      </c>
    </row>
    <row r="595">
      <c r="A595" s="39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44" t="n">
        <v>45230</v>
      </c>
      <c r="G595" s="5" t="n">
        <v>2023</v>
      </c>
      <c r="H595" s="5" t="inlineStr">
        <is>
          <t>Octubre</t>
        </is>
      </c>
      <c r="I595" s="6" t="inlineStr">
        <is>
          <t>2023-2</t>
        </is>
      </c>
      <c r="J595" s="5" t="n">
        <v>95</v>
      </c>
      <c r="K595" s="123" t="n">
        <v>93.18000000000001</v>
      </c>
      <c r="L595" s="28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 t="inlineStr">
        <is>
          <t>172-2023-10-31</t>
        </is>
      </c>
    </row>
    <row r="596">
      <c r="A596" s="39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44" t="n">
        <v>45260</v>
      </c>
      <c r="G596" s="5" t="n">
        <v>2023</v>
      </c>
      <c r="H596" s="5" t="inlineStr">
        <is>
          <t>Noviembre</t>
        </is>
      </c>
      <c r="I596" s="6" t="inlineStr">
        <is>
          <t>2023-2</t>
        </is>
      </c>
      <c r="J596" s="5" t="n">
        <v>95</v>
      </c>
      <c r="K596" s="123" t="n">
        <v>97.92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 t="inlineStr">
        <is>
          <t>172-2023-11-30</t>
        </is>
      </c>
    </row>
    <row r="597">
      <c r="A597" s="5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44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95</v>
      </c>
      <c r="K597" s="5" t="n">
        <v>100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172-2023-12-31</t>
        </is>
      </c>
    </row>
    <row r="598">
      <c r="A598" s="5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44" t="n">
        <v>45322</v>
      </c>
      <c r="G598" s="5" t="n">
        <v>2024</v>
      </c>
      <c r="H598" s="5" t="inlineStr">
        <is>
          <t>Enero</t>
        </is>
      </c>
      <c r="I598" s="6" t="inlineStr">
        <is>
          <t>2024-1</t>
        </is>
      </c>
      <c r="J598" s="5" t="n">
        <v>95</v>
      </c>
      <c r="K598" s="5" t="n">
        <v>0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172-2024-01-31</t>
        </is>
      </c>
    </row>
    <row r="599">
      <c r="A599" s="26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44" t="n">
        <v>45351</v>
      </c>
      <c r="G599" s="5" t="n">
        <v>2024</v>
      </c>
      <c r="H599" s="5" t="inlineStr">
        <is>
          <t>Febrero</t>
        </is>
      </c>
      <c r="I599" s="6" t="inlineStr">
        <is>
          <t>2024-1</t>
        </is>
      </c>
      <c r="J599" s="5" t="n">
        <v>95</v>
      </c>
      <c r="K599" s="10" t="n">
        <v>0</v>
      </c>
      <c r="L599" s="28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 t="inlineStr">
        <is>
          <t>172-2024-02-29</t>
        </is>
      </c>
    </row>
    <row r="600">
      <c r="A600" s="39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44" t="n">
        <v>45382</v>
      </c>
      <c r="G600" s="5" t="n">
        <v>2024</v>
      </c>
      <c r="H600" s="5" t="inlineStr">
        <is>
          <t>Marzo</t>
        </is>
      </c>
      <c r="I600" s="6" t="inlineStr">
        <is>
          <t>2024-1</t>
        </is>
      </c>
      <c r="J600" s="5" t="n">
        <v>95</v>
      </c>
      <c r="K600" s="5" t="n">
        <v>0</v>
      </c>
      <c r="L600" s="28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 t="inlineStr">
        <is>
          <t>172-2024-03-31</t>
        </is>
      </c>
    </row>
    <row r="601">
      <c r="A601" s="5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44" t="n">
        <v>45412</v>
      </c>
      <c r="G601" s="5" t="n">
        <v>2024</v>
      </c>
      <c r="H601" s="5" t="inlineStr">
        <is>
          <t>Abril</t>
        </is>
      </c>
      <c r="I601" s="6" t="inlineStr">
        <is>
          <t>2024-1</t>
        </is>
      </c>
      <c r="J601" s="5" t="n">
        <v>95</v>
      </c>
      <c r="K601" s="5" t="n">
        <v>90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172-2024-04-30</t>
        </is>
      </c>
    </row>
    <row r="602">
      <c r="A602" s="26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44" t="n">
        <v>45443</v>
      </c>
      <c r="G602" s="5" t="n">
        <v>2024</v>
      </c>
      <c r="H602" s="5" t="inlineStr">
        <is>
          <t>Mayo</t>
        </is>
      </c>
      <c r="I602" s="6" t="inlineStr">
        <is>
          <t>2024-1</t>
        </is>
      </c>
      <c r="J602" s="5" t="n">
        <v>95</v>
      </c>
      <c r="K602" s="5" t="n">
        <v>83.33333333333334</v>
      </c>
      <c r="L602" s="28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 t="inlineStr">
        <is>
          <t>172-2024-05-31</t>
        </is>
      </c>
    </row>
    <row r="603">
      <c r="A603" s="26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43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95</v>
      </c>
      <c r="K603" s="123" t="n">
        <v>87.5</v>
      </c>
      <c r="L603" s="28">
        <f>IFERROR(IF(OR(J603=0,K603=""),"",IF(E603="Positivo",MIN(MAX(K603/J603,0),1.3),MIN(MAX(J603/K603,0),1.3))),"") </f>
        <v/>
      </c>
      <c r="M603" s="28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 t="inlineStr">
        <is>
          <t>172-2024-06-30</t>
        </is>
      </c>
    </row>
    <row r="604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44" t="n">
        <v>45504</v>
      </c>
      <c r="G604" s="5" t="n">
        <v>2024</v>
      </c>
      <c r="H604" s="5" t="inlineStr">
        <is>
          <t>Julio</t>
        </is>
      </c>
      <c r="I604" s="6" t="inlineStr">
        <is>
          <t>2024-2</t>
        </is>
      </c>
      <c r="J604" s="5" t="n">
        <v>95</v>
      </c>
      <c r="K604" s="5" t="n">
        <v>90.90909090909091</v>
      </c>
      <c r="L604" s="28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172-2024-07-31</t>
        </is>
      </c>
    </row>
    <row r="605">
      <c r="A605" s="26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44" t="n">
        <v>45535</v>
      </c>
      <c r="G605" s="5" t="n">
        <v>2024</v>
      </c>
      <c r="H605" s="5" t="inlineStr">
        <is>
          <t>Agosto</t>
        </is>
      </c>
      <c r="I605" s="6" t="inlineStr">
        <is>
          <t>2024-2</t>
        </is>
      </c>
      <c r="J605" s="5" t="n">
        <v>95</v>
      </c>
      <c r="K605" s="10" t="n">
        <v>92.85714285714286</v>
      </c>
      <c r="L605" s="28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 t="inlineStr">
        <is>
          <t>172-2024-08-31</t>
        </is>
      </c>
    </row>
    <row r="606">
      <c r="A606" s="26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43" t="n">
        <v>45565</v>
      </c>
      <c r="G606" s="5" t="n">
        <v>2024</v>
      </c>
      <c r="H606" s="5" t="inlineStr">
        <is>
          <t>Septiembre</t>
        </is>
      </c>
      <c r="I606" s="6" t="inlineStr">
        <is>
          <t>2024-2</t>
        </is>
      </c>
      <c r="J606" s="5" t="n">
        <v>95</v>
      </c>
      <c r="K606" s="123" t="n">
        <v>93.75</v>
      </c>
      <c r="L606" s="28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 t="inlineStr">
        <is>
          <t>172-2024-09-30</t>
        </is>
      </c>
    </row>
    <row r="607">
      <c r="A607" s="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44" t="n">
        <v>45596</v>
      </c>
      <c r="G607" s="5" t="n">
        <v>2024</v>
      </c>
      <c r="H607" s="5" t="inlineStr">
        <is>
          <t>Octubre</t>
        </is>
      </c>
      <c r="I607" s="6" t="inlineStr">
        <is>
          <t>2024-2</t>
        </is>
      </c>
      <c r="J607" s="5" t="n">
        <v>95</v>
      </c>
      <c r="K607" s="5" t="n">
        <v>94.11764705882352</v>
      </c>
      <c r="L607" s="28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172-2024-10-31</t>
        </is>
      </c>
    </row>
    <row r="608">
      <c r="A608" s="26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44" t="n">
        <v>45626</v>
      </c>
      <c r="G608" s="5" t="n">
        <v>2024</v>
      </c>
      <c r="H608" s="5" t="inlineStr">
        <is>
          <t>Noviembre</t>
        </is>
      </c>
      <c r="I608" s="6" t="inlineStr">
        <is>
          <t>2024-2</t>
        </is>
      </c>
      <c r="J608" s="5" t="n">
        <v>95</v>
      </c>
      <c r="K608" s="10" t="n">
        <v>100</v>
      </c>
      <c r="L608" s="28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16" t="n">
        <v>0</v>
      </c>
      <c r="Q608" s="16" t="n">
        <v>0</v>
      </c>
      <c r="R608" s="5" t="inlineStr">
        <is>
          <t>172-2024-11-30</t>
        </is>
      </c>
    </row>
    <row r="609">
      <c r="A609" s="26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43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95</v>
      </c>
      <c r="K609" s="123" t="n">
        <v>97.36842105263158</v>
      </c>
      <c r="L609" s="28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16" t="n">
        <v>0</v>
      </c>
      <c r="Q609" s="16" t="n">
        <v>0</v>
      </c>
      <c r="R609" s="5" t="inlineStr">
        <is>
          <t>172-2024-12-31</t>
        </is>
      </c>
    </row>
    <row r="610">
      <c r="A610" s="5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44" t="n">
        <v>45688</v>
      </c>
      <c r="G610" s="5" t="n">
        <v>2025</v>
      </c>
      <c r="H610" s="5" t="inlineStr">
        <is>
          <t>Enero</t>
        </is>
      </c>
      <c r="I610" s="6" t="inlineStr">
        <is>
          <t>2025-1</t>
        </is>
      </c>
      <c r="J610" s="5" t="n">
        <v>95</v>
      </c>
      <c r="K610" s="5" t="n">
        <v>80</v>
      </c>
      <c r="L610" s="28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172-2025-01-31</t>
        </is>
      </c>
    </row>
    <row r="611">
      <c r="A611" s="26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44" t="n">
        <v>45716</v>
      </c>
      <c r="G611" s="5" t="n">
        <v>2025</v>
      </c>
      <c r="H611" s="5" t="inlineStr">
        <is>
          <t>Febrero</t>
        </is>
      </c>
      <c r="I611" s="6" t="inlineStr">
        <is>
          <t>2025-1</t>
        </is>
      </c>
      <c r="J611" s="5" t="n">
        <v>95</v>
      </c>
      <c r="K611" s="10" t="n">
        <v>100</v>
      </c>
      <c r="L611" s="28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 t="inlineStr">
        <is>
          <t>172-2025-02-28</t>
        </is>
      </c>
    </row>
    <row r="612">
      <c r="A612" s="26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44" t="n">
        <v>45747</v>
      </c>
      <c r="G612" s="5" t="n">
        <v>2025</v>
      </c>
      <c r="H612" s="5" t="inlineStr">
        <is>
          <t>Marzo</t>
        </is>
      </c>
      <c r="I612" s="6" t="inlineStr">
        <is>
          <t>2025-1</t>
        </is>
      </c>
      <c r="J612" s="5" t="n">
        <v>95</v>
      </c>
      <c r="K612" s="123" t="n">
        <v>83.33</v>
      </c>
      <c r="L612" s="28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16" t="n">
        <v>0</v>
      </c>
      <c r="Q612" s="16" t="n">
        <v>0</v>
      </c>
      <c r="R612" s="5" t="inlineStr">
        <is>
          <t>172-2025-03-31</t>
        </is>
      </c>
    </row>
    <row r="613">
      <c r="A613" s="26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44" t="n">
        <v>45777</v>
      </c>
      <c r="G613" s="5" t="n">
        <v>2025</v>
      </c>
      <c r="H613" s="5" t="inlineStr">
        <is>
          <t>Abril</t>
        </is>
      </c>
      <c r="I613" s="6" t="inlineStr">
        <is>
          <t>2025-1</t>
        </is>
      </c>
      <c r="J613" s="5" t="n">
        <v>95</v>
      </c>
      <c r="K613" s="123" t="n">
        <v>88.89</v>
      </c>
      <c r="L613" s="28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 t="inlineStr">
        <is>
          <t>172-2025-04-30</t>
        </is>
      </c>
    </row>
    <row r="614">
      <c r="A614" s="26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44" t="n">
        <v>45808</v>
      </c>
      <c r="G614" s="5" t="n">
        <v>2025</v>
      </c>
      <c r="H614" s="5" t="inlineStr">
        <is>
          <t>Mayo</t>
        </is>
      </c>
      <c r="I614" s="6" t="inlineStr">
        <is>
          <t>2025-1</t>
        </is>
      </c>
      <c r="J614" s="5" t="n">
        <v>95</v>
      </c>
      <c r="K614" s="10" t="n">
        <v>95.65000000000001</v>
      </c>
      <c r="L614" s="28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 t="inlineStr">
        <is>
          <t>172-2025-05-31</t>
        </is>
      </c>
    </row>
    <row r="615">
      <c r="A615" s="5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44" t="n">
        <v>45838</v>
      </c>
      <c r="G615" s="5" t="n">
        <v>2025</v>
      </c>
      <c r="H615" s="5" t="inlineStr">
        <is>
          <t>Junio</t>
        </is>
      </c>
      <c r="I615" s="6" t="inlineStr">
        <is>
          <t>2025-1</t>
        </is>
      </c>
      <c r="J615" s="5" t="n">
        <v>95</v>
      </c>
      <c r="K615" s="5" t="n">
        <v>81.81999999999999</v>
      </c>
      <c r="L615" s="28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172-2025-06-30</t>
        </is>
      </c>
    </row>
    <row r="616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44" t="n">
        <v>45869</v>
      </c>
      <c r="G616" s="5" t="n">
        <v>2025</v>
      </c>
      <c r="H616" s="5" t="inlineStr">
        <is>
          <t>Julio</t>
        </is>
      </c>
      <c r="I616" s="6" t="inlineStr">
        <is>
          <t>2025-2</t>
        </is>
      </c>
      <c r="J616" s="5" t="n">
        <v>95</v>
      </c>
      <c r="K616" s="10" t="n">
        <v>91.43000000000001</v>
      </c>
      <c r="L616" s="28">
        <f>IFERROR(IF(OR(J616=0,K616=""),"",IF(E616="Positivo",MIN(MAX(K616/J616,0),1.3),MIN(MAX(J616/K616,0),1.3))),"") </f>
        <v/>
      </c>
      <c r="M616" s="28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 t="inlineStr">
        <is>
          <t>172-2025-07-31</t>
        </is>
      </c>
    </row>
    <row r="617">
      <c r="A617" s="26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44" t="n">
        <v>45900</v>
      </c>
      <c r="G617" s="5" t="n">
        <v>2025</v>
      </c>
      <c r="H617" s="5" t="inlineStr">
        <is>
          <t>Agosto</t>
        </is>
      </c>
      <c r="I617" s="6" t="inlineStr">
        <is>
          <t>2025-2</t>
        </is>
      </c>
      <c r="J617" s="5" t="n">
        <v>95</v>
      </c>
      <c r="K617" s="123" t="n">
        <v>86.36</v>
      </c>
      <c r="L617" s="28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%</t>
        </is>
      </c>
      <c r="O617" s="11" t="inlineStr">
        <is>
          <t>%</t>
        </is>
      </c>
      <c r="P617" s="16" t="n">
        <v>0</v>
      </c>
      <c r="Q617" s="16" t="n">
        <v>0</v>
      </c>
      <c r="R617" s="5" t="inlineStr">
        <is>
          <t>172-2025-08-31</t>
        </is>
      </c>
    </row>
    <row r="618">
      <c r="A618" s="26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44" t="n">
        <v>45930</v>
      </c>
      <c r="G618" s="5" t="n">
        <v>2025</v>
      </c>
      <c r="H618" s="5" t="inlineStr">
        <is>
          <t>Septiembre</t>
        </is>
      </c>
      <c r="I618" s="6" t="inlineStr">
        <is>
          <t>2025-2</t>
        </is>
      </c>
      <c r="J618" s="5" t="n">
        <v>95</v>
      </c>
      <c r="K618" s="123" t="n">
        <v>89.8</v>
      </c>
      <c r="L618" s="28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inlineStr">
        <is>
          <t>%</t>
        </is>
      </c>
      <c r="O618" s="11" t="inlineStr">
        <is>
          <t>%</t>
        </is>
      </c>
      <c r="P618" s="16" t="n">
        <v>0</v>
      </c>
      <c r="Q618" s="16" t="n">
        <v>0</v>
      </c>
      <c r="R618" s="5" t="inlineStr">
        <is>
          <t>172-2025-09-30</t>
        </is>
      </c>
    </row>
    <row r="619">
      <c r="A619" s="26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44" t="n">
        <v>45961</v>
      </c>
      <c r="G619" s="5" t="n">
        <v>2025</v>
      </c>
      <c r="H619" s="5" t="inlineStr">
        <is>
          <t>Octubre</t>
        </is>
      </c>
      <c r="I619" s="6" t="inlineStr">
        <is>
          <t>2025-2</t>
        </is>
      </c>
      <c r="J619" s="5" t="n">
        <v>95</v>
      </c>
      <c r="K619" s="10" t="n">
        <v>98.20999999999999</v>
      </c>
      <c r="L619" s="28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 t="inlineStr">
        <is>
          <t>172-2025-10-31</t>
        </is>
      </c>
    </row>
    <row r="620">
      <c r="A620" s="5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44" t="n">
        <v>45991</v>
      </c>
      <c r="G620" s="5" t="n">
        <v>2025</v>
      </c>
      <c r="H620" s="5" t="inlineStr">
        <is>
          <t>Noviembre</t>
        </is>
      </c>
      <c r="I620" s="6" t="inlineStr">
        <is>
          <t>2025-2</t>
        </is>
      </c>
      <c r="J620" s="5" t="n">
        <v>95</v>
      </c>
      <c r="K620" s="5" t="n">
        <v>96.77</v>
      </c>
      <c r="L620" s="28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172-2025-11-30</t>
        </is>
      </c>
    </row>
    <row r="621">
      <c r="A621" s="26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44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95</v>
      </c>
      <c r="K621" s="10" t="n">
        <v>98.44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16" t="n">
        <v>0</v>
      </c>
      <c r="Q621" s="16" t="n">
        <v>0</v>
      </c>
      <c r="R621" s="5" t="inlineStr">
        <is>
          <t>172-2025-12-31</t>
        </is>
      </c>
    </row>
    <row r="622">
      <c r="A622" s="26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144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95</v>
      </c>
      <c r="K622" s="123" t="n">
        <v>100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16" t="n">
        <v>0</v>
      </c>
      <c r="Q622" s="16" t="n">
        <v>0</v>
      </c>
      <c r="R622" s="5" t="inlineStr">
        <is>
          <t>174-2023-06-30</t>
        </is>
      </c>
    </row>
    <row r="623">
      <c r="A623" s="26" t="n">
        <v>174</v>
      </c>
      <c r="B623" s="5" t="inlineStr">
        <is>
          <t>Cumplimiento Plan de Formación SGC</t>
        </is>
      </c>
      <c r="C623" s="5" t="inlineStr">
        <is>
          <t>Gestión de calidad</t>
        </is>
      </c>
      <c r="D623" s="5" t="inlineStr">
        <is>
          <t>Semestral</t>
        </is>
      </c>
      <c r="E623" s="5" t="inlineStr">
        <is>
          <t>Positivo</t>
        </is>
      </c>
      <c r="F623" s="144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123" t="n">
        <v>100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 t="inlineStr">
        <is>
          <t>174-2023-12-31</t>
        </is>
      </c>
    </row>
    <row r="624">
      <c r="A624" s="43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44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80</v>
      </c>
      <c r="K624" s="123" t="n">
        <v>70.19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16" t="n">
        <v>0</v>
      </c>
      <c r="Q624" s="16" t="n">
        <v>0</v>
      </c>
      <c r="R624" s="5" t="inlineStr">
        <is>
          <t>176-2023-04-30</t>
        </is>
      </c>
    </row>
    <row r="625">
      <c r="A625" s="26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44" t="n">
        <v>45077</v>
      </c>
      <c r="G625" s="5" t="n">
        <v>2023</v>
      </c>
      <c r="H625" s="5" t="inlineStr">
        <is>
          <t>Mayo</t>
        </is>
      </c>
      <c r="I625" s="6" t="inlineStr">
        <is>
          <t>2023-1</t>
        </is>
      </c>
      <c r="J625" s="5" t="n">
        <v>80</v>
      </c>
      <c r="K625" s="10" t="n">
        <v>91.53</v>
      </c>
      <c r="L625" s="28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 t="inlineStr">
        <is>
          <t>176-2023-05-31</t>
        </is>
      </c>
    </row>
    <row r="626">
      <c r="A626" s="26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44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80</v>
      </c>
      <c r="K626" s="10" t="n">
        <v>88.23999999999999</v>
      </c>
      <c r="L626" s="28">
        <f>IFERROR(IF(OR(J626=0,K626=""),"",IF(E626="Positivo",MIN(MAX(K626/J626,0),1.3),MIN(MAX(J626/K626,0),1.3))),"") </f>
        <v/>
      </c>
      <c r="M626" s="28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16" t="n">
        <v>0</v>
      </c>
      <c r="Q626" s="16" t="n">
        <v>0</v>
      </c>
      <c r="R626" s="5" t="inlineStr">
        <is>
          <t>176-2023-06-30</t>
        </is>
      </c>
    </row>
    <row r="627">
      <c r="A627" s="26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44" t="n">
        <v>45138</v>
      </c>
      <c r="G627" s="5" t="n">
        <v>2023</v>
      </c>
      <c r="H627" s="5" t="inlineStr">
        <is>
          <t>Julio</t>
        </is>
      </c>
      <c r="I627" s="6" t="inlineStr">
        <is>
          <t>2023-2</t>
        </is>
      </c>
      <c r="J627" s="5" t="n">
        <v>80</v>
      </c>
      <c r="K627" s="10" t="n">
        <v>70.67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 t="inlineStr">
        <is>
          <t>176-2023-07-31</t>
        </is>
      </c>
    </row>
    <row r="628">
      <c r="A628" s="26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44" t="n">
        <v>45169</v>
      </c>
      <c r="G628" s="5" t="n">
        <v>2023</v>
      </c>
      <c r="H628" s="5" t="inlineStr">
        <is>
          <t>Agosto</t>
        </is>
      </c>
      <c r="I628" s="6" t="inlineStr">
        <is>
          <t>2023-2</t>
        </is>
      </c>
      <c r="J628" s="5" t="n">
        <v>80</v>
      </c>
      <c r="K628" s="123" t="n">
        <v>78.13</v>
      </c>
      <c r="L628" s="28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6" t="n">
        <v>0</v>
      </c>
      <c r="Q628" s="16" t="n">
        <v>0</v>
      </c>
      <c r="R628" s="5" t="inlineStr">
        <is>
          <t>176-2023-08-31</t>
        </is>
      </c>
    </row>
    <row r="629">
      <c r="A629" s="26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43" t="n">
        <v>45199</v>
      </c>
      <c r="G629" s="5" t="n">
        <v>2023</v>
      </c>
      <c r="H629" s="5" t="inlineStr">
        <is>
          <t>Septiembre</t>
        </is>
      </c>
      <c r="I629" s="6" t="inlineStr">
        <is>
          <t>2023-2</t>
        </is>
      </c>
      <c r="J629" s="5" t="n">
        <v>80</v>
      </c>
      <c r="K629" s="123" t="n">
        <v>92.73</v>
      </c>
      <c r="L629" s="28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6" t="n">
        <v>0</v>
      </c>
      <c r="Q629" s="16" t="n">
        <v>0</v>
      </c>
      <c r="R629" s="5" t="inlineStr">
        <is>
          <t>176-2023-09-30</t>
        </is>
      </c>
    </row>
    <row r="630">
      <c r="A630" s="26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44" t="n">
        <v>45230</v>
      </c>
      <c r="G630" s="5" t="n">
        <v>2023</v>
      </c>
      <c r="H630" s="5" t="inlineStr">
        <is>
          <t>Octubre</t>
        </is>
      </c>
      <c r="I630" s="6" t="inlineStr">
        <is>
          <t>2023-2</t>
        </is>
      </c>
      <c r="J630" s="5" t="n">
        <v>80</v>
      </c>
      <c r="K630" s="123" t="n">
        <v>70.3</v>
      </c>
      <c r="L630" s="28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%</t>
        </is>
      </c>
      <c r="O630" s="11" t="inlineStr">
        <is>
          <t>%</t>
        </is>
      </c>
      <c r="P630" s="16" t="n">
        <v>1</v>
      </c>
      <c r="Q630" s="16" t="n">
        <v>1</v>
      </c>
      <c r="R630" s="5" t="inlineStr">
        <is>
          <t>176-2023-10-31</t>
        </is>
      </c>
    </row>
    <row r="631">
      <c r="A631" s="26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44" t="n">
        <v>45260</v>
      </c>
      <c r="G631" s="5" t="n">
        <v>2023</v>
      </c>
      <c r="H631" s="5" t="inlineStr">
        <is>
          <t>Noviembre</t>
        </is>
      </c>
      <c r="I631" s="6" t="inlineStr">
        <is>
          <t>2023-2</t>
        </is>
      </c>
      <c r="J631" s="5" t="n">
        <v>80</v>
      </c>
      <c r="K631" s="123" t="n">
        <v>87.36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%</t>
        </is>
      </c>
      <c r="O631" s="11" t="inlineStr">
        <is>
          <t>%</t>
        </is>
      </c>
      <c r="P631" s="16" t="n">
        <v>0</v>
      </c>
      <c r="Q631" s="16" t="n">
        <v>0</v>
      </c>
      <c r="R631" s="5" t="inlineStr">
        <is>
          <t>176-2023-11-30</t>
        </is>
      </c>
    </row>
    <row r="632">
      <c r="A632" s="26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44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123" t="n">
        <v>83.16</v>
      </c>
      <c r="L632" s="28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%</t>
        </is>
      </c>
      <c r="O632" s="11" t="inlineStr">
        <is>
          <t>%</t>
        </is>
      </c>
      <c r="P632" s="16" t="n">
        <v>0</v>
      </c>
      <c r="Q632" s="16" t="n">
        <v>0</v>
      </c>
      <c r="R632" s="5" t="inlineStr">
        <is>
          <t>176-2023-12-31</t>
        </is>
      </c>
    </row>
    <row r="633">
      <c r="A633" s="26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44" t="n">
        <v>45322</v>
      </c>
      <c r="G633" s="5" t="n">
        <v>2024</v>
      </c>
      <c r="H633" s="5" t="inlineStr">
        <is>
          <t>Enero</t>
        </is>
      </c>
      <c r="I633" s="6" t="inlineStr">
        <is>
          <t>2024-1</t>
        </is>
      </c>
      <c r="J633" s="5" t="n">
        <v>85</v>
      </c>
      <c r="K633" s="123" t="n">
        <v>83.33</v>
      </c>
      <c r="L633" s="28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N/A</t>
        </is>
      </c>
      <c r="O633" s="11" t="inlineStr">
        <is>
          <t>N/A</t>
        </is>
      </c>
      <c r="P633" s="16" t="n">
        <v>0</v>
      </c>
      <c r="Q633" s="16" t="n">
        <v>0</v>
      </c>
      <c r="R633" s="5" t="inlineStr">
        <is>
          <t>176-2024-01-31</t>
        </is>
      </c>
    </row>
    <row r="634">
      <c r="A634" s="26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44" t="n">
        <v>45350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123" t="n">
        <v>80.42</v>
      </c>
      <c r="L634" s="28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N/A</t>
        </is>
      </c>
      <c r="O634" s="11" t="inlineStr">
        <is>
          <t>N/A</t>
        </is>
      </c>
      <c r="P634" s="16" t="n">
        <v>0</v>
      </c>
      <c r="Q634" s="16" t="n">
        <v>0</v>
      </c>
      <c r="R634" s="5" t="inlineStr">
        <is>
          <t>176-2024-02-28</t>
        </is>
      </c>
    </row>
    <row r="635">
      <c r="A635" s="26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44" t="n">
        <v>45351</v>
      </c>
      <c r="G635" s="5" t="n">
        <v>2024</v>
      </c>
      <c r="H635" s="5" t="inlineStr">
        <is>
          <t>Febrero</t>
        </is>
      </c>
      <c r="I635" s="6" t="inlineStr">
        <is>
          <t>2024-1</t>
        </is>
      </c>
      <c r="J635" s="5" t="n">
        <v>85</v>
      </c>
      <c r="K635" s="123" t="n">
        <v>80.42</v>
      </c>
      <c r="L635" s="28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%</t>
        </is>
      </c>
      <c r="O635" s="11" t="inlineStr">
        <is>
          <t>%</t>
        </is>
      </c>
      <c r="P635" s="16" t="n">
        <v>0</v>
      </c>
      <c r="Q635" s="16" t="n">
        <v>0</v>
      </c>
      <c r="R635" s="5" t="inlineStr">
        <is>
          <t>176-2024-02-29</t>
        </is>
      </c>
    </row>
    <row r="636">
      <c r="A636" s="26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44" t="n">
        <v>45382</v>
      </c>
      <c r="G636" s="5" t="n">
        <v>2024</v>
      </c>
      <c r="H636" s="5" t="inlineStr">
        <is>
          <t>Marzo</t>
        </is>
      </c>
      <c r="I636" s="6" t="inlineStr">
        <is>
          <t>2024-1</t>
        </is>
      </c>
      <c r="J636" s="5" t="n">
        <v>85</v>
      </c>
      <c r="K636" s="123" t="n">
        <v>84.05</v>
      </c>
      <c r="L636" s="28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N/A</t>
        </is>
      </c>
      <c r="O636" s="11" t="inlineStr">
        <is>
          <t>N/A</t>
        </is>
      </c>
      <c r="P636" s="16" t="n">
        <v>0</v>
      </c>
      <c r="Q636" s="16" t="n">
        <v>0</v>
      </c>
      <c r="R636" s="5" t="inlineStr">
        <is>
          <t>176-2024-03-31</t>
        </is>
      </c>
    </row>
    <row r="637">
      <c r="A637" s="39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44" t="n">
        <v>45412</v>
      </c>
      <c r="G637" s="5" t="n">
        <v>2024</v>
      </c>
      <c r="H637" s="5" t="inlineStr">
        <is>
          <t>Abril</t>
        </is>
      </c>
      <c r="I637" s="6" t="inlineStr">
        <is>
          <t>2024-1</t>
        </is>
      </c>
      <c r="J637" s="5" t="n">
        <v>85</v>
      </c>
      <c r="K637" s="123" t="n">
        <v>85.09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%</t>
        </is>
      </c>
      <c r="O637" s="11" t="inlineStr">
        <is>
          <t>%</t>
        </is>
      </c>
      <c r="P637" s="16" t="n">
        <v>0</v>
      </c>
      <c r="Q637" s="16" t="n">
        <v>0</v>
      </c>
      <c r="R637" s="5" t="inlineStr">
        <is>
          <t>176-2024-04-30</t>
        </is>
      </c>
    </row>
    <row r="638">
      <c r="A638" s="39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44" t="n">
        <v>45443</v>
      </c>
      <c r="G638" s="5" t="n">
        <v>2024</v>
      </c>
      <c r="H638" s="5" t="inlineStr">
        <is>
          <t>Mayo</t>
        </is>
      </c>
      <c r="I638" s="6" t="inlineStr">
        <is>
          <t>2024-1</t>
        </is>
      </c>
      <c r="J638" s="5" t="n">
        <v>85</v>
      </c>
      <c r="K638" s="123" t="n">
        <v>84.08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inlineStr">
        <is>
          <t>%</t>
        </is>
      </c>
      <c r="O638" s="11" t="inlineStr">
        <is>
          <t>%</t>
        </is>
      </c>
      <c r="P638" s="16" t="n">
        <v>0</v>
      </c>
      <c r="Q638" s="16" t="n">
        <v>0</v>
      </c>
      <c r="R638" s="5" t="inlineStr">
        <is>
          <t>176-2024-05-31</t>
        </is>
      </c>
    </row>
    <row r="639">
      <c r="A639" s="39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44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85</v>
      </c>
      <c r="K639" s="123" t="n">
        <v>92.5</v>
      </c>
      <c r="L639" s="28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inlineStr">
        <is>
          <t>%</t>
        </is>
      </c>
      <c r="O639" s="11" t="inlineStr">
        <is>
          <t>%</t>
        </is>
      </c>
      <c r="P639" s="16" t="n">
        <v>0</v>
      </c>
      <c r="Q639" s="16" t="n">
        <v>0</v>
      </c>
      <c r="R639" s="5" t="inlineStr">
        <is>
          <t>176-2024-06-30</t>
        </is>
      </c>
    </row>
    <row r="640">
      <c r="A640" s="26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44" t="n">
        <v>45504</v>
      </c>
      <c r="G640" s="5" t="n">
        <v>2024</v>
      </c>
      <c r="H640" s="5" t="inlineStr">
        <is>
          <t>Julio</t>
        </is>
      </c>
      <c r="I640" s="6" t="inlineStr">
        <is>
          <t>2024-2</t>
        </is>
      </c>
      <c r="J640" s="5" t="n">
        <v>85</v>
      </c>
      <c r="K640" s="123" t="n">
        <v>94.72</v>
      </c>
      <c r="L640" s="28">
        <f>IFERROR(IF(OR(J640=0,K640=""),"",IF(E640="Positivo",MIN(MAX(K640/J640,0),1.3),MIN(MAX(J640/K640,0),1.3))),"") </f>
        <v/>
      </c>
      <c r="M640" s="28">
        <f>IFERROR(IF(OR(J640=0,K640=""),"",IF(E640="Positivo",MAX(K640/J640,0),MAX(J640/K640,0))),"") </f>
        <v/>
      </c>
      <c r="N640" s="5" t="inlineStr">
        <is>
          <t>%</t>
        </is>
      </c>
      <c r="O640" s="11" t="inlineStr">
        <is>
          <t>%</t>
        </is>
      </c>
      <c r="P640" s="16" t="n">
        <v>0</v>
      </c>
      <c r="Q640" s="16" t="n">
        <v>0</v>
      </c>
      <c r="R640" s="5" t="inlineStr">
        <is>
          <t>176-2024-07-31</t>
        </is>
      </c>
    </row>
    <row r="641">
      <c r="A641" s="26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44" t="n">
        <v>45535</v>
      </c>
      <c r="G641" s="5" t="n">
        <v>2024</v>
      </c>
      <c r="H641" s="5" t="inlineStr">
        <is>
          <t>Agosto</t>
        </is>
      </c>
      <c r="I641" s="6" t="inlineStr">
        <is>
          <t>2024-2</t>
        </is>
      </c>
      <c r="J641" s="5" t="n">
        <v>85</v>
      </c>
      <c r="K641" s="10" t="n">
        <v>92.53</v>
      </c>
      <c r="L641" s="28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%</t>
        </is>
      </c>
      <c r="O641" s="11" t="inlineStr">
        <is>
          <t>%</t>
        </is>
      </c>
      <c r="P641" s="16" t="n">
        <v>0</v>
      </c>
      <c r="Q641" s="16" t="n">
        <v>0</v>
      </c>
      <c r="R641" s="5" t="inlineStr">
        <is>
          <t>176-2024-08-31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44" t="n">
        <v>45565</v>
      </c>
      <c r="G642" s="5" t="n">
        <v>2024</v>
      </c>
      <c r="H642" s="5" t="inlineStr">
        <is>
          <t>Septiembre</t>
        </is>
      </c>
      <c r="I642" s="6" t="inlineStr">
        <is>
          <t>2024-2</t>
        </is>
      </c>
      <c r="J642" s="5" t="n">
        <v>85</v>
      </c>
      <c r="K642" s="123" t="n">
        <v>94.44</v>
      </c>
      <c r="L642" s="28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%</t>
        </is>
      </c>
      <c r="O642" s="11" t="inlineStr">
        <is>
          <t>%</t>
        </is>
      </c>
      <c r="P642" s="16" t="n">
        <v>0</v>
      </c>
      <c r="Q642" s="16" t="n">
        <v>0</v>
      </c>
      <c r="R642" s="5" t="inlineStr">
        <is>
          <t>176-2024-09-30</t>
        </is>
      </c>
    </row>
    <row r="643">
      <c r="A643" s="26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44" t="n">
        <v>44742</v>
      </c>
      <c r="G643" s="5" t="n">
        <v>2022</v>
      </c>
      <c r="H643" s="5" t="inlineStr">
        <is>
          <t>Junio</t>
        </is>
      </c>
      <c r="I643" s="6" t="inlineStr">
        <is>
          <t>2022-1</t>
        </is>
      </c>
      <c r="J643" s="5" t="n">
        <v>76</v>
      </c>
      <c r="K643" s="123" t="n">
        <v>91.8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%</t>
        </is>
      </c>
      <c r="O643" s="11" t="inlineStr">
        <is>
          <t>%</t>
        </is>
      </c>
      <c r="P643" s="16" t="n">
        <v>1</v>
      </c>
      <c r="Q643" s="16" t="n">
        <v>1</v>
      </c>
      <c r="R643" s="5" t="inlineStr">
        <is>
          <t>193-2022-06-30</t>
        </is>
      </c>
    </row>
    <row r="644">
      <c r="A644" s="26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44" t="n">
        <v>44926</v>
      </c>
      <c r="G644" s="5" t="n">
        <v>2022</v>
      </c>
      <c r="H644" s="5" t="inlineStr">
        <is>
          <t>Diciembre</t>
        </is>
      </c>
      <c r="I644" s="6" t="inlineStr">
        <is>
          <t>2022-2</t>
        </is>
      </c>
      <c r="J644" s="5" t="n">
        <v>76</v>
      </c>
      <c r="K644" s="123" t="n">
        <v>92.40000000000001</v>
      </c>
      <c r="L644" s="28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%</t>
        </is>
      </c>
      <c r="O644" s="11" t="inlineStr">
        <is>
          <t>%</t>
        </is>
      </c>
      <c r="P644" s="16" t="n">
        <v>1</v>
      </c>
      <c r="Q644" s="16" t="n">
        <v>1</v>
      </c>
      <c r="R644" s="5" t="inlineStr">
        <is>
          <t>193-2022-12-31</t>
        </is>
      </c>
    </row>
    <row r="645">
      <c r="A645" s="26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44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92</v>
      </c>
      <c r="K645" s="123" t="n">
        <v>91.899679829242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%</t>
        </is>
      </c>
      <c r="O645" s="11" t="inlineStr">
        <is>
          <t>%</t>
        </is>
      </c>
      <c r="P645" s="16" t="n">
        <v>1</v>
      </c>
      <c r="Q645" s="16" t="n">
        <v>1</v>
      </c>
      <c r="R645" s="5" t="inlineStr">
        <is>
          <t>193-2023-06-30</t>
        </is>
      </c>
    </row>
    <row r="646">
      <c r="A646" s="26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144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92</v>
      </c>
      <c r="K646" s="123" t="n">
        <v>91.3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%</t>
        </is>
      </c>
      <c r="O646" s="11" t="inlineStr">
        <is>
          <t>%</t>
        </is>
      </c>
      <c r="P646" s="16" t="n">
        <v>1</v>
      </c>
      <c r="Q646" s="16" t="n">
        <v>1</v>
      </c>
      <c r="R646" s="5" t="inlineStr">
        <is>
          <t>193-2023-12-31</t>
        </is>
      </c>
    </row>
    <row r="647">
      <c r="A647" s="26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144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90</v>
      </c>
      <c r="K647" s="123" t="n">
        <v>91.7002307620256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%</t>
        </is>
      </c>
      <c r="O647" s="11" t="inlineStr">
        <is>
          <t>%</t>
        </is>
      </c>
      <c r="P647" s="16" t="n">
        <v>1</v>
      </c>
      <c r="Q647" s="16" t="n">
        <v>1</v>
      </c>
      <c r="R647" s="5" t="inlineStr">
        <is>
          <t>193-2024-06-30</t>
        </is>
      </c>
    </row>
    <row r="648">
      <c r="A648" s="26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144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90</v>
      </c>
      <c r="K648" s="123" t="n">
        <v>93.5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%</t>
        </is>
      </c>
      <c r="O648" s="11" t="inlineStr">
        <is>
          <t>%</t>
        </is>
      </c>
      <c r="P648" s="16" t="n">
        <v>1</v>
      </c>
      <c r="Q648" s="16" t="n">
        <v>1</v>
      </c>
      <c r="R648" s="5" t="inlineStr">
        <is>
          <t>193-2024-12-31</t>
        </is>
      </c>
    </row>
    <row r="649">
      <c r="A649" s="39" t="n">
        <v>193</v>
      </c>
      <c r="B649" s="5" t="inlineStr">
        <is>
          <t>Mejorar flujo de atención en todos los niveles de servicio al estudiante (ANS)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Positivo</t>
        </is>
      </c>
      <c r="F649" s="144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93</v>
      </c>
      <c r="K649" s="123" t="n">
        <v>96.20999999999999</v>
      </c>
      <c r="L649" s="28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%</t>
        </is>
      </c>
      <c r="O649" s="11" t="inlineStr">
        <is>
          <t>%</t>
        </is>
      </c>
      <c r="P649" s="16" t="n">
        <v>1</v>
      </c>
      <c r="Q649" s="16" t="n">
        <v>1</v>
      </c>
      <c r="R649" s="5" t="inlineStr">
        <is>
          <t>193-2025-06-30</t>
        </is>
      </c>
    </row>
    <row r="650">
      <c r="A650" s="39" t="n">
        <v>193</v>
      </c>
      <c r="B650" s="5" t="inlineStr">
        <is>
          <t>Porcentaje de Cumplimiento del Acuerdo de Nivel de Servicio (ANS)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Positivo</t>
        </is>
      </c>
      <c r="F650" s="144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94</v>
      </c>
      <c r="K650" s="123" t="n">
        <v>95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%</t>
        </is>
      </c>
      <c r="O650" s="11" t="inlineStr">
        <is>
          <t>%</t>
        </is>
      </c>
      <c r="P650" s="16" t="n">
        <v>1</v>
      </c>
      <c r="Q650" s="16" t="n">
        <v>1</v>
      </c>
      <c r="R650" s="5" t="inlineStr">
        <is>
          <t>193-2025-12-31</t>
        </is>
      </c>
    </row>
    <row r="651">
      <c r="A651" s="39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144" t="n">
        <v>44742</v>
      </c>
      <c r="G651" s="5" t="n">
        <v>2022</v>
      </c>
      <c r="H651" s="5" t="inlineStr">
        <is>
          <t>Junio</t>
        </is>
      </c>
      <c r="I651" s="6" t="inlineStr">
        <is>
          <t>2022-1</t>
        </is>
      </c>
      <c r="J651" s="5" t="n">
        <v>73</v>
      </c>
      <c r="K651" s="123" t="n">
        <v>83.26000000000001</v>
      </c>
      <c r="L651" s="28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%</t>
        </is>
      </c>
      <c r="O651" s="11" t="inlineStr">
        <is>
          <t>%</t>
        </is>
      </c>
      <c r="P651" s="16" t="n">
        <v>0</v>
      </c>
      <c r="Q651" s="16" t="n">
        <v>0</v>
      </c>
      <c r="R651" s="5" t="inlineStr">
        <is>
          <t>194-2022-06-30</t>
        </is>
      </c>
    </row>
    <row r="652">
      <c r="A652" s="26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144" t="n">
        <v>44926</v>
      </c>
      <c r="G652" s="5" t="n">
        <v>2022</v>
      </c>
      <c r="H652" s="5" t="inlineStr">
        <is>
          <t>Diciembre</t>
        </is>
      </c>
      <c r="I652" s="6" t="inlineStr">
        <is>
          <t>2022-2</t>
        </is>
      </c>
      <c r="J652" s="5" t="n">
        <v>73</v>
      </c>
      <c r="K652" s="123" t="n">
        <v>83.11</v>
      </c>
      <c r="L652" s="28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16" t="n">
        <v>0</v>
      </c>
      <c r="Q652" s="16" t="n">
        <v>0</v>
      </c>
      <c r="R652" s="5" t="inlineStr">
        <is>
          <t>194-2022-12-31</t>
        </is>
      </c>
    </row>
    <row r="653">
      <c r="A653" s="26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144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80</v>
      </c>
      <c r="K653" s="123" t="n">
        <v>79.18000000000001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16" t="n">
        <v>0</v>
      </c>
      <c r="Q653" s="16" t="n">
        <v>0</v>
      </c>
      <c r="R653" s="5" t="inlineStr">
        <is>
          <t>194-2023-06-30</t>
        </is>
      </c>
    </row>
    <row r="654">
      <c r="A654" s="43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144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80</v>
      </c>
      <c r="K654" s="123" t="n">
        <v>81.91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16" t="n">
        <v>0</v>
      </c>
      <c r="Q654" s="16" t="n">
        <v>0</v>
      </c>
      <c r="R654" s="5" t="inlineStr">
        <is>
          <t>194-2023-12-31</t>
        </is>
      </c>
    </row>
    <row r="655">
      <c r="A655" s="39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44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81</v>
      </c>
      <c r="K655" s="123" t="n">
        <v>83.01000000000001</v>
      </c>
      <c r="L655" s="28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16" t="n">
        <v>0</v>
      </c>
      <c r="Q655" s="16" t="n">
        <v>0</v>
      </c>
      <c r="R655" s="5" t="inlineStr">
        <is>
          <t>194-2024-06-30</t>
        </is>
      </c>
    </row>
    <row r="656">
      <c r="A656" s="26" t="n">
        <v>194</v>
      </c>
      <c r="B656" s="5" t="inlineStr">
        <is>
          <t>Índice de satisfacción del estudiante (SSI)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44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81</v>
      </c>
      <c r="K656" s="10" t="n">
        <v>89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16" t="n">
        <v>0</v>
      </c>
      <c r="Q656" s="16" t="n">
        <v>0</v>
      </c>
      <c r="R656" s="5" t="inlineStr">
        <is>
          <t>194-2024-12-31</t>
        </is>
      </c>
    </row>
    <row r="657">
      <c r="A657" s="5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44" t="n">
        <v>44742</v>
      </c>
      <c r="G657" s="5" t="n">
        <v>2022</v>
      </c>
      <c r="H657" s="5" t="inlineStr">
        <is>
          <t>Junio</t>
        </is>
      </c>
      <c r="I657" s="6" t="inlineStr">
        <is>
          <t>2022-1</t>
        </is>
      </c>
      <c r="J657" s="5" t="n">
        <v>25</v>
      </c>
      <c r="K657" s="5" t="n">
        <v>46.11</v>
      </c>
      <c r="L657" s="28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1</v>
      </c>
      <c r="Q657" s="5" t="n">
        <v>1</v>
      </c>
      <c r="R657" s="5" t="inlineStr">
        <is>
          <t>195-2022-06-30</t>
        </is>
      </c>
    </row>
    <row r="658">
      <c r="A658" s="26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44" t="n">
        <v>44926</v>
      </c>
      <c r="G658" s="5" t="n">
        <v>2022</v>
      </c>
      <c r="H658" s="5" t="inlineStr">
        <is>
          <t>Diciembre</t>
        </is>
      </c>
      <c r="I658" s="6" t="inlineStr">
        <is>
          <t>2022-2</t>
        </is>
      </c>
      <c r="J658" s="5" t="n">
        <v>25</v>
      </c>
      <c r="K658" s="10" t="n">
        <v>43.56</v>
      </c>
      <c r="L658" s="28">
        <f>IFERROR(IF(OR(J658=0,K658=""),"",IF(E658="Positivo",MIN(MAX(K658/J658,0),1.3),MIN(MAX(J658/K658,0),1.3))),"") </f>
        <v/>
      </c>
      <c r="M658" s="28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16" t="n">
        <v>1</v>
      </c>
      <c r="Q658" s="16" t="n">
        <v>1</v>
      </c>
      <c r="R658" s="5" t="inlineStr">
        <is>
          <t>195-2022-12-31</t>
        </is>
      </c>
    </row>
    <row r="659">
      <c r="A659" s="26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44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42</v>
      </c>
      <c r="K659" s="10" t="n">
        <v>36.54</v>
      </c>
      <c r="L659" s="28">
        <f>IFERROR(IF(OR(J659=0,K659=""),"",IF(E659="Positivo",MIN(MAX(K659/J659,0),1.3),MIN(MAX(J659/K659,0),1.3))),"") </f>
        <v/>
      </c>
      <c r="M659" s="28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16" t="n">
        <v>0</v>
      </c>
      <c r="Q659" s="16" t="n">
        <v>0</v>
      </c>
      <c r="R659" s="5" t="inlineStr">
        <is>
          <t>195-2023-06-30</t>
        </is>
      </c>
    </row>
    <row r="660">
      <c r="A660" s="26" t="n">
        <v>195</v>
      </c>
      <c r="B660" s="5" t="inlineStr">
        <is>
          <t>NPS- Net Promotor Score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44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42</v>
      </c>
      <c r="K660" s="123" t="n">
        <v>53.34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16" t="n">
        <v>0</v>
      </c>
      <c r="Q660" s="16" t="n">
        <v>0</v>
      </c>
      <c r="R660" s="5" t="inlineStr">
        <is>
          <t>195-2023-12-31</t>
        </is>
      </c>
    </row>
    <row r="661">
      <c r="A661" s="26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43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37</v>
      </c>
      <c r="K661" s="123" t="n">
        <v>34.41</v>
      </c>
      <c r="L661" s="28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16" t="n">
        <v>0</v>
      </c>
      <c r="Q661" s="16" t="n">
        <v>0</v>
      </c>
      <c r="R661" s="5" t="inlineStr">
        <is>
          <t>196-2023-06-30</t>
        </is>
      </c>
    </row>
    <row r="662">
      <c r="A662" s="26" t="n">
        <v>196</v>
      </c>
      <c r="B662" s="5" t="inlineStr">
        <is>
          <t>(% de solicitudes procesos Pareto)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Negativo</t>
        </is>
      </c>
      <c r="F662" s="144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37</v>
      </c>
      <c r="K662" s="123" t="n">
        <v>26.62</v>
      </c>
      <c r="L662" s="28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16" t="n">
        <v>0</v>
      </c>
      <c r="Q662" s="16" t="n">
        <v>0</v>
      </c>
      <c r="R662" s="5" t="inlineStr">
        <is>
          <t>196-2023-12-31</t>
        </is>
      </c>
    </row>
    <row r="663">
      <c r="A663" s="26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144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0</v>
      </c>
      <c r="K663" s="123" t="n"/>
      <c r="L663" s="28" t="n"/>
      <c r="M663" s="28" t="n"/>
      <c r="N663" s="5" t="inlineStr">
        <is>
          <t>%</t>
        </is>
      </c>
      <c r="O663" s="5" t="inlineStr">
        <is>
          <t>No Aplica</t>
        </is>
      </c>
      <c r="P663" s="16" t="n">
        <v>0</v>
      </c>
      <c r="Q663" s="16" t="n">
        <v>0</v>
      </c>
      <c r="R663" s="5" t="inlineStr">
        <is>
          <t>197-2022-06-30</t>
        </is>
      </c>
      <c r="S663" t="inlineStr">
        <is>
          <t>No Aplica</t>
        </is>
      </c>
    </row>
    <row r="664">
      <c r="A664" s="26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144" t="n">
        <v>44834</v>
      </c>
      <c r="G664" s="5" t="n">
        <v>2022</v>
      </c>
      <c r="H664" s="5" t="inlineStr">
        <is>
          <t>Septiembre</t>
        </is>
      </c>
      <c r="I664" s="6" t="inlineStr">
        <is>
          <t>2022-2</t>
        </is>
      </c>
      <c r="J664" s="5" t="n">
        <v>90</v>
      </c>
      <c r="K664" s="123" t="n">
        <v>100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16" t="n">
        <v>0</v>
      </c>
      <c r="Q664" s="16" t="n">
        <v>0</v>
      </c>
      <c r="R664" s="5" t="inlineStr">
        <is>
          <t>197-2022-09-30</t>
        </is>
      </c>
    </row>
    <row r="665">
      <c r="A665" s="26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Semestral</t>
        </is>
      </c>
      <c r="E665" s="5" t="inlineStr">
        <is>
          <t>Positivo</t>
        </is>
      </c>
      <c r="F665" s="144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90</v>
      </c>
      <c r="K665" s="123" t="n">
        <v>100</v>
      </c>
      <c r="L665" s="28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6" t="n">
        <v>0</v>
      </c>
      <c r="Q665" s="16" t="n">
        <v>0</v>
      </c>
      <c r="R665" s="5" t="inlineStr">
        <is>
          <t>197-2022-12-31</t>
        </is>
      </c>
    </row>
    <row r="666">
      <c r="A666" s="26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144" t="n">
        <v>45016</v>
      </c>
      <c r="G666" s="5" t="n">
        <v>2023</v>
      </c>
      <c r="H666" s="5" t="inlineStr">
        <is>
          <t>Marzo</t>
        </is>
      </c>
      <c r="I666" s="6" t="inlineStr">
        <is>
          <t>2023-1</t>
        </is>
      </c>
      <c r="J666" s="5" t="n">
        <v>90</v>
      </c>
      <c r="K666" s="123" t="n">
        <v>100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6" t="n">
        <v>0</v>
      </c>
      <c r="Q666" s="16" t="n">
        <v>0</v>
      </c>
      <c r="R666" s="5" t="inlineStr">
        <is>
          <t>197-2023-03-31</t>
        </is>
      </c>
    </row>
    <row r="667">
      <c r="A667" s="26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144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90</v>
      </c>
      <c r="K667" s="123" t="n">
        <v>100</v>
      </c>
      <c r="L667" s="28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6" t="n">
        <v>0</v>
      </c>
      <c r="Q667" s="16" t="n">
        <v>0</v>
      </c>
      <c r="R667" s="5" t="inlineStr">
        <is>
          <t>197-2023-06-30</t>
        </is>
      </c>
    </row>
    <row r="668">
      <c r="A668" s="26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144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90</v>
      </c>
      <c r="K668" s="123" t="n">
        <v>100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6" t="n">
        <v>0</v>
      </c>
      <c r="Q668" s="16" t="n">
        <v>0</v>
      </c>
      <c r="R668" s="5" t="inlineStr">
        <is>
          <t>197-2023-09-30</t>
        </is>
      </c>
    </row>
    <row r="669">
      <c r="A669" s="39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144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90</v>
      </c>
      <c r="K669" s="123" t="n">
        <v>100</v>
      </c>
      <c r="L669" s="28">
        <f>IFERROR(IF(OR(J669=0,K669=""),"",IF(E669="Positivo",MIN(MAX(K669/J669,0),1.3),MIN(MAX(J669/K669,0),1.3))),"") </f>
        <v/>
      </c>
      <c r="M669" s="28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6" t="n">
        <v>0</v>
      </c>
      <c r="Q669" s="16" t="n">
        <v>0</v>
      </c>
      <c r="R669" s="5" t="inlineStr">
        <is>
          <t>197-2023-12-31</t>
        </is>
      </c>
    </row>
    <row r="670">
      <c r="A670" s="39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144" t="n">
        <v>45382</v>
      </c>
      <c r="G670" s="5" t="n">
        <v>2024</v>
      </c>
      <c r="H670" s="5" t="inlineStr">
        <is>
          <t>Marzo</t>
        </is>
      </c>
      <c r="I670" s="6" t="inlineStr">
        <is>
          <t>2024-1</t>
        </is>
      </c>
      <c r="J670" s="5" t="n">
        <v>95</v>
      </c>
      <c r="K670" s="123" t="n">
        <v>100</v>
      </c>
      <c r="L670" s="28">
        <f>IFERROR(IF(OR(J670=0,K670=""),"",IF(E670="Positivo",MIN(MAX(K670/J670,0),1.3),MIN(MAX(J670/K670,0),1.3))),"") </f>
        <v/>
      </c>
      <c r="M670" s="28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16" t="n">
        <v>0</v>
      </c>
      <c r="Q670" s="16" t="n">
        <v>0</v>
      </c>
      <c r="R670" s="5" t="inlineStr">
        <is>
          <t>197-2024-03-31</t>
        </is>
      </c>
    </row>
    <row r="671">
      <c r="A671" s="39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144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123" t="n">
        <v>100</v>
      </c>
      <c r="L671" s="28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16" t="n">
        <v>0</v>
      </c>
      <c r="Q671" s="16" t="n">
        <v>0</v>
      </c>
      <c r="R671" s="5" t="inlineStr">
        <is>
          <t>197-2024-06-30</t>
        </is>
      </c>
    </row>
    <row r="672">
      <c r="A672" s="26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144" t="n">
        <v>45565</v>
      </c>
      <c r="G672" s="5" t="n">
        <v>2024</v>
      </c>
      <c r="H672" s="5" t="inlineStr">
        <is>
          <t>Septiembre</t>
        </is>
      </c>
      <c r="I672" s="6" t="inlineStr">
        <is>
          <t>2024-2</t>
        </is>
      </c>
      <c r="J672" s="5" t="n">
        <v>95</v>
      </c>
      <c r="K672" s="10" t="n">
        <v>100</v>
      </c>
      <c r="L672" s="28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16" t="n">
        <v>0</v>
      </c>
      <c r="Q672" s="16" t="n">
        <v>0</v>
      </c>
      <c r="R672" s="5" t="inlineStr">
        <is>
          <t>197-2024-09-30</t>
        </is>
      </c>
    </row>
    <row r="673">
      <c r="A673" s="26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144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95</v>
      </c>
      <c r="K673" s="10" t="n">
        <v>100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16" t="n">
        <v>0</v>
      </c>
      <c r="Q673" s="16" t="n">
        <v>0</v>
      </c>
      <c r="R673" s="5" t="inlineStr">
        <is>
          <t>197-2024-12-31</t>
        </is>
      </c>
    </row>
    <row r="674">
      <c r="A674" s="26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Trimestral</t>
        </is>
      </c>
      <c r="E674" s="5" t="inlineStr">
        <is>
          <t>Positivo</t>
        </is>
      </c>
      <c r="F674" s="144" t="n">
        <v>45747</v>
      </c>
      <c r="G674" s="5" t="n">
        <v>2025</v>
      </c>
      <c r="H674" s="5" t="inlineStr">
        <is>
          <t>Marzo</t>
        </is>
      </c>
      <c r="I674" s="6" t="inlineStr">
        <is>
          <t>2025-1</t>
        </is>
      </c>
      <c r="J674" s="5" t="n">
        <v>97</v>
      </c>
      <c r="K674" s="10" t="n">
        <v>100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16" t="n">
        <v>0</v>
      </c>
      <c r="Q674" s="16" t="n">
        <v>0</v>
      </c>
      <c r="R674" s="5" t="inlineStr">
        <is>
          <t>197-2025-03-31</t>
        </is>
      </c>
    </row>
    <row r="675">
      <c r="A675" s="26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Trimestral</t>
        </is>
      </c>
      <c r="E675" s="5" t="inlineStr">
        <is>
          <t>Positivo</t>
        </is>
      </c>
      <c r="F675" s="144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>
        <v>97</v>
      </c>
      <c r="K675" s="10" t="n">
        <v>96.43000000000001</v>
      </c>
      <c r="L675" s="28">
        <f>IFERROR(IF(OR(J675=0,K675=""),"",IF(E675="Positivo",MIN(MAX(K675/J675,0),1.3),MIN(MAX(J675/K675,0),1.3))),"") </f>
        <v/>
      </c>
      <c r="M675" s="28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16" t="n">
        <v>0</v>
      </c>
      <c r="Q675" s="16" t="n">
        <v>0</v>
      </c>
      <c r="R675" s="5" t="inlineStr">
        <is>
          <t>197-2025-06-30</t>
        </is>
      </c>
    </row>
    <row r="676">
      <c r="A676" s="26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44" t="n">
        <v>45930</v>
      </c>
      <c r="G676" s="5" t="n">
        <v>2025</v>
      </c>
      <c r="H676" s="5" t="inlineStr">
        <is>
          <t>Septiembre</t>
        </is>
      </c>
      <c r="I676" s="6" t="inlineStr">
        <is>
          <t>2025-2</t>
        </is>
      </c>
      <c r="J676" s="5" t="n">
        <v>97</v>
      </c>
      <c r="K676" s="10" t="n">
        <v>104</v>
      </c>
      <c r="L676" s="28">
        <f>IFERROR(IF(OR(J676=0,K676=""),"",IF(E676="Positivo",MIN(MAX(K676/J676,0),1.3),MIN(MAX(J676/K676,0),1.3))),"") </f>
        <v/>
      </c>
      <c r="M676" s="28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16" t="n">
        <v>0</v>
      </c>
      <c r="Q676" s="16" t="n">
        <v>0</v>
      </c>
      <c r="R676" s="5" t="inlineStr">
        <is>
          <t>197-2025-09-30</t>
        </is>
      </c>
    </row>
    <row r="677">
      <c r="A677" s="5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44" t="n">
        <v>46022</v>
      </c>
      <c r="G677" s="5" t="n">
        <v>2025</v>
      </c>
      <c r="H677" s="5" t="inlineStr">
        <is>
          <t>Diciembre</t>
        </is>
      </c>
      <c r="I677" s="6" t="inlineStr">
        <is>
          <t>2025-2</t>
        </is>
      </c>
      <c r="J677" s="5" t="n">
        <v>97</v>
      </c>
      <c r="K677" s="5" t="n">
        <v>100</v>
      </c>
      <c r="L677" s="28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197-2025-12-31</t>
        </is>
      </c>
    </row>
    <row r="678">
      <c r="A678" s="26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144" t="n">
        <v>44651</v>
      </c>
      <c r="G678" s="5" t="n">
        <v>2022</v>
      </c>
      <c r="H678" s="5" t="inlineStr">
        <is>
          <t>Marzo</t>
        </is>
      </c>
      <c r="I678" s="6" t="inlineStr">
        <is>
          <t>2022-1</t>
        </is>
      </c>
      <c r="J678" s="5" t="n">
        <v>80</v>
      </c>
      <c r="K678" s="10" t="n"/>
      <c r="L678" s="28" t="n"/>
      <c r="M678" s="28" t="n"/>
      <c r="N678" s="5" t="inlineStr">
        <is>
          <t>%</t>
        </is>
      </c>
      <c r="O678" s="5" t="inlineStr">
        <is>
          <t>No Aplica</t>
        </is>
      </c>
      <c r="P678" s="16" t="n">
        <v>0</v>
      </c>
      <c r="Q678" s="16" t="n">
        <v>0</v>
      </c>
      <c r="R678" s="5" t="inlineStr">
        <is>
          <t>199-2022-03-31</t>
        </is>
      </c>
      <c r="S678" t="inlineStr">
        <is>
          <t>No Aplica</t>
        </is>
      </c>
    </row>
    <row r="679">
      <c r="A679" s="26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144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80</v>
      </c>
      <c r="K679" s="10" t="n"/>
      <c r="L679" s="28" t="n"/>
      <c r="M679" s="28" t="n"/>
      <c r="N679" s="5" t="inlineStr">
        <is>
          <t>%</t>
        </is>
      </c>
      <c r="O679" s="5" t="inlineStr">
        <is>
          <t>No Aplica</t>
        </is>
      </c>
      <c r="P679" s="16" t="n">
        <v>0</v>
      </c>
      <c r="Q679" s="16" t="n">
        <v>0</v>
      </c>
      <c r="R679" s="5" t="inlineStr">
        <is>
          <t>199-2022-06-30</t>
        </is>
      </c>
      <c r="S679" t="inlineStr">
        <is>
          <t>No Aplica</t>
        </is>
      </c>
    </row>
    <row r="680">
      <c r="A680" s="26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Trimestral</t>
        </is>
      </c>
      <c r="E680" s="5" t="inlineStr">
        <is>
          <t>Positivo</t>
        </is>
      </c>
      <c r="F680" s="144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80</v>
      </c>
      <c r="K680" s="10" t="n"/>
      <c r="L680" s="28" t="n"/>
      <c r="M680" s="28" t="n"/>
      <c r="N680" s="5" t="inlineStr">
        <is>
          <t>%</t>
        </is>
      </c>
      <c r="O680" s="5" t="inlineStr">
        <is>
          <t>No Aplica</t>
        </is>
      </c>
      <c r="P680" s="16" t="n">
        <v>0</v>
      </c>
      <c r="Q680" s="16" t="n">
        <v>0</v>
      </c>
      <c r="R680" s="5" t="inlineStr">
        <is>
          <t>199-2022-12-31</t>
        </is>
      </c>
      <c r="S680" t="inlineStr">
        <is>
          <t>No Aplica</t>
        </is>
      </c>
    </row>
    <row r="681">
      <c r="A681" s="26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144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10" t="n">
        <v>87.666666666667</v>
      </c>
      <c r="L681" s="28">
        <f>IFERROR(IF(OR(J681=0,K681=""),"",IF(E681="Positivo",MIN(MAX(K681/J681,0),1.3),MIN(MAX(J681/K681,0),1.3))),"") </f>
        <v/>
      </c>
      <c r="M681" s="28">
        <f>IFERROR(IF(OR(J681=0,K681=""),"",IF(E681="Positivo",MAX(K681/J681,0),MAX(J681/K681,0))),"") </f>
        <v/>
      </c>
      <c r="N681" s="5" t="inlineStr">
        <is>
          <t>%</t>
        </is>
      </c>
      <c r="O681" s="5" t="inlineStr">
        <is>
          <t>%</t>
        </is>
      </c>
      <c r="P681" s="16" t="n">
        <v>0</v>
      </c>
      <c r="Q681" s="16" t="n">
        <v>0</v>
      </c>
      <c r="R681" s="5" t="inlineStr">
        <is>
          <t>199-2023-06-30</t>
        </is>
      </c>
    </row>
    <row r="682">
      <c r="A682" s="26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144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10" t="n">
        <v>87.67</v>
      </c>
      <c r="L682" s="28">
        <f>IFERROR(IF(OR(J682=0,K682=""),"",IF(E682="Positivo",MIN(MAX(K682/J682,0),1.3),MIN(MAX(J682/K682,0),1.3))),"") </f>
        <v/>
      </c>
      <c r="M682" s="28">
        <f>IFERROR(IF(OR(J682=0,K682=""),"",IF(E682="Positivo",MAX(K682/J682,0),MAX(J682/K682,0))),"") </f>
        <v/>
      </c>
      <c r="N682" s="5" t="inlineStr">
        <is>
          <t>%</t>
        </is>
      </c>
      <c r="O682" s="5" t="inlineStr">
        <is>
          <t>%</t>
        </is>
      </c>
      <c r="P682" s="16" t="n">
        <v>0</v>
      </c>
      <c r="Q682" s="16" t="n">
        <v>0</v>
      </c>
      <c r="R682" s="5" t="inlineStr">
        <is>
          <t>199-2023-12-31</t>
        </is>
      </c>
    </row>
    <row r="683">
      <c r="A683" s="26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144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70</v>
      </c>
      <c r="K683" s="10" t="n">
        <v>92.19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inlineStr">
        <is>
          <t>%</t>
        </is>
      </c>
      <c r="O683" s="5" t="inlineStr">
        <is>
          <t>%</t>
        </is>
      </c>
      <c r="P683" s="16" t="n">
        <v>0</v>
      </c>
      <c r="Q683" s="16" t="n">
        <v>0</v>
      </c>
      <c r="R683" s="5" t="inlineStr">
        <is>
          <t>199-2024-06-30</t>
        </is>
      </c>
    </row>
    <row r="684">
      <c r="A684" s="26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Semestral</t>
        </is>
      </c>
      <c r="E684" s="5" t="inlineStr">
        <is>
          <t>Positivo</t>
        </is>
      </c>
      <c r="F684" s="144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70</v>
      </c>
      <c r="K684" s="123" t="n">
        <v>92.81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inlineStr">
        <is>
          <t>%</t>
        </is>
      </c>
      <c r="O684" s="11" t="inlineStr">
        <is>
          <t>%</t>
        </is>
      </c>
      <c r="P684" s="16" t="n">
        <v>0</v>
      </c>
      <c r="Q684" s="16" t="n">
        <v>0</v>
      </c>
      <c r="R684" s="5" t="inlineStr">
        <is>
          <t>199-2024-12-31</t>
        </is>
      </c>
    </row>
    <row r="685">
      <c r="A685" s="26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143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80</v>
      </c>
      <c r="K685" s="123" t="n">
        <v>92.09999999999999</v>
      </c>
      <c r="L685" s="28">
        <f>IFERROR(IF(OR(J685=0,K685=""),"",IF(E685="Positivo",MIN(MAX(K685/J685,0),1.3),MIN(MAX(J685/K685,0),1.3))),"") </f>
        <v/>
      </c>
      <c r="M685" s="28">
        <f>IFERROR(IF(OR(J685=0,K685=""),"",IF(E685="Positivo",MAX(K685/J685,0),MAX(J685/K685,0))),"") </f>
        <v/>
      </c>
      <c r="N685" s="5" t="inlineStr">
        <is>
          <t>%</t>
        </is>
      </c>
      <c r="O685" s="11" t="inlineStr">
        <is>
          <t>%</t>
        </is>
      </c>
      <c r="P685" s="16" t="n">
        <v>0</v>
      </c>
      <c r="Q685" s="16" t="n">
        <v>0</v>
      </c>
      <c r="R685" s="5" t="inlineStr">
        <is>
          <t>199-2025-06-30</t>
        </is>
      </c>
    </row>
    <row r="686">
      <c r="A686" s="26" t="n">
        <v>199</v>
      </c>
      <c r="B686" s="5" t="inlineStr">
        <is>
          <t>Nivel de cumplimiento de eficacia las capacitaciones</t>
        </is>
      </c>
      <c r="C686" s="5" t="inlineStr">
        <is>
          <t>GESTIÓN Y DESARROLLO DEL TALENTO HUMANO</t>
        </is>
      </c>
      <c r="D686" s="5" t="inlineStr">
        <is>
          <t>Trimestral</t>
        </is>
      </c>
      <c r="E686" s="5" t="inlineStr">
        <is>
          <t>Positivo</t>
        </is>
      </c>
      <c r="F686" s="144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80</v>
      </c>
      <c r="K686" s="123" t="n">
        <v>92.89</v>
      </c>
      <c r="L686" s="28">
        <f>IFERROR(IF(OR(J686=0,K686=""),"",IF(E686="Positivo",MIN(MAX(K686/J686,0),1.3),MIN(MAX(J686/K686,0),1.3))),"") </f>
        <v/>
      </c>
      <c r="M686" s="28">
        <f>IFERROR(IF(OR(J686=0,K686=""),"",IF(E686="Positivo",MAX(K686/J686,0),MAX(J686/K686,0))),"") </f>
        <v/>
      </c>
      <c r="N686" s="5" t="inlineStr">
        <is>
          <t>%</t>
        </is>
      </c>
      <c r="O686" s="11" t="inlineStr">
        <is>
          <t>%</t>
        </is>
      </c>
      <c r="P686" s="16" t="n">
        <v>0</v>
      </c>
      <c r="Q686" s="16" t="n">
        <v>0</v>
      </c>
      <c r="R686" s="5" t="inlineStr">
        <is>
          <t>199-2025-12-31</t>
        </is>
      </c>
    </row>
    <row r="687">
      <c r="A687" s="26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144" t="n">
        <v>44926</v>
      </c>
      <c r="G687" s="5" t="n">
        <v>2022</v>
      </c>
      <c r="H687" s="5" t="inlineStr">
        <is>
          <t>Diciembre</t>
        </is>
      </c>
      <c r="I687" s="6" t="inlineStr">
        <is>
          <t>2022-2</t>
        </is>
      </c>
      <c r="J687" s="5" t="n">
        <v>70</v>
      </c>
      <c r="K687" s="123" t="n"/>
      <c r="L687" s="127" t="n"/>
      <c r="M687" s="28" t="n"/>
      <c r="N687" s="5" t="inlineStr">
        <is>
          <t>%</t>
        </is>
      </c>
      <c r="O687" s="11" t="inlineStr">
        <is>
          <t>No Aplica</t>
        </is>
      </c>
      <c r="P687" s="16" t="n">
        <v>0</v>
      </c>
      <c r="Q687" s="16" t="n">
        <v>1</v>
      </c>
      <c r="R687" s="5" t="inlineStr">
        <is>
          <t>200-2022-12-31</t>
        </is>
      </c>
      <c r="S687" t="inlineStr">
        <is>
          <t>No Aplica</t>
        </is>
      </c>
    </row>
    <row r="688">
      <c r="A688" s="26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144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70</v>
      </c>
      <c r="K688" s="123" t="n">
        <v>90</v>
      </c>
      <c r="L688" s="28">
        <f>IFERROR(IF(OR(J688=0,K688=""),"",IF(E688="Positivo",MIN(MAX(K688/J688,0),1.3),MIN(MAX(J688/K688,0),1.3))),"") </f>
        <v/>
      </c>
      <c r="M688" s="28">
        <f>IFERROR(IF(OR(J688=0,K688=""),"",IF(E688="Positivo",MAX(K688/J688,0),MAX(J688/K688,0))),"") </f>
        <v/>
      </c>
      <c r="N688" s="5" t="inlineStr">
        <is>
          <t>Linea Base</t>
        </is>
      </c>
      <c r="O688" s="11" t="inlineStr">
        <is>
          <t>%</t>
        </is>
      </c>
      <c r="P688" s="16" t="n">
        <v>0</v>
      </c>
      <c r="Q688" s="16" t="n">
        <v>0</v>
      </c>
      <c r="R688" s="5" t="inlineStr">
        <is>
          <t>200-2023-12-31</t>
        </is>
      </c>
    </row>
    <row r="689">
      <c r="A689" s="26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144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>
        <v>80</v>
      </c>
      <c r="K689" s="123" t="n">
        <v>87.40000000000001</v>
      </c>
      <c r="L689" s="28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inlineStr">
        <is>
          <t>Linea Base</t>
        </is>
      </c>
      <c r="O689" s="11" t="inlineStr">
        <is>
          <t>%</t>
        </is>
      </c>
      <c r="P689" s="16" t="n">
        <v>0</v>
      </c>
      <c r="Q689" s="16" t="n">
        <v>0</v>
      </c>
      <c r="R689" s="5" t="inlineStr">
        <is>
          <t>200-2024-12-31</t>
        </is>
      </c>
    </row>
    <row r="690">
      <c r="A690" s="26" t="n">
        <v>200</v>
      </c>
      <c r="B690" s="5" t="inlineStr">
        <is>
          <t>Nivel de efectividad de las capacitaciones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144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87</v>
      </c>
      <c r="K690" s="123" t="n">
        <v>90.84999999999999</v>
      </c>
      <c r="L690" s="28">
        <f>IFERROR(IF(OR(J690=0,K690=""),"",IF(E690="Positivo",MIN(MAX(K690/J690,0),1.3),MIN(MAX(J690/K690,0),1.3))),"") </f>
        <v/>
      </c>
      <c r="M690" s="28">
        <f>IFERROR(IF(OR(J690=0,K690=""),"",IF(E690="Positivo",MAX(K690/J690,0),MAX(J690/K690,0))),"") </f>
        <v/>
      </c>
      <c r="N690" s="5" t="inlineStr">
        <is>
          <t>%</t>
        </is>
      </c>
      <c r="O690" s="11" t="inlineStr">
        <is>
          <t>%</t>
        </is>
      </c>
      <c r="P690" s="16" t="n">
        <v>0</v>
      </c>
      <c r="Q690" s="16" t="n">
        <v>1</v>
      </c>
      <c r="R690" s="5" t="inlineStr">
        <is>
          <t>200-2025-12-31</t>
        </is>
      </c>
    </row>
    <row r="691">
      <c r="A691" s="26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144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>
        <v>66</v>
      </c>
      <c r="K691" s="123" t="n">
        <v>64.7</v>
      </c>
      <c r="L691" s="28">
        <f>IFERROR(IF(OR(J691=0,K691=""),"",IF(E691="Positivo",MIN(MAX(K691/J691,0),1.3),MIN(MAX(J691/K691,0),1.3))),"") </f>
        <v/>
      </c>
      <c r="M691" s="28">
        <f>IFERROR(IF(OR(J691=0,K691=""),"",IF(E691="Positivo",MAX(K691/J691,0),MAX(J691/K691,0))),"") </f>
        <v/>
      </c>
      <c r="N691" s="5" t="inlineStr">
        <is>
          <t>Linea Base</t>
        </is>
      </c>
      <c r="O691" s="11" t="inlineStr">
        <is>
          <t>%</t>
        </is>
      </c>
      <c r="P691" s="16" t="n">
        <v>1</v>
      </c>
      <c r="Q691" s="16" t="n">
        <v>1</v>
      </c>
      <c r="R691" s="5" t="inlineStr">
        <is>
          <t>202-2023-12-31</t>
        </is>
      </c>
    </row>
    <row r="692">
      <c r="A692" s="26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144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123" t="n">
        <v>0</v>
      </c>
      <c r="L692" s="127" t="n"/>
      <c r="M692" s="28" t="n"/>
      <c r="N692" s="5" t="inlineStr">
        <is>
          <t>DEC</t>
        </is>
      </c>
      <c r="O692" s="11" t="inlineStr">
        <is>
          <t>DEC</t>
        </is>
      </c>
      <c r="P692" s="16" t="n">
        <v>1</v>
      </c>
      <c r="Q692" s="16" t="n">
        <v>0</v>
      </c>
      <c r="R692" s="5" t="inlineStr">
        <is>
          <t>202-2024-12-31</t>
        </is>
      </c>
    </row>
    <row r="693">
      <c r="A693" s="39" t="n">
        <v>202</v>
      </c>
      <c r="B693" s="5" t="inlineStr">
        <is>
          <t>Great Place to Work</t>
        </is>
      </c>
      <c r="C693" s="5" t="inlineStr">
        <is>
          <t>GESTIÓN Y DESARROLLO DEL TALENTO HUMANO</t>
        </is>
      </c>
      <c r="D693" s="5" t="inlineStr">
        <is>
          <t>Anual</t>
        </is>
      </c>
      <c r="E693" s="5" t="inlineStr">
        <is>
          <t>Positivo</t>
        </is>
      </c>
      <c r="F693" s="144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68.7</v>
      </c>
      <c r="K693" s="123" t="n">
        <v>81</v>
      </c>
      <c r="L693" s="28">
        <f>IFERROR(IF(OR(J693=0,K693=""),"",IF(E693="Positivo",MIN(MAX(K693/J693,0),1.3),MIN(MAX(J693/K693,0),1.3))),"") </f>
        <v/>
      </c>
      <c r="M693" s="28">
        <f>IFERROR(IF(OR(J693=0,K693=""),"",IF(E693="Positivo",MAX(K693/J693,0),MAX(J693/K693,0))),"") </f>
        <v/>
      </c>
      <c r="N693" s="5" t="inlineStr">
        <is>
          <t>DEC</t>
        </is>
      </c>
      <c r="O693" s="11" t="inlineStr">
        <is>
          <t>DEC</t>
        </is>
      </c>
      <c r="P693" s="16" t="n">
        <v>1</v>
      </c>
      <c r="Q693" s="16" t="n">
        <v>0</v>
      </c>
      <c r="R693" s="5" t="inlineStr">
        <is>
          <t>202-2025-12-31</t>
        </is>
      </c>
    </row>
    <row r="694">
      <c r="A694" s="39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Trimestral</t>
        </is>
      </c>
      <c r="E694" s="5" t="inlineStr">
        <is>
          <t>Positivo</t>
        </is>
      </c>
      <c r="F694" s="144" t="n">
        <v>44651</v>
      </c>
      <c r="G694" s="5" t="n">
        <v>2022</v>
      </c>
      <c r="H694" s="5" t="inlineStr">
        <is>
          <t>Marzo</t>
        </is>
      </c>
      <c r="I694" s="6" t="inlineStr">
        <is>
          <t>2022-1</t>
        </is>
      </c>
      <c r="J694" s="5" t="n"/>
      <c r="K694" s="123" t="n"/>
      <c r="L694" s="127" t="n"/>
      <c r="M694" s="28" t="n"/>
      <c r="N694" s="5" t="inlineStr">
        <is>
          <t>$</t>
        </is>
      </c>
      <c r="O694" s="11" t="inlineStr">
        <is>
          <t>No Aplica</t>
        </is>
      </c>
      <c r="P694" s="16" t="n">
        <v>0</v>
      </c>
      <c r="Q694" s="16" t="n">
        <v>0</v>
      </c>
      <c r="R694" s="5" t="inlineStr">
        <is>
          <t>203-2022-03-31</t>
        </is>
      </c>
      <c r="S694" t="inlineStr">
        <is>
          <t>No Aplica</t>
        </is>
      </c>
    </row>
    <row r="695">
      <c r="A695" s="39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144" t="n">
        <v>44742</v>
      </c>
      <c r="G695" s="5" t="n">
        <v>2022</v>
      </c>
      <c r="H695" s="5" t="inlineStr">
        <is>
          <t>Junio</t>
        </is>
      </c>
      <c r="I695" s="6" t="inlineStr">
        <is>
          <t>2022-1</t>
        </is>
      </c>
      <c r="J695" s="5" t="n">
        <v>113672</v>
      </c>
      <c r="K695" s="123" t="n">
        <v>119144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inlineStr">
        <is>
          <t>$</t>
        </is>
      </c>
      <c r="O695" s="11" t="inlineStr">
        <is>
          <t>$</t>
        </is>
      </c>
      <c r="P695" s="16" t="n">
        <v>0</v>
      </c>
      <c r="Q695" s="16" t="n">
        <v>0</v>
      </c>
      <c r="R695" s="5" t="inlineStr">
        <is>
          <t>203-2022-06-30</t>
        </is>
      </c>
    </row>
    <row r="696">
      <c r="A696" s="26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144" t="n">
        <v>44926</v>
      </c>
      <c r="G696" s="5" t="n">
        <v>2022</v>
      </c>
      <c r="H696" s="5" t="inlineStr">
        <is>
          <t>Diciembre</t>
        </is>
      </c>
      <c r="I696" s="6" t="inlineStr">
        <is>
          <t>2022-2</t>
        </is>
      </c>
      <c r="J696" s="5" t="n">
        <v>224440</v>
      </c>
      <c r="K696" s="123" t="n">
        <v>240882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inlineStr">
        <is>
          <t>$</t>
        </is>
      </c>
      <c r="O696" s="5" t="inlineStr">
        <is>
          <t>$</t>
        </is>
      </c>
      <c r="P696" s="16" t="n">
        <v>0</v>
      </c>
      <c r="Q696" s="16" t="n">
        <v>0</v>
      </c>
      <c r="R696" s="5" t="inlineStr">
        <is>
          <t>203-2022-12-31</t>
        </is>
      </c>
    </row>
    <row r="697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143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95</v>
      </c>
      <c r="K697" s="123" t="n">
        <v>104.63235542785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inlineStr">
        <is>
          <t>$</t>
        </is>
      </c>
      <c r="O697" s="5" t="inlineStr">
        <is>
          <t>$</t>
        </is>
      </c>
      <c r="P697" s="16" t="n">
        <v>0</v>
      </c>
      <c r="Q697" s="16" t="n">
        <v>0</v>
      </c>
      <c r="R697" s="5" t="inlineStr">
        <is>
          <t>203-2023-06-30</t>
        </is>
      </c>
    </row>
    <row r="698">
      <c r="A698" s="26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144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95</v>
      </c>
      <c r="K698" s="123" t="n">
        <v>103.36740380481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inlineStr">
        <is>
          <t>$</t>
        </is>
      </c>
      <c r="O698" s="5" t="inlineStr">
        <is>
          <t>$</t>
        </is>
      </c>
      <c r="P698" s="16" t="n">
        <v>0</v>
      </c>
      <c r="Q698" s="16" t="n">
        <v>0</v>
      </c>
      <c r="R698" s="5" t="inlineStr">
        <is>
          <t>203-2023-12-31</t>
        </is>
      </c>
    </row>
    <row r="699">
      <c r="A699" s="26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144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23" t="n">
        <v>102.01</v>
      </c>
      <c r="L699" s="28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inlineStr">
        <is>
          <t>$</t>
        </is>
      </c>
      <c r="O699" s="5" t="inlineStr">
        <is>
          <t>$</t>
        </is>
      </c>
      <c r="P699" s="16" t="n">
        <v>0</v>
      </c>
      <c r="Q699" s="16" t="n">
        <v>0</v>
      </c>
      <c r="R699" s="5" t="inlineStr">
        <is>
          <t>203-2024-06-30</t>
        </is>
      </c>
    </row>
    <row r="700">
      <c r="A700" s="26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144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95</v>
      </c>
      <c r="K700" s="123" t="n">
        <v>102.84</v>
      </c>
      <c r="L700" s="28">
        <f>IFERROR(IF(OR(J700=0,K700=""),"",IF(E700="Positivo",MIN(MAX(K700/J700,0),1.3),MIN(MAX(J700/K700,0),1.3))),"") </f>
        <v/>
      </c>
      <c r="M700" s="28">
        <f>IFERROR(IF(OR(J700=0,K700=""),"",IF(E700="Positivo",MAX(K700/J700,0),MAX(J700/K700,0))),"") </f>
        <v/>
      </c>
      <c r="N700" s="5" t="inlineStr">
        <is>
          <t>$</t>
        </is>
      </c>
      <c r="O700" s="5" t="inlineStr">
        <is>
          <t>$</t>
        </is>
      </c>
      <c r="P700" s="16" t="n">
        <v>0</v>
      </c>
      <c r="Q700" s="16" t="n">
        <v>0</v>
      </c>
      <c r="R700" s="5" t="inlineStr">
        <is>
          <t>203-2024-12-31</t>
        </is>
      </c>
    </row>
    <row r="701">
      <c r="A701" s="26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Semestral</t>
        </is>
      </c>
      <c r="E701" s="5" t="inlineStr">
        <is>
          <t>Positivo</t>
        </is>
      </c>
      <c r="F701" s="144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95</v>
      </c>
      <c r="K701" s="123" t="n">
        <v>111.77</v>
      </c>
      <c r="L701" s="28">
        <f>IFERROR(IF(OR(J701=0,K701=""),"",IF(E701="Positivo",MIN(MAX(K701/J701,0),1.3),MIN(MAX(J701/K701,0),1.3))),"") </f>
        <v/>
      </c>
      <c r="M701" s="28">
        <f>IFERROR(IF(OR(J701=0,K701=""),"",IF(E701="Positivo",MAX(K701/J701,0),MAX(J701/K701,0))),"") </f>
        <v/>
      </c>
      <c r="N701" s="5" t="inlineStr">
        <is>
          <t>$</t>
        </is>
      </c>
      <c r="O701" s="5" t="inlineStr">
        <is>
          <t>$</t>
        </is>
      </c>
      <c r="P701" s="16" t="n">
        <v>0</v>
      </c>
      <c r="Q701" s="16" t="n">
        <v>0</v>
      </c>
      <c r="R701" s="5" t="inlineStr">
        <is>
          <t>203-2025-06-30</t>
        </is>
      </c>
    </row>
    <row r="702">
      <c r="A702" s="26" t="n">
        <v>203</v>
      </c>
      <c r="B702" s="5" t="inlineStr">
        <is>
          <t>Cumplimiento de Ingresos</t>
        </is>
      </c>
      <c r="C702" s="5" t="inlineStr">
        <is>
          <t>Planeación Financiera</t>
        </is>
      </c>
      <c r="D702" s="5" t="inlineStr">
        <is>
          <t>Trimestral</t>
        </is>
      </c>
      <c r="E702" s="5" t="inlineStr">
        <is>
          <t>Positivo</t>
        </is>
      </c>
      <c r="F702" s="144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95</v>
      </c>
      <c r="K702" s="123" t="n">
        <v>111.33</v>
      </c>
      <c r="L702" s="28">
        <f>IFERROR(IF(OR(J702=0,K702=""),"",IF(E702="Positivo",MIN(MAX(K702/J702,0),1.3),MIN(MAX(J702/K702,0),1.3))),"") </f>
        <v/>
      </c>
      <c r="M702" s="28">
        <f>IFERROR(IF(OR(J702=0,K702=""),"",IF(E702="Positivo",MAX(K702/J702,0),MAX(J702/K702,0))),"") </f>
        <v/>
      </c>
      <c r="N702" s="5" t="inlineStr">
        <is>
          <t>$</t>
        </is>
      </c>
      <c r="O702" s="5" t="inlineStr">
        <is>
          <t>$</t>
        </is>
      </c>
      <c r="P702" s="16" t="n">
        <v>0</v>
      </c>
      <c r="Q702" s="16" t="n">
        <v>0</v>
      </c>
      <c r="R702" s="5" t="inlineStr">
        <is>
          <t>203-2025-12-31</t>
        </is>
      </c>
    </row>
    <row r="703">
      <c r="A703" s="26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144" t="n">
        <v>44742</v>
      </c>
      <c r="G703" s="5" t="n">
        <v>2022</v>
      </c>
      <c r="H703" s="5" t="inlineStr">
        <is>
          <t>Junio</t>
        </is>
      </c>
      <c r="I703" s="6" t="inlineStr">
        <is>
          <t>2022-1</t>
        </is>
      </c>
      <c r="J703" s="5" t="n">
        <v>58804</v>
      </c>
      <c r="K703" s="123" t="n">
        <v>37101</v>
      </c>
      <c r="L703" s="28">
        <f>IFERROR(IF(OR(J703=0,K703=""),"",IF(E703="Positivo",MIN(MAX(K703/J703,0),1.3),MIN(MAX(J703/K703,0),1.3))),"") </f>
        <v/>
      </c>
      <c r="M703" s="28">
        <f>IFERROR(IF(OR(J703=0,K703=""),"",IF(E703="Positivo",MAX(K703/J703,0),MAX(J703/K703,0))),"") </f>
        <v/>
      </c>
      <c r="N703" s="5" t="inlineStr">
        <is>
          <t>$</t>
        </is>
      </c>
      <c r="O703" s="5" t="inlineStr">
        <is>
          <t>$</t>
        </is>
      </c>
      <c r="P703" s="16" t="n">
        <v>0</v>
      </c>
      <c r="Q703" s="16" t="n">
        <v>0</v>
      </c>
      <c r="R703" s="5" t="inlineStr">
        <is>
          <t>204-2022-06-30</t>
        </is>
      </c>
    </row>
    <row r="704">
      <c r="A704" s="26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144" t="n">
        <v>44925</v>
      </c>
      <c r="G704" s="5" t="n">
        <v>2022</v>
      </c>
      <c r="H704" s="5" t="inlineStr">
        <is>
          <t>Diciembre</t>
        </is>
      </c>
      <c r="I704" s="6" t="inlineStr">
        <is>
          <t>2022-2</t>
        </is>
      </c>
      <c r="J704" s="5" t="n">
        <v>82987</v>
      </c>
      <c r="K704" s="123" t="n">
        <v>18386</v>
      </c>
      <c r="L704" s="28">
        <f>IFERROR(IF(OR(J704=0,K704=""),"",IF(E704="Positivo",MIN(MAX(K704/J704,0),1.3),MIN(MAX(J704/K704,0),1.3))),"") </f>
        <v/>
      </c>
      <c r="M704" s="28">
        <f>IFERROR(IF(OR(J704=0,K704=""),"",IF(E704="Positivo",MAX(K704/J704,0),MAX(J704/K704,0))),"") </f>
        <v/>
      </c>
      <c r="N704" s="5" t="inlineStr">
        <is>
          <t>$</t>
        </is>
      </c>
      <c r="O704" s="5" t="inlineStr">
        <is>
          <t>$</t>
        </is>
      </c>
      <c r="P704" s="16" t="n">
        <v>0</v>
      </c>
      <c r="Q704" s="16" t="n">
        <v>0</v>
      </c>
      <c r="R704" s="5" t="inlineStr">
        <is>
          <t>204-2022-12-30</t>
        </is>
      </c>
    </row>
    <row r="705">
      <c r="A705" s="39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144" t="n">
        <v>45107</v>
      </c>
      <c r="G705" s="5" t="n">
        <v>2023</v>
      </c>
      <c r="H705" s="5" t="inlineStr">
        <is>
          <t>Junio</t>
        </is>
      </c>
      <c r="I705" s="6" t="inlineStr">
        <is>
          <t>2023-1</t>
        </is>
      </c>
      <c r="J705" s="5" t="n">
        <v>95</v>
      </c>
      <c r="K705" s="123" t="n">
        <v>194.75668793403</v>
      </c>
      <c r="L705" s="28">
        <f>IFERROR(IF(OR(J705=0,K705=""),"",IF(E705="Positivo",MIN(MAX(K705/J705,0),1.3),MIN(MAX(J705/K705,0),1.3))),"") </f>
        <v/>
      </c>
      <c r="M705" s="28">
        <f>IFERROR(IF(OR(J705=0,K705=""),"",IF(E705="Positivo",MAX(K705/J705,0),MAX(J705/K705,0))),"") </f>
        <v/>
      </c>
      <c r="N705" s="5" t="inlineStr">
        <is>
          <t>$</t>
        </is>
      </c>
      <c r="O705" s="5" t="inlineStr">
        <is>
          <t>$</t>
        </is>
      </c>
      <c r="P705" s="16" t="n">
        <v>0</v>
      </c>
      <c r="Q705" s="16" t="n">
        <v>0</v>
      </c>
      <c r="R705" s="5" t="inlineStr">
        <is>
          <t>204-2023-06-30</t>
        </is>
      </c>
    </row>
    <row r="706">
      <c r="A706" s="39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144" t="n">
        <v>45291</v>
      </c>
      <c r="G706" s="5" t="n">
        <v>2023</v>
      </c>
      <c r="H706" s="5" t="inlineStr">
        <is>
          <t>Diciembre</t>
        </is>
      </c>
      <c r="I706" s="6" t="inlineStr">
        <is>
          <t>2023-2</t>
        </is>
      </c>
      <c r="J706" s="5" t="n">
        <v>95</v>
      </c>
      <c r="K706" s="123" t="n">
        <v>162.37</v>
      </c>
      <c r="L706" s="28">
        <f>IFERROR(IF(OR(J706=0,K706=""),"",IF(E706="Positivo",MIN(MAX(K706/J706,0),1.3),MIN(MAX(J706/K706,0),1.3))),"") </f>
        <v/>
      </c>
      <c r="M706" s="28">
        <f>IFERROR(IF(OR(J706=0,K706=""),"",IF(E706="Positivo",MAX(K706/J706,0),MAX(J706/K706,0))),"") </f>
        <v/>
      </c>
      <c r="N706" s="5" t="inlineStr">
        <is>
          <t>$</t>
        </is>
      </c>
      <c r="O706" s="5" t="inlineStr">
        <is>
          <t>$</t>
        </is>
      </c>
      <c r="P706" s="16" t="n">
        <v>0</v>
      </c>
      <c r="Q706" s="16" t="n">
        <v>0</v>
      </c>
      <c r="R706" s="5" t="inlineStr">
        <is>
          <t>204-2023-12-31</t>
        </is>
      </c>
    </row>
    <row r="707">
      <c r="A707" s="39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44" t="n">
        <v>45473</v>
      </c>
      <c r="G707" s="5" t="n">
        <v>2024</v>
      </c>
      <c r="H707" s="5" t="inlineStr">
        <is>
          <t>Junio</t>
        </is>
      </c>
      <c r="I707" s="6" t="inlineStr">
        <is>
          <t>2024-1</t>
        </is>
      </c>
      <c r="J707" s="5" t="n">
        <v>95</v>
      </c>
      <c r="K707" s="123" t="n">
        <v>133.55</v>
      </c>
      <c r="L707" s="28">
        <f>IFERROR(IF(OR(J707=0,K707=""),"",IF(E707="Positivo",MIN(MAX(K707/J707,0),1.3),MIN(MAX(J707/K707,0),1.3))),"") </f>
        <v/>
      </c>
      <c r="M707" s="28">
        <f>IFERROR(IF(OR(J707=0,K707=""),"",IF(E707="Positivo",MAX(K707/J707,0),MAX(J707/K707,0))),"") </f>
        <v/>
      </c>
      <c r="N707" s="5" t="inlineStr">
        <is>
          <t>$</t>
        </is>
      </c>
      <c r="O707" s="5" t="inlineStr">
        <is>
          <t>$</t>
        </is>
      </c>
      <c r="P707" s="16" t="n">
        <v>0</v>
      </c>
      <c r="Q707" s="16" t="n">
        <v>0</v>
      </c>
      <c r="R707" s="5" t="inlineStr">
        <is>
          <t>204-2024-06-30</t>
        </is>
      </c>
    </row>
    <row r="708">
      <c r="A708" s="26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44" t="n">
        <v>45657</v>
      </c>
      <c r="G708" s="5" t="n">
        <v>2024</v>
      </c>
      <c r="H708" s="5" t="inlineStr">
        <is>
          <t>Diciembre</t>
        </is>
      </c>
      <c r="I708" s="6" t="inlineStr">
        <is>
          <t>2024-2</t>
        </is>
      </c>
      <c r="J708" s="5" t="n">
        <v>95</v>
      </c>
      <c r="K708" s="10" t="n">
        <v>144.53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inlineStr">
        <is>
          <t>$</t>
        </is>
      </c>
      <c r="O708" s="5" t="inlineStr">
        <is>
          <t>$</t>
        </is>
      </c>
      <c r="P708" s="16" t="n">
        <v>0</v>
      </c>
      <c r="Q708" s="16" t="n">
        <v>0</v>
      </c>
      <c r="R708" s="5" t="inlineStr">
        <is>
          <t>204-2024-12-31</t>
        </is>
      </c>
    </row>
    <row r="709">
      <c r="A709" s="26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43" t="n">
        <v>45838</v>
      </c>
      <c r="G709" s="5" t="n">
        <v>2025</v>
      </c>
      <c r="H709" s="5" t="inlineStr">
        <is>
          <t>Junio</t>
        </is>
      </c>
      <c r="I709" s="6" t="inlineStr">
        <is>
          <t>2025-1</t>
        </is>
      </c>
      <c r="J709" s="5" t="n">
        <v>95</v>
      </c>
      <c r="K709" s="123" t="n">
        <v>86.89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inlineStr">
        <is>
          <t>$</t>
        </is>
      </c>
      <c r="O709" s="5" t="inlineStr">
        <is>
          <t>$</t>
        </is>
      </c>
      <c r="P709" s="16" t="n">
        <v>0</v>
      </c>
      <c r="Q709" s="16" t="n">
        <v>0</v>
      </c>
      <c r="R709" s="5" t="inlineStr">
        <is>
          <t>204-2025-06-30</t>
        </is>
      </c>
    </row>
    <row r="710">
      <c r="A710" s="39" t="n">
        <v>204</v>
      </c>
      <c r="B710" s="5" t="inlineStr">
        <is>
          <t>Caja</t>
        </is>
      </c>
      <c r="C710" s="5" t="inlineStr">
        <is>
          <t>Planeación Financiera</t>
        </is>
      </c>
      <c r="D710" s="5" t="inlineStr">
        <is>
          <t>Trimestral</t>
        </is>
      </c>
      <c r="E710" s="5" t="inlineStr">
        <is>
          <t>Positivo</t>
        </is>
      </c>
      <c r="F710" s="144" t="n">
        <v>46022</v>
      </c>
      <c r="G710" s="5" t="n">
        <v>2025</v>
      </c>
      <c r="H710" s="5" t="inlineStr">
        <is>
          <t>Diciembre</t>
        </is>
      </c>
      <c r="I710" s="6" t="inlineStr">
        <is>
          <t>2025-2</t>
        </is>
      </c>
      <c r="J710" s="5" t="n">
        <v>95</v>
      </c>
      <c r="K710" s="123" t="n">
        <v>152.24</v>
      </c>
      <c r="L710" s="28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inlineStr">
        <is>
          <t>$</t>
        </is>
      </c>
      <c r="O710" s="5" t="inlineStr">
        <is>
          <t>$</t>
        </is>
      </c>
      <c r="P710" s="16" t="n">
        <v>0</v>
      </c>
      <c r="Q710" s="16" t="n">
        <v>0</v>
      </c>
      <c r="R710" s="5" t="inlineStr">
        <is>
          <t>204-2025-12-31</t>
        </is>
      </c>
    </row>
    <row r="711">
      <c r="A711" s="26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43" t="n">
        <v>44926</v>
      </c>
      <c r="G711" s="5" t="n">
        <v>2022</v>
      </c>
      <c r="H711" s="5" t="inlineStr">
        <is>
          <t>Diciembre</t>
        </is>
      </c>
      <c r="I711" s="6" t="inlineStr">
        <is>
          <t>2022-2</t>
        </is>
      </c>
      <c r="J711" s="5" t="n">
        <v>2605</v>
      </c>
      <c r="K711" s="123" t="n">
        <v>2605</v>
      </c>
      <c r="L711" s="28">
        <f>IFERROR(IF(OR(J711=0,K711=""),"",IF(E711="Positivo",MIN(MAX(K711/J711,0),1.3),MIN(MAX(J711/K711,0),1.3))),"") </f>
        <v/>
      </c>
      <c r="M711" s="28">
        <f>IFERROR(IF(OR(J711=0,K711=""),"",IF(E711="Positivo",MAX(K711/J711,0),MAX(J711/K711,0))),"") </f>
        <v/>
      </c>
      <c r="N711" s="5" t="inlineStr">
        <is>
          <t>$</t>
        </is>
      </c>
      <c r="O711" s="5" t="inlineStr">
        <is>
          <t>$</t>
        </is>
      </c>
      <c r="P711" s="16" t="n">
        <v>0</v>
      </c>
      <c r="Q711" s="16" t="n">
        <v>0</v>
      </c>
      <c r="R711" s="5" t="inlineStr">
        <is>
          <t>205-2022-12-31</t>
        </is>
      </c>
    </row>
    <row r="712">
      <c r="A712" s="26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44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95</v>
      </c>
      <c r="K712" s="10" t="n">
        <v>165.42728645151</v>
      </c>
      <c r="L712" s="28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16" t="n">
        <v>0</v>
      </c>
      <c r="Q712" s="16" t="n">
        <v>0</v>
      </c>
      <c r="R712" s="5" t="inlineStr">
        <is>
          <t>205-2023-06-30</t>
        </is>
      </c>
    </row>
    <row r="713">
      <c r="A713" s="39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44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95</v>
      </c>
      <c r="K713" s="123" t="n">
        <v>426.51</v>
      </c>
      <c r="L713" s="28">
        <f>IFERROR(IF(OR(J713=0,K713=""),"",IF(E713="Positivo",MIN(MAX(K713/J713,0),1.3),MIN(MAX(J713/K713,0),1.3))),"") </f>
        <v/>
      </c>
      <c r="M713" s="28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6" t="n">
        <v>0</v>
      </c>
      <c r="Q713" s="16" t="n">
        <v>0</v>
      </c>
      <c r="R713" s="5" t="inlineStr">
        <is>
          <t>205-2023-12-31</t>
        </is>
      </c>
    </row>
    <row r="714">
      <c r="A714" s="5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44" t="n">
        <v>45473</v>
      </c>
      <c r="G714" s="5" t="n">
        <v>2024</v>
      </c>
      <c r="H714" s="5" t="inlineStr">
        <is>
          <t>Junio</t>
        </is>
      </c>
      <c r="I714" s="6" t="inlineStr">
        <is>
          <t>2024-1</t>
        </is>
      </c>
      <c r="J714" s="5" t="n">
        <v>95</v>
      </c>
      <c r="K714" s="5" t="n">
        <v>215.07</v>
      </c>
      <c r="L714" s="28">
        <f>IFERROR(IF(OR(J714=0,K714=""),"",IF(E714="Positivo",MIN(MAX(K714/J714,0),1.3),MIN(MAX(J714/K714,0),1.3))),"") </f>
        <v/>
      </c>
      <c r="M714" s="28">
        <f>IFERROR(IF(OR(J714=0,K714=""),"",IF(E714="Positivo",MAX(K714/J714,0),MAX(J714/K714,0))),"") </f>
        <v/>
      </c>
      <c r="N714" s="5" t="inlineStr">
        <is>
          <t>$</t>
        </is>
      </c>
      <c r="O714" s="5" t="inlineStr">
        <is>
          <t>$</t>
        </is>
      </c>
      <c r="P714" s="5" t="n">
        <v>0</v>
      </c>
      <c r="Q714" s="5" t="n">
        <v>0</v>
      </c>
      <c r="R714" s="5" t="inlineStr">
        <is>
          <t>205-2024-06-30</t>
        </is>
      </c>
    </row>
    <row r="715">
      <c r="A715" s="26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44" t="n">
        <v>45657</v>
      </c>
      <c r="G715" s="5" t="n">
        <v>2024</v>
      </c>
      <c r="H715" s="5" t="inlineStr">
        <is>
          <t>Diciembre</t>
        </is>
      </c>
      <c r="I715" s="6" t="inlineStr">
        <is>
          <t>2024-2</t>
        </is>
      </c>
      <c r="J715" s="5" t="n">
        <v>95</v>
      </c>
      <c r="K715" s="10" t="n">
        <v>184.72</v>
      </c>
      <c r="L715" s="28">
        <f>IFERROR(IF(OR(J715=0,K715=""),"",IF(E715="Positivo",MIN(MAX(K715/J715,0),1.3),MIN(MAX(J715/K715,0),1.3))),"") </f>
        <v/>
      </c>
      <c r="M715" s="28">
        <f>IFERROR(IF(OR(J715=0,K715=""),"",IF(E715="Positivo",MAX(K715/J715,0),MAX(J715/K715,0))),"") </f>
        <v/>
      </c>
      <c r="N715" s="5" t="inlineStr">
        <is>
          <t>$</t>
        </is>
      </c>
      <c r="O715" s="5" t="inlineStr">
        <is>
          <t>$</t>
        </is>
      </c>
      <c r="P715" s="16" t="n">
        <v>0</v>
      </c>
      <c r="Q715" s="16" t="n">
        <v>0</v>
      </c>
      <c r="R715" s="5" t="inlineStr">
        <is>
          <t>205-2024-12-31</t>
        </is>
      </c>
    </row>
    <row r="716">
      <c r="A716" s="26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44" t="n">
        <v>45838</v>
      </c>
      <c r="G716" s="5" t="n">
        <v>2025</v>
      </c>
      <c r="H716" s="5" t="inlineStr">
        <is>
          <t>Junio</t>
        </is>
      </c>
      <c r="I716" s="6" t="inlineStr">
        <is>
          <t>2025-1</t>
        </is>
      </c>
      <c r="J716" s="5" t="n">
        <v>95</v>
      </c>
      <c r="K716" s="123" t="n">
        <v>186.31</v>
      </c>
      <c r="L716" s="28">
        <f>IFERROR(IF(OR(J716=0,K716=""),"",IF(E716="Positivo",MIN(MAX(K716/J716,0),1.3),MIN(MAX(J716/K716,0),1.3))),"") </f>
        <v/>
      </c>
      <c r="M716" s="28">
        <f>IFERROR(IF(OR(J716=0,K716=""),"",IF(E716="Positivo",MAX(K716/J716,0),MAX(J716/K716,0))),"") </f>
        <v/>
      </c>
      <c r="N716" s="5" t="inlineStr">
        <is>
          <t>$</t>
        </is>
      </c>
      <c r="O716" s="11" t="inlineStr">
        <is>
          <t>$</t>
        </is>
      </c>
      <c r="P716" s="16" t="n">
        <v>0</v>
      </c>
      <c r="Q716" s="16" t="n">
        <v>0</v>
      </c>
      <c r="R716" s="5" t="inlineStr">
        <is>
          <t>205-2025-06-30</t>
        </is>
      </c>
    </row>
    <row r="717">
      <c r="A717" s="26" t="n">
        <v>205</v>
      </c>
      <c r="B717" s="5" t="inlineStr">
        <is>
          <t>Utilidad Neta</t>
        </is>
      </c>
      <c r="C717" s="5" t="inlineStr">
        <is>
          <t>Planeación Financiera</t>
        </is>
      </c>
      <c r="D717" s="5" t="inlineStr">
        <is>
          <t>Trimestral</t>
        </is>
      </c>
      <c r="E717" s="5" t="inlineStr">
        <is>
          <t>Positivo</t>
        </is>
      </c>
      <c r="F717" s="143" t="n">
        <v>46022</v>
      </c>
      <c r="G717" s="5" t="n">
        <v>2025</v>
      </c>
      <c r="H717" s="5" t="inlineStr">
        <is>
          <t>Diciembre</t>
        </is>
      </c>
      <c r="I717" s="6" t="inlineStr">
        <is>
          <t>2025-2</t>
        </is>
      </c>
      <c r="J717" s="5" t="n">
        <v>95</v>
      </c>
      <c r="K717" s="123" t="n">
        <v>123.05</v>
      </c>
      <c r="L717" s="28">
        <f>IFERROR(IF(OR(J717=0,K717=""),"",IF(E717="Positivo",MIN(MAX(K717/J717,0),1.3),MIN(MAX(J717/K717,0),1.3))),"") </f>
        <v/>
      </c>
      <c r="M717" s="28">
        <f>IFERROR(IF(OR(J717=0,K717=""),"",IF(E717="Positivo",MAX(K717/J717,0),MAX(J717/K717,0))),"") </f>
        <v/>
      </c>
      <c r="N717" s="5" t="inlineStr">
        <is>
          <t>$</t>
        </is>
      </c>
      <c r="O717" s="11" t="inlineStr">
        <is>
          <t>$</t>
        </is>
      </c>
      <c r="P717" s="16" t="n">
        <v>0</v>
      </c>
      <c r="Q717" s="16" t="n">
        <v>0</v>
      </c>
      <c r="R717" s="5" t="inlineStr">
        <is>
          <t>205-2025-12-31</t>
        </is>
      </c>
    </row>
    <row r="718">
      <c r="A718" s="26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44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1</v>
      </c>
      <c r="K718" s="123" t="n">
        <v>1.2336951835584</v>
      </c>
      <c r="L718" s="28">
        <f>IFERROR(IF(OR(J718=0,K718=""),"",IF(E718="Positivo",MIN(MAX(K718/J718,0),1.3),MIN(MAX(J718/K718,0),1.3))),"") </f>
        <v/>
      </c>
      <c r="M718" s="28">
        <f>IFERROR(IF(OR(J718=0,K718=""),"",IF(E718="Positivo",MAX(K718/J718,0),MAX(J718/K718,0))),"") </f>
        <v/>
      </c>
      <c r="N718" s="5" t="inlineStr">
        <is>
          <t>$</t>
        </is>
      </c>
      <c r="O718" s="11" t="inlineStr">
        <is>
          <t>$</t>
        </is>
      </c>
      <c r="P718" s="16" t="n">
        <v>0</v>
      </c>
      <c r="Q718" s="16" t="n">
        <v>0</v>
      </c>
      <c r="R718" s="5" t="inlineStr">
        <is>
          <t>206-2023-06-30</t>
        </is>
      </c>
    </row>
    <row r="719">
      <c r="A719" s="26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44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1</v>
      </c>
      <c r="K719" s="123" t="n">
        <v>4.606790289121734</v>
      </c>
      <c r="L719" s="28">
        <f>IFERROR(IF(OR(J719=0,K719=""),"",IF(E719="Positivo",MIN(MAX(K719/J719,0),1.3),MIN(MAX(J719/K719,0),1.3))),"") </f>
        <v/>
      </c>
      <c r="M719" s="28">
        <f>IFERROR(IF(OR(J719=0,K719=""),"",IF(E719="Positivo",MAX(K719/J719,0),MAX(J719/K719,0))),"") </f>
        <v/>
      </c>
      <c r="N719" s="5" t="inlineStr">
        <is>
          <t>$</t>
        </is>
      </c>
      <c r="O719" s="11" t="inlineStr">
        <is>
          <t>$</t>
        </is>
      </c>
      <c r="P719" s="16" t="n">
        <v>0</v>
      </c>
      <c r="Q719" s="16" t="n">
        <v>0</v>
      </c>
      <c r="R719" s="5" t="inlineStr">
        <is>
          <t>206-2023-12-31</t>
        </is>
      </c>
    </row>
    <row r="720">
      <c r="A720" s="26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144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1</v>
      </c>
      <c r="K720" s="123" t="n">
        <v>1.37</v>
      </c>
      <c r="L720" s="28">
        <f>IFERROR(IF(OR(J720=0,K720=""),"",IF(E720="Positivo",MIN(MAX(K720/J720,0),1.3),MIN(MAX(J720/K720,0),1.3))),"") </f>
        <v/>
      </c>
      <c r="M720" s="28">
        <f>IFERROR(IF(OR(J720=0,K720=""),"",IF(E720="Positivo",MAX(K720/J720,0),MAX(J720/K720,0))),"") </f>
        <v/>
      </c>
      <c r="N720" s="5" t="inlineStr">
        <is>
          <t>$</t>
        </is>
      </c>
      <c r="O720" s="11" t="inlineStr">
        <is>
          <t>$</t>
        </is>
      </c>
      <c r="P720" s="16" t="n">
        <v>0</v>
      </c>
      <c r="Q720" s="16" t="n">
        <v>0</v>
      </c>
      <c r="R720" s="5" t="inlineStr">
        <is>
          <t>206-2024-12-31</t>
        </is>
      </c>
    </row>
    <row r="721">
      <c r="A721" s="26" t="n">
        <v>206</v>
      </c>
      <c r="B721" s="5" t="inlineStr">
        <is>
          <t>Inversión en CAPEX de la utilidad anterior</t>
        </is>
      </c>
      <c r="C721" s="5" t="inlineStr">
        <is>
          <t>Planeación Financiera</t>
        </is>
      </c>
      <c r="D721" s="5" t="inlineStr">
        <is>
          <t>Anual</t>
        </is>
      </c>
      <c r="E721" s="5" t="inlineStr">
        <is>
          <t>Positivo</t>
        </is>
      </c>
      <c r="F721" s="144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</v>
      </c>
      <c r="K721" s="123" t="n">
        <v>2.14</v>
      </c>
      <c r="L721" s="28">
        <f>IFERROR(IF(OR(J721=0,K721=""),"",IF(E721="Positivo",MIN(MAX(K721/J721,0),1.3),MIN(MAX(J721/K721,0),1.3))),"") </f>
        <v/>
      </c>
      <c r="M721" s="28">
        <f>IFERROR(IF(OR(J721=0,K721=""),"",IF(E721="Positivo",MAX(K721/J721,0),MAX(J721/K721,0))),"") </f>
        <v/>
      </c>
      <c r="N721" s="5" t="inlineStr">
        <is>
          <t>%</t>
        </is>
      </c>
      <c r="O721" s="11" t="inlineStr">
        <is>
          <t>%</t>
        </is>
      </c>
      <c r="P721" s="16" t="n">
        <v>0</v>
      </c>
      <c r="Q721" s="16" t="n">
        <v>2</v>
      </c>
      <c r="R721" s="5" t="inlineStr">
        <is>
          <t>206-2025-12-31</t>
        </is>
      </c>
    </row>
    <row r="722">
      <c r="A722" s="26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144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123" t="n">
        <v>101.19882903781</v>
      </c>
      <c r="L722" s="28">
        <f>IFERROR(IF(OR(J722=0,K722=""),"",IF(E722="Positivo",MIN(MAX(K722/J722,0),1.3),MIN(MAX(J722/K722,0),1.3))),"") </f>
        <v/>
      </c>
      <c r="M722" s="28">
        <f>IFERROR(IF(OR(J722=0,K722=""),"",IF(E722="Positivo",MAX(K722/J722,0),MAX(J722/K722,0))),"") </f>
        <v/>
      </c>
      <c r="N722" s="5" t="inlineStr">
        <is>
          <t>$</t>
        </is>
      </c>
      <c r="O722" s="11" t="inlineStr">
        <is>
          <t>$</t>
        </is>
      </c>
      <c r="P722" s="16" t="n">
        <v>0</v>
      </c>
      <c r="Q722" s="16" t="n">
        <v>0</v>
      </c>
      <c r="R722" s="5" t="inlineStr">
        <is>
          <t>207-2023-06-30</t>
        </is>
      </c>
    </row>
    <row r="723">
      <c r="A723" s="26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144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123" t="n">
        <v>103.6</v>
      </c>
      <c r="L723" s="28">
        <f>IFERROR(IF(OR(J723=0,K723=""),"",IF(E723="Positivo",MIN(MAX(K723/J723,0),1.3),MIN(MAX(J723/K723,0),1.3))),"") </f>
        <v/>
      </c>
      <c r="M723" s="28">
        <f>IFERROR(IF(OR(J723=0,K723=""),"",IF(E723="Positivo",MAX(K723/J723,0),MAX(J723/K723,0))),"") </f>
        <v/>
      </c>
      <c r="N723" s="5" t="inlineStr">
        <is>
          <t>$</t>
        </is>
      </c>
      <c r="O723" s="11" t="inlineStr">
        <is>
          <t>$</t>
        </is>
      </c>
      <c r="P723" s="16" t="n">
        <v>0</v>
      </c>
      <c r="Q723" s="16" t="n">
        <v>0</v>
      </c>
      <c r="R723" s="5" t="inlineStr">
        <is>
          <t>207-2023-12-31</t>
        </is>
      </c>
    </row>
    <row r="724">
      <c r="A724" s="26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144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123" t="n">
        <v>101.79</v>
      </c>
      <c r="L724" s="28">
        <f>IFERROR(IF(OR(J724=0,K724=""),"",IF(E724="Positivo",MIN(MAX(K724/J724,0),1.3),MIN(MAX(J724/K724,0),1.3))),"") </f>
        <v/>
      </c>
      <c r="M724" s="28">
        <f>IFERROR(IF(OR(J724=0,K724=""),"",IF(E724="Positivo",MAX(K724/J724,0),MAX(J724/K724,0))),"") </f>
        <v/>
      </c>
      <c r="N724" s="5" t="inlineStr">
        <is>
          <t>$</t>
        </is>
      </c>
      <c r="O724" s="11" t="inlineStr">
        <is>
          <t>$</t>
        </is>
      </c>
      <c r="P724" s="16" t="n">
        <v>0</v>
      </c>
      <c r="Q724" s="16" t="n">
        <v>0</v>
      </c>
      <c r="R724" s="5" t="inlineStr">
        <is>
          <t>207-2024-06-30</t>
        </is>
      </c>
    </row>
    <row r="725">
      <c r="A725" s="39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144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123" t="n">
        <v>102.2</v>
      </c>
      <c r="L725" s="28">
        <f>IFERROR(IF(OR(J725=0,K725=""),"",IF(E725="Positivo",MIN(MAX(K725/J725,0),1.3),MIN(MAX(J725/K725,0),1.3))),"") </f>
        <v/>
      </c>
      <c r="M725" s="28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6" t="n">
        <v>0</v>
      </c>
      <c r="Q725" s="16" t="n">
        <v>0</v>
      </c>
      <c r="R725" s="5" t="inlineStr">
        <is>
          <t>207-2024-12-31</t>
        </is>
      </c>
    </row>
    <row r="726">
      <c r="A726" s="39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Negativo</t>
        </is>
      </c>
      <c r="F726" s="144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5" t="n">
        <v>100</v>
      </c>
      <c r="K726" s="123" t="n">
        <v>110.9</v>
      </c>
      <c r="L726" s="28">
        <f>IFERROR(IF(OR(J726=0,K726=""),"",IF(E726="Positivo",MIN(MAX(K726/J726,0),1.3),MIN(MAX(J726/K726,0),1.3))),"") </f>
        <v/>
      </c>
      <c r="M726" s="28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6" t="n">
        <v>0</v>
      </c>
      <c r="Q726" s="16" t="n">
        <v>0</v>
      </c>
      <c r="R726" s="5" t="inlineStr">
        <is>
          <t>207-2025-06-30</t>
        </is>
      </c>
    </row>
    <row r="727">
      <c r="A727" s="39" t="n">
        <v>207</v>
      </c>
      <c r="B727" s="5" t="inlineStr">
        <is>
          <t>Nivel de Cumplimiento Opex</t>
        </is>
      </c>
      <c r="C727" s="5" t="inlineStr">
        <is>
          <t>Planeación Financiera</t>
        </is>
      </c>
      <c r="D727" s="5" t="inlineStr">
        <is>
          <t>Trimestral</t>
        </is>
      </c>
      <c r="E727" s="5" t="inlineStr">
        <is>
          <t>Negativo</t>
        </is>
      </c>
      <c r="F727" s="144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5" t="n">
        <v>100</v>
      </c>
      <c r="K727" s="123" t="n">
        <v>110.62</v>
      </c>
      <c r="L727" s="28">
        <f>IFERROR(IF(OR(J727=0,K727=""),"",IF(E727="Positivo",MIN(MAX(K727/J727,0),1.3),MIN(MAX(J727/K727,0),1.3))),"") </f>
        <v/>
      </c>
      <c r="M727" s="28">
        <f>IFERROR(IF(OR(J727=0,K727=""),"",IF(E727="Positivo",MAX(K727/J727,0),MAX(J727/K727,0))),"") </f>
        <v/>
      </c>
      <c r="N727" s="5" t="inlineStr">
        <is>
          <t>$</t>
        </is>
      </c>
      <c r="O727" s="5" t="inlineStr">
        <is>
          <t>$</t>
        </is>
      </c>
      <c r="P727" s="16" t="n">
        <v>0</v>
      </c>
      <c r="Q727" s="16" t="n">
        <v>0</v>
      </c>
      <c r="R727" s="5" t="inlineStr">
        <is>
          <t>207-2025-12-31</t>
        </is>
      </c>
    </row>
    <row r="728">
      <c r="A728" s="43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44" t="n">
        <v>44592</v>
      </c>
      <c r="G728" s="5" t="n">
        <v>2022</v>
      </c>
      <c r="H728" s="5" t="inlineStr">
        <is>
          <t>Enero</t>
        </is>
      </c>
      <c r="I728" s="6" t="inlineStr">
        <is>
          <t>2022-1</t>
        </is>
      </c>
      <c r="J728" s="3" t="n">
        <v>1700</v>
      </c>
      <c r="K728" s="123" t="n">
        <v>654</v>
      </c>
      <c r="L728" s="28">
        <f>IFERROR(IF(OR(J728=0,K728=""),"",IF(E728="Positivo",MIN(MAX(K728/J728,0),1.0),MIN(MAX(J728/K728,0),1.0))),"") </f>
        <v/>
      </c>
      <c r="M728" s="28">
        <f>IFERROR(IF(OR(J728=0,K728=""),"",IF(E728="Positivo",MAX(K728/J728,0),MAX(J728/K728,0))),"") </f>
        <v/>
      </c>
      <c r="N728" s="5" t="inlineStr">
        <is>
          <t>m3</t>
        </is>
      </c>
      <c r="O728" s="5" t="inlineStr">
        <is>
          <t>m3</t>
        </is>
      </c>
      <c r="P728" s="16" t="n">
        <v>0</v>
      </c>
      <c r="Q728" s="16" t="n">
        <v>0</v>
      </c>
      <c r="R728" s="5" t="inlineStr">
        <is>
          <t>208-2022-01-31</t>
        </is>
      </c>
    </row>
    <row r="729">
      <c r="A729" s="39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44" t="n">
        <v>44620</v>
      </c>
      <c r="G729" s="5" t="n">
        <v>2022</v>
      </c>
      <c r="H729" s="5" t="inlineStr">
        <is>
          <t>Febrero</t>
        </is>
      </c>
      <c r="I729" s="6" t="inlineStr">
        <is>
          <t>2022-1</t>
        </is>
      </c>
      <c r="J729" s="3" t="n">
        <v>1700</v>
      </c>
      <c r="K729" s="123" t="n">
        <v>915.5</v>
      </c>
      <c r="L729" s="28">
        <f>IFERROR(IF(OR(J729=0,K729=""),"",IF(E729="Positivo",MIN(MAX(K729/J729,0),1.0),MIN(MAX(J729/K729,0),1.0))),"") </f>
        <v/>
      </c>
      <c r="M729" s="28">
        <f>IFERROR(IF(OR(J729=0,K729=""),"",IF(E729="Positivo",MAX(K729/J729,0),MAX(J729/K729,0))),"") </f>
        <v/>
      </c>
      <c r="N729" s="5" t="inlineStr">
        <is>
          <t>m3</t>
        </is>
      </c>
      <c r="O729" s="5" t="inlineStr">
        <is>
          <t>m3</t>
        </is>
      </c>
      <c r="P729" s="16" t="n">
        <v>0</v>
      </c>
      <c r="Q729" s="16" t="n">
        <v>0</v>
      </c>
      <c r="R729" s="5" t="inlineStr">
        <is>
          <t>208-2022-02-28</t>
        </is>
      </c>
    </row>
    <row r="730">
      <c r="A730" s="43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44" t="n">
        <v>44651</v>
      </c>
      <c r="G730" s="5" t="n">
        <v>2022</v>
      </c>
      <c r="H730" s="5" t="inlineStr">
        <is>
          <t>Marzo</t>
        </is>
      </c>
      <c r="I730" s="6" t="inlineStr">
        <is>
          <t>2022-1</t>
        </is>
      </c>
      <c r="J730" s="5" t="n">
        <v>1700</v>
      </c>
      <c r="K730" s="123" t="n">
        <v>782.5</v>
      </c>
      <c r="L730" s="28">
        <f>IFERROR(IF(OR(J730=0,K730=""),"",IF(E730="Positivo",MIN(MAX(K730/J730,0),1.0),MIN(MAX(J730/K730,0),1.0))),"") </f>
        <v/>
      </c>
      <c r="M730" s="28">
        <f>IFERROR(IF(OR(J730=0,K730=""),"",IF(E730="Positivo",MAX(K730/J730,0),MAX(J730/K730,0))),"") </f>
        <v/>
      </c>
      <c r="N730" s="5" t="inlineStr">
        <is>
          <t>m3</t>
        </is>
      </c>
      <c r="O730" s="5" t="inlineStr">
        <is>
          <t>m3</t>
        </is>
      </c>
      <c r="P730" s="16" t="n">
        <v>0</v>
      </c>
      <c r="Q730" s="16" t="n">
        <v>0</v>
      </c>
      <c r="R730" s="5" t="inlineStr">
        <is>
          <t>208-2022-03-31</t>
        </is>
      </c>
    </row>
    <row r="731">
      <c r="A731" s="39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44" t="n">
        <v>44681</v>
      </c>
      <c r="G731" s="5" t="n">
        <v>2022</v>
      </c>
      <c r="H731" s="5" t="inlineStr">
        <is>
          <t>Abril</t>
        </is>
      </c>
      <c r="I731" s="6" t="inlineStr">
        <is>
          <t>2022-1</t>
        </is>
      </c>
      <c r="J731" s="5" t="n">
        <v>1700</v>
      </c>
      <c r="K731" s="123" t="n">
        <v>1296</v>
      </c>
      <c r="L731" s="28">
        <f>IFERROR(IF(OR(J731=0,K731=""),"",IF(E731="Positivo",MIN(MAX(K731/J731,0),1.0),MIN(MAX(J731/K731,0),1.0))),"") </f>
        <v/>
      </c>
      <c r="M731" s="28">
        <f>IFERROR(IF(OR(J731=0,K731=""),"",IF(E731="Positivo",MAX(K731/J731,0),MAX(J731/K731,0))),"") </f>
        <v/>
      </c>
      <c r="N731" s="5" t="inlineStr">
        <is>
          <t>m3</t>
        </is>
      </c>
      <c r="O731" s="5" t="inlineStr">
        <is>
          <t>m3</t>
        </is>
      </c>
      <c r="P731" s="16" t="n">
        <v>0</v>
      </c>
      <c r="Q731" s="16" t="n">
        <v>0</v>
      </c>
      <c r="R731" s="5" t="inlineStr">
        <is>
          <t>208-2022-04-30</t>
        </is>
      </c>
    </row>
    <row r="732">
      <c r="A732" s="26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44" t="n">
        <v>44712</v>
      </c>
      <c r="G732" s="5" t="n">
        <v>2022</v>
      </c>
      <c r="H732" s="5" t="inlineStr">
        <is>
          <t>Mayo</t>
        </is>
      </c>
      <c r="I732" s="6" t="inlineStr">
        <is>
          <t>2022-1</t>
        </is>
      </c>
      <c r="J732" s="5" t="n">
        <v>1700</v>
      </c>
      <c r="K732" s="123" t="n">
        <v>1251</v>
      </c>
      <c r="L732" s="28">
        <f>IFERROR(IF(OR(J732=0,K732=""),"",IF(E732="Positivo",MIN(MAX(K732/J732,0),1.0),MIN(MAX(J732/K732,0),1.0))),"") </f>
        <v/>
      </c>
      <c r="M732" s="28">
        <f>IFERROR(IF(OR(J732=0,K732=""),"",IF(E732="Positivo",MAX(K732/J732,0),MAX(J732/K732,0))),"") </f>
        <v/>
      </c>
      <c r="N732" s="5" t="inlineStr">
        <is>
          <t>m3</t>
        </is>
      </c>
      <c r="O732" s="5" t="inlineStr">
        <is>
          <t>m3</t>
        </is>
      </c>
      <c r="P732" s="16" t="n">
        <v>0</v>
      </c>
      <c r="Q732" s="16" t="n">
        <v>0</v>
      </c>
      <c r="R732" s="5" t="inlineStr">
        <is>
          <t>208-2022-05-31</t>
        </is>
      </c>
    </row>
    <row r="733">
      <c r="A733" s="43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44" t="n">
        <v>44742</v>
      </c>
      <c r="G733" s="5" t="n">
        <v>2022</v>
      </c>
      <c r="H733" s="5" t="inlineStr">
        <is>
          <t>Junio</t>
        </is>
      </c>
      <c r="I733" s="6" t="inlineStr">
        <is>
          <t>2022-1</t>
        </is>
      </c>
      <c r="J733" s="5" t="n">
        <v>1700</v>
      </c>
      <c r="K733" s="123" t="n">
        <v>1229.5</v>
      </c>
      <c r="L733" s="28">
        <f>IFERROR(IF(OR(J733=0,K733=""),"",IF(E733="Positivo",MIN(MAX(K733/J733,0),1.0),MIN(MAX(J733/K733,0),1.0))),"") </f>
        <v/>
      </c>
      <c r="M733" s="28">
        <f>IFERROR(IF(OR(J733=0,K733=""),"",IF(E733="Positivo",MAX(K733/J733,0),MAX(J733/K733,0))),"") </f>
        <v/>
      </c>
      <c r="N733" s="5" t="inlineStr">
        <is>
          <t>m3</t>
        </is>
      </c>
      <c r="O733" s="5" t="inlineStr">
        <is>
          <t>m3</t>
        </is>
      </c>
      <c r="P733" s="16" t="n">
        <v>0</v>
      </c>
      <c r="Q733" s="16" t="n">
        <v>0</v>
      </c>
      <c r="R733" s="5" t="inlineStr">
        <is>
          <t>208-2022-06-30</t>
        </is>
      </c>
    </row>
    <row r="734">
      <c r="A734" s="39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44" t="n">
        <v>44773</v>
      </c>
      <c r="G734" s="5" t="n">
        <v>2022</v>
      </c>
      <c r="H734" s="5" t="inlineStr">
        <is>
          <t>Julio</t>
        </is>
      </c>
      <c r="I734" s="6" t="inlineStr">
        <is>
          <t>2022-2</t>
        </is>
      </c>
      <c r="J734" s="5" t="n">
        <v>1700</v>
      </c>
      <c r="K734" s="123" t="n">
        <v>1362.5</v>
      </c>
      <c r="L734" s="28">
        <f>IFERROR(IF(OR(J734=0,K734=""),"",IF(E734="Positivo",MIN(MAX(K734/J734,0),1.0),MIN(MAX(J734/K734,0),1.0))),"") </f>
        <v/>
      </c>
      <c r="M734" s="28">
        <f>IFERROR(IF(OR(J734=0,K734=""),"",IF(E734="Positivo",MAX(K734/J734,0),MAX(J734/K734,0))),"") </f>
        <v/>
      </c>
      <c r="N734" s="5" t="inlineStr">
        <is>
          <t>m3</t>
        </is>
      </c>
      <c r="O734" s="5" t="inlineStr">
        <is>
          <t>m3</t>
        </is>
      </c>
      <c r="P734" s="16" t="n">
        <v>0</v>
      </c>
      <c r="Q734" s="16" t="n">
        <v>0</v>
      </c>
      <c r="R734" s="5" t="inlineStr">
        <is>
          <t>208-2022-07-31</t>
        </is>
      </c>
    </row>
    <row r="735">
      <c r="A735" s="39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44" t="n">
        <v>44804</v>
      </c>
      <c r="G735" s="5" t="n">
        <v>2022</v>
      </c>
      <c r="H735" s="5" t="inlineStr">
        <is>
          <t>Agosto</t>
        </is>
      </c>
      <c r="I735" s="6" t="inlineStr">
        <is>
          <t>2022-2</t>
        </is>
      </c>
      <c r="J735" s="5" t="n">
        <v>1700</v>
      </c>
      <c r="K735" s="123" t="n">
        <v>1328.5</v>
      </c>
      <c r="L735" s="20">
        <f>IFERROR(IF(OR(J735=0,K735=""),"",IF(E735="Positivo",MIN(MAX(K735/J735,0),1.0),MIN(MAX(J735/K735,0),1.0))),"") </f>
        <v/>
      </c>
      <c r="M735" s="28">
        <f>IFERROR(IF(OR(J735=0,K735=""),"",IF(E735="Positivo",MAX(K735/J735,0),MAX(J735/K735,0))),"") </f>
        <v/>
      </c>
      <c r="N735" s="5" t="inlineStr">
        <is>
          <t>m3</t>
        </is>
      </c>
      <c r="O735" s="5" t="inlineStr">
        <is>
          <t>m3</t>
        </is>
      </c>
      <c r="P735" s="16" t="n">
        <v>0</v>
      </c>
      <c r="Q735" s="16" t="n">
        <v>0</v>
      </c>
      <c r="R735" s="5" t="inlineStr">
        <is>
          <t>208-2022-08-31</t>
        </is>
      </c>
    </row>
    <row r="736">
      <c r="A736" s="26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44" t="n">
        <v>44834</v>
      </c>
      <c r="G736" s="5" t="n">
        <v>2022</v>
      </c>
      <c r="H736" s="5" t="inlineStr">
        <is>
          <t>Septiembre</t>
        </is>
      </c>
      <c r="I736" s="6" t="inlineStr">
        <is>
          <t>2022-2</t>
        </is>
      </c>
      <c r="J736" s="5" t="n">
        <v>1700</v>
      </c>
      <c r="K736" s="10" t="n">
        <v>1687.5</v>
      </c>
      <c r="L736" s="28">
        <f>IFERROR(IF(OR(J736=0,K736=""),"",IF(E736="Positivo",MIN(MAX(K736/J736,0),1.0),MIN(MAX(J736/K736,0),1.0))),"") </f>
        <v/>
      </c>
      <c r="M736" s="28">
        <f>IFERROR(IF(OR(J736=0,K736=""),"",IF(E736="Positivo",MAX(K736/J736,0),MAX(J736/K736,0))),"") </f>
        <v/>
      </c>
      <c r="N736" s="5" t="inlineStr">
        <is>
          <t>m3</t>
        </is>
      </c>
      <c r="O736" s="5" t="inlineStr">
        <is>
          <t>m3</t>
        </is>
      </c>
      <c r="P736" s="16" t="n">
        <v>0</v>
      </c>
      <c r="Q736" s="16" t="n">
        <v>0</v>
      </c>
      <c r="R736" s="5" t="inlineStr">
        <is>
          <t>208-2022-09-30</t>
        </is>
      </c>
    </row>
    <row r="737">
      <c r="A737" s="26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44" t="n">
        <v>44865</v>
      </c>
      <c r="G737" s="5" t="n">
        <v>2022</v>
      </c>
      <c r="H737" s="5" t="inlineStr">
        <is>
          <t>Octubre</t>
        </is>
      </c>
      <c r="I737" s="6" t="inlineStr">
        <is>
          <t>2022-2</t>
        </is>
      </c>
      <c r="J737" s="5" t="n">
        <v>1700</v>
      </c>
      <c r="K737" s="10" t="n">
        <v>1687</v>
      </c>
      <c r="L737" s="28">
        <f>IFERROR(IF(OR(J737=0,K737=""),"",IF(E737="Positivo",MIN(MAX(K737/J737,0),1.0),MIN(MAX(J737/K737,0),1.0))),"") </f>
        <v/>
      </c>
      <c r="M737" s="28">
        <f>IFERROR(IF(OR(J737=0,K737=""),"",IF(E737="Positivo",MAX(K737/J737,0),MAX(J737/K737,0))),"") </f>
        <v/>
      </c>
      <c r="N737" s="5" t="inlineStr">
        <is>
          <t>m3</t>
        </is>
      </c>
      <c r="O737" s="5" t="inlineStr">
        <is>
          <t>m3</t>
        </is>
      </c>
      <c r="P737" s="16" t="n">
        <v>0</v>
      </c>
      <c r="Q737" s="16" t="n">
        <v>0</v>
      </c>
      <c r="R737" s="5" t="inlineStr">
        <is>
          <t>208-2022-10-31</t>
        </is>
      </c>
    </row>
    <row r="738">
      <c r="A738" s="26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43" t="n">
        <v>44895</v>
      </c>
      <c r="G738" s="5" t="n">
        <v>2022</v>
      </c>
      <c r="H738" s="5" t="inlineStr">
        <is>
          <t>Noviembre</t>
        </is>
      </c>
      <c r="I738" s="6" t="inlineStr">
        <is>
          <t>2022-2</t>
        </is>
      </c>
      <c r="J738" s="5" t="n">
        <v>1700</v>
      </c>
      <c r="K738" s="123" t="n">
        <v>1494</v>
      </c>
      <c r="L738" s="28">
        <f>IFERROR(IF(OR(J738=0,K738=""),"",IF(E738="Positivo",MIN(MAX(K738/J738,0),1.0),MIN(MAX(J738/K738,0),1.0))),"") </f>
        <v/>
      </c>
      <c r="M738" s="28">
        <f>IFERROR(IF(OR(J738=0,K738=""),"",IF(E738="Positivo",MAX(K738/J738,0),MAX(J738/K738,0))),"") </f>
        <v/>
      </c>
      <c r="N738" s="5" t="inlineStr">
        <is>
          <t>m3</t>
        </is>
      </c>
      <c r="O738" s="5" t="inlineStr">
        <is>
          <t>m3</t>
        </is>
      </c>
      <c r="P738" s="16" t="n">
        <v>0</v>
      </c>
      <c r="Q738" s="16" t="n">
        <v>0</v>
      </c>
      <c r="R738" s="5" t="inlineStr">
        <is>
          <t>208-2022-11-30</t>
        </is>
      </c>
    </row>
    <row r="739">
      <c r="A739" s="39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44" t="n">
        <v>44926</v>
      </c>
      <c r="G739" s="5" t="n">
        <v>2022</v>
      </c>
      <c r="H739" s="5" t="inlineStr">
        <is>
          <t>Diciembre</t>
        </is>
      </c>
      <c r="I739" s="6" t="inlineStr">
        <is>
          <t>2022-2</t>
        </is>
      </c>
      <c r="J739" s="5" t="n">
        <v>1700</v>
      </c>
      <c r="K739" s="123" t="n">
        <v>1010</v>
      </c>
      <c r="L739" s="28">
        <f>IFERROR(IF(OR(J739=0,K739=""),"",IF(E739="Positivo",MIN(MAX(K739/J739,0),1.0),MIN(MAX(J739/K739,0),1.0))),"") </f>
        <v/>
      </c>
      <c r="M739" s="28">
        <f>IFERROR(IF(OR(J739=0,K739=""),"",IF(E739="Positivo",MAX(K739/J739,0),MAX(J739/K739,0))),"") </f>
        <v/>
      </c>
      <c r="N739" s="5" t="inlineStr">
        <is>
          <t>m3</t>
        </is>
      </c>
      <c r="O739" s="5" t="inlineStr">
        <is>
          <t>m3</t>
        </is>
      </c>
      <c r="P739" s="16" t="n">
        <v>0</v>
      </c>
      <c r="Q739" s="16" t="n">
        <v>0</v>
      </c>
      <c r="R739" s="5" t="inlineStr">
        <is>
          <t>208-2022-12-31</t>
        </is>
      </c>
    </row>
    <row r="740">
      <c r="A740" s="5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44" t="n">
        <v>44957</v>
      </c>
      <c r="G740" s="5" t="n">
        <v>2023</v>
      </c>
      <c r="H740" s="5" t="inlineStr">
        <is>
          <t>Enero</t>
        </is>
      </c>
      <c r="I740" s="6" t="inlineStr">
        <is>
          <t>2023-1</t>
        </is>
      </c>
      <c r="J740" s="5" t="n">
        <v>1700</v>
      </c>
      <c r="K740" s="5" t="n">
        <v>1019</v>
      </c>
      <c r="L740" s="28">
        <f>IFERROR(IF(OR(J740=0,K740=""),"",IF(E740="Positivo",MIN(MAX(K740/J740,0),1.0),MIN(MAX(J740/K740,0),1.0))),"") </f>
        <v/>
      </c>
      <c r="M740" s="28">
        <f>IFERROR(IF(OR(J740=0,K740=""),"",IF(E740="Positivo",MAX(K740/J740,0),MAX(J740/K740,0))),"") </f>
        <v/>
      </c>
      <c r="N740" s="5" t="inlineStr">
        <is>
          <t>Linea Base</t>
        </is>
      </c>
      <c r="O740" s="5" t="inlineStr">
        <is>
          <t>m3</t>
        </is>
      </c>
      <c r="P740" s="5" t="n">
        <v>0</v>
      </c>
      <c r="Q740" s="5" t="n">
        <v>0</v>
      </c>
      <c r="R740" s="5" t="inlineStr">
        <is>
          <t>208-2023-01-31</t>
        </is>
      </c>
    </row>
    <row r="74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44" t="n">
        <v>44985</v>
      </c>
      <c r="G741" s="5" t="n">
        <v>2023</v>
      </c>
      <c r="H741" s="5" t="inlineStr">
        <is>
          <t>Febrero</t>
        </is>
      </c>
      <c r="I741" s="6" t="inlineStr">
        <is>
          <t>2023-1</t>
        </is>
      </c>
      <c r="J741" s="5" t="n">
        <v>1700</v>
      </c>
      <c r="K741" s="10" t="n">
        <v>896</v>
      </c>
      <c r="L741" s="28">
        <f>IFERROR(IF(OR(J741=0,K741=""),"",IF(E741="Positivo",MIN(MAX(K741/J741,0),1.0),MIN(MAX(J741/K741,0),1.0))),"") </f>
        <v/>
      </c>
      <c r="M741" s="28">
        <f>IFERROR(IF(OR(J741=0,K741=""),"",IF(E741="Positivo",MAX(K741/J741,0),MAX(J741/K741,0))),"") </f>
        <v/>
      </c>
      <c r="N741" s="5" t="inlineStr">
        <is>
          <t>Linea Base</t>
        </is>
      </c>
      <c r="O741" s="5" t="inlineStr">
        <is>
          <t>m3</t>
        </is>
      </c>
      <c r="P741" s="16" t="n">
        <v>0</v>
      </c>
      <c r="Q741" s="16" t="n">
        <v>0</v>
      </c>
      <c r="R741" s="5" t="inlineStr">
        <is>
          <t>208-2023-02-28</t>
        </is>
      </c>
    </row>
    <row r="742">
      <c r="A742" s="26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43" t="n">
        <v>45016</v>
      </c>
      <c r="G742" s="5" t="n">
        <v>2023</v>
      </c>
      <c r="H742" s="5" t="inlineStr">
        <is>
          <t>Marzo</t>
        </is>
      </c>
      <c r="I742" s="6" t="inlineStr">
        <is>
          <t>2023-1</t>
        </is>
      </c>
      <c r="J742" s="5" t="n">
        <v>1700</v>
      </c>
      <c r="K742" s="123" t="n">
        <v>961.7</v>
      </c>
      <c r="L742" s="28">
        <f>IFERROR(IF(OR(J742=0,K742=""),"",IF(E742="Positivo",MIN(MAX(K742/J742,0),1.0),MIN(MAX(J742/K742,0),1.0))),"") </f>
        <v/>
      </c>
      <c r="M742" s="28">
        <f>IFERROR(IF(OR(J742=0,K742=""),"",IF(E742="Positivo",MAX(K742/J742,0),MAX(J742/K742,0))),"") </f>
        <v/>
      </c>
      <c r="N742" s="5" t="inlineStr">
        <is>
          <t>Linea Base</t>
        </is>
      </c>
      <c r="O742" s="5" t="inlineStr">
        <is>
          <t>m3</t>
        </is>
      </c>
      <c r="P742" s="16" t="n">
        <v>0</v>
      </c>
      <c r="Q742" s="16" t="n">
        <v>0</v>
      </c>
      <c r="R742" s="5" t="inlineStr">
        <is>
          <t>208-2023-03-31</t>
        </is>
      </c>
    </row>
    <row r="743">
      <c r="A743" s="26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44" t="n">
        <v>45046</v>
      </c>
      <c r="G743" s="5" t="n">
        <v>2023</v>
      </c>
      <c r="H743" s="5" t="inlineStr">
        <is>
          <t>Abril</t>
        </is>
      </c>
      <c r="I743" s="6" t="inlineStr">
        <is>
          <t>2023-1</t>
        </is>
      </c>
      <c r="J743" s="5" t="n">
        <v>1700</v>
      </c>
      <c r="K743" s="123" t="n">
        <v>957.6</v>
      </c>
      <c r="L743" s="28">
        <f>IFERROR(IF(OR(J743=0,K743=""),"",IF(E743="Positivo",MIN(MAX(K743/J743,0),1.0),MIN(MAX(J743/K743,0),1.0))),"") </f>
        <v/>
      </c>
      <c r="M743" s="28">
        <f>IFERROR(IF(OR(J743=0,K743=""),"",IF(E743="Positivo",MAX(K743/J743,0),MAX(J743/K743,0))),"") </f>
        <v/>
      </c>
      <c r="N743" s="5" t="inlineStr">
        <is>
          <t>Linea Base</t>
        </is>
      </c>
      <c r="O743" s="5" t="inlineStr">
        <is>
          <t>m3</t>
        </is>
      </c>
      <c r="P743" s="16" t="n">
        <v>0</v>
      </c>
      <c r="Q743" s="16" t="n">
        <v>0</v>
      </c>
      <c r="R743" s="5" t="inlineStr">
        <is>
          <t>208-2023-04-30</t>
        </is>
      </c>
    </row>
    <row r="744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44" t="n">
        <v>45077</v>
      </c>
      <c r="G744" s="5" t="n">
        <v>2023</v>
      </c>
      <c r="H744" s="5" t="inlineStr">
        <is>
          <t>Mayo</t>
        </is>
      </c>
      <c r="I744" s="6" t="inlineStr">
        <is>
          <t>2023-1</t>
        </is>
      </c>
      <c r="J744" s="5" t="n">
        <v>1700</v>
      </c>
      <c r="K744" s="123" t="n">
        <v>1268</v>
      </c>
      <c r="L744" s="28">
        <f>IFERROR(IF(OR(J744=0,K744=""),"",IF(E744="Positivo",MIN(MAX(K744/J744,0),1.0),MIN(MAX(J744/K744,0),1.0))),"") </f>
        <v/>
      </c>
      <c r="M744" s="28">
        <f>IFERROR(IF(OR(J744=0,K744=""),"",IF(E744="Positivo",MAX(K744/J744,0),MAX(J744/K744,0))),"") </f>
        <v/>
      </c>
      <c r="N744" s="5" t="inlineStr">
        <is>
          <t>Linea Base</t>
        </is>
      </c>
      <c r="O744" s="5" t="inlineStr">
        <is>
          <t>m3</t>
        </is>
      </c>
      <c r="P744" s="16" t="n">
        <v>0</v>
      </c>
      <c r="Q744" s="16" t="n">
        <v>0</v>
      </c>
      <c r="R744" s="5" t="inlineStr">
        <is>
          <t>208-2023-05-31</t>
        </is>
      </c>
    </row>
    <row r="745">
      <c r="A745" s="39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44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1700</v>
      </c>
      <c r="K745" s="123" t="n">
        <v>1457</v>
      </c>
      <c r="L745" s="28">
        <f>IFERROR(IF(OR(J745=0,K745=""),"",IF(E745="Positivo",MIN(MAX(K745/J745,0),1.0),MIN(MAX(J745/K745,0),1.0))),"") </f>
        <v/>
      </c>
      <c r="M745" s="28">
        <f>IFERROR(IF(OR(J745=0,K745=""),"",IF(E745="Positivo",MAX(K745/J745,0),MAX(J745/K745,0))),"") </f>
        <v/>
      </c>
      <c r="N745" s="5" t="inlineStr">
        <is>
          <t>Linea Base</t>
        </is>
      </c>
      <c r="O745" s="5" t="inlineStr">
        <is>
          <t>m3</t>
        </is>
      </c>
      <c r="P745" s="16" t="n">
        <v>0</v>
      </c>
      <c r="Q745" s="16" t="n">
        <v>0</v>
      </c>
      <c r="R745" s="5" t="inlineStr">
        <is>
          <t>208-2023-06-30</t>
        </is>
      </c>
    </row>
    <row r="746">
      <c r="A746" s="39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44" t="n">
        <v>45138</v>
      </c>
      <c r="G746" s="5" t="n">
        <v>2023</v>
      </c>
      <c r="H746" s="5" t="inlineStr">
        <is>
          <t>Julio</t>
        </is>
      </c>
      <c r="I746" s="6" t="inlineStr">
        <is>
          <t>2023-2</t>
        </is>
      </c>
      <c r="J746" s="5" t="n">
        <v>1700</v>
      </c>
      <c r="K746" s="123" t="n">
        <v>1160</v>
      </c>
      <c r="L746" s="28">
        <f>IFERROR(IF(OR(J746=0,K746=""),"",IF(E746="Positivo",MIN(MAX(K746/J746,0),1.0),MIN(MAX(J746/K746,0),1.0))),"") </f>
        <v/>
      </c>
      <c r="M746" s="28">
        <f>IFERROR(IF(OR(J746=0,K746=""),"",IF(E746="Positivo",MAX(K746/J746,0),MAX(J746/K746,0))),"") </f>
        <v/>
      </c>
      <c r="N746" s="5" t="inlineStr">
        <is>
          <t>Linea Base</t>
        </is>
      </c>
      <c r="O746" s="5" t="inlineStr">
        <is>
          <t>m3</t>
        </is>
      </c>
      <c r="P746" s="16" t="n">
        <v>0</v>
      </c>
      <c r="Q746" s="16" t="n">
        <v>0</v>
      </c>
      <c r="R746" s="5" t="inlineStr">
        <is>
          <t>208-2023-07-31</t>
        </is>
      </c>
    </row>
    <row r="747">
      <c r="A747" s="26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44" t="n">
        <v>45169</v>
      </c>
      <c r="G747" s="5" t="n">
        <v>2023</v>
      </c>
      <c r="H747" s="5" t="inlineStr">
        <is>
          <t>Agosto</t>
        </is>
      </c>
      <c r="I747" s="6" t="inlineStr">
        <is>
          <t>2023-2</t>
        </is>
      </c>
      <c r="J747" s="5" t="n">
        <v>1700</v>
      </c>
      <c r="K747" s="123" t="n">
        <v>1275</v>
      </c>
      <c r="L747" s="28">
        <f>IFERROR(IF(OR(J747=0,K747=""),"",IF(E747="Positivo",MIN(MAX(K747/J747,0),1.0),MIN(MAX(J747/K747,0),1.0))),"") </f>
        <v/>
      </c>
      <c r="M747" s="28">
        <f>IFERROR(IF(OR(J747=0,K747=""),"",IF(E747="Positivo",MAX(K747/J747,0),MAX(J747/K747,0))),"") </f>
        <v/>
      </c>
      <c r="N747" s="5" t="inlineStr">
        <is>
          <t>Linea Base</t>
        </is>
      </c>
      <c r="O747" s="5" t="inlineStr">
        <is>
          <t>m3</t>
        </is>
      </c>
      <c r="P747" s="16" t="n">
        <v>0</v>
      </c>
      <c r="Q747" s="16" t="n">
        <v>0</v>
      </c>
      <c r="R747" s="5" t="inlineStr">
        <is>
          <t>208-2023-08-31</t>
        </is>
      </c>
    </row>
    <row r="748">
      <c r="A748" s="43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44" t="n">
        <v>45199</v>
      </c>
      <c r="G748" s="5" t="n">
        <v>2023</v>
      </c>
      <c r="H748" s="5" t="inlineStr">
        <is>
          <t>Septiembre</t>
        </is>
      </c>
      <c r="I748" s="6" t="inlineStr">
        <is>
          <t>2023-2</t>
        </is>
      </c>
      <c r="J748" s="5" t="n">
        <v>1700</v>
      </c>
      <c r="K748" s="123" t="n">
        <v>1453.5</v>
      </c>
      <c r="L748" s="28">
        <f>IFERROR(IF(OR(J748=0,K748=""),"",IF(E748="Positivo",MIN(MAX(K748/J748,0),1.0),MIN(MAX(J748/K748,0),1.0))),"") </f>
        <v/>
      </c>
      <c r="M748" s="28">
        <f>IFERROR(IF(OR(J748=0,K748=""),"",IF(E748="Positivo",MAX(K748/J748,0),MAX(J748/K748,0))),"") </f>
        <v/>
      </c>
      <c r="N748" s="5" t="inlineStr">
        <is>
          <t>Linea Base</t>
        </is>
      </c>
      <c r="O748" s="5" t="inlineStr">
        <is>
          <t>m3</t>
        </is>
      </c>
      <c r="P748" s="16" t="n">
        <v>0</v>
      </c>
      <c r="Q748" s="16" t="n">
        <v>0</v>
      </c>
      <c r="R748" s="5" t="inlineStr">
        <is>
          <t>208-2023-09-30</t>
        </is>
      </c>
    </row>
    <row r="749">
      <c r="A749" s="39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44" t="n">
        <v>45230</v>
      </c>
      <c r="G749" s="5" t="n">
        <v>2023</v>
      </c>
      <c r="H749" s="5" t="inlineStr">
        <is>
          <t>Octubre</t>
        </is>
      </c>
      <c r="I749" s="6" t="inlineStr">
        <is>
          <t>2023-2</t>
        </is>
      </c>
      <c r="J749" s="5" t="n">
        <v>1700</v>
      </c>
      <c r="K749" s="123" t="n">
        <v>1575.9</v>
      </c>
      <c r="L749" s="28">
        <f>IFERROR(IF(OR(J749=0,K749=""),"",IF(E749="Positivo",MIN(MAX(K749/J749,0),1.0),MIN(MAX(J749/K749,0),1.0))),"") </f>
        <v/>
      </c>
      <c r="M749" s="28">
        <f>IFERROR(IF(OR(J749=0,K749=""),"",IF(E749="Positivo",MAX(K749/J749,0),MAX(J749/K749,0))),"") </f>
        <v/>
      </c>
      <c r="N749" s="5" t="inlineStr">
        <is>
          <t>Linea Base</t>
        </is>
      </c>
      <c r="O749" s="5" t="inlineStr">
        <is>
          <t>m3</t>
        </is>
      </c>
      <c r="P749" s="16" t="n">
        <v>0</v>
      </c>
      <c r="Q749" s="16" t="n">
        <v>0</v>
      </c>
      <c r="R749" s="5" t="inlineStr">
        <is>
          <t>208-2023-10-31</t>
        </is>
      </c>
    </row>
    <row r="750">
      <c r="A750" s="39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44" t="n">
        <v>45260</v>
      </c>
      <c r="G750" s="5" t="n">
        <v>2023</v>
      </c>
      <c r="H750" s="5" t="inlineStr">
        <is>
          <t>Noviembre</t>
        </is>
      </c>
      <c r="I750" s="6" t="inlineStr">
        <is>
          <t>2023-2</t>
        </is>
      </c>
      <c r="J750" s="5" t="n">
        <v>1700</v>
      </c>
      <c r="K750" s="5" t="n">
        <v>1380</v>
      </c>
      <c r="L750" s="28">
        <f>IFERROR(IF(OR(J750=0,K750=""),"",IF(E750="Positivo",MIN(MAX(K750/J750,0),1.0),MIN(MAX(J750/K750,0),1.0))),"") </f>
        <v/>
      </c>
      <c r="M750" s="28">
        <f>IFERROR(IF(OR(J750=0,K750=""),"",IF(E750="Positivo",MAX(K750/J750,0),MAX(J750/K750,0))),"") </f>
        <v/>
      </c>
      <c r="N750" s="5" t="inlineStr">
        <is>
          <t>Linea Base</t>
        </is>
      </c>
      <c r="O750" s="5" t="inlineStr">
        <is>
          <t>m3</t>
        </is>
      </c>
      <c r="P750" s="16" t="n">
        <v>0</v>
      </c>
      <c r="Q750" s="16" t="n">
        <v>0</v>
      </c>
      <c r="R750" s="5" t="inlineStr">
        <is>
          <t>208-2023-11-30</t>
        </is>
      </c>
    </row>
    <row r="751">
      <c r="A751" s="39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44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>
        <v>1700</v>
      </c>
      <c r="K751" s="5" t="n">
        <v>1336</v>
      </c>
      <c r="L751" s="28">
        <f>IFERROR(IF(OR(J751=0,K751=""),"",IF(E751="Positivo",MIN(MAX(K751/J751,0),1.0),MIN(MAX(J751/K751,0),1.0))),"") </f>
        <v/>
      </c>
      <c r="M751" s="28">
        <f>IFERROR(IF(OR(J751=0,K751=""),"",IF(E751="Positivo",MAX(K751/J751,0),MAX(J751/K751,0))),"") </f>
        <v/>
      </c>
      <c r="N751" s="5" t="inlineStr">
        <is>
          <t>Linea Base</t>
        </is>
      </c>
      <c r="O751" s="5" t="inlineStr">
        <is>
          <t>m3</t>
        </is>
      </c>
      <c r="P751" s="16" t="n">
        <v>0</v>
      </c>
      <c r="Q751" s="16" t="n">
        <v>0</v>
      </c>
      <c r="R751" s="5" t="inlineStr">
        <is>
          <t>208-2023-12-31</t>
        </is>
      </c>
    </row>
    <row r="752">
      <c r="A752" s="26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44" t="n">
        <v>45322</v>
      </c>
      <c r="G752" s="5" t="n">
        <v>2024</v>
      </c>
      <c r="H752" s="5" t="inlineStr">
        <is>
          <t>Enero</t>
        </is>
      </c>
      <c r="I752" s="6" t="inlineStr">
        <is>
          <t>2024-1</t>
        </is>
      </c>
      <c r="J752" s="5" t="n">
        <v>1700</v>
      </c>
      <c r="K752" s="5" t="n">
        <v>1326</v>
      </c>
      <c r="L752" s="28">
        <f>IFERROR(IF(OR(J752=0,K752=""),"",IF(E752="Positivo",MIN(MAX(K752/J752,0),1.0),MIN(MAX(J752/K752,0),1.0))),"") </f>
        <v/>
      </c>
      <c r="M752" s="28">
        <f>IFERROR(IF(OR(J752=0,K752=""),"",IF(E752="Positivo",MAX(K752/J752,0),MAX(J752/K752,0))),"") </f>
        <v/>
      </c>
      <c r="N752" s="5" t="inlineStr">
        <is>
          <t>m3</t>
        </is>
      </c>
      <c r="O752" s="5" t="inlineStr">
        <is>
          <t>m3</t>
        </is>
      </c>
      <c r="P752" s="16" t="n">
        <v>0</v>
      </c>
      <c r="Q752" s="16" t="n">
        <v>0</v>
      </c>
      <c r="R752" s="5" t="inlineStr">
        <is>
          <t>208-2024-01-31</t>
        </is>
      </c>
    </row>
    <row r="753">
      <c r="A753" s="26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44" t="n">
        <v>45351</v>
      </c>
      <c r="G753" s="5" t="n">
        <v>2024</v>
      </c>
      <c r="H753" s="5" t="inlineStr">
        <is>
          <t>Febrero</t>
        </is>
      </c>
      <c r="I753" s="6" t="inlineStr">
        <is>
          <t>2024-1</t>
        </is>
      </c>
      <c r="J753" s="5" t="n">
        <v>1700</v>
      </c>
      <c r="K753" s="5" t="n">
        <v>1307</v>
      </c>
      <c r="L753" s="28">
        <f>IFERROR(IF(OR(J753=0,K753=""),"",IF(E753="Positivo",MIN(MAX(K753/J753,0),1.0),MIN(MAX(J753/K753,0),1.0))),"") </f>
        <v/>
      </c>
      <c r="M753" s="28">
        <f>IFERROR(IF(OR(J753=0,K753=""),"",IF(E753="Positivo",MAX(K753/J753,0),MAX(J753/K753,0))),"") </f>
        <v/>
      </c>
      <c r="N753" s="5" t="inlineStr">
        <is>
          <t>m3</t>
        </is>
      </c>
      <c r="O753" s="5" t="inlineStr">
        <is>
          <t>m3</t>
        </is>
      </c>
      <c r="P753" s="16" t="n">
        <v>0</v>
      </c>
      <c r="Q753" s="16" t="n">
        <v>0</v>
      </c>
      <c r="R753" s="5" t="inlineStr">
        <is>
          <t>208-2024-02-29</t>
        </is>
      </c>
    </row>
    <row r="754">
      <c r="A754" s="39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44" t="n">
        <v>45382</v>
      </c>
      <c r="G754" s="5" t="n">
        <v>2024</v>
      </c>
      <c r="H754" s="5" t="inlineStr">
        <is>
          <t>Marzo</t>
        </is>
      </c>
      <c r="I754" s="6" t="inlineStr">
        <is>
          <t>2024-1</t>
        </is>
      </c>
      <c r="J754" s="5" t="n">
        <v>1700</v>
      </c>
      <c r="K754" s="123" t="n">
        <v>1474.5</v>
      </c>
      <c r="L754" s="28">
        <f>IFERROR(IF(OR(J754=0,K754=""),"",IF(E754="Positivo",MIN(MAX(K754/J754,0),1.0),MIN(MAX(J754/K754,0),1.0))),"") </f>
        <v/>
      </c>
      <c r="M754" s="28">
        <f>IFERROR(IF(OR(J754=0,K754=""),"",IF(E754="Positivo",MAX(K754/J754,0),MAX(J754/K754,0))),"") </f>
        <v/>
      </c>
      <c r="N754" s="5" t="inlineStr">
        <is>
          <t>m3</t>
        </is>
      </c>
      <c r="O754" s="5" t="inlineStr">
        <is>
          <t>m3</t>
        </is>
      </c>
      <c r="P754" s="16" t="n">
        <v>0</v>
      </c>
      <c r="Q754" s="16" t="n">
        <v>0</v>
      </c>
      <c r="R754" s="5" t="inlineStr">
        <is>
          <t>208-2024-03-31</t>
        </is>
      </c>
    </row>
    <row r="755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44" t="n">
        <v>45412</v>
      </c>
      <c r="G755" s="5" t="n">
        <v>2024</v>
      </c>
      <c r="H755" s="5" t="inlineStr">
        <is>
          <t>Abril</t>
        </is>
      </c>
      <c r="I755" s="6" t="inlineStr">
        <is>
          <t>2024-1</t>
        </is>
      </c>
      <c r="J755" s="5" t="n">
        <v>1700</v>
      </c>
      <c r="K755" s="10" t="n">
        <v>1526</v>
      </c>
      <c r="L755" s="28">
        <f>IFERROR(IF(OR(J755=0,K755=""),"",IF(E755="Positivo",MIN(MAX(K755/J755,0),1.0),MIN(MAX(J755/K755,0),1.0))),"") </f>
        <v/>
      </c>
      <c r="M755" s="28">
        <f>IFERROR(IF(OR(J755=0,K755=""),"",IF(E755="Positivo",MAX(K755/J755,0),MAX(J755/K755,0))),"") </f>
        <v/>
      </c>
      <c r="N755" s="5" t="inlineStr">
        <is>
          <t>m3</t>
        </is>
      </c>
      <c r="O755" s="5" t="inlineStr">
        <is>
          <t>m3</t>
        </is>
      </c>
      <c r="P755" s="16" t="n">
        <v>0</v>
      </c>
      <c r="Q755" s="16" t="n">
        <v>0</v>
      </c>
      <c r="R755" s="5" t="inlineStr">
        <is>
          <t>208-2024-04-30</t>
        </is>
      </c>
    </row>
    <row r="756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43" t="n">
        <v>45443</v>
      </c>
      <c r="G756" s="5" t="n">
        <v>2024</v>
      </c>
      <c r="H756" s="5" t="inlineStr">
        <is>
          <t>Mayo</t>
        </is>
      </c>
      <c r="I756" s="6" t="inlineStr">
        <is>
          <t>2024-1</t>
        </is>
      </c>
      <c r="J756" s="5" t="n">
        <v>1700</v>
      </c>
      <c r="K756" s="123" t="n">
        <v>1517.5</v>
      </c>
      <c r="L756" s="28">
        <f>IFERROR(IF(OR(J756=0,K756=""),"",IF(E756="Positivo",MIN(MAX(K756/J756,0),1.0),MIN(MAX(J756/K756,0),1.0))),"") </f>
        <v/>
      </c>
      <c r="M756" s="28">
        <f>IFERROR(IF(OR(J756=0,K756=""),"",IF(E756="Positivo",MAX(K756/J756,0),MAX(J756/K756,0))),"") </f>
        <v/>
      </c>
      <c r="N756" s="5" t="inlineStr">
        <is>
          <t>m3</t>
        </is>
      </c>
      <c r="O756" s="5" t="inlineStr">
        <is>
          <t>m3</t>
        </is>
      </c>
      <c r="P756" s="16" t="n">
        <v>0</v>
      </c>
      <c r="Q756" s="16" t="n">
        <v>0</v>
      </c>
      <c r="R756" s="5" t="inlineStr">
        <is>
          <t>208-2024-05-31</t>
        </is>
      </c>
    </row>
    <row r="757">
      <c r="A757" s="39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44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1700</v>
      </c>
      <c r="K757" s="123" t="n">
        <v>1291</v>
      </c>
      <c r="L757" s="28">
        <f>IFERROR(IF(OR(J757=0,K757=""),"",IF(E757="Positivo",MIN(MAX(K757/J757,0),1.0),MIN(MAX(J757/K757,0),1.0))),"") </f>
        <v/>
      </c>
      <c r="M757" s="28">
        <f>IFERROR(IF(OR(J757=0,K757=""),"",IF(E757="Positivo",MAX(K757/J757,0),MAX(J757/K757,0))),"") </f>
        <v/>
      </c>
      <c r="N757" s="5" t="inlineStr">
        <is>
          <t>m3</t>
        </is>
      </c>
      <c r="O757" s="5" t="inlineStr">
        <is>
          <t>m3</t>
        </is>
      </c>
      <c r="P757" s="16" t="n">
        <v>0</v>
      </c>
      <c r="Q757" s="16" t="n">
        <v>0</v>
      </c>
      <c r="R757" s="5" t="inlineStr">
        <is>
          <t>208-2024-06-30</t>
        </is>
      </c>
    </row>
    <row r="758">
      <c r="A758" s="5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44" t="n">
        <v>45504</v>
      </c>
      <c r="G758" s="5" t="n">
        <v>2024</v>
      </c>
      <c r="H758" s="5" t="inlineStr">
        <is>
          <t>Julio</t>
        </is>
      </c>
      <c r="I758" s="6" t="inlineStr">
        <is>
          <t>2024-2</t>
        </is>
      </c>
      <c r="J758" s="5" t="n">
        <v>1700</v>
      </c>
      <c r="K758" s="5" t="n">
        <v>1086</v>
      </c>
      <c r="L758" s="28">
        <f>IFERROR(IF(OR(J758=0,K758=""),"",IF(E758="Positivo",MIN(MAX(K758/J758,0),1.0),MIN(MAX(J758/K758,0),1.0))),"") </f>
        <v/>
      </c>
      <c r="M758" s="28">
        <f>IFERROR(IF(OR(J758=0,K758=""),"",IF(E758="Positivo",MAX(K758/J758,0),MAX(J758/K758,0))),"") </f>
        <v/>
      </c>
      <c r="N758" s="5" t="inlineStr">
        <is>
          <t>m3</t>
        </is>
      </c>
      <c r="O758" s="5" t="inlineStr">
        <is>
          <t>m3</t>
        </is>
      </c>
      <c r="P758" s="5" t="n">
        <v>0</v>
      </c>
      <c r="Q758" s="5" t="n">
        <v>0</v>
      </c>
      <c r="R758" s="5" t="inlineStr">
        <is>
          <t>208-2024-07-31</t>
        </is>
      </c>
    </row>
    <row r="759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44" t="n">
        <v>45535</v>
      </c>
      <c r="G759" s="5" t="n">
        <v>2024</v>
      </c>
      <c r="H759" s="5" t="inlineStr">
        <is>
          <t>Agosto</t>
        </is>
      </c>
      <c r="I759" s="6" t="inlineStr">
        <is>
          <t>2024-2</t>
        </is>
      </c>
      <c r="J759" s="5" t="n">
        <v>1700</v>
      </c>
      <c r="K759" s="10" t="n">
        <v>1281.5</v>
      </c>
      <c r="L759" s="28">
        <f>IFERROR(IF(OR(J759=0,K759=""),"",IF(E759="Positivo",MIN(MAX(K759/J759,0),1.0),MIN(MAX(J759/K759,0),1.0))),"") </f>
        <v/>
      </c>
      <c r="M759" s="28">
        <f>IFERROR(IF(OR(J759=0,K759=""),"",IF(E759="Positivo",MAX(K759/J759,0),MAX(J759/K759,0))),"") </f>
        <v/>
      </c>
      <c r="N759" s="5" t="inlineStr">
        <is>
          <t>m3</t>
        </is>
      </c>
      <c r="O759" s="5" t="inlineStr">
        <is>
          <t>m3</t>
        </is>
      </c>
      <c r="P759" s="16" t="n">
        <v>0</v>
      </c>
      <c r="Q759" s="16" t="n">
        <v>0</v>
      </c>
      <c r="R759" s="5" t="inlineStr">
        <is>
          <t>208-2024-08-31</t>
        </is>
      </c>
    </row>
    <row r="760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43" t="n">
        <v>45565</v>
      </c>
      <c r="G760" s="5" t="n">
        <v>2024</v>
      </c>
      <c r="H760" s="5" t="inlineStr">
        <is>
          <t>Septiembre</t>
        </is>
      </c>
      <c r="I760" s="6" t="inlineStr">
        <is>
          <t>2024-2</t>
        </is>
      </c>
      <c r="J760" s="5" t="n">
        <v>1700</v>
      </c>
      <c r="K760" s="123" t="n">
        <v>1466</v>
      </c>
      <c r="L760" s="28">
        <f>IFERROR(IF(OR(J760=0,K760=""),"",IF(E760="Positivo",MIN(MAX(K760/J760,0),1.0),MIN(MAX(J760/K760,0),1.0))),"") </f>
        <v/>
      </c>
      <c r="M760" s="28">
        <f>IFERROR(IF(OR(J760=0,K760=""),"",IF(E760="Positivo",MAX(K760/J760,0),MAX(J760/K760,0))),"") </f>
        <v/>
      </c>
      <c r="N760" s="5" t="inlineStr">
        <is>
          <t>m3</t>
        </is>
      </c>
      <c r="O760" s="5" t="inlineStr">
        <is>
          <t>m3</t>
        </is>
      </c>
      <c r="P760" s="16" t="n">
        <v>0</v>
      </c>
      <c r="Q760" s="16" t="n">
        <v>0</v>
      </c>
      <c r="R760" s="5" t="inlineStr">
        <is>
          <t>208-2024-09-30</t>
        </is>
      </c>
    </row>
    <row r="761">
      <c r="A761" s="39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44" t="n">
        <v>45596</v>
      </c>
      <c r="G761" s="5" t="n">
        <v>2024</v>
      </c>
      <c r="H761" s="5" t="inlineStr">
        <is>
          <t>Octubre</t>
        </is>
      </c>
      <c r="I761" s="6" t="inlineStr">
        <is>
          <t>2024-2</t>
        </is>
      </c>
      <c r="J761" s="5" t="n">
        <v>1700</v>
      </c>
      <c r="K761" s="123" t="n">
        <v>1345</v>
      </c>
      <c r="L761" s="28">
        <f>IFERROR(IF(OR(J761=0,K761=""),"",IF(E761="Positivo",MIN(MAX(K761/J761,0),1.0),MIN(MAX(J761/K761,0),1.0))),"") </f>
        <v/>
      </c>
      <c r="M761" s="28">
        <f>IFERROR(IF(OR(J761=0,K761=""),"",IF(E761="Positivo",MAX(K761/J761,0),MAX(J761/K761,0))),"") </f>
        <v/>
      </c>
      <c r="N761" s="5" t="inlineStr">
        <is>
          <t>m3</t>
        </is>
      </c>
      <c r="O761" s="5" t="inlineStr">
        <is>
          <t>m3</t>
        </is>
      </c>
      <c r="P761" s="16" t="n">
        <v>0</v>
      </c>
      <c r="Q761" s="16" t="n">
        <v>0</v>
      </c>
      <c r="R761" s="5" t="inlineStr">
        <is>
          <t>208-2024-10-31</t>
        </is>
      </c>
    </row>
    <row r="762">
      <c r="A762" s="26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44" t="n">
        <v>45626</v>
      </c>
      <c r="G762" s="5" t="n">
        <v>2024</v>
      </c>
      <c r="H762" s="5" t="inlineStr">
        <is>
          <t>Noviembre</t>
        </is>
      </c>
      <c r="I762" s="6" t="inlineStr">
        <is>
          <t>2024-2</t>
        </is>
      </c>
      <c r="J762" s="5" t="n">
        <v>1700</v>
      </c>
      <c r="K762" s="123" t="n">
        <v>1115</v>
      </c>
      <c r="L762" s="28">
        <f>IFERROR(IF(OR(J762=0,K762=""),"",IF(E762="Positivo",MIN(MAX(K762/J762,0),1.0),MIN(MAX(J762/K762,0),1.0))),"") </f>
        <v/>
      </c>
      <c r="M762" s="28">
        <f>IFERROR(IF(OR(J762=0,K762=""),"",IF(E762="Positivo",MAX(K762/J762,0),MAX(J762/K762,0))),"") </f>
        <v/>
      </c>
      <c r="N762" s="5" t="inlineStr">
        <is>
          <t>m3</t>
        </is>
      </c>
      <c r="O762" s="5" t="inlineStr">
        <is>
          <t>m3</t>
        </is>
      </c>
      <c r="P762" s="16" t="n">
        <v>0</v>
      </c>
      <c r="Q762" s="16" t="n">
        <v>0</v>
      </c>
      <c r="R762" s="5" t="inlineStr">
        <is>
          <t>208-2024-11-30</t>
        </is>
      </c>
    </row>
    <row r="763">
      <c r="A763" s="43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44" t="n">
        <v>45657</v>
      </c>
      <c r="G763" s="5" t="n">
        <v>2024</v>
      </c>
      <c r="H763" s="5" t="inlineStr">
        <is>
          <t>Diciembre</t>
        </is>
      </c>
      <c r="I763" s="6" t="inlineStr">
        <is>
          <t>2024-2</t>
        </is>
      </c>
      <c r="J763" s="5" t="n">
        <v>1700</v>
      </c>
      <c r="K763" s="123" t="n">
        <v>939</v>
      </c>
      <c r="L763" s="28">
        <f>IFERROR(IF(OR(J763=0,K763=""),"",IF(E763="Positivo",MIN(MAX(K763/J763,0),1.0),MIN(MAX(J763/K763,0),1.0))),"") </f>
        <v/>
      </c>
      <c r="M763" s="28">
        <f>IFERROR(IF(OR(J763=0,K763=""),"",IF(E763="Positivo",MAX(K763/J763,0),MAX(J763/K763,0))),"") </f>
        <v/>
      </c>
      <c r="N763" s="5" t="inlineStr">
        <is>
          <t>m3</t>
        </is>
      </c>
      <c r="O763" s="5" t="inlineStr">
        <is>
          <t>m3</t>
        </is>
      </c>
      <c r="P763" s="16" t="n">
        <v>0</v>
      </c>
      <c r="Q763" s="16" t="n">
        <v>0</v>
      </c>
      <c r="R763" s="5" t="inlineStr">
        <is>
          <t>208-2024-12-31</t>
        </is>
      </c>
    </row>
    <row r="764">
      <c r="A764" s="5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44" t="n">
        <v>45688</v>
      </c>
      <c r="G764" s="5" t="n">
        <v>2025</v>
      </c>
      <c r="H764" s="5" t="inlineStr">
        <is>
          <t>Enero</t>
        </is>
      </c>
      <c r="I764" s="6" t="inlineStr">
        <is>
          <t>2025-1</t>
        </is>
      </c>
      <c r="J764" s="5" t="n">
        <v>1700</v>
      </c>
      <c r="K764" s="5" t="n">
        <v>800</v>
      </c>
      <c r="L764" s="28">
        <f>IFERROR(IF(OR(J764=0,K764=""),"",IF(E764="Positivo",MIN(MAX(K764/J764,0),1.0),MIN(MAX(J764/K764,0),1.0))),"") </f>
        <v/>
      </c>
      <c r="M764" s="28">
        <f>IFERROR(IF(OR(J764=0,K764=""),"",IF(E764="Positivo",MAX(K764/J764,0),MAX(J764/K764,0))),"") </f>
        <v/>
      </c>
      <c r="N764" s="5" t="inlineStr">
        <is>
          <t>m3</t>
        </is>
      </c>
      <c r="O764" s="5" t="inlineStr">
        <is>
          <t>m3</t>
        </is>
      </c>
      <c r="P764" s="5" t="n">
        <v>0</v>
      </c>
      <c r="Q764" s="5" t="n">
        <v>0</v>
      </c>
      <c r="R764" s="5" t="inlineStr">
        <is>
          <t>208-2025-01-31</t>
        </is>
      </c>
    </row>
    <row r="765">
      <c r="A765" s="26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44" t="n">
        <v>45716</v>
      </c>
      <c r="G765" s="5" t="n">
        <v>2025</v>
      </c>
      <c r="H765" s="5" t="inlineStr">
        <is>
          <t>Febrero</t>
        </is>
      </c>
      <c r="I765" s="6" t="inlineStr">
        <is>
          <t>2025-1</t>
        </is>
      </c>
      <c r="J765" s="5" t="n">
        <v>1700</v>
      </c>
      <c r="K765" s="10" t="n">
        <v>1123</v>
      </c>
      <c r="L765" s="28">
        <f>IFERROR(IF(OR(J765=0,K765=""),"",IF(E765="Positivo",MIN(MAX(K765/J765,0),1.0),MIN(MAX(J765/K765,0),1.0))),"") </f>
        <v/>
      </c>
      <c r="M765" s="28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16" t="n">
        <v>0</v>
      </c>
      <c r="Q765" s="16" t="n">
        <v>0</v>
      </c>
      <c r="R765" s="5" t="inlineStr">
        <is>
          <t>208-2025-02-28</t>
        </is>
      </c>
    </row>
    <row r="766">
      <c r="A766" s="26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44" t="n">
        <v>45747</v>
      </c>
      <c r="G766" s="5" t="n">
        <v>2025</v>
      </c>
      <c r="H766" s="5" t="inlineStr">
        <is>
          <t>Marzo</t>
        </is>
      </c>
      <c r="I766" s="6" t="inlineStr">
        <is>
          <t>2025-1</t>
        </is>
      </c>
      <c r="J766" s="5" t="n">
        <v>1700</v>
      </c>
      <c r="K766" s="10" t="n">
        <v>1309.5</v>
      </c>
      <c r="L766" s="28">
        <f>IFERROR(IF(OR(J766=0,K766=""),"",IF(E766="Positivo",MIN(MAX(K766/J766,0),1.0),MIN(MAX(J766/K766,0),1.0))),"") </f>
        <v/>
      </c>
      <c r="M766" s="28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16" t="n">
        <v>0</v>
      </c>
      <c r="Q766" s="16" t="n">
        <v>0</v>
      </c>
      <c r="R766" s="5" t="inlineStr">
        <is>
          <t>208-2025-03-31</t>
        </is>
      </c>
    </row>
    <row r="767">
      <c r="A767" s="26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43" t="n">
        <v>45777</v>
      </c>
      <c r="G767" s="5" t="n">
        <v>2025</v>
      </c>
      <c r="H767" s="5" t="inlineStr">
        <is>
          <t>Abril</t>
        </is>
      </c>
      <c r="I767" s="6" t="inlineStr">
        <is>
          <t>2025-1</t>
        </is>
      </c>
      <c r="J767" s="5" t="n">
        <v>1700</v>
      </c>
      <c r="K767" s="123" t="n">
        <v>1271</v>
      </c>
      <c r="L767" s="28">
        <f>IFERROR(IF(OR(J767=0,K767=""),"",IF(E767="Positivo",MIN(MAX(K767/J767,0),1.0),MIN(MAX(J767/K767,0),1.0))),"") </f>
        <v/>
      </c>
      <c r="M767" s="28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6" t="n">
        <v>0</v>
      </c>
      <c r="Q767" s="16" t="n">
        <v>0</v>
      </c>
      <c r="R767" s="5" t="inlineStr">
        <is>
          <t>208-2025-04-30</t>
        </is>
      </c>
    </row>
    <row r="768">
      <c r="A768" s="39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44" t="n">
        <v>45808</v>
      </c>
      <c r="G768" s="5" t="n">
        <v>2025</v>
      </c>
      <c r="H768" s="5" t="inlineStr">
        <is>
          <t>Mayo</t>
        </is>
      </c>
      <c r="I768" s="6" t="inlineStr">
        <is>
          <t>2025-1</t>
        </is>
      </c>
      <c r="J768" s="5" t="n">
        <v>1700</v>
      </c>
      <c r="K768" s="123" t="n">
        <v>1440.5</v>
      </c>
      <c r="L768" s="28">
        <f>IFERROR(IF(OR(J768=0,K768=""),"",IF(E768="Positivo",MIN(MAX(K768/J768,0),1.0),MIN(MAX(J768/K768,0),1.0))),"") </f>
        <v/>
      </c>
      <c r="M768" s="28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6" t="n">
        <v>0</v>
      </c>
      <c r="Q768" s="16" t="n">
        <v>0</v>
      </c>
      <c r="R768" s="5" t="inlineStr">
        <is>
          <t>208-2025-05-31</t>
        </is>
      </c>
    </row>
    <row r="769">
      <c r="A769" s="5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44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1700</v>
      </c>
      <c r="K769" s="5" t="n">
        <v>1408.5</v>
      </c>
      <c r="L769" s="28">
        <f>IFERROR(IF(OR(J769=0,K769=""),"",IF(E769="Positivo",MIN(MAX(K769/J769,0),1.0),MIN(MAX(J769/K769,0),1.0))),"") </f>
        <v/>
      </c>
      <c r="M769" s="28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5" t="n">
        <v>0</v>
      </c>
      <c r="Q769" s="5" t="n">
        <v>0</v>
      </c>
      <c r="R769" s="5" t="inlineStr">
        <is>
          <t>208-2025-06-30</t>
        </is>
      </c>
    </row>
    <row r="770">
      <c r="A770" s="26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44" t="n">
        <v>45869</v>
      </c>
      <c r="G770" s="5" t="n">
        <v>2025</v>
      </c>
      <c r="H770" s="5" t="inlineStr">
        <is>
          <t>Julio</t>
        </is>
      </c>
      <c r="I770" s="6" t="inlineStr">
        <is>
          <t>2025-2</t>
        </is>
      </c>
      <c r="J770" s="5" t="n">
        <v>1700</v>
      </c>
      <c r="K770" s="10" t="n">
        <v>1043.5</v>
      </c>
      <c r="L770" s="28">
        <f>IFERROR(IF(OR(J770=0,K770=""),"",IF(E770="Positivo",MIN(MAX(K770/J770,0),1.0),MIN(MAX(J770/K770,0),1.0))),"") </f>
        <v/>
      </c>
      <c r="M770" s="28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16" t="n">
        <v>0</v>
      </c>
      <c r="Q770" s="16" t="n">
        <v>0</v>
      </c>
      <c r="R770" s="5" t="inlineStr">
        <is>
          <t>208-2025-07-31</t>
        </is>
      </c>
    </row>
    <row r="771">
      <c r="A771" s="26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43" t="n">
        <v>45900</v>
      </c>
      <c r="G771" s="5" t="n">
        <v>2025</v>
      </c>
      <c r="H771" s="5" t="inlineStr">
        <is>
          <t>Agosto</t>
        </is>
      </c>
      <c r="I771" s="6" t="inlineStr">
        <is>
          <t>2025-2</t>
        </is>
      </c>
      <c r="J771" s="5" t="n">
        <v>1700</v>
      </c>
      <c r="K771" s="123" t="n">
        <v>1261</v>
      </c>
      <c r="L771" s="28">
        <f>IFERROR(IF(OR(J771=0,K771=""),"",IF(E771="Positivo",MIN(MAX(K771/J771,0),1.0),MIN(MAX(J771/K771,0),1.0))),"") </f>
        <v/>
      </c>
      <c r="M771" s="28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16" t="n">
        <v>0</v>
      </c>
      <c r="Q771" s="16" t="n">
        <v>0</v>
      </c>
      <c r="R771" s="5" t="inlineStr">
        <is>
          <t>208-2025-08-31</t>
        </is>
      </c>
    </row>
    <row r="772">
      <c r="A772" s="39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44" t="n">
        <v>45930</v>
      </c>
      <c r="G772" s="5" t="n">
        <v>2025</v>
      </c>
      <c r="H772" s="5" t="inlineStr">
        <is>
          <t>Septiembre</t>
        </is>
      </c>
      <c r="I772" s="6" t="inlineStr">
        <is>
          <t>2025-2</t>
        </is>
      </c>
      <c r="J772" s="5" t="n">
        <v>1700</v>
      </c>
      <c r="K772" s="123" t="n">
        <v>1352</v>
      </c>
      <c r="L772" s="28">
        <f>IFERROR(IF(OR(J772=0,K772=""),"",IF(E772="Positivo",MIN(MAX(K772/J772,0),1.0),MIN(MAX(J772/K772,0),1.0))),"") </f>
        <v/>
      </c>
      <c r="M772" s="28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6" t="n">
        <v>0</v>
      </c>
      <c r="Q772" s="16" t="n">
        <v>0</v>
      </c>
      <c r="R772" s="5" t="inlineStr">
        <is>
          <t>208-2025-09-30</t>
        </is>
      </c>
    </row>
    <row r="773">
      <c r="A773" s="5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44" t="n">
        <v>45961</v>
      </c>
      <c r="G773" s="5" t="n">
        <v>2025</v>
      </c>
      <c r="H773" s="5" t="inlineStr">
        <is>
          <t>Octubre</t>
        </is>
      </c>
      <c r="I773" s="6" t="inlineStr">
        <is>
          <t>2025-2</t>
        </is>
      </c>
      <c r="J773" s="5" t="n">
        <v>1700</v>
      </c>
      <c r="K773" s="5" t="n">
        <v>1260.5</v>
      </c>
      <c r="L773" s="28">
        <f>IFERROR(IF(OR(J773=0,K773=""),"",IF(E773="Positivo",MIN(MAX(K773/J773,0),1.0),MIN(MAX(J773/K773,0),1.0))),"") </f>
        <v/>
      </c>
      <c r="M773" s="28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5" t="n">
        <v>0</v>
      </c>
      <c r="Q773" s="5" t="n">
        <v>0</v>
      </c>
      <c r="R773" s="5" t="inlineStr">
        <is>
          <t>208-2025-10-31</t>
        </is>
      </c>
    </row>
    <row r="774">
      <c r="A774" s="26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44" t="n">
        <v>45991</v>
      </c>
      <c r="G774" s="5" t="n">
        <v>2025</v>
      </c>
      <c r="H774" s="5" t="inlineStr">
        <is>
          <t>Noviembre</t>
        </is>
      </c>
      <c r="I774" s="6" t="inlineStr">
        <is>
          <t>2025-2</t>
        </is>
      </c>
      <c r="J774" s="5" t="n">
        <v>1700</v>
      </c>
      <c r="K774" s="10" t="n">
        <v>1126</v>
      </c>
      <c r="L774" s="28">
        <f>IFERROR(IF(OR(J774=0,K774=""),"",IF(E774="Positivo",MIN(MAX(K774/J774,0),1.0),MIN(MAX(J774/K774,0),1.0))),"") </f>
        <v/>
      </c>
      <c r="M774" s="28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16" t="n">
        <v>0</v>
      </c>
      <c r="Q774" s="16" t="n">
        <v>0</v>
      </c>
      <c r="R774" s="5" t="inlineStr">
        <is>
          <t>208-2025-11-30</t>
        </is>
      </c>
    </row>
    <row r="775">
      <c r="A775" s="26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43" t="n">
        <v>46022</v>
      </c>
      <c r="G775" s="5" t="n">
        <v>2025</v>
      </c>
      <c r="H775" s="5" t="inlineStr">
        <is>
          <t>Diciembre</t>
        </is>
      </c>
      <c r="I775" s="6" t="inlineStr">
        <is>
          <t>2025-2</t>
        </is>
      </c>
      <c r="J775" s="5" t="n">
        <v>1700</v>
      </c>
      <c r="K775" s="123" t="n">
        <v>1059</v>
      </c>
      <c r="L775" s="28">
        <f>IFERROR(IF(OR(J775=0,K775=""),"",IF(E775="Positivo",MIN(MAX(K775/J775,0),1.0),MIN(MAX(J775/K775,0),1.0))),"") </f>
        <v/>
      </c>
      <c r="M775" s="28">
        <f>IFERROR(IF(OR(J775=0,K775=""),"",IF(E775="Positivo",MAX(K775/J775,0),MAX(J775/K775,0))),"") </f>
        <v/>
      </c>
      <c r="N775" s="5" t="inlineStr">
        <is>
          <t>m3</t>
        </is>
      </c>
      <c r="O775" s="5" t="inlineStr">
        <is>
          <t>m3</t>
        </is>
      </c>
      <c r="P775" s="16" t="n">
        <v>0</v>
      </c>
      <c r="Q775" s="16" t="n">
        <v>0</v>
      </c>
      <c r="R775" s="5" t="inlineStr">
        <is>
          <t>208-2025-12-31</t>
        </is>
      </c>
    </row>
    <row r="776">
      <c r="A776" s="5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144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90</v>
      </c>
      <c r="K776" s="5" t="n">
        <v>0</v>
      </c>
      <c r="L776" s="28">
        <f>IFERROR(IF(OR(J776=0,K776=""),"",IF(E776="Positivo",MIN(MAX(K776/J776,0),1.3),MIN(MAX(J776/K776,0),1.3))),"") </f>
        <v/>
      </c>
      <c r="M776" s="28">
        <f>IFERROR(IF(OR(J776=0,K776=""),"",IF(E776="Positivo",MAX(K776/J776,0),MAX(J776/K776,0))),"") </f>
        <v/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 t="inlineStr">
        <is>
          <t>213-2022-03-31</t>
        </is>
      </c>
    </row>
    <row r="777">
      <c r="A777" s="26" t="n">
        <v>213</v>
      </c>
      <c r="B777" s="5" t="inlineStr">
        <is>
          <t>Cumplimiento del Plan Anual del Sistema de Gestión Ambiental</t>
        </is>
      </c>
      <c r="C777" s="5" t="inlineStr">
        <is>
          <t>GESTIÓN AMBIENTAL</t>
        </is>
      </c>
      <c r="D777" s="5" t="inlineStr">
        <is>
          <t>Semestral</t>
        </is>
      </c>
      <c r="E777" s="5" t="inlineStr">
        <is>
          <t>Positivo</t>
        </is>
      </c>
      <c r="F777" s="144" t="n">
        <v>44742</v>
      </c>
      <c r="G777" s="5" t="n">
        <v>2022</v>
      </c>
      <c r="H777" s="5" t="inlineStr">
        <is>
          <t>Junio</t>
        </is>
      </c>
      <c r="I777" s="6" t="inlineStr">
        <is>
          <t>2022-1</t>
        </is>
      </c>
      <c r="J777" s="5" t="n">
        <v>90</v>
      </c>
      <c r="K777" s="10" t="n">
        <v>0</v>
      </c>
      <c r="L777" s="28">
        <f>IFERROR(IF(OR(J777=0,K777=""),"",IF(E777="Positivo",MIN(MAX(K777/J777,0),1.3),MIN(MAX(J777/K777,0),1.3))),"") </f>
        <v/>
      </c>
      <c r="M777" s="28">
        <f>IFERROR(IF(OR(J777=0,K777=""),"",IF(E777="Positivo",MAX(K777/J777,0),MAX(J777/K777,0))),"") </f>
        <v/>
      </c>
      <c r="N777" s="5" t="inlineStr">
        <is>
          <t>%</t>
        </is>
      </c>
      <c r="O777" s="5" t="inlineStr">
        <is>
          <t>%</t>
        </is>
      </c>
      <c r="P777" s="16" t="n">
        <v>0</v>
      </c>
      <c r="Q777" s="16" t="n">
        <v>0</v>
      </c>
      <c r="R777" s="5" t="inlineStr">
        <is>
          <t>213-2022-06-30</t>
        </is>
      </c>
    </row>
    <row r="778">
      <c r="A778" s="26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144" t="n">
        <v>44834</v>
      </c>
      <c r="G778" s="5" t="n">
        <v>2022</v>
      </c>
      <c r="H778" s="5" t="inlineStr">
        <is>
          <t>Septiembre</t>
        </is>
      </c>
      <c r="I778" s="6" t="inlineStr">
        <is>
          <t>2022-2</t>
        </is>
      </c>
      <c r="J778" s="5" t="n">
        <v>90</v>
      </c>
      <c r="K778" s="123" t="n">
        <v>0</v>
      </c>
      <c r="L778" s="28">
        <f>IFERROR(IF(OR(J778=0,K778=""),"",IF(E778="Positivo",MIN(MAX(K778/J778,0),1.3),MIN(MAX(J778/K778,0),1.3))),"") </f>
        <v/>
      </c>
      <c r="M778" s="28">
        <f>IFERROR(IF(OR(J778=0,K778=""),"",IF(E778="Positivo",MAX(K778/J778,0),MAX(J778/K778,0))),"") </f>
        <v/>
      </c>
      <c r="N778" s="5" t="inlineStr">
        <is>
          <t>%</t>
        </is>
      </c>
      <c r="O778" s="5" t="inlineStr">
        <is>
          <t>%</t>
        </is>
      </c>
      <c r="P778" s="16" t="n">
        <v>0</v>
      </c>
      <c r="Q778" s="16" t="n">
        <v>0</v>
      </c>
      <c r="R778" s="5" t="inlineStr">
        <is>
          <t>213-2022-09-30</t>
        </is>
      </c>
    </row>
    <row r="779">
      <c r="A779" s="26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Semestral</t>
        </is>
      </c>
      <c r="E779" s="5" t="inlineStr">
        <is>
          <t>Positivo</t>
        </is>
      </c>
      <c r="F779" s="144" t="n">
        <v>44926</v>
      </c>
      <c r="G779" s="5" t="n">
        <v>2022</v>
      </c>
      <c r="H779" s="5" t="inlineStr">
        <is>
          <t>Diciembre</t>
        </is>
      </c>
      <c r="I779" s="6" t="inlineStr">
        <is>
          <t>2022-2</t>
        </is>
      </c>
      <c r="J779" s="5" t="n">
        <v>90</v>
      </c>
      <c r="K779" s="123" t="n">
        <v>0</v>
      </c>
      <c r="L779" s="28">
        <f>IFERROR(IF(OR(J779=0,K779=""),"",IF(E779="Positivo",MIN(MAX(K779/J779,0),1.3),MIN(MAX(J779/K779,0),1.3))),"") </f>
        <v/>
      </c>
      <c r="M779" s="28">
        <f>IFERROR(IF(OR(J779=0,K779=""),"",IF(E779="Positivo",MAX(K779/J779,0),MAX(J779/K779,0))),"") </f>
        <v/>
      </c>
      <c r="N779" s="5" t="inlineStr">
        <is>
          <t>%</t>
        </is>
      </c>
      <c r="O779" s="5" t="inlineStr">
        <is>
          <t>%</t>
        </is>
      </c>
      <c r="P779" s="16" t="n">
        <v>0</v>
      </c>
      <c r="Q779" s="16" t="n">
        <v>0</v>
      </c>
      <c r="R779" s="5" t="inlineStr">
        <is>
          <t>213-2022-12-31</t>
        </is>
      </c>
    </row>
    <row r="780">
      <c r="A780" s="43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5" t="inlineStr">
        <is>
          <t>Trimestral</t>
        </is>
      </c>
      <c r="E780" s="5" t="inlineStr">
        <is>
          <t>Positivo</t>
        </is>
      </c>
      <c r="F780" s="144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90</v>
      </c>
      <c r="K780" s="123" t="n">
        <v>100</v>
      </c>
      <c r="L780" s="28">
        <f>IFERROR(IF(OR(J780=0,K780=""),"",IF(E780="Positivo",MIN(MAX(K780/J780,0),1.3),MIN(MAX(J780/K780,0),1.3))),"") </f>
        <v/>
      </c>
      <c r="M780" s="28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6" t="n">
        <v>0</v>
      </c>
      <c r="Q780" s="16" t="n">
        <v>0</v>
      </c>
      <c r="R780" s="5" t="inlineStr">
        <is>
          <t>213-2023-03-31</t>
        </is>
      </c>
    </row>
    <row r="781">
      <c r="A781" s="39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144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90</v>
      </c>
      <c r="K781" s="123" t="n">
        <v>93.33</v>
      </c>
      <c r="L781" s="28">
        <f>IFERROR(IF(OR(J781=0,K781=""),"",IF(E781="Positivo",MIN(MAX(K781/J781,0),1.3),MIN(MAX(J781/K781,0),1.3))),"") </f>
        <v/>
      </c>
      <c r="M781" s="28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16" t="n">
        <v>0</v>
      </c>
      <c r="Q781" s="16" t="n">
        <v>0</v>
      </c>
      <c r="R781" s="5" t="inlineStr">
        <is>
          <t>213-2023-06-30</t>
        </is>
      </c>
    </row>
    <row r="782">
      <c r="A782" s="26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Trimestral</t>
        </is>
      </c>
      <c r="E782" s="5" t="inlineStr">
        <is>
          <t>Positivo</t>
        </is>
      </c>
      <c r="F782" s="144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90</v>
      </c>
      <c r="K782" s="10" t="n">
        <v>86.40000000000001</v>
      </c>
      <c r="L782" s="28">
        <f>IFERROR(IF(OR(J782=0,K782=""),"",IF(E782="Positivo",MIN(MAX(K782/J782,0),1.3),MIN(MAX(J782/K782,0),1.3))),"") </f>
        <v/>
      </c>
      <c r="M782" s="28">
        <f>IFERROR(IF(OR(J782=0,K782=""),"",IF(E782="Positivo",MAX(K782/J782,0),MAX(J782/K782,0))),"") </f>
        <v/>
      </c>
      <c r="N782" s="5" t="inlineStr">
        <is>
          <t>m3</t>
        </is>
      </c>
      <c r="O782" s="5" t="inlineStr">
        <is>
          <t>m3</t>
        </is>
      </c>
      <c r="P782" s="16" t="n">
        <v>1</v>
      </c>
      <c r="Q782" s="16" t="n">
        <v>1</v>
      </c>
      <c r="R782" s="5" t="inlineStr">
        <is>
          <t>213-2023-09-30</t>
        </is>
      </c>
    </row>
    <row r="783">
      <c r="A783" s="5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Semestral</t>
        </is>
      </c>
      <c r="E783" s="5" t="inlineStr">
        <is>
          <t>Positivo</t>
        </is>
      </c>
      <c r="F783" s="144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90</v>
      </c>
      <c r="K783" s="5" t="n">
        <v>100</v>
      </c>
      <c r="L783" s="28">
        <f>IFERROR(IF(OR(J783=0,K783=""),"",IF(E783="Positivo",MIN(MAX(K783/J783,0),1.3),MIN(MAX(J783/K783,0),1.3))),"") </f>
        <v/>
      </c>
      <c r="M783" s="28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213-2023-12-31</t>
        </is>
      </c>
    </row>
    <row r="784">
      <c r="A784" s="26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144" t="n">
        <v>45382</v>
      </c>
      <c r="G784" s="5" t="n">
        <v>2024</v>
      </c>
      <c r="H784" s="5" t="inlineStr">
        <is>
          <t>Marzo</t>
        </is>
      </c>
      <c r="I784" s="6" t="inlineStr">
        <is>
          <t>2024-1</t>
        </is>
      </c>
      <c r="J784" s="5" t="n">
        <v>90</v>
      </c>
      <c r="K784" s="10" t="n">
        <v>100</v>
      </c>
      <c r="L784" s="28">
        <f>IFERROR(IF(OR(J784=0,K784=""),"",IF(E784="Positivo",MIN(MAX(K784/J784,0),1.3),MIN(MAX(J784/K784,0),1.3))),"") </f>
        <v/>
      </c>
      <c r="M784" s="28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16" t="n">
        <v>0</v>
      </c>
      <c r="Q784" s="16" t="n">
        <v>0</v>
      </c>
      <c r="R784" s="5" t="inlineStr">
        <is>
          <t>213-2024-03-31</t>
        </is>
      </c>
    </row>
    <row r="785">
      <c r="A785" s="26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144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90</v>
      </c>
      <c r="K785" s="10" t="n">
        <v>100</v>
      </c>
      <c r="L785" s="28">
        <f>IFERROR(IF(OR(J785=0,K785=""),"",IF(E785="Positivo",MIN(MAX(K785/J785,0),1.3),MIN(MAX(J785/K785,0),1.3))),"") </f>
        <v/>
      </c>
      <c r="M785" s="28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16" t="n">
        <v>0</v>
      </c>
      <c r="Q785" s="16" t="n">
        <v>0</v>
      </c>
      <c r="R785" s="5" t="inlineStr">
        <is>
          <t>213-2024-06-30</t>
        </is>
      </c>
    </row>
    <row r="786">
      <c r="A786" s="26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143" t="n">
        <v>45565</v>
      </c>
      <c r="G786" s="5" t="n">
        <v>2024</v>
      </c>
      <c r="H786" s="5" t="inlineStr">
        <is>
          <t>Septiembre</t>
        </is>
      </c>
      <c r="I786" s="6" t="inlineStr">
        <is>
          <t>2024-2</t>
        </is>
      </c>
      <c r="J786" s="5" t="n">
        <v>90</v>
      </c>
      <c r="K786" s="123" t="n">
        <v>97.79000000000001</v>
      </c>
      <c r="L786" s="28">
        <f>IFERROR(IF(OR(J786=0,K786=""),"",IF(E786="Positivo",MIN(MAX(K786/J786,0),1.3),MIN(MAX(J786/K786,0),1.3))),"") </f>
        <v/>
      </c>
      <c r="M786" s="28">
        <f>IFERROR(IF(OR(J786=0,K786=""),"",IF(E786="Positivo",MAX(K786/J786,0),MAX(J786/K786,0))),"") </f>
        <v/>
      </c>
      <c r="N786" s="5" t="inlineStr">
        <is>
          <t>%</t>
        </is>
      </c>
      <c r="O786" s="5" t="inlineStr">
        <is>
          <t>%</t>
        </is>
      </c>
      <c r="P786" s="16" t="n">
        <v>0</v>
      </c>
      <c r="Q786" s="16" t="n">
        <v>0</v>
      </c>
      <c r="R786" s="5" t="inlineStr">
        <is>
          <t>213-2024-09-30</t>
        </is>
      </c>
    </row>
    <row r="787">
      <c r="A787" s="39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Trimestral</t>
        </is>
      </c>
      <c r="E787" s="5" t="inlineStr">
        <is>
          <t>Positivo</t>
        </is>
      </c>
      <c r="F787" s="144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5" t="n">
        <v>90</v>
      </c>
      <c r="K787" s="123" t="n">
        <v>100</v>
      </c>
      <c r="L787" s="28">
        <f>IFERROR(IF(OR(J787=0,K787=""),"",IF(E787="Positivo",MIN(MAX(K787/J787,0),1.3),MIN(MAX(J787/K787,0),1.3))),"") </f>
        <v/>
      </c>
      <c r="M787" s="28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16" t="n">
        <v>0</v>
      </c>
      <c r="Q787" s="16" t="n">
        <v>0</v>
      </c>
      <c r="R787" s="5" t="inlineStr">
        <is>
          <t>213-2024-12-31</t>
        </is>
      </c>
    </row>
    <row r="788">
      <c r="A788" s="5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144" t="n">
        <v>45747</v>
      </c>
      <c r="G788" s="5" t="n">
        <v>2025</v>
      </c>
      <c r="H788" s="5" t="inlineStr">
        <is>
          <t>Marzo</t>
        </is>
      </c>
      <c r="I788" s="6" t="inlineStr">
        <is>
          <t>2025-1</t>
        </is>
      </c>
      <c r="J788" s="5" t="n">
        <v>90</v>
      </c>
      <c r="K788" s="5" t="n">
        <v>100</v>
      </c>
      <c r="L788" s="28">
        <f>IFERROR(IF(OR(J788=0,K788=""),"",IF(E788="Positivo",MIN(MAX(K788/J788,0),1.3),MIN(MAX(J788/K788,0),1.3))),"") </f>
        <v/>
      </c>
      <c r="M788" s="28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213-2025-03-31</t>
        </is>
      </c>
    </row>
    <row r="789">
      <c r="A789" s="26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44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90</v>
      </c>
      <c r="K789" s="10" t="n">
        <v>94.63</v>
      </c>
      <c r="L789" s="28">
        <f>IFERROR(IF(OR(J789=0,K789=""),"",IF(E789="Positivo",MIN(MAX(K789/J789,0),1.3),MIN(MAX(J789/K789,0),1.3))),"") </f>
        <v/>
      </c>
      <c r="M789" s="28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16" t="n">
        <v>0</v>
      </c>
      <c r="Q789" s="16" t="n">
        <v>0</v>
      </c>
      <c r="R789" s="5" t="inlineStr">
        <is>
          <t>213-2025-06-30</t>
        </is>
      </c>
    </row>
    <row r="790">
      <c r="A790" s="26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43" t="n">
        <v>45930</v>
      </c>
      <c r="G790" s="5" t="n">
        <v>2025</v>
      </c>
      <c r="H790" s="5" t="inlineStr">
        <is>
          <t>Septiembre</t>
        </is>
      </c>
      <c r="I790" s="6" t="inlineStr">
        <is>
          <t>2025-2</t>
        </is>
      </c>
      <c r="J790" s="5" t="n">
        <v>90</v>
      </c>
      <c r="K790" s="123" t="n">
        <v>100</v>
      </c>
      <c r="L790" s="28">
        <f>IFERROR(IF(OR(J790=0,K790=""),"",IF(E790="Positivo",MIN(MAX(K790/J790,0),1.3),MIN(MAX(J790/K790,0),1.3))),"") </f>
        <v/>
      </c>
      <c r="M790" s="28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16" t="n">
        <v>0</v>
      </c>
      <c r="Q790" s="16" t="n">
        <v>0</v>
      </c>
      <c r="R790" s="5" t="inlineStr">
        <is>
          <t>213-2025-09-30</t>
        </is>
      </c>
    </row>
    <row r="791">
      <c r="A791" s="39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44" t="n">
        <v>46022</v>
      </c>
      <c r="G791" s="5" t="n">
        <v>2025</v>
      </c>
      <c r="H791" s="5" t="inlineStr">
        <is>
          <t>Diciembre</t>
        </is>
      </c>
      <c r="I791" s="6" t="inlineStr">
        <is>
          <t>2025-2</t>
        </is>
      </c>
      <c r="J791" s="5" t="n">
        <v>90</v>
      </c>
      <c r="K791" s="123" t="n">
        <v>100</v>
      </c>
      <c r="L791" s="28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16" t="n">
        <v>0</v>
      </c>
      <c r="Q791" s="16" t="n">
        <v>0</v>
      </c>
      <c r="R791" s="5" t="inlineStr">
        <is>
          <t>213-2025-12-31</t>
        </is>
      </c>
    </row>
    <row r="792">
      <c r="A792" s="5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144" t="n">
        <v>44592</v>
      </c>
      <c r="G792" s="5" t="n">
        <v>2022</v>
      </c>
      <c r="H792" s="5" t="inlineStr">
        <is>
          <t>Enero</t>
        </is>
      </c>
      <c r="I792" s="6" t="inlineStr">
        <is>
          <t>2022-1</t>
        </is>
      </c>
      <c r="J792" s="5" t="n">
        <v>7500</v>
      </c>
      <c r="K792" s="5" t="n">
        <v>777</v>
      </c>
      <c r="L792" s="28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Kg</t>
        </is>
      </c>
      <c r="O792" s="5" t="inlineStr">
        <is>
          <t>Kg</t>
        </is>
      </c>
      <c r="P792" s="5" t="n">
        <v>0</v>
      </c>
      <c r="Q792" s="5" t="n">
        <v>0</v>
      </c>
      <c r="R792" s="5" t="inlineStr">
        <is>
          <t>214-2022-01-31</t>
        </is>
      </c>
    </row>
    <row r="793">
      <c r="A793" s="26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44" t="n">
        <v>44620</v>
      </c>
      <c r="G793" s="5" t="n">
        <v>2022</v>
      </c>
      <c r="H793" s="5" t="inlineStr">
        <is>
          <t>Febrero</t>
        </is>
      </c>
      <c r="I793" s="6" t="inlineStr">
        <is>
          <t>2022-1</t>
        </is>
      </c>
      <c r="J793" s="5" t="n">
        <v>7500</v>
      </c>
      <c r="K793" s="10" t="n">
        <v>992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inlineStr">
        <is>
          <t>Kg</t>
        </is>
      </c>
      <c r="O793" s="5" t="inlineStr">
        <is>
          <t>Kg</t>
        </is>
      </c>
      <c r="P793" s="16" t="n">
        <v>0</v>
      </c>
      <c r="Q793" s="16" t="n">
        <v>0</v>
      </c>
      <c r="R793" s="5" t="inlineStr">
        <is>
          <t>214-2022-02-28</t>
        </is>
      </c>
    </row>
    <row r="794">
      <c r="A794" s="26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23" t="inlineStr">
        <is>
          <t>Mensual</t>
        </is>
      </c>
      <c r="E794" s="5" t="inlineStr">
        <is>
          <t>Negativo</t>
        </is>
      </c>
      <c r="F794" s="144" t="n">
        <v>44651</v>
      </c>
      <c r="G794" s="5" t="n">
        <v>2022</v>
      </c>
      <c r="H794" s="5" t="inlineStr">
        <is>
          <t>Marzo</t>
        </is>
      </c>
      <c r="I794" s="6" t="inlineStr">
        <is>
          <t>2022-1</t>
        </is>
      </c>
      <c r="J794" s="5" t="n">
        <v>7500</v>
      </c>
      <c r="K794" s="123" t="n">
        <v>1233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inlineStr">
        <is>
          <t>Kg</t>
        </is>
      </c>
      <c r="O794" s="5" t="inlineStr">
        <is>
          <t>Kg</t>
        </is>
      </c>
      <c r="P794" s="16" t="n">
        <v>0</v>
      </c>
      <c r="Q794" s="16" t="n">
        <v>0</v>
      </c>
      <c r="R794" s="5" t="inlineStr">
        <is>
          <t>214-2022-03-31</t>
        </is>
      </c>
    </row>
    <row r="795">
      <c r="A795" s="39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44" t="n">
        <v>44681</v>
      </c>
      <c r="G795" s="5" t="n">
        <v>2022</v>
      </c>
      <c r="H795" s="5" t="inlineStr">
        <is>
          <t>Abril</t>
        </is>
      </c>
      <c r="I795" s="6" t="inlineStr">
        <is>
          <t>2022-1</t>
        </is>
      </c>
      <c r="J795" s="5" t="n">
        <v>7500</v>
      </c>
      <c r="K795" s="123" t="n">
        <v>1176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inlineStr">
        <is>
          <t>Kg</t>
        </is>
      </c>
      <c r="O795" s="5" t="inlineStr">
        <is>
          <t>Kg</t>
        </is>
      </c>
      <c r="P795" s="16" t="n">
        <v>0</v>
      </c>
      <c r="Q795" s="16" t="n">
        <v>0</v>
      </c>
      <c r="R795" s="5" t="inlineStr">
        <is>
          <t>214-2022-04-30</t>
        </is>
      </c>
    </row>
    <row r="796">
      <c r="A796" s="5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44" t="n">
        <v>44712</v>
      </c>
      <c r="G796" s="5" t="n">
        <v>2022</v>
      </c>
      <c r="H796" s="5" t="inlineStr">
        <is>
          <t>Mayo</t>
        </is>
      </c>
      <c r="I796" s="6" t="inlineStr">
        <is>
          <t>2022-1</t>
        </is>
      </c>
      <c r="J796" s="5" t="n">
        <v>7500</v>
      </c>
      <c r="K796" s="5" t="n">
        <v>811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inlineStr">
        <is>
          <t>Kg</t>
        </is>
      </c>
      <c r="O796" s="5" t="inlineStr">
        <is>
          <t>Kg</t>
        </is>
      </c>
      <c r="P796" s="5" t="n">
        <v>0</v>
      </c>
      <c r="Q796" s="5" t="n">
        <v>0</v>
      </c>
      <c r="R796" s="5" t="inlineStr">
        <is>
          <t>214-2022-05-31</t>
        </is>
      </c>
    </row>
    <row r="797">
      <c r="A797" s="26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44" t="n">
        <v>44742</v>
      </c>
      <c r="G797" s="5" t="n">
        <v>2022</v>
      </c>
      <c r="H797" s="5" t="inlineStr">
        <is>
          <t>Junio</t>
        </is>
      </c>
      <c r="I797" s="6" t="inlineStr">
        <is>
          <t>2022-1</t>
        </is>
      </c>
      <c r="J797" s="5" t="n">
        <v>7500</v>
      </c>
      <c r="K797" s="10" t="n">
        <v>895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inlineStr">
        <is>
          <t>Kg</t>
        </is>
      </c>
      <c r="O797" s="5" t="inlineStr">
        <is>
          <t>Kg</t>
        </is>
      </c>
      <c r="P797" s="16" t="n">
        <v>0</v>
      </c>
      <c r="Q797" s="16" t="n">
        <v>0</v>
      </c>
      <c r="R797" s="5" t="inlineStr">
        <is>
          <t>214-2022-06-30</t>
        </is>
      </c>
    </row>
    <row r="798">
      <c r="A798" s="26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43" t="n">
        <v>44773</v>
      </c>
      <c r="G798" s="5" t="n">
        <v>2022</v>
      </c>
      <c r="H798" s="5" t="inlineStr">
        <is>
          <t>Julio</t>
        </is>
      </c>
      <c r="I798" s="6" t="inlineStr">
        <is>
          <t>2022-2</t>
        </is>
      </c>
      <c r="J798" s="5" t="n">
        <v>7500</v>
      </c>
      <c r="K798" s="123" t="n">
        <v>725</v>
      </c>
      <c r="L798" s="28">
        <f>IFERROR(IF(OR(J798=0,K798=""),"",IF(E798="Positivo",MIN(MAX(K798/J798,0),1.3),MIN(MAX(J798/K798,0),1.3))),"") </f>
        <v/>
      </c>
      <c r="M798" s="28">
        <f>IFERROR(IF(OR(J798=0,K798=""),"",IF(E798="Positivo",MAX(K798/J798,0),MAX(J798/K798,0))),"") </f>
        <v/>
      </c>
      <c r="N798" s="5" t="inlineStr">
        <is>
          <t>Kg</t>
        </is>
      </c>
      <c r="O798" s="5" t="inlineStr">
        <is>
          <t>Kg</t>
        </is>
      </c>
      <c r="P798" s="16" t="n">
        <v>0</v>
      </c>
      <c r="Q798" s="16" t="n">
        <v>0</v>
      </c>
      <c r="R798" s="5" t="inlineStr">
        <is>
          <t>214-2022-07-31</t>
        </is>
      </c>
    </row>
    <row r="799">
      <c r="A799" s="39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44" t="n">
        <v>44804</v>
      </c>
      <c r="G799" s="5" t="n">
        <v>2022</v>
      </c>
      <c r="H799" s="5" t="inlineStr">
        <is>
          <t>Agosto</t>
        </is>
      </c>
      <c r="I799" s="6" t="inlineStr">
        <is>
          <t>2022-2</t>
        </is>
      </c>
      <c r="J799" s="5" t="n">
        <v>7500</v>
      </c>
      <c r="K799" s="123" t="n">
        <v>383</v>
      </c>
      <c r="L799" s="28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Kg</t>
        </is>
      </c>
      <c r="O799" s="5" t="inlineStr">
        <is>
          <t>Kg</t>
        </is>
      </c>
      <c r="P799" s="16" t="n">
        <v>0</v>
      </c>
      <c r="Q799" s="16" t="n">
        <v>0</v>
      </c>
      <c r="R799" s="5" t="inlineStr">
        <is>
          <t>214-2022-08-31</t>
        </is>
      </c>
    </row>
    <row r="800">
      <c r="A800" s="5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44" t="n">
        <v>44834</v>
      </c>
      <c r="G800" s="5" t="n">
        <v>2022</v>
      </c>
      <c r="H800" s="5" t="inlineStr">
        <is>
          <t>Septiembre</t>
        </is>
      </c>
      <c r="I800" s="6" t="inlineStr">
        <is>
          <t>2022-2</t>
        </is>
      </c>
      <c r="J800" s="5" t="n">
        <v>7500</v>
      </c>
      <c r="K800" s="5" t="n">
        <v>1553</v>
      </c>
      <c r="L800" s="28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Kg</t>
        </is>
      </c>
      <c r="O800" s="5" t="inlineStr">
        <is>
          <t>Kg</t>
        </is>
      </c>
      <c r="P800" s="5" t="n">
        <v>0</v>
      </c>
      <c r="Q800" s="5" t="n">
        <v>0</v>
      </c>
      <c r="R800" s="5" t="inlineStr">
        <is>
          <t>214-2022-09-30</t>
        </is>
      </c>
    </row>
    <row r="801">
      <c r="A801" s="26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44" t="n">
        <v>44865</v>
      </c>
      <c r="G801" s="5" t="n">
        <v>2022</v>
      </c>
      <c r="H801" s="5" t="inlineStr">
        <is>
          <t>Octubre</t>
        </is>
      </c>
      <c r="I801" s="6" t="inlineStr">
        <is>
          <t>2022-2</t>
        </is>
      </c>
      <c r="J801" s="5" t="n">
        <v>7500</v>
      </c>
      <c r="K801" s="10" t="n">
        <v>1756</v>
      </c>
      <c r="L801" s="28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inlineStr">
        <is>
          <t>Kg</t>
        </is>
      </c>
      <c r="O801" s="5" t="inlineStr">
        <is>
          <t>Kg</t>
        </is>
      </c>
      <c r="P801" s="16" t="n">
        <v>0</v>
      </c>
      <c r="Q801" s="16" t="n">
        <v>0</v>
      </c>
      <c r="R801" s="5" t="inlineStr">
        <is>
          <t>214-2022-10-31</t>
        </is>
      </c>
    </row>
    <row r="802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43" t="n">
        <v>44895</v>
      </c>
      <c r="G802" s="5" t="n">
        <v>2022</v>
      </c>
      <c r="H802" s="5" t="inlineStr">
        <is>
          <t>Noviembre</t>
        </is>
      </c>
      <c r="I802" s="6" t="inlineStr">
        <is>
          <t>2022-2</t>
        </is>
      </c>
      <c r="J802" s="5" t="n">
        <v>7500</v>
      </c>
      <c r="K802" s="123" t="n">
        <v>1786.799987792969</v>
      </c>
      <c r="L802" s="28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inlineStr">
        <is>
          <t>Kg</t>
        </is>
      </c>
      <c r="O802" s="5" t="inlineStr">
        <is>
          <t>Kg</t>
        </is>
      </c>
      <c r="P802" s="16" t="n">
        <v>0</v>
      </c>
      <c r="Q802" s="16" t="n">
        <v>0</v>
      </c>
      <c r="R802" s="5" t="inlineStr">
        <is>
          <t>214-2022-11-30</t>
        </is>
      </c>
    </row>
    <row r="803">
      <c r="A803" s="39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44" t="n">
        <v>44926</v>
      </c>
      <c r="G803" s="5" t="n">
        <v>2022</v>
      </c>
      <c r="H803" s="5" t="inlineStr">
        <is>
          <t>Diciembre</t>
        </is>
      </c>
      <c r="I803" s="6" t="inlineStr">
        <is>
          <t>2022-2</t>
        </is>
      </c>
      <c r="J803" s="5" t="n">
        <v>7500</v>
      </c>
      <c r="K803" s="123" t="n">
        <v>1138.149993896484</v>
      </c>
      <c r="L803" s="28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inlineStr">
        <is>
          <t>Kg</t>
        </is>
      </c>
      <c r="O803" s="5" t="inlineStr">
        <is>
          <t>Kg</t>
        </is>
      </c>
      <c r="P803" s="16" t="n">
        <v>0</v>
      </c>
      <c r="Q803" s="16" t="n">
        <v>0</v>
      </c>
      <c r="R803" s="5" t="inlineStr">
        <is>
          <t>214-2022-12-31</t>
        </is>
      </c>
    </row>
    <row r="804">
      <c r="A804" s="5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44" t="n">
        <v>44957</v>
      </c>
      <c r="G804" s="5" t="n">
        <v>2023</v>
      </c>
      <c r="H804" s="5" t="inlineStr">
        <is>
          <t>Enero</t>
        </is>
      </c>
      <c r="I804" s="6" t="inlineStr">
        <is>
          <t>2023-1</t>
        </is>
      </c>
      <c r="J804" s="5" t="n">
        <v>7500</v>
      </c>
      <c r="K804" s="5" t="n">
        <v>1399.55</v>
      </c>
      <c r="L804" s="28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inlineStr">
        <is>
          <t>Linea Base</t>
        </is>
      </c>
      <c r="O804" s="5" t="inlineStr">
        <is>
          <t>Kg</t>
        </is>
      </c>
      <c r="P804" s="5" t="n">
        <v>0</v>
      </c>
      <c r="Q804" s="5" t="n">
        <v>0</v>
      </c>
      <c r="R804" s="5" t="inlineStr">
        <is>
          <t>214-2023-01-31</t>
        </is>
      </c>
    </row>
    <row r="805">
      <c r="A805" s="26" t="n">
        <v>214</v>
      </c>
      <c r="B805" s="5" t="inlineStr">
        <is>
          <t>Generación de Residuos Sólidos Mensual</t>
        </is>
      </c>
      <c r="C805" s="5" t="inlineStr">
        <is>
          <t>GESTIÓN AMBIENTAL</t>
        </is>
      </c>
      <c r="D805" s="5" t="inlineStr">
        <is>
          <t>Mensual</t>
        </is>
      </c>
      <c r="E805" s="5" t="inlineStr">
        <is>
          <t>Negativo</t>
        </is>
      </c>
      <c r="F805" s="144" t="n">
        <v>44985</v>
      </c>
      <c r="G805" s="5" t="n">
        <v>2023</v>
      </c>
      <c r="H805" s="5" t="inlineStr">
        <is>
          <t>Febrero</t>
        </is>
      </c>
      <c r="I805" s="6" t="inlineStr">
        <is>
          <t>2023-1</t>
        </is>
      </c>
      <c r="J805" s="5" t="n">
        <v>7500</v>
      </c>
      <c r="K805" s="10" t="n">
        <v>2255.66</v>
      </c>
      <c r="L805" s="28">
        <f>IFERROR(IF(OR(J805=0,K805=""),"",IF(E805="Positivo",MIN(MAX(K805/J805,0),1.3),MIN(MAX(J805/K805,0),1.3))),"") </f>
        <v/>
      </c>
      <c r="M805" s="28">
        <f>IFERROR(IF(OR(J805=0,K805=""),"",IF(E805="Positivo",MAX(K805/J805,0),MAX(J805/K805,0))),"") </f>
        <v/>
      </c>
      <c r="N805" s="5" t="inlineStr">
        <is>
          <t>Linea Base</t>
        </is>
      </c>
      <c r="O805" s="5" t="inlineStr">
        <is>
          <t>Kg</t>
        </is>
      </c>
      <c r="P805" s="16" t="n">
        <v>0</v>
      </c>
      <c r="Q805" s="16" t="n">
        <v>0</v>
      </c>
      <c r="R805" s="5" t="inlineStr">
        <is>
          <t>214-2023-02-28</t>
        </is>
      </c>
    </row>
    <row r="806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43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7500</v>
      </c>
      <c r="K806" s="123" t="n">
        <v>2757</v>
      </c>
      <c r="L806" s="28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inlineStr">
        <is>
          <t>Linea Base</t>
        </is>
      </c>
      <c r="O806" s="5" t="inlineStr">
        <is>
          <t>Kg</t>
        </is>
      </c>
      <c r="P806" s="16" t="n">
        <v>0</v>
      </c>
      <c r="Q806" s="16" t="n">
        <v>0</v>
      </c>
      <c r="R806" s="5" t="inlineStr">
        <is>
          <t>214-2023-03-31</t>
        </is>
      </c>
    </row>
    <row r="807">
      <c r="A807" s="39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44" t="n">
        <v>45046</v>
      </c>
      <c r="G807" s="5" t="n">
        <v>2023</v>
      </c>
      <c r="H807" s="5" t="inlineStr">
        <is>
          <t>Abril</t>
        </is>
      </c>
      <c r="I807" s="6" t="inlineStr">
        <is>
          <t>2023-1</t>
        </is>
      </c>
      <c r="J807" s="5" t="n">
        <v>7500</v>
      </c>
      <c r="K807" s="123" t="n">
        <v>2313.5</v>
      </c>
      <c r="L807" s="28">
        <f>IFERROR(IF(OR(J807=0,K807=""),"",IF(E807="Positivo",MIN(MAX(K807/J807,0),1.3),MIN(MAX(J807/K807,0),1.3))),"") </f>
        <v/>
      </c>
      <c r="M807" s="28">
        <f>IFERROR(IF(OR(J807=0,K807=""),"",IF(E807="Positivo",MAX(K807/J807,0),MAX(J807/K807,0))),"") </f>
        <v/>
      </c>
      <c r="N807" s="5" t="inlineStr">
        <is>
          <t>Linea Base</t>
        </is>
      </c>
      <c r="O807" s="5" t="inlineStr">
        <is>
          <t>Kg</t>
        </is>
      </c>
      <c r="P807" s="16" t="n">
        <v>0</v>
      </c>
      <c r="Q807" s="16" t="n">
        <v>0</v>
      </c>
      <c r="R807" s="5" t="inlineStr">
        <is>
          <t>214-2023-04-30</t>
        </is>
      </c>
    </row>
    <row r="808">
      <c r="A808" s="5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44" t="n">
        <v>45077</v>
      </c>
      <c r="G808" s="5" t="n">
        <v>2023</v>
      </c>
      <c r="H808" s="5" t="inlineStr">
        <is>
          <t>Mayo</t>
        </is>
      </c>
      <c r="I808" s="6" t="inlineStr">
        <is>
          <t>2023-1</t>
        </is>
      </c>
      <c r="J808" s="5" t="n">
        <v>7500</v>
      </c>
      <c r="K808" s="5" t="n">
        <v>2632.03</v>
      </c>
      <c r="L808" s="28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inlineStr">
        <is>
          <t>Linea Base</t>
        </is>
      </c>
      <c r="O808" s="5" t="inlineStr">
        <is>
          <t>Kg</t>
        </is>
      </c>
      <c r="P808" s="5" t="n">
        <v>0</v>
      </c>
      <c r="Q808" s="5" t="n">
        <v>0</v>
      </c>
      <c r="R808" s="5" t="inlineStr">
        <is>
          <t>214-2023-05-31</t>
        </is>
      </c>
    </row>
    <row r="809">
      <c r="A809" s="26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44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7500</v>
      </c>
      <c r="K809" s="10" t="n">
        <v>2295.51</v>
      </c>
      <c r="L809" s="28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inlineStr">
        <is>
          <t>Linea Base</t>
        </is>
      </c>
      <c r="O809" s="5" t="inlineStr">
        <is>
          <t>Kg</t>
        </is>
      </c>
      <c r="P809" s="16" t="n">
        <v>0</v>
      </c>
      <c r="Q809" s="16" t="n">
        <v>0</v>
      </c>
      <c r="R809" s="5" t="inlineStr">
        <is>
          <t>214-2023-06-30</t>
        </is>
      </c>
    </row>
    <row r="810">
      <c r="A810" s="26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43" t="n">
        <v>45138</v>
      </c>
      <c r="G810" s="5" t="n">
        <v>2023</v>
      </c>
      <c r="H810" s="5" t="inlineStr">
        <is>
          <t>Julio</t>
        </is>
      </c>
      <c r="I810" s="6" t="inlineStr">
        <is>
          <t>2023-2</t>
        </is>
      </c>
      <c r="J810" s="5" t="n">
        <v>7500</v>
      </c>
      <c r="K810" s="123" t="n">
        <v>2157.5</v>
      </c>
      <c r="L810" s="28">
        <f>IFERROR(IF(OR(J810=0,K810=""),"",IF(E810="Positivo",MIN(MAX(K810/J810,0),1.3),MIN(MAX(J810/K810,0),1.3))),"") </f>
        <v/>
      </c>
      <c r="M810" s="28">
        <f>IFERROR(IF(OR(J810=0,K810=""),"",IF(E810="Positivo",MAX(K810/J810,0),MAX(J810/K810,0))),"") </f>
        <v/>
      </c>
      <c r="N810" s="5" t="inlineStr">
        <is>
          <t>Linea Base</t>
        </is>
      </c>
      <c r="O810" s="5" t="inlineStr">
        <is>
          <t>Kg</t>
        </is>
      </c>
      <c r="P810" s="16" t="n">
        <v>0</v>
      </c>
      <c r="Q810" s="16" t="n">
        <v>0</v>
      </c>
      <c r="R810" s="5" t="inlineStr">
        <is>
          <t>214-2023-07-31</t>
        </is>
      </c>
    </row>
    <row r="811">
      <c r="A811" s="39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44" t="n">
        <v>45169</v>
      </c>
      <c r="G811" s="5" t="n">
        <v>2023</v>
      </c>
      <c r="H811" s="5" t="inlineStr">
        <is>
          <t>Agosto</t>
        </is>
      </c>
      <c r="I811" s="6" t="inlineStr">
        <is>
          <t>2023-2</t>
        </is>
      </c>
      <c r="J811" s="5" t="n">
        <v>7500</v>
      </c>
      <c r="K811" s="123" t="n">
        <v>6540.08</v>
      </c>
      <c r="L811" s="28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inlineStr">
        <is>
          <t>Linea Base</t>
        </is>
      </c>
      <c r="O811" s="5" t="inlineStr">
        <is>
          <t>Kg</t>
        </is>
      </c>
      <c r="P811" s="16" t="n">
        <v>0</v>
      </c>
      <c r="Q811" s="16" t="n">
        <v>0</v>
      </c>
      <c r="R811" s="5" t="inlineStr">
        <is>
          <t>214-2023-08-31</t>
        </is>
      </c>
    </row>
    <row r="812">
      <c r="A812" s="5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44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7500</v>
      </c>
      <c r="K812" s="5" t="n">
        <v>7824.24</v>
      </c>
      <c r="L812" s="28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inlineStr">
        <is>
          <t>Linea Base</t>
        </is>
      </c>
      <c r="O812" s="5" t="inlineStr">
        <is>
          <t>Kg</t>
        </is>
      </c>
      <c r="P812" s="5" t="n">
        <v>0</v>
      </c>
      <c r="Q812" s="5" t="n">
        <v>0</v>
      </c>
      <c r="R812" s="5" t="inlineStr">
        <is>
          <t>214-2023-09-30</t>
        </is>
      </c>
    </row>
    <row r="813">
      <c r="A813" s="39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44" t="n">
        <v>45230</v>
      </c>
      <c r="G813" s="5" t="n">
        <v>2023</v>
      </c>
      <c r="H813" s="5" t="inlineStr">
        <is>
          <t>Octubre</t>
        </is>
      </c>
      <c r="I813" s="6" t="inlineStr">
        <is>
          <t>2023-2</t>
        </is>
      </c>
      <c r="J813" s="5" t="n">
        <v>7500</v>
      </c>
      <c r="K813" s="123" t="n">
        <v>6165.24</v>
      </c>
      <c r="L813" s="28">
        <f>IFERROR(IF(OR(J813=0,K813=""),"",IF(E813="Positivo",MIN(MAX(K813/J813,0),1.3),MIN(MAX(J813/K813,0),1.3))),"") </f>
        <v/>
      </c>
      <c r="M813" s="28">
        <f>IFERROR(IF(OR(J813=0,K813=""),"",IF(E813="Positivo",MAX(K813/J813,0),MAX(J813/K813,0))),"") </f>
        <v/>
      </c>
      <c r="N813" s="5" t="inlineStr">
        <is>
          <t>Linea Base</t>
        </is>
      </c>
      <c r="O813" s="5" t="inlineStr">
        <is>
          <t>Kg</t>
        </is>
      </c>
      <c r="P813" s="16" t="n">
        <v>0</v>
      </c>
      <c r="Q813" s="16" t="n">
        <v>0</v>
      </c>
      <c r="R813" s="5" t="inlineStr">
        <is>
          <t>214-2023-10-31</t>
        </is>
      </c>
    </row>
    <row r="814">
      <c r="A814" s="26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44" t="n">
        <v>45260</v>
      </c>
      <c r="G814" s="5" t="n">
        <v>2023</v>
      </c>
      <c r="H814" s="5" t="inlineStr">
        <is>
          <t>Noviembre</t>
        </is>
      </c>
      <c r="I814" s="6" t="inlineStr">
        <is>
          <t>2023-2</t>
        </is>
      </c>
      <c r="J814" s="5" t="n">
        <v>7500</v>
      </c>
      <c r="K814" s="10" t="n">
        <v>6186.4</v>
      </c>
      <c r="L814" s="28">
        <f>IFERROR(IF(OR(J814=0,K814=""),"",IF(E814="Positivo",MIN(MAX(K814/J814,0),1.3),MIN(MAX(J814/K814,0),1.3))),"") </f>
        <v/>
      </c>
      <c r="M814" s="28">
        <f>IFERROR(IF(OR(J814=0,K814=""),"",IF(E814="Positivo",MAX(K814/J814,0),MAX(J814/K814,0))),"") </f>
        <v/>
      </c>
      <c r="N814" s="5" t="inlineStr">
        <is>
          <t>Linea Base</t>
        </is>
      </c>
      <c r="O814" s="5" t="inlineStr">
        <is>
          <t>Kg</t>
        </is>
      </c>
      <c r="P814" s="16" t="n">
        <v>0</v>
      </c>
      <c r="Q814" s="16" t="n">
        <v>0</v>
      </c>
      <c r="R814" s="5" t="inlineStr">
        <is>
          <t>214-2023-11-30</t>
        </is>
      </c>
    </row>
    <row r="815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43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7500</v>
      </c>
      <c r="K815" s="123" t="n">
        <v>2129.59</v>
      </c>
      <c r="L815" s="28">
        <f>IFERROR(IF(OR(J815=0,K815=""),"",IF(E815="Positivo",MIN(MAX(K815/J815,0),1.3),MIN(MAX(J815/K815,0),1.3))),"") </f>
        <v/>
      </c>
      <c r="M815" s="28">
        <f>IFERROR(IF(OR(J815=0,K815=""),"",IF(E815="Positivo",MAX(K815/J815,0),MAX(J815/K815,0))),"") </f>
        <v/>
      </c>
      <c r="N815" s="5" t="inlineStr">
        <is>
          <t>Linea Base</t>
        </is>
      </c>
      <c r="O815" s="5" t="inlineStr">
        <is>
          <t>Kg</t>
        </is>
      </c>
      <c r="P815" s="16" t="n">
        <v>0</v>
      </c>
      <c r="Q815" s="16" t="n">
        <v>0</v>
      </c>
      <c r="R815" s="5" t="inlineStr">
        <is>
          <t>214-2023-12-31</t>
        </is>
      </c>
    </row>
    <row r="816">
      <c r="A816" s="39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44" t="n">
        <v>45322</v>
      </c>
      <c r="G816" s="5" t="n">
        <v>2024</v>
      </c>
      <c r="H816" s="5" t="inlineStr">
        <is>
          <t>Enero</t>
        </is>
      </c>
      <c r="I816" s="6" t="inlineStr">
        <is>
          <t>2024-1</t>
        </is>
      </c>
      <c r="J816" s="5" t="n">
        <v>7500</v>
      </c>
      <c r="K816" s="123" t="n">
        <v>3375.7</v>
      </c>
      <c r="L816" s="28">
        <f>IFERROR(IF(OR(J816=0,K816=""),"",IF(E816="Positivo",MIN(MAX(K816/J816,0),1.3),MIN(MAX(J816/K816,0),1.3))),"") </f>
        <v/>
      </c>
      <c r="M816" s="28">
        <f>IFERROR(IF(OR(J816=0,K816=""),"",IF(E816="Positivo",MAX(K816/J816,0),MAX(J816/K816,0))),"") </f>
        <v/>
      </c>
      <c r="N816" s="5" t="inlineStr">
        <is>
          <t>Kg</t>
        </is>
      </c>
      <c r="O816" s="5" t="inlineStr">
        <is>
          <t>Kg</t>
        </is>
      </c>
      <c r="P816" s="16" t="n">
        <v>0</v>
      </c>
      <c r="Q816" s="16" t="n">
        <v>0</v>
      </c>
      <c r="R816" s="5" t="inlineStr">
        <is>
          <t>214-2024-01-31</t>
        </is>
      </c>
    </row>
    <row r="817">
      <c r="A817" s="5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44" t="n">
        <v>45351</v>
      </c>
      <c r="G817" s="5" t="n">
        <v>2024</v>
      </c>
      <c r="H817" s="5" t="inlineStr">
        <is>
          <t>Febrero</t>
        </is>
      </c>
      <c r="I817" s="6" t="inlineStr">
        <is>
          <t>2024-1</t>
        </is>
      </c>
      <c r="J817" s="5" t="n">
        <v>7500</v>
      </c>
      <c r="K817" s="5" t="n">
        <v>6138.9</v>
      </c>
      <c r="L817" s="28">
        <f>IFERROR(IF(OR(J817=0,K817=""),"",IF(E817="Positivo",MIN(MAX(K817/J817,0),1.3),MIN(MAX(J817/K817,0),1.3))),"") </f>
        <v/>
      </c>
      <c r="M817" s="28">
        <f>IFERROR(IF(OR(J817=0,K817=""),"",IF(E817="Positivo",MAX(K817/J817,0),MAX(J817/K817,0))),"") </f>
        <v/>
      </c>
      <c r="N817" s="5" t="inlineStr">
        <is>
          <t>Kg</t>
        </is>
      </c>
      <c r="O817" s="5" t="inlineStr">
        <is>
          <t>Kg</t>
        </is>
      </c>
      <c r="P817" s="5" t="n">
        <v>0</v>
      </c>
      <c r="Q817" s="5" t="n">
        <v>0</v>
      </c>
      <c r="R817" s="5" t="inlineStr">
        <is>
          <t>214-2024-02-29</t>
        </is>
      </c>
    </row>
    <row r="818">
      <c r="A818" s="26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44" t="n">
        <v>45382</v>
      </c>
      <c r="G818" s="5" t="n">
        <v>2024</v>
      </c>
      <c r="H818" s="5" t="inlineStr">
        <is>
          <t>Marzo</t>
        </is>
      </c>
      <c r="I818" s="6" t="inlineStr">
        <is>
          <t>2024-1</t>
        </is>
      </c>
      <c r="J818" s="5" t="n">
        <v>7500</v>
      </c>
      <c r="K818" s="10" t="n">
        <v>5548.44</v>
      </c>
      <c r="L818" s="28">
        <f>IFERROR(IF(OR(J818=0,K818=""),"",IF(E818="Positivo",MIN(MAX(K818/J818,0),1.3),MIN(MAX(J818/K818,0),1.3))),"") </f>
        <v/>
      </c>
      <c r="M818" s="28">
        <f>IFERROR(IF(OR(J818=0,K818=""),"",IF(E818="Positivo",MAX(K818/J818,0),MAX(J818/K818,0))),"") </f>
        <v/>
      </c>
      <c r="N818" s="5" t="inlineStr">
        <is>
          <t>Kg</t>
        </is>
      </c>
      <c r="O818" s="5" t="inlineStr">
        <is>
          <t>Kg</t>
        </is>
      </c>
      <c r="P818" s="16" t="n">
        <v>0</v>
      </c>
      <c r="Q818" s="16" t="n">
        <v>0</v>
      </c>
      <c r="R818" s="5" t="inlineStr">
        <is>
          <t>214-2024-03-31</t>
        </is>
      </c>
    </row>
    <row r="819">
      <c r="A819" s="35" t="n">
        <v>214</v>
      </c>
      <c r="B819" s="18" t="inlineStr">
        <is>
          <t>Generación de Residuos Sólidos Mensual</t>
        </is>
      </c>
      <c r="C819" s="18" t="inlineStr">
        <is>
          <t>GESTIÓN AMBIENTAL</t>
        </is>
      </c>
      <c r="D819" s="18" t="inlineStr">
        <is>
          <t>Mensual</t>
        </is>
      </c>
      <c r="E819" s="18" t="inlineStr">
        <is>
          <t>Negativo</t>
        </is>
      </c>
      <c r="F819" s="146" t="n">
        <v>45412</v>
      </c>
      <c r="G819" s="5" t="n">
        <v>2024</v>
      </c>
      <c r="H819" s="5" t="inlineStr">
        <is>
          <t>Abril</t>
        </is>
      </c>
      <c r="I819" s="6" t="inlineStr">
        <is>
          <t>2024-1</t>
        </is>
      </c>
      <c r="J819" s="18" t="n">
        <v>7500</v>
      </c>
      <c r="K819" s="123" t="n">
        <v>7543.48</v>
      </c>
      <c r="L819" s="28">
        <f>IFERROR(IF(OR(J819=0,K819=""),"",IF(E819="Positivo",MIN(MAX(K819/J819,0),1.3),MIN(MAX(J819/K819,0),1.3))),"") </f>
        <v/>
      </c>
      <c r="M819" s="28">
        <f>IFERROR(IF(OR(J819=0,K819=""),"",IF(E819="Positivo",MAX(K819/J819,0),MAX(J819/K819,0))),"") </f>
        <v/>
      </c>
      <c r="N819" s="18" t="inlineStr">
        <is>
          <t>Kg</t>
        </is>
      </c>
      <c r="O819" s="18" t="inlineStr">
        <is>
          <t>Kg</t>
        </is>
      </c>
      <c r="P819" s="16" t="n">
        <v>0</v>
      </c>
      <c r="Q819" s="16" t="n">
        <v>0</v>
      </c>
      <c r="R819" s="5" t="inlineStr">
        <is>
          <t>214-2024-04-30</t>
        </is>
      </c>
    </row>
    <row r="820">
      <c r="A820" s="39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44" t="n">
        <v>45443</v>
      </c>
      <c r="G820" s="5" t="n">
        <v>2024</v>
      </c>
      <c r="H820" s="5" t="inlineStr">
        <is>
          <t>Mayo</t>
        </is>
      </c>
      <c r="I820" s="6" t="inlineStr">
        <is>
          <t>2024-1</t>
        </is>
      </c>
      <c r="J820" s="5" t="n">
        <v>7500</v>
      </c>
      <c r="K820" s="123" t="n">
        <v>7006.34</v>
      </c>
      <c r="L820" s="28">
        <f>IFERROR(IF(OR(J820=0,K820=""),"",IF(E820="Positivo",MIN(MAX(K820/J820,0),1.3),MIN(MAX(J820/K820,0),1.3))),"") </f>
        <v/>
      </c>
      <c r="M820" s="28">
        <f>IFERROR(IF(OR(J820=0,K820=""),"",IF(E820="Positivo",MAX(K820/J820,0),MAX(J820/K820,0))),"") </f>
        <v/>
      </c>
      <c r="N820" s="5" t="inlineStr">
        <is>
          <t>Kg</t>
        </is>
      </c>
      <c r="O820" s="5" t="inlineStr">
        <is>
          <t>Kg</t>
        </is>
      </c>
      <c r="P820" s="16" t="n">
        <v>0</v>
      </c>
      <c r="Q820" s="16" t="n">
        <v>0</v>
      </c>
      <c r="R820" s="5" t="inlineStr">
        <is>
          <t>214-2024-05-31</t>
        </is>
      </c>
    </row>
    <row r="821">
      <c r="A821" s="35" t="n">
        <v>214</v>
      </c>
      <c r="B821" s="18" t="inlineStr">
        <is>
          <t>Generación de Residuos Sólidos Mensual</t>
        </is>
      </c>
      <c r="C821" s="18" t="inlineStr">
        <is>
          <t>GESTIÓN AMBIENTAL</t>
        </is>
      </c>
      <c r="D821" s="18" t="inlineStr">
        <is>
          <t>Mensual</t>
        </is>
      </c>
      <c r="E821" s="18" t="inlineStr">
        <is>
          <t>Negativo</t>
        </is>
      </c>
      <c r="F821" s="146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18" t="n">
        <v>7500</v>
      </c>
      <c r="K821" s="123" t="n">
        <v>3200.05</v>
      </c>
      <c r="L821" s="28">
        <f>IFERROR(IF(OR(J821=0,K821=""),"",IF(E821="Positivo",MIN(MAX(K821/J821,0),1.3),MIN(MAX(J821/K821,0),1.3))),"") </f>
        <v/>
      </c>
      <c r="M821" s="28">
        <f>IFERROR(IF(OR(J821=0,K821=""),"",IF(E821="Positivo",MAX(K821/J821,0),MAX(J821/K821,0))),"") </f>
        <v/>
      </c>
      <c r="N821" s="18" t="inlineStr">
        <is>
          <t>Kg</t>
        </is>
      </c>
      <c r="O821" s="18" t="inlineStr">
        <is>
          <t>Kg</t>
        </is>
      </c>
      <c r="P821" s="16" t="n">
        <v>0</v>
      </c>
      <c r="Q821" s="16" t="n">
        <v>0</v>
      </c>
      <c r="R821" s="5" t="inlineStr">
        <is>
          <t>214-2024-06-30</t>
        </is>
      </c>
    </row>
    <row r="822">
      <c r="A822" s="26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44" t="n">
        <v>45504</v>
      </c>
      <c r="G822" s="5" t="n">
        <v>2024</v>
      </c>
      <c r="H822" s="5" t="inlineStr">
        <is>
          <t>Julio</t>
        </is>
      </c>
      <c r="I822" s="6" t="inlineStr">
        <is>
          <t>2024-2</t>
        </is>
      </c>
      <c r="J822" s="5" t="n">
        <v>7500</v>
      </c>
      <c r="K822" s="16" t="n">
        <v>2567.429992675781</v>
      </c>
      <c r="L822" s="28">
        <f>IFERROR(IF(OR(J822=0,K822=""),"",IF(E822="Positivo",MIN(MAX(K822/J822,0),1.3),MIN(MAX(J822/K822,0),1.3))),"") </f>
        <v/>
      </c>
      <c r="M822" s="28">
        <f>IFERROR(IF(OR(J822=0,K822=""),"",IF(E822="Positivo",MAX(K822/J822,0),MAX(J822/K822,0))),"") </f>
        <v/>
      </c>
      <c r="N822" s="18" t="inlineStr">
        <is>
          <t>Kg</t>
        </is>
      </c>
      <c r="O822" s="18" t="inlineStr">
        <is>
          <t>Kg</t>
        </is>
      </c>
      <c r="P822" s="16" t="n">
        <v>0</v>
      </c>
      <c r="Q822" s="16" t="n">
        <v>0</v>
      </c>
      <c r="R822" s="5" t="inlineStr">
        <is>
          <t>214-2024-07-31</t>
        </is>
      </c>
    </row>
    <row r="823">
      <c r="A823" s="5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44" t="n">
        <v>45535</v>
      </c>
      <c r="G823" s="5" t="n">
        <v>2024</v>
      </c>
      <c r="H823" s="5" t="inlineStr">
        <is>
          <t>Agosto</t>
        </is>
      </c>
      <c r="I823" s="6" t="inlineStr">
        <is>
          <t>2024-2</t>
        </is>
      </c>
      <c r="J823" s="5" t="n">
        <v>7500</v>
      </c>
      <c r="K823" s="5" t="n">
        <v>5591.600022315979</v>
      </c>
      <c r="L823" s="28">
        <f>IFERROR(IF(OR(J823=0,K823=""),"",IF(E823="Positivo",MIN(MAX(K823/J823,0),1.3),MIN(MAX(J823/K823,0),1.3))),"") </f>
        <v/>
      </c>
      <c r="M823" s="28">
        <f>IFERROR(IF(OR(J823=0,K823=""),"",IF(E823="Positivo",MAX(K823/J823,0),MAX(J823/K823,0))),"") </f>
        <v/>
      </c>
      <c r="N823" s="5" t="inlineStr">
        <is>
          <t>Kg</t>
        </is>
      </c>
      <c r="O823" s="5" t="inlineStr">
        <is>
          <t>Kg</t>
        </is>
      </c>
      <c r="P823" s="5" t="n">
        <v>0</v>
      </c>
      <c r="Q823" s="5" t="n">
        <v>0</v>
      </c>
      <c r="R823" s="5" t="inlineStr">
        <is>
          <t>214-2024-08-31</t>
        </is>
      </c>
    </row>
    <row r="824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44" t="n">
        <v>45565</v>
      </c>
      <c r="G824" s="5" t="n">
        <v>2024</v>
      </c>
      <c r="H824" s="5" t="inlineStr">
        <is>
          <t>Septiembre</t>
        </is>
      </c>
      <c r="I824" s="6" t="inlineStr">
        <is>
          <t>2024-2</t>
        </is>
      </c>
      <c r="J824" s="5" t="n">
        <v>7500</v>
      </c>
      <c r="K824" s="10" t="n">
        <v>5132.759970664978</v>
      </c>
      <c r="L824" s="28">
        <f>IFERROR(IF(OR(J824=0,K824=""),"",IF(E824="Positivo",MIN(MAX(K824/J824,0),1.3),MIN(MAX(J824/K824,0),1.3))),"") </f>
        <v/>
      </c>
      <c r="M824" s="28">
        <f>IFERROR(IF(OR(J824=0,K824=""),"",IF(E824="Positivo",MAX(K824/J824,0),MAX(J824/K824,0))),"") </f>
        <v/>
      </c>
      <c r="N824" s="5" t="inlineStr">
        <is>
          <t>Kg</t>
        </is>
      </c>
      <c r="O824" s="5" t="inlineStr">
        <is>
          <t>Kg</t>
        </is>
      </c>
      <c r="P824" s="16" t="n">
        <v>0</v>
      </c>
      <c r="Q824" s="16" t="n">
        <v>0</v>
      </c>
      <c r="R824" s="5" t="inlineStr">
        <is>
          <t>214-2024-09-30</t>
        </is>
      </c>
    </row>
    <row r="825">
      <c r="A825" s="26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43" t="n">
        <v>45596</v>
      </c>
      <c r="G825" s="5" t="n">
        <v>2024</v>
      </c>
      <c r="H825" s="5" t="inlineStr">
        <is>
          <t>Octubre</t>
        </is>
      </c>
      <c r="I825" s="6" t="inlineStr">
        <is>
          <t>2024-2</t>
        </is>
      </c>
      <c r="J825" s="5" t="n">
        <v>7500</v>
      </c>
      <c r="K825" s="123" t="n">
        <v>5403.060033798218</v>
      </c>
      <c r="L825" s="28">
        <f>IFERROR(IF(OR(J825=0,K825=""),"",IF(E825="Positivo",MIN(MAX(K825/J825,0),1.3),MIN(MAX(J825/K825,0),1.3))),"") </f>
        <v/>
      </c>
      <c r="M825" s="28">
        <f>IFERROR(IF(OR(J825=0,K825=""),"",IF(E825="Positivo",MAX(K825/J825,0),MAX(J825/K825,0))),"") </f>
        <v/>
      </c>
      <c r="N825" s="5" t="inlineStr">
        <is>
          <t>Kg</t>
        </is>
      </c>
      <c r="O825" s="5" t="inlineStr">
        <is>
          <t>Kg</t>
        </is>
      </c>
      <c r="P825" s="16" t="n">
        <v>0</v>
      </c>
      <c r="Q825" s="16" t="n">
        <v>0</v>
      </c>
      <c r="R825" s="5" t="inlineStr">
        <is>
          <t>214-2024-10-31</t>
        </is>
      </c>
    </row>
    <row r="826">
      <c r="A826" s="39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44" t="n">
        <v>45626</v>
      </c>
      <c r="G826" s="5" t="n">
        <v>2024</v>
      </c>
      <c r="H826" s="5" t="inlineStr">
        <is>
          <t>Noviembre</t>
        </is>
      </c>
      <c r="I826" s="6" t="inlineStr">
        <is>
          <t>2024-2</t>
        </is>
      </c>
      <c r="J826" s="5" t="n">
        <v>7500</v>
      </c>
      <c r="K826" s="123" t="n">
        <v>4790.710048675537</v>
      </c>
      <c r="L826" s="28">
        <f>IFERROR(IF(OR(J826=0,K826=""),"",IF(E826="Positivo",MIN(MAX(K826/J826,0),1.3),MIN(MAX(J826/K826,0),1.3))),"") </f>
        <v/>
      </c>
      <c r="M826" s="28">
        <f>IFERROR(IF(OR(J826=0,K826=""),"",IF(E826="Positivo",MAX(K826/J826,0),MAX(J826/K826,0))),"") </f>
        <v/>
      </c>
      <c r="N826" s="5" t="inlineStr">
        <is>
          <t>Kg</t>
        </is>
      </c>
      <c r="O826" s="5" t="inlineStr">
        <is>
          <t>Kg</t>
        </is>
      </c>
      <c r="P826" s="16" t="n">
        <v>0</v>
      </c>
      <c r="Q826" s="16" t="n">
        <v>0</v>
      </c>
      <c r="R826" s="5" t="inlineStr">
        <is>
          <t>214-2024-11-30</t>
        </is>
      </c>
    </row>
    <row r="827">
      <c r="A827" s="26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43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7500</v>
      </c>
      <c r="K827" s="123" t="n">
        <v>1490.200012207031</v>
      </c>
      <c r="L827" s="28">
        <f>IFERROR(IF(OR(J827=0,K827=""),"",IF(E827="Positivo",MIN(MAX(K827/J827,0),1.3),MIN(MAX(J827/K827,0),1.3))),"") </f>
        <v/>
      </c>
      <c r="M827" s="28">
        <f>IFERROR(IF(OR(J827=0,K827=""),"",IF(E827="Positivo",MAX(K827/J827,0),MAX(J827/K827,0))),"") </f>
        <v/>
      </c>
      <c r="N827" s="5" t="inlineStr">
        <is>
          <t>Kg</t>
        </is>
      </c>
      <c r="O827" s="5" t="inlineStr">
        <is>
          <t>Kg</t>
        </is>
      </c>
      <c r="P827" s="16" t="n">
        <v>0</v>
      </c>
      <c r="Q827" s="16" t="n">
        <v>0</v>
      </c>
      <c r="R827" s="5" t="inlineStr">
        <is>
          <t>214-2024-12-31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44" t="n">
        <v>45688</v>
      </c>
      <c r="G828" s="5" t="n">
        <v>2025</v>
      </c>
      <c r="H828" s="5" t="inlineStr">
        <is>
          <t>Enero</t>
        </is>
      </c>
      <c r="I828" s="6" t="inlineStr">
        <is>
          <t>2025-1</t>
        </is>
      </c>
      <c r="J828" s="5" t="n">
        <v>7500</v>
      </c>
      <c r="K828" s="10" t="n">
        <v>2054.76</v>
      </c>
      <c r="L828" s="28">
        <f>IFERROR(IF(OR(J828=0,K828=""),"",IF(E828="Positivo",MIN(MAX(K828/J828,0),1.3),MIN(MAX(J828/K828,0),1.3))),"") </f>
        <v/>
      </c>
      <c r="M828" s="28">
        <f>IFERROR(IF(OR(J828=0,K828=""),"",IF(E828="Positivo",MAX(K828/J828,0),MAX(J828/K828,0))),"") </f>
        <v/>
      </c>
      <c r="N828" s="5" t="inlineStr">
        <is>
          <t>Kg</t>
        </is>
      </c>
      <c r="O828" s="5" t="inlineStr">
        <is>
          <t>Kg</t>
        </is>
      </c>
      <c r="P828" s="16" t="n">
        <v>0</v>
      </c>
      <c r="Q828" s="16" t="n">
        <v>0</v>
      </c>
      <c r="R828" s="5" t="inlineStr">
        <is>
          <t>214-2025-01-31</t>
        </is>
      </c>
    </row>
    <row r="829">
      <c r="A829" s="26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43" t="n">
        <v>45716</v>
      </c>
      <c r="G829" s="5" t="n">
        <v>2025</v>
      </c>
      <c r="H829" s="5" t="inlineStr">
        <is>
          <t>Febrero</t>
        </is>
      </c>
      <c r="I829" s="6" t="inlineStr">
        <is>
          <t>2025-1</t>
        </is>
      </c>
      <c r="J829" s="5" t="n">
        <v>7500</v>
      </c>
      <c r="K829" s="123" t="n">
        <v>5016.83</v>
      </c>
      <c r="L829" s="28">
        <f>IFERROR(IF(OR(J829=0,K829=""),"",IF(E829="Positivo",MIN(MAX(K829/J829,0),1.3),MIN(MAX(J829/K829,0),1.3))),"") </f>
        <v/>
      </c>
      <c r="M829" s="28">
        <f>IFERROR(IF(OR(J829=0,K829=""),"",IF(E829="Positivo",MAX(K829/J829,0),MAX(J829/K829,0))),"") </f>
        <v/>
      </c>
      <c r="N829" s="5" t="inlineStr">
        <is>
          <t>Kg</t>
        </is>
      </c>
      <c r="O829" s="5" t="inlineStr">
        <is>
          <t>Kg</t>
        </is>
      </c>
      <c r="P829" s="16" t="n">
        <v>0</v>
      </c>
      <c r="Q829" s="16" t="n">
        <v>0</v>
      </c>
      <c r="R829" s="5" t="inlineStr">
        <is>
          <t>214-2025-02-28</t>
        </is>
      </c>
    </row>
    <row r="830">
      <c r="A830" s="39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44" t="n">
        <v>45747</v>
      </c>
      <c r="G830" s="5" t="n">
        <v>2025</v>
      </c>
      <c r="H830" s="5" t="inlineStr">
        <is>
          <t>Marzo</t>
        </is>
      </c>
      <c r="I830" s="6" t="inlineStr">
        <is>
          <t>2025-1</t>
        </is>
      </c>
      <c r="J830" s="5" t="n">
        <v>7500</v>
      </c>
      <c r="K830" s="123" t="n">
        <v>6477.26</v>
      </c>
      <c r="L830" s="28">
        <f>IFERROR(IF(OR(J830=0,K830=""),"",IF(E830="Positivo",MIN(MAX(K830/J830,0),1.3),MIN(MAX(J830/K830,0),1.3))),"") </f>
        <v/>
      </c>
      <c r="M830" s="28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6" t="n">
        <v>0</v>
      </c>
      <c r="Q830" s="16" t="n">
        <v>0</v>
      </c>
      <c r="R830" s="5" t="inlineStr">
        <is>
          <t>214-2025-03-31</t>
        </is>
      </c>
    </row>
    <row r="831">
      <c r="A831" s="26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43" t="n">
        <v>45777</v>
      </c>
      <c r="G831" s="5" t="n">
        <v>2025</v>
      </c>
      <c r="H831" s="5" t="inlineStr">
        <is>
          <t>Abril</t>
        </is>
      </c>
      <c r="I831" s="6" t="inlineStr">
        <is>
          <t>2025-1</t>
        </is>
      </c>
      <c r="J831" s="5" t="n">
        <v>7500</v>
      </c>
      <c r="K831" s="123" t="n">
        <v>5312.64</v>
      </c>
      <c r="L831" s="28">
        <f>IFERROR(IF(OR(J831=0,K831=""),"",IF(E831="Positivo",MIN(MAX(K831/J831,0),1.3),MIN(MAX(J831/K831,0),1.3))),"") </f>
        <v/>
      </c>
      <c r="M831" s="28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16" t="n">
        <v>0</v>
      </c>
      <c r="Q831" s="16" t="n">
        <v>0</v>
      </c>
      <c r="R831" s="5" t="inlineStr">
        <is>
          <t>214-2025-04-30</t>
        </is>
      </c>
    </row>
    <row r="832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44" t="n">
        <v>45808</v>
      </c>
      <c r="G832" s="5" t="n">
        <v>2025</v>
      </c>
      <c r="H832" s="5" t="inlineStr">
        <is>
          <t>Mayo</t>
        </is>
      </c>
      <c r="I832" s="6" t="inlineStr">
        <is>
          <t>2025-1</t>
        </is>
      </c>
      <c r="J832" s="5" t="n">
        <v>7500</v>
      </c>
      <c r="K832" s="10" t="n">
        <v>5499.51</v>
      </c>
      <c r="L832" s="28">
        <f>IFERROR(IF(OR(J832=0,K832=""),"",IF(E832="Positivo",MIN(MAX(K832/J832,0),1.3),MIN(MAX(J832/K832,0),1.3))),"") </f>
        <v/>
      </c>
      <c r="M832" s="28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16" t="n">
        <v>0</v>
      </c>
      <c r="Q832" s="16" t="n">
        <v>0</v>
      </c>
      <c r="R832" s="5" t="inlineStr">
        <is>
          <t>214-2025-05-31</t>
        </is>
      </c>
    </row>
    <row r="833">
      <c r="A833" s="26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43" t="n">
        <v>45838</v>
      </c>
      <c r="G833" s="5" t="n">
        <v>2025</v>
      </c>
      <c r="H833" s="5" t="inlineStr">
        <is>
          <t>Junio</t>
        </is>
      </c>
      <c r="I833" s="6" t="inlineStr">
        <is>
          <t>2025-1</t>
        </is>
      </c>
      <c r="J833" s="5" t="n">
        <v>7500</v>
      </c>
      <c r="K833" s="123" t="n">
        <v>2630.16</v>
      </c>
      <c r="L833" s="28">
        <f>IFERROR(IF(OR(J833=0,K833=""),"",IF(E833="Positivo",MIN(MAX(K833/J833,0),1.3),MIN(MAX(J833/K833,0),1.3))),"") </f>
        <v/>
      </c>
      <c r="M833" s="28">
        <f>IFERROR(IF(OR(J833=0,K833=""),"",IF(E833="Positivo",MAX(K833/J833,0),MAX(J833/K833,0))),"") </f>
        <v/>
      </c>
      <c r="N833" s="5" t="inlineStr">
        <is>
          <t>Kg</t>
        </is>
      </c>
      <c r="O833" s="5" t="inlineStr">
        <is>
          <t>Kg</t>
        </is>
      </c>
      <c r="P833" s="16" t="n">
        <v>0</v>
      </c>
      <c r="Q833" s="16" t="n">
        <v>0</v>
      </c>
      <c r="R833" s="5" t="inlineStr">
        <is>
          <t>214-2025-06-30</t>
        </is>
      </c>
    </row>
    <row r="834">
      <c r="A834" s="39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44" t="n">
        <v>45869</v>
      </c>
      <c r="G834" s="5" t="n">
        <v>2025</v>
      </c>
      <c r="H834" s="5" t="inlineStr">
        <is>
          <t>Julio</t>
        </is>
      </c>
      <c r="I834" s="6" t="inlineStr">
        <is>
          <t>2025-2</t>
        </is>
      </c>
      <c r="J834" s="5" t="n">
        <v>7500</v>
      </c>
      <c r="K834" s="123" t="n">
        <v>2456.83</v>
      </c>
      <c r="L834" s="28">
        <f>IFERROR(IF(OR(J834=0,K834=""),"",IF(E834="Positivo",MIN(MAX(K834/J834,0),1.3),MIN(MAX(J834/K834,0),1.3))),"") </f>
        <v/>
      </c>
      <c r="M834" s="28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16" t="n">
        <v>0</v>
      </c>
      <c r="Q834" s="16" t="n">
        <v>0</v>
      </c>
      <c r="R834" s="5" t="inlineStr">
        <is>
          <t>214-2025-07-31</t>
        </is>
      </c>
    </row>
    <row r="835">
      <c r="A835" s="5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44" t="n">
        <v>45900</v>
      </c>
      <c r="G835" s="5" t="n">
        <v>2025</v>
      </c>
      <c r="H835" s="5" t="inlineStr">
        <is>
          <t>Agosto</t>
        </is>
      </c>
      <c r="I835" s="6" t="inlineStr">
        <is>
          <t>2025-2</t>
        </is>
      </c>
      <c r="J835" s="5" t="n">
        <v>7500</v>
      </c>
      <c r="K835" s="5" t="n">
        <v>5120.88</v>
      </c>
      <c r="L835" s="28">
        <f>IFERROR(IF(OR(J835=0,K835=""),"",IF(E835="Positivo",MIN(MAX(K835/J835,0),1.3),MIN(MAX(J835/K835,0),1.3))),"") </f>
        <v/>
      </c>
      <c r="M835" s="28">
        <f>IFERROR(IF(OR(J835=0,K835=""),"",IF(E835="Positivo",MAX(K835/J835,0),MAX(J835/K835,0))),"") </f>
        <v/>
      </c>
      <c r="N835" s="5" t="inlineStr">
        <is>
          <t>Kg</t>
        </is>
      </c>
      <c r="O835" s="5" t="inlineStr">
        <is>
          <t>Kg</t>
        </is>
      </c>
      <c r="P835" s="5" t="n">
        <v>0</v>
      </c>
      <c r="Q835" s="5" t="n">
        <v>0</v>
      </c>
      <c r="R835" s="5" t="inlineStr">
        <is>
          <t>214-2025-08-31</t>
        </is>
      </c>
    </row>
    <row r="836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44" t="n">
        <v>45930</v>
      </c>
      <c r="G836" s="5" t="n">
        <v>2025</v>
      </c>
      <c r="H836" s="5" t="inlineStr">
        <is>
          <t>Septiembre</t>
        </is>
      </c>
      <c r="I836" s="6" t="inlineStr">
        <is>
          <t>2025-2</t>
        </is>
      </c>
      <c r="J836" s="5" t="n">
        <v>7500</v>
      </c>
      <c r="K836" s="10" t="n">
        <v>5321.59</v>
      </c>
      <c r="L836" s="28">
        <f>IFERROR(IF(OR(J836=0,K836=""),"",IF(E836="Positivo",MIN(MAX(K836/J836,0),1.3),MIN(MAX(J836/K836,0),1.3))),"") </f>
        <v/>
      </c>
      <c r="M836" s="28">
        <f>IFERROR(IF(OR(J836=0,K836=""),"",IF(E836="Positivo",MAX(K836/J836,0),MAX(J836/K836,0))),"") </f>
        <v/>
      </c>
      <c r="N836" s="5" t="inlineStr">
        <is>
          <t>Kg</t>
        </is>
      </c>
      <c r="O836" s="5" t="inlineStr">
        <is>
          <t>Kg</t>
        </is>
      </c>
      <c r="P836" s="16" t="n">
        <v>0</v>
      </c>
      <c r="Q836" s="16" t="n">
        <v>0</v>
      </c>
      <c r="R836" s="5" t="inlineStr">
        <is>
          <t>214-2025-09-30</t>
        </is>
      </c>
    </row>
    <row r="837">
      <c r="A837" s="26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43" t="n">
        <v>45961</v>
      </c>
      <c r="G837" s="5" t="n">
        <v>2025</v>
      </c>
      <c r="H837" s="5" t="inlineStr">
        <is>
          <t>Octubre</t>
        </is>
      </c>
      <c r="I837" s="6" t="inlineStr">
        <is>
          <t>2025-2</t>
        </is>
      </c>
      <c r="J837" s="5" t="n">
        <v>7500</v>
      </c>
      <c r="K837" s="123" t="n">
        <v>3998.57</v>
      </c>
      <c r="L837" s="28">
        <f>IFERROR(IF(OR(J837=0,K837=""),"",IF(E837="Positivo",MIN(MAX(K837/J837,0),1.3),MIN(MAX(J837/K837,0),1.3))),"") </f>
        <v/>
      </c>
      <c r="M837" s="28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16" t="n">
        <v>0</v>
      </c>
      <c r="Q837" s="16" t="n">
        <v>0</v>
      </c>
      <c r="R837" s="5" t="inlineStr">
        <is>
          <t>214-2025-10-31</t>
        </is>
      </c>
    </row>
    <row r="838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43" t="n">
        <v>45991</v>
      </c>
      <c r="G838" s="5" t="n">
        <v>2025</v>
      </c>
      <c r="H838" s="5" t="inlineStr">
        <is>
          <t>Noviembre</t>
        </is>
      </c>
      <c r="I838" s="6" t="inlineStr">
        <is>
          <t>2025-2</t>
        </is>
      </c>
      <c r="J838" s="5" t="n">
        <v>7500</v>
      </c>
      <c r="K838" s="123" t="n">
        <v>5264</v>
      </c>
      <c r="L838" s="28">
        <f>IFERROR(IF(OR(J838=0,K838=""),"",IF(E838="Positivo",MIN(MAX(K838/J838,0),1.3),MIN(MAX(J838/K838,0),1.3))),"") </f>
        <v/>
      </c>
      <c r="M838" s="28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16" t="n">
        <v>0</v>
      </c>
      <c r="Q838" s="16" t="n">
        <v>0</v>
      </c>
      <c r="R838" s="5" t="inlineStr">
        <is>
          <t>214-2025-11-30</t>
        </is>
      </c>
    </row>
    <row r="839">
      <c r="A839" s="39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44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>
        <v>7500</v>
      </c>
      <c r="K839" s="123" t="n">
        <v>2169.54</v>
      </c>
      <c r="L839" s="28">
        <f>IFERROR(IF(OR(J839=0,K839=""),"",IF(E839="Positivo",MIN(MAX(K839/J839,0),1.3),MIN(MAX(J839/K839,0),1.3))),"") </f>
        <v/>
      </c>
      <c r="M839" s="28">
        <f>IFERROR(IF(OR(J839=0,K839=""),"",IF(E839="Positivo",MAX(K839/J839,0),MAX(J839/K839,0))),"") </f>
        <v/>
      </c>
      <c r="N839" s="5" t="inlineStr">
        <is>
          <t>Kg</t>
        </is>
      </c>
      <c r="O839" s="5" t="inlineStr">
        <is>
          <t>Kg</t>
        </is>
      </c>
      <c r="P839" s="16" t="n">
        <v>0</v>
      </c>
      <c r="Q839" s="16" t="n">
        <v>0</v>
      </c>
      <c r="R839" s="5" t="inlineStr">
        <is>
          <t>214-2025-12-31</t>
        </is>
      </c>
    </row>
    <row r="840">
      <c r="A840" s="39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44" t="n">
        <v>44651</v>
      </c>
      <c r="G840" s="5" t="n">
        <v>2022</v>
      </c>
      <c r="H840" s="5" t="inlineStr">
        <is>
          <t>Marzo</t>
        </is>
      </c>
      <c r="I840" s="6" t="inlineStr">
        <is>
          <t>2022-1</t>
        </is>
      </c>
      <c r="J840" s="5" t="n">
        <v>1</v>
      </c>
      <c r="K840" s="123" t="n"/>
      <c r="L840" s="8" t="n"/>
      <c r="M840" s="28" t="n"/>
      <c r="N840" s="5" t="inlineStr">
        <is>
          <t>%</t>
        </is>
      </c>
      <c r="O840" s="5" t="inlineStr">
        <is>
          <t>No Aplica</t>
        </is>
      </c>
      <c r="P840" s="16" t="n">
        <v>2</v>
      </c>
      <c r="Q840" s="16" t="n">
        <v>2</v>
      </c>
      <c r="R840" s="5" t="inlineStr">
        <is>
          <t>215-2022-03-31</t>
        </is>
      </c>
      <c r="S840" t="inlineStr">
        <is>
          <t>No Aplica</t>
        </is>
      </c>
    </row>
    <row r="841">
      <c r="A841" s="26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143" t="n">
        <v>44742</v>
      </c>
      <c r="G841" s="5" t="n">
        <v>2022</v>
      </c>
      <c r="H841" s="5" t="inlineStr">
        <is>
          <t>Junio</t>
        </is>
      </c>
      <c r="I841" s="6" t="inlineStr">
        <is>
          <t>2022-1</t>
        </is>
      </c>
      <c r="J841" s="11" t="n">
        <v>1</v>
      </c>
      <c r="K841" s="123" t="n"/>
      <c r="L841" s="8" t="n"/>
      <c r="M841" s="28" t="n"/>
      <c r="N841" s="11" t="inlineStr">
        <is>
          <t>%</t>
        </is>
      </c>
      <c r="O841" s="11" t="inlineStr">
        <is>
          <t>No Aplica</t>
        </is>
      </c>
      <c r="P841" s="16" t="n">
        <v>2</v>
      </c>
      <c r="Q841" s="16" t="n">
        <v>2</v>
      </c>
      <c r="R841" s="5" t="inlineStr">
        <is>
          <t>215-2022-06-30</t>
        </is>
      </c>
      <c r="S841" t="inlineStr">
        <is>
          <t>No Aplica</t>
        </is>
      </c>
    </row>
    <row r="842">
      <c r="A842" s="39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Trimestral</t>
        </is>
      </c>
      <c r="E842" s="5" t="inlineStr">
        <is>
          <t>Positivo</t>
        </is>
      </c>
      <c r="F842" s="144" t="n">
        <v>44926</v>
      </c>
      <c r="G842" s="5" t="n">
        <v>2022</v>
      </c>
      <c r="H842" s="5" t="inlineStr">
        <is>
          <t>Diciembre</t>
        </is>
      </c>
      <c r="I842" s="6" t="inlineStr">
        <is>
          <t>2022-2</t>
        </is>
      </c>
      <c r="J842" s="11" t="n">
        <v>1</v>
      </c>
      <c r="K842" s="123" t="n">
        <v>-23.628691983122</v>
      </c>
      <c r="L842" s="28">
        <f>IFERROR(IF(OR(J842=0,K842=""),"",IF(E842="Positivo",MIN(MAX(K842/J842,0),1.3),MIN(MAX(J842/K842,0),1.3))),"") </f>
        <v/>
      </c>
      <c r="M842" s="28">
        <f>IFERROR(IF(OR(J842=0,K842=""),"",IF(E842="Positivo",MAX(K842/J842,0),MAX(J842/K842,0))),"") </f>
        <v/>
      </c>
      <c r="N842" s="11" t="inlineStr">
        <is>
          <t>%</t>
        </is>
      </c>
      <c r="O842" s="11" t="inlineStr">
        <is>
          <t>%</t>
        </is>
      </c>
      <c r="P842" s="16" t="n">
        <v>2</v>
      </c>
      <c r="Q842" s="16" t="n">
        <v>2</v>
      </c>
      <c r="R842" s="5" t="inlineStr">
        <is>
          <t>215-2022-12-31</t>
        </is>
      </c>
    </row>
    <row r="843">
      <c r="A843" s="5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144" t="n">
        <v>45107</v>
      </c>
      <c r="G843" s="5" t="n">
        <v>2023</v>
      </c>
      <c r="H843" s="5" t="inlineStr">
        <is>
          <t>Junio</t>
        </is>
      </c>
      <c r="I843" s="6" t="inlineStr">
        <is>
          <t>2023-1</t>
        </is>
      </c>
      <c r="J843" s="5" t="n">
        <v>1</v>
      </c>
      <c r="K843" s="5" t="n">
        <v>-47.67</v>
      </c>
      <c r="L843" s="28">
        <f>IFERROR(IF(OR(J843=0,K843=""),"",IF(E843="Positivo",MIN(MAX(K843/J843,0),1.3),MIN(MAX(J843/K843,0),1.3))),"") </f>
        <v/>
      </c>
      <c r="M843" s="28">
        <f>IFERROR(IF(OR(J843=0,K843=""),"",IF(E843="Positivo",MAX(K843/J843,0),MAX(J843/K843,0))),"") </f>
        <v/>
      </c>
      <c r="N843" s="5" t="inlineStr">
        <is>
          <t>Kg</t>
        </is>
      </c>
      <c r="O843" s="5" t="inlineStr">
        <is>
          <t>Kg</t>
        </is>
      </c>
      <c r="P843" s="5" t="n">
        <v>2</v>
      </c>
      <c r="Q843" s="5" t="n">
        <v>2</v>
      </c>
      <c r="R843" s="5" t="inlineStr">
        <is>
          <t>215-2023-06-30</t>
        </is>
      </c>
    </row>
    <row r="844">
      <c r="A844" s="26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144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</v>
      </c>
      <c r="K844" s="10" t="n">
        <v>-124.72</v>
      </c>
      <c r="L844" s="28">
        <f>IFERROR(IF(OR(J844=0,K844=""),"",IF(E844="Positivo",MIN(MAX(K844/J844,0),1.3),MIN(MAX(J844/K844,0),1.3))),"") </f>
        <v/>
      </c>
      <c r="M844" s="28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16" t="n">
        <v>2</v>
      </c>
      <c r="Q844" s="16" t="n">
        <v>2</v>
      </c>
      <c r="R844" s="5" t="inlineStr">
        <is>
          <t>215-2023-12-31</t>
        </is>
      </c>
    </row>
    <row r="845">
      <c r="A845" s="26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143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</v>
      </c>
      <c r="K845" s="123" t="n">
        <v>8</v>
      </c>
      <c r="L845" s="28">
        <f>IFERROR(IF(OR(J845=0,K845=""),"",IF(E845="Positivo",MIN(MAX(K845/J845,0),1.3),MIN(MAX(J845/K845,0),1.3))),"") </f>
        <v/>
      </c>
      <c r="M845" s="28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16" t="n">
        <v>2</v>
      </c>
      <c r="Q845" s="16" t="n">
        <v>2</v>
      </c>
      <c r="R845" s="5" t="inlineStr">
        <is>
          <t>215-2024-06-30</t>
        </is>
      </c>
    </row>
    <row r="846">
      <c r="A846" s="39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144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</v>
      </c>
      <c r="K846" s="123" t="n">
        <v>-45.65</v>
      </c>
      <c r="L846" s="28">
        <f>IFERROR(IF(OR(J846=0,K846=""),"",IF(E846="Positivo",MIN(MAX(K846/J846,0),1.3),MIN(MAX(J846/K846,0),1.3))),"") </f>
        <v/>
      </c>
      <c r="M846" s="28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16" t="n">
        <v>2</v>
      </c>
      <c r="Q846" s="16" t="n">
        <v>2</v>
      </c>
      <c r="R846" s="5" t="inlineStr">
        <is>
          <t>215-2024-12-31</t>
        </is>
      </c>
    </row>
    <row r="847">
      <c r="A847" s="5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144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</v>
      </c>
      <c r="K847" s="5" t="n">
        <v>-114.55</v>
      </c>
      <c r="L847" s="28">
        <f>IFERROR(IF(OR(J847=0,K847=""),"",IF(E847="Positivo",MIN(MAX(K847/J847,0),1.3),MIN(MAX(J847/K847,0),1.3))),"") </f>
        <v/>
      </c>
      <c r="M847" s="28">
        <f>IFERROR(IF(OR(J847=0,K847=""),"",IF(E847="Positivo",MAX(K847/J847,0),MAX(J847/K847,0))),"") </f>
        <v/>
      </c>
      <c r="N847" s="5" t="inlineStr">
        <is>
          <t>%</t>
        </is>
      </c>
      <c r="O847" s="5" t="inlineStr">
        <is>
          <t>%</t>
        </is>
      </c>
      <c r="P847" s="5" t="n">
        <v>2</v>
      </c>
      <c r="Q847" s="5" t="n">
        <v>2</v>
      </c>
      <c r="R847" s="5" t="inlineStr">
        <is>
          <t>215-2025-06-30</t>
        </is>
      </c>
    </row>
    <row r="848">
      <c r="A848" s="26" t="n">
        <v>215</v>
      </c>
      <c r="B848" s="5" t="inlineStr">
        <is>
          <t>Disminución de la Generación de Residuos per Cápita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144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</v>
      </c>
      <c r="K848" s="10" t="n">
        <v>-6.43</v>
      </c>
      <c r="L848" s="28">
        <f>IFERROR(IF(OR(J848=0,K848=""),"",IF(E848="Positivo",MIN(MAX(K848/J848,0),1.3),MIN(MAX(J848/K848,0),1.3))),"") </f>
        <v/>
      </c>
      <c r="M848" s="28">
        <f>IFERROR(IF(OR(J848=0,K848=""),"",IF(E848="Positivo",MAX(K848/J848,0),MAX(J848/K848,0))),"") </f>
        <v/>
      </c>
      <c r="N848" s="5" t="inlineStr">
        <is>
          <t>%</t>
        </is>
      </c>
      <c r="O848" s="5" t="inlineStr">
        <is>
          <t>%</t>
        </is>
      </c>
      <c r="P848" s="16" t="n">
        <v>2</v>
      </c>
      <c r="Q848" s="16" t="n">
        <v>2</v>
      </c>
      <c r="R848" s="5" t="inlineStr">
        <is>
          <t>215-2025-12-31</t>
        </is>
      </c>
    </row>
    <row r="849">
      <c r="A849" s="26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143" t="n">
        <v>44926</v>
      </c>
      <c r="G849" s="5" t="n">
        <v>2022</v>
      </c>
      <c r="H849" s="5" t="inlineStr">
        <is>
          <t>Diciembre</t>
        </is>
      </c>
      <c r="I849" s="6" t="inlineStr">
        <is>
          <t>2022-2</t>
        </is>
      </c>
      <c r="J849" s="5" t="n">
        <v>100</v>
      </c>
      <c r="K849" s="123" t="n">
        <v>300</v>
      </c>
      <c r="L849" s="28">
        <f>IFERROR(IF(OR(J849=0,K849=""),"",IF(E849="Positivo",MIN(MAX(K849/J849,0),1.3),MIN(MAX(J849/K849,0),1.3))),"") </f>
        <v/>
      </c>
      <c r="M849" s="28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16" t="n">
        <v>0</v>
      </c>
      <c r="Q849" s="16" t="n">
        <v>0</v>
      </c>
      <c r="R849" s="5" t="inlineStr">
        <is>
          <t>216-2022-12-31</t>
        </is>
      </c>
    </row>
    <row r="850">
      <c r="A850" s="39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144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123" t="n">
        <v>100</v>
      </c>
      <c r="L850" s="28">
        <f>IFERROR(IF(OR(J850=0,K850=""),"",IF(E850="Positivo",MIN(MAX(K850/J850,0),1.3),MIN(MAX(J850/K850,0),1.3))),"") </f>
        <v/>
      </c>
      <c r="M850" s="28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16" t="n">
        <v>0</v>
      </c>
      <c r="Q850" s="16" t="n">
        <v>0</v>
      </c>
      <c r="R850" s="5" t="inlineStr">
        <is>
          <t>216-2023-12-31</t>
        </is>
      </c>
    </row>
    <row r="851">
      <c r="A851" s="26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143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123" t="n">
        <v>100</v>
      </c>
      <c r="L851" s="28">
        <f>IFERROR(IF(OR(J851=0,K851=""),"",IF(E851="Positivo",MIN(MAX(K851/J851,0),1.3),MIN(MAX(J851/K851,0),1.3))),"") </f>
        <v/>
      </c>
      <c r="M851" s="28">
        <f>IFERROR(IF(OR(J851=0,K851=""),"",IF(E851="Positivo",MAX(K851/J851,0),MAX(J851/K851,0))),"") </f>
        <v/>
      </c>
      <c r="N851" s="5" t="n"/>
      <c r="O851" s="5" t="n"/>
      <c r="P851" s="16" t="n">
        <v>0</v>
      </c>
      <c r="Q851" s="16" t="n">
        <v>0</v>
      </c>
      <c r="R851" s="5" t="inlineStr">
        <is>
          <t>216-2024-12-31</t>
        </is>
      </c>
    </row>
    <row r="852">
      <c r="A852" s="39" t="n">
        <v>216</v>
      </c>
      <c r="B852" s="5" t="inlineStr">
        <is>
          <t>Disposición Ambientalmente Adecuada de Residuos Peligrosos</t>
        </is>
      </c>
      <c r="C852" s="5" t="inlineStr">
        <is>
          <t>GESTIÓN AMBIENTAL</t>
        </is>
      </c>
      <c r="D852" s="5" t="inlineStr">
        <is>
          <t>Anual</t>
        </is>
      </c>
      <c r="E852" s="5" t="inlineStr">
        <is>
          <t>Positivo</t>
        </is>
      </c>
      <c r="F852" s="144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100</v>
      </c>
      <c r="K852" s="123" t="n">
        <v>100</v>
      </c>
      <c r="L852" s="28">
        <f>IFERROR(IF(OR(J852=0,K852=""),"",IF(E852="Positivo",MIN(MAX(K852/J852,0),1.3),MIN(MAX(J852/K852,0),1.3))),"") </f>
        <v/>
      </c>
      <c r="M852" s="28">
        <f>IFERROR(IF(OR(J852=0,K852=""),"",IF(E852="Positivo",MAX(K852/J852,0),MAX(J852/K852,0))),"") </f>
        <v/>
      </c>
      <c r="N852" s="5" t="inlineStr">
        <is>
          <t>%</t>
        </is>
      </c>
      <c r="O852" s="5" t="inlineStr">
        <is>
          <t>%</t>
        </is>
      </c>
      <c r="P852" s="16" t="n">
        <v>0</v>
      </c>
      <c r="Q852" s="16" t="n">
        <v>0</v>
      </c>
      <c r="R852" s="5" t="inlineStr">
        <is>
          <t>216-2025-12-31</t>
        </is>
      </c>
    </row>
    <row r="853">
      <c r="A853" s="5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144" t="n">
        <v>44592</v>
      </c>
      <c r="G853" s="5" t="n">
        <v>2022</v>
      </c>
      <c r="H853" s="5" t="inlineStr">
        <is>
          <t>Enero</t>
        </is>
      </c>
      <c r="I853" s="6" t="inlineStr">
        <is>
          <t>2022-1</t>
        </is>
      </c>
      <c r="J853" s="5" t="n">
        <v>20</v>
      </c>
      <c r="K853" s="5" t="n"/>
      <c r="L853" s="28" t="n"/>
      <c r="M853" s="28" t="n"/>
      <c r="N853" s="5" t="inlineStr">
        <is>
          <t>%</t>
        </is>
      </c>
      <c r="O853" s="5" t="inlineStr">
        <is>
          <t>No Aplica</t>
        </is>
      </c>
      <c r="P853" s="5" t="n">
        <v>0</v>
      </c>
      <c r="Q853" s="5" t="n">
        <v>0</v>
      </c>
      <c r="R853" s="5" t="inlineStr">
        <is>
          <t>217-2022-01-31</t>
        </is>
      </c>
      <c r="S853" t="inlineStr">
        <is>
          <t>No Aplica</t>
        </is>
      </c>
    </row>
    <row r="854">
      <c r="A854" s="26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144" t="n">
        <v>44620</v>
      </c>
      <c r="G854" s="5" t="n">
        <v>2022</v>
      </c>
      <c r="H854" s="5" t="inlineStr">
        <is>
          <t>Febrero</t>
        </is>
      </c>
      <c r="I854" s="6" t="inlineStr">
        <is>
          <t>2022-1</t>
        </is>
      </c>
      <c r="J854" s="5" t="n">
        <v>20</v>
      </c>
      <c r="K854" s="10" t="n"/>
      <c r="L854" s="28" t="n"/>
      <c r="M854" s="28" t="n"/>
      <c r="N854" s="5" t="inlineStr">
        <is>
          <t>%</t>
        </is>
      </c>
      <c r="O854" s="5" t="inlineStr">
        <is>
          <t>No Aplica</t>
        </is>
      </c>
      <c r="P854" s="16" t="n">
        <v>0</v>
      </c>
      <c r="Q854" s="16" t="n">
        <v>0</v>
      </c>
      <c r="R854" s="5" t="inlineStr">
        <is>
          <t>217-2022-02-28</t>
        </is>
      </c>
      <c r="S854" t="inlineStr">
        <is>
          <t>No Aplica</t>
        </is>
      </c>
    </row>
    <row r="855">
      <c r="A855" s="26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143" t="n">
        <v>44681</v>
      </c>
      <c r="G855" s="5" t="n">
        <v>2022</v>
      </c>
      <c r="H855" s="5" t="inlineStr">
        <is>
          <t>Abril</t>
        </is>
      </c>
      <c r="I855" s="6" t="inlineStr">
        <is>
          <t>2022-1</t>
        </is>
      </c>
      <c r="J855" s="5" t="n">
        <v>20</v>
      </c>
      <c r="K855" s="123" t="n"/>
      <c r="L855" s="8" t="n"/>
      <c r="M855" s="28" t="n"/>
      <c r="N855" s="5" t="inlineStr">
        <is>
          <t>%</t>
        </is>
      </c>
      <c r="O855" s="5" t="inlineStr">
        <is>
          <t>No Aplica</t>
        </is>
      </c>
      <c r="P855" s="16" t="n">
        <v>0</v>
      </c>
      <c r="Q855" s="16" t="n">
        <v>0</v>
      </c>
      <c r="R855" s="5" t="inlineStr">
        <is>
          <t>217-2022-04-30</t>
        </is>
      </c>
      <c r="S855" t="inlineStr">
        <is>
          <t>No Aplica</t>
        </is>
      </c>
    </row>
    <row r="856">
      <c r="A856" s="39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144" t="n">
        <v>44712</v>
      </c>
      <c r="G856" s="5" t="n">
        <v>2022</v>
      </c>
      <c r="H856" s="5" t="inlineStr">
        <is>
          <t>Mayo</t>
        </is>
      </c>
      <c r="I856" s="6" t="inlineStr">
        <is>
          <t>2022-1</t>
        </is>
      </c>
      <c r="J856" s="5" t="n">
        <v>20</v>
      </c>
      <c r="K856" s="123" t="n"/>
      <c r="L856" s="8" t="n"/>
      <c r="M856" s="28" t="n"/>
      <c r="N856" s="5" t="inlineStr">
        <is>
          <t>%</t>
        </is>
      </c>
      <c r="O856" s="5" t="inlineStr">
        <is>
          <t>No Aplica</t>
        </is>
      </c>
      <c r="P856" s="16" t="n">
        <v>0</v>
      </c>
      <c r="Q856" s="16" t="n">
        <v>0</v>
      </c>
      <c r="R856" s="5" t="inlineStr">
        <is>
          <t>217-2022-05-31</t>
        </is>
      </c>
      <c r="S856" t="inlineStr">
        <is>
          <t>No Aplica</t>
        </is>
      </c>
    </row>
    <row r="857">
      <c r="A857" s="5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144" t="n">
        <v>44742</v>
      </c>
      <c r="G857" s="5" t="n">
        <v>2022</v>
      </c>
      <c r="H857" s="5" t="inlineStr">
        <is>
          <t>Junio</t>
        </is>
      </c>
      <c r="I857" s="6" t="inlineStr">
        <is>
          <t>2022-1</t>
        </is>
      </c>
      <c r="J857" s="5" t="n">
        <v>20</v>
      </c>
      <c r="K857" s="5" t="n"/>
      <c r="L857" s="28" t="n"/>
      <c r="M857" s="28" t="n"/>
      <c r="N857" s="5" t="inlineStr">
        <is>
          <t>%</t>
        </is>
      </c>
      <c r="O857" s="5" t="inlineStr">
        <is>
          <t>No Aplica</t>
        </is>
      </c>
      <c r="P857" s="5" t="n">
        <v>0</v>
      </c>
      <c r="Q857" s="5" t="n">
        <v>0</v>
      </c>
      <c r="R857" s="5" t="inlineStr">
        <is>
          <t>217-2022-06-30</t>
        </is>
      </c>
      <c r="S857" t="inlineStr">
        <is>
          <t>No Aplica</t>
        </is>
      </c>
    </row>
    <row r="858">
      <c r="A858" s="26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144" t="n">
        <v>44773</v>
      </c>
      <c r="G858" s="5" t="n">
        <v>2022</v>
      </c>
      <c r="H858" s="5" t="inlineStr">
        <is>
          <t>Julio</t>
        </is>
      </c>
      <c r="I858" s="6" t="inlineStr">
        <is>
          <t>2022-2</t>
        </is>
      </c>
      <c r="J858" s="5" t="n">
        <v>20</v>
      </c>
      <c r="K858" s="10" t="n"/>
      <c r="L858" s="28" t="n"/>
      <c r="M858" s="28" t="n"/>
      <c r="N858" s="5" t="inlineStr">
        <is>
          <t>%</t>
        </is>
      </c>
      <c r="O858" s="5" t="inlineStr">
        <is>
          <t>No Aplica</t>
        </is>
      </c>
      <c r="P858" s="16" t="n">
        <v>0</v>
      </c>
      <c r="Q858" s="16" t="n">
        <v>0</v>
      </c>
      <c r="R858" s="5" t="inlineStr">
        <is>
          <t>217-2022-07-31</t>
        </is>
      </c>
      <c r="S858" t="inlineStr">
        <is>
          <t>No Aplica</t>
        </is>
      </c>
    </row>
    <row r="859">
      <c r="A859" s="26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143" t="n">
        <v>44804</v>
      </c>
      <c r="G859" s="5" t="n">
        <v>2022</v>
      </c>
      <c r="H859" s="5" t="inlineStr">
        <is>
          <t>Agosto</t>
        </is>
      </c>
      <c r="I859" s="6" t="inlineStr">
        <is>
          <t>2022-2</t>
        </is>
      </c>
      <c r="J859" s="5" t="n">
        <v>20</v>
      </c>
      <c r="K859" s="123" t="n"/>
      <c r="L859" s="8" t="n"/>
      <c r="M859" s="28" t="n"/>
      <c r="N859" s="5" t="inlineStr">
        <is>
          <t>%</t>
        </is>
      </c>
      <c r="O859" s="5" t="inlineStr">
        <is>
          <t>No Aplica</t>
        </is>
      </c>
      <c r="P859" s="16" t="n">
        <v>0</v>
      </c>
      <c r="Q859" s="16" t="n">
        <v>0</v>
      </c>
      <c r="R859" s="5" t="inlineStr">
        <is>
          <t>217-2022-08-31</t>
        </is>
      </c>
      <c r="S859" t="inlineStr">
        <is>
          <t>No Aplica</t>
        </is>
      </c>
    </row>
    <row r="860">
      <c r="A860" s="39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144" t="n">
        <v>44834</v>
      </c>
      <c r="G860" s="5" t="n">
        <v>2022</v>
      </c>
      <c r="H860" s="5" t="inlineStr">
        <is>
          <t>Septiembre</t>
        </is>
      </c>
      <c r="I860" s="6" t="inlineStr">
        <is>
          <t>2022-2</t>
        </is>
      </c>
      <c r="J860" s="5" t="n">
        <v>20</v>
      </c>
      <c r="K860" s="123" t="n"/>
      <c r="L860" s="8" t="n"/>
      <c r="M860" s="28" t="n"/>
      <c r="N860" s="5" t="inlineStr">
        <is>
          <t>%</t>
        </is>
      </c>
      <c r="O860" s="5" t="inlineStr">
        <is>
          <t>No Aplica</t>
        </is>
      </c>
      <c r="P860" s="16" t="n">
        <v>0</v>
      </c>
      <c r="Q860" s="16" t="n">
        <v>0</v>
      </c>
      <c r="R860" s="5" t="inlineStr">
        <is>
          <t>217-2022-09-30</t>
        </is>
      </c>
      <c r="S860" t="inlineStr">
        <is>
          <t>No Aplica</t>
        </is>
      </c>
    </row>
    <row r="861">
      <c r="A861" s="5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144" t="n">
        <v>44865</v>
      </c>
      <c r="G861" s="5" t="n">
        <v>2022</v>
      </c>
      <c r="H861" s="5" t="inlineStr">
        <is>
          <t>Octubre</t>
        </is>
      </c>
      <c r="I861" s="6" t="inlineStr">
        <is>
          <t>2022-2</t>
        </is>
      </c>
      <c r="J861" s="5" t="n">
        <v>20</v>
      </c>
      <c r="K861" s="5" t="n"/>
      <c r="L861" s="28" t="n"/>
      <c r="M861" s="28" t="n"/>
      <c r="N861" s="5" t="inlineStr">
        <is>
          <t>%</t>
        </is>
      </c>
      <c r="O861" s="5" t="inlineStr">
        <is>
          <t>No Aplica</t>
        </is>
      </c>
      <c r="P861" s="5" t="n">
        <v>0</v>
      </c>
      <c r="Q861" s="5" t="n">
        <v>0</v>
      </c>
      <c r="R861" s="5" t="inlineStr">
        <is>
          <t>217-2022-10-31</t>
        </is>
      </c>
      <c r="S861" t="inlineStr">
        <is>
          <t>No Aplica</t>
        </is>
      </c>
    </row>
    <row r="862">
      <c r="A862" s="26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144" t="n">
        <v>44895</v>
      </c>
      <c r="G862" s="5" t="n">
        <v>2022</v>
      </c>
      <c r="H862" s="5" t="inlineStr">
        <is>
          <t>Noviembre</t>
        </is>
      </c>
      <c r="I862" s="6" t="inlineStr">
        <is>
          <t>2022-2</t>
        </is>
      </c>
      <c r="J862" s="5" t="n">
        <v>20</v>
      </c>
      <c r="K862" s="123" t="n"/>
      <c r="L862" s="8" t="n"/>
      <c r="M862" s="28" t="n"/>
      <c r="N862" s="5" t="inlineStr">
        <is>
          <t>%</t>
        </is>
      </c>
      <c r="O862" s="5" t="inlineStr">
        <is>
          <t>No Aplica</t>
        </is>
      </c>
      <c r="P862" s="16" t="n">
        <v>0</v>
      </c>
      <c r="Q862" s="16" t="n">
        <v>0</v>
      </c>
      <c r="R862" s="5" t="inlineStr">
        <is>
          <t>217-2022-11-30</t>
        </is>
      </c>
      <c r="S862" t="inlineStr">
        <is>
          <t>No Aplica</t>
        </is>
      </c>
    </row>
    <row r="863">
      <c r="A863" s="43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144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20</v>
      </c>
      <c r="K863" s="123" t="n"/>
      <c r="L863" s="8" t="n"/>
      <c r="M863" s="28" t="n"/>
      <c r="N863" s="5" t="inlineStr">
        <is>
          <t>%</t>
        </is>
      </c>
      <c r="O863" s="5" t="inlineStr">
        <is>
          <t>No Aplica</t>
        </is>
      </c>
      <c r="P863" s="16" t="n">
        <v>0</v>
      </c>
      <c r="Q863" s="16" t="n">
        <v>0</v>
      </c>
      <c r="R863" s="5" t="inlineStr">
        <is>
          <t>217-2022-12-31</t>
        </is>
      </c>
      <c r="S863" t="inlineStr">
        <is>
          <t>No Aplica</t>
        </is>
      </c>
    </row>
    <row r="864">
      <c r="A864" s="5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144" t="n">
        <v>44957</v>
      </c>
      <c r="G864" s="5" t="n">
        <v>2023</v>
      </c>
      <c r="H864" s="5" t="inlineStr">
        <is>
          <t>Enero</t>
        </is>
      </c>
      <c r="I864" s="6" t="inlineStr">
        <is>
          <t>2023-1</t>
        </is>
      </c>
      <c r="J864" s="5" t="n">
        <v>20</v>
      </c>
      <c r="K864" s="5" t="n">
        <v>80.26584867075699</v>
      </c>
      <c r="L864" s="28">
        <f>IFERROR(IF(OR(J864=0,K864=""),"",IF(E864="Positivo",MIN(MAX(K864/J864,0),1.3),MIN(MAX(J864/K864,0),1.3))),"") </f>
        <v/>
      </c>
      <c r="M864" s="28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217-2023-01-31</t>
        </is>
      </c>
    </row>
    <row r="865">
      <c r="A865" s="26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144" t="n">
        <v>44985</v>
      </c>
      <c r="G865" s="5" t="n">
        <v>2023</v>
      </c>
      <c r="H865" s="5" t="inlineStr">
        <is>
          <t>Febrero</t>
        </is>
      </c>
      <c r="I865" s="6" t="inlineStr">
        <is>
          <t>2023-1</t>
        </is>
      </c>
      <c r="J865" s="5" t="n">
        <v>20</v>
      </c>
      <c r="K865" s="10" t="n">
        <v>57.669322709163</v>
      </c>
      <c r="L865" s="28">
        <f>IFERROR(IF(OR(J865=0,K865=""),"",IF(E865="Positivo",MIN(MAX(K865/J865,0),1.3),MIN(MAX(J865/K865,0),1.3))),"") </f>
        <v/>
      </c>
      <c r="M865" s="28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16" t="n">
        <v>0</v>
      </c>
      <c r="Q865" s="16" t="n">
        <v>0</v>
      </c>
      <c r="R865" s="5" t="inlineStr">
        <is>
          <t>217-2023-02-28</t>
        </is>
      </c>
    </row>
    <row r="866">
      <c r="A866" s="26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144" t="n">
        <v>45016</v>
      </c>
      <c r="G866" s="5" t="n">
        <v>2023</v>
      </c>
      <c r="H866" s="5" t="inlineStr">
        <is>
          <t>Marzo</t>
        </is>
      </c>
      <c r="I866" s="6" t="inlineStr">
        <is>
          <t>2023-1</t>
        </is>
      </c>
      <c r="J866" s="5" t="n">
        <v>20</v>
      </c>
      <c r="K866" s="10" t="n">
        <v>53.684210526316</v>
      </c>
      <c r="L866" s="28">
        <f>IFERROR(IF(OR(J866=0,K866=""),"",IF(E866="Positivo",MIN(MAX(K866/J866,0),1.3),MIN(MAX(J866/K866,0),1.3))),"") </f>
        <v/>
      </c>
      <c r="M866" s="28">
        <f>IFERROR(IF(OR(J866=0,K866=""),"",IF(E866="Positivo",MAX(K866/J866,0),MAX(J866/K866,0))),"") </f>
        <v/>
      </c>
      <c r="N866" s="5" t="inlineStr">
        <is>
          <t>%</t>
        </is>
      </c>
      <c r="O866" s="5" t="inlineStr">
        <is>
          <t>%</t>
        </is>
      </c>
      <c r="P866" s="16" t="n">
        <v>0</v>
      </c>
      <c r="Q866" s="16" t="n">
        <v>0</v>
      </c>
      <c r="R866" s="5" t="inlineStr">
        <is>
          <t>217-2023-03-31</t>
        </is>
      </c>
    </row>
    <row r="867">
      <c r="A867" s="26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44" t="n">
        <v>45046</v>
      </c>
      <c r="G867" s="5" t="n">
        <v>2023</v>
      </c>
      <c r="H867" s="5" t="inlineStr">
        <is>
          <t>Abril</t>
        </is>
      </c>
      <c r="I867" s="6" t="inlineStr">
        <is>
          <t>2023-1</t>
        </is>
      </c>
      <c r="J867" s="5" t="n">
        <v>20</v>
      </c>
      <c r="K867" s="123" t="n">
        <v>65.302491103203</v>
      </c>
      <c r="L867" s="28">
        <f>IFERROR(IF(OR(J867=0,K867=""),"",IF(E867="Positivo",MIN(MAX(K867/J867,0),1.3),MIN(MAX(J867/K867,0),1.3))),"") </f>
        <v/>
      </c>
      <c r="M867" s="28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16" t="n">
        <v>1</v>
      </c>
      <c r="Q867" s="16" t="n">
        <v>1</v>
      </c>
      <c r="R867" s="5" t="inlineStr">
        <is>
          <t>217-2023-04-30</t>
        </is>
      </c>
    </row>
    <row r="868">
      <c r="A868" s="26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44" t="n">
        <v>45077</v>
      </c>
      <c r="G868" s="5" t="n">
        <v>2023</v>
      </c>
      <c r="H868" s="5" t="inlineStr">
        <is>
          <t>Mayo</t>
        </is>
      </c>
      <c r="I868" s="6" t="inlineStr">
        <is>
          <t>2023-1</t>
        </is>
      </c>
      <c r="J868" s="5" t="n">
        <v>20</v>
      </c>
      <c r="K868" s="123" t="n">
        <v>33.942687747036</v>
      </c>
      <c r="L868" s="28">
        <f>IFERROR(IF(OR(J868=0,K868=""),"",IF(E868="Positivo",MIN(MAX(K868/J868,0),1.3),MIN(MAX(J868/K868,0),1.3))),"") </f>
        <v/>
      </c>
      <c r="M868" s="28">
        <f>IFERROR(IF(OR(J868=0,K868=""),"",IF(E868="Positivo",MAX(K868/J868,0),MAX(J868/K868,0))),"") </f>
        <v/>
      </c>
      <c r="N868" s="5" t="inlineStr">
        <is>
          <t>%</t>
        </is>
      </c>
      <c r="O868" s="5" t="inlineStr">
        <is>
          <t>%</t>
        </is>
      </c>
      <c r="P868" s="16" t="n">
        <v>0</v>
      </c>
      <c r="Q868" s="16" t="n">
        <v>0</v>
      </c>
      <c r="R868" s="5" t="inlineStr">
        <is>
          <t>217-2023-05-31</t>
        </is>
      </c>
    </row>
    <row r="869">
      <c r="A869" s="39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44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20</v>
      </c>
      <c r="K869" s="123" t="n">
        <v>31.380626400921</v>
      </c>
      <c r="L869" s="28">
        <f>IFERROR(IF(OR(J869=0,K869=""),"",IF(E869="Positivo",MIN(MAX(K869/J869,0),1.3),MIN(MAX(J869/K869,0),1.3))),"") </f>
        <v/>
      </c>
      <c r="M869" s="28">
        <f>IFERROR(IF(OR(J869=0,K869=""),"",IF(E869="Positivo",MAX(K869/J869,0),MAX(J869/K869,0))),"") </f>
        <v/>
      </c>
      <c r="N869" s="5" t="inlineStr">
        <is>
          <t>%</t>
        </is>
      </c>
      <c r="O869" s="5" t="inlineStr">
        <is>
          <t>%</t>
        </is>
      </c>
      <c r="P869" s="16" t="n">
        <v>0</v>
      </c>
      <c r="Q869" s="16" t="n">
        <v>0</v>
      </c>
      <c r="R869" s="5" t="inlineStr">
        <is>
          <t>217-2023-06-30</t>
        </is>
      </c>
    </row>
    <row r="870">
      <c r="A870" s="26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44" t="n">
        <v>45138</v>
      </c>
      <c r="G870" s="5" t="n">
        <v>2023</v>
      </c>
      <c r="H870" s="5" t="inlineStr">
        <is>
          <t>Julio</t>
        </is>
      </c>
      <c r="I870" s="6" t="inlineStr">
        <is>
          <t>2023-2</t>
        </is>
      </c>
      <c r="J870" s="5" t="n">
        <v>20</v>
      </c>
      <c r="K870" s="123" t="n">
        <v>24.49130938586327</v>
      </c>
      <c r="L870" s="28">
        <f>IFERROR(IF(OR(J870=0,K870=""),"",IF(E870="Positivo",MIN(MAX(K870/J870,0),1.3),MIN(MAX(J870/K870,0),1.3))),"") </f>
        <v/>
      </c>
      <c r="M870" s="28">
        <f>IFERROR(IF(OR(J870=0,K870=""),"",IF(E870="Positivo",MAX(K870/J870,0),MAX(J870/K870,0))),"") </f>
        <v/>
      </c>
      <c r="N870" s="5" t="inlineStr">
        <is>
          <t>%</t>
        </is>
      </c>
      <c r="O870" s="5" t="inlineStr">
        <is>
          <t>%</t>
        </is>
      </c>
      <c r="P870" s="16" t="n">
        <v>0</v>
      </c>
      <c r="Q870" s="16" t="n">
        <v>0</v>
      </c>
      <c r="R870" s="5" t="inlineStr">
        <is>
          <t>217-2023-07-31</t>
        </is>
      </c>
    </row>
    <row r="871">
      <c r="A871" s="26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44" t="n">
        <v>45169</v>
      </c>
      <c r="G871" s="5" t="n">
        <v>2023</v>
      </c>
      <c r="H871" s="5" t="inlineStr">
        <is>
          <t>Agosto</t>
        </is>
      </c>
      <c r="I871" s="6" t="inlineStr">
        <is>
          <t>2023-2</t>
        </is>
      </c>
      <c r="J871" s="5" t="n">
        <v>20</v>
      </c>
      <c r="K871" s="10" t="n">
        <v>26.432398380448</v>
      </c>
      <c r="L871" s="28">
        <f>IFERROR(IF(OR(J871=0,K871=""),"",IF(E871="Positivo",MIN(MAX(K871/J871,0),1.3),MIN(MAX(J871/K871,0),1.3))),"") </f>
        <v/>
      </c>
      <c r="M871" s="28">
        <f>IFERROR(IF(OR(J871=0,K871=""),"",IF(E871="Positivo",MAX(K871/J871,0),MAX(J871/K871,0))),"") </f>
        <v/>
      </c>
      <c r="N871" s="5" t="inlineStr">
        <is>
          <t>%</t>
        </is>
      </c>
      <c r="O871" s="5" t="inlineStr">
        <is>
          <t>%</t>
        </is>
      </c>
      <c r="P871" s="16" t="n">
        <v>0</v>
      </c>
      <c r="Q871" s="16" t="n">
        <v>0</v>
      </c>
      <c r="R871" s="5" t="inlineStr">
        <is>
          <t>217-2023-08-31</t>
        </is>
      </c>
    </row>
    <row r="872">
      <c r="A872" s="26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44" t="n">
        <v>45199</v>
      </c>
      <c r="G872" s="5" t="n">
        <v>2023</v>
      </c>
      <c r="H872" s="5" t="inlineStr">
        <is>
          <t>Septiembre</t>
        </is>
      </c>
      <c r="I872" s="6" t="inlineStr">
        <is>
          <t>2023-2</t>
        </is>
      </c>
      <c r="J872" s="5" t="n">
        <v>20</v>
      </c>
      <c r="K872" s="10" t="n">
        <v>24.292455241659</v>
      </c>
      <c r="L872" s="28">
        <f>IFERROR(IF(OR(J872=0,K872=""),"",IF(E872="Positivo",MIN(MAX(K872/J872,0),1.3),MIN(MAX(J872/K872,0),1.3))),"") </f>
        <v/>
      </c>
      <c r="M872" s="28">
        <f>IFERROR(IF(OR(J872=0,K872=""),"",IF(E872="Positivo",MAX(K872/J872,0),MAX(J872/K872,0))),"") </f>
        <v/>
      </c>
      <c r="N872" s="5" t="inlineStr">
        <is>
          <t>%</t>
        </is>
      </c>
      <c r="O872" s="5" t="inlineStr">
        <is>
          <t>%</t>
        </is>
      </c>
      <c r="P872" s="16" t="n">
        <v>0</v>
      </c>
      <c r="Q872" s="16" t="n">
        <v>0</v>
      </c>
      <c r="R872" s="5" t="inlineStr">
        <is>
          <t>217-2023-09-30</t>
        </is>
      </c>
    </row>
    <row r="873">
      <c r="A873" s="5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44" t="n">
        <v>45230</v>
      </c>
      <c r="G873" s="5" t="n">
        <v>2023</v>
      </c>
      <c r="H873" s="5" t="inlineStr">
        <is>
          <t>Octubre</t>
        </is>
      </c>
      <c r="I873" s="6" t="inlineStr">
        <is>
          <t>2023-2</t>
        </is>
      </c>
      <c r="J873" s="5" t="n">
        <v>20</v>
      </c>
      <c r="K873" s="5" t="n">
        <v>16.28971459343</v>
      </c>
      <c r="L873" s="28">
        <f>IFERROR(IF(OR(J873=0,K873=""),"",IF(E873="Positivo",MIN(MAX(K873/J873,0),1.3),MIN(MAX(J873/K873,0),1.3))),"") </f>
        <v/>
      </c>
      <c r="M873" s="28">
        <f>IFERROR(IF(OR(J873=0,K873=""),"",IF(E873="Positivo",MAX(K873/J873,0),MAX(J873/K873,0))),"") </f>
        <v/>
      </c>
      <c r="N873" s="5" t="inlineStr">
        <is>
          <t>%</t>
        </is>
      </c>
      <c r="O873" s="5" t="inlineStr">
        <is>
          <t>%</t>
        </is>
      </c>
      <c r="P873" s="5" t="n">
        <v>0</v>
      </c>
      <c r="Q873" s="5" t="n">
        <v>0</v>
      </c>
      <c r="R873" s="5" t="inlineStr">
        <is>
          <t>217-2023-10-31</t>
        </is>
      </c>
    </row>
    <row r="874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44" t="n">
        <v>45260</v>
      </c>
      <c r="G874" s="5" t="n">
        <v>2023</v>
      </c>
      <c r="H874" s="5" t="inlineStr">
        <is>
          <t>Noviembre</t>
        </is>
      </c>
      <c r="I874" s="6" t="inlineStr">
        <is>
          <t>2023-2</t>
        </is>
      </c>
      <c r="J874" s="5" t="n">
        <v>20</v>
      </c>
      <c r="K874" s="10" t="n">
        <v>12.737618000776</v>
      </c>
      <c r="L874" s="28">
        <f>IFERROR(IF(OR(J874=0,K874=""),"",IF(E874="Positivo",MIN(MAX(K874/J874,0),1.3),MIN(MAX(J874/K874,0),1.3))),"") </f>
        <v/>
      </c>
      <c r="M874" s="28">
        <f>IFERROR(IF(OR(J874=0,K874=""),"",IF(E874="Positivo",MAX(K874/J874,0),MAX(J874/K874,0))),"") </f>
        <v/>
      </c>
      <c r="N874" s="5" t="inlineStr">
        <is>
          <t>%</t>
        </is>
      </c>
      <c r="O874" s="5" t="inlineStr">
        <is>
          <t>%</t>
        </is>
      </c>
      <c r="P874" s="16" t="n">
        <v>0</v>
      </c>
      <c r="Q874" s="16" t="n">
        <v>0</v>
      </c>
      <c r="R874" s="5" t="inlineStr">
        <is>
          <t>217-2023-11-30</t>
        </is>
      </c>
    </row>
    <row r="875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44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20</v>
      </c>
      <c r="K875" s="10" t="n">
        <v>26.540319967693</v>
      </c>
      <c r="L875" s="28">
        <f>IFERROR(IF(OR(J875=0,K875=""),"",IF(E875="Positivo",MIN(MAX(K875/J875,0),1.3),MIN(MAX(J875/K875,0),1.3))),"") </f>
        <v/>
      </c>
      <c r="M875" s="28">
        <f>IFERROR(IF(OR(J875=0,K875=""),"",IF(E875="Positivo",MAX(K875/J875,0),MAX(J875/K875,0))),"") </f>
        <v/>
      </c>
      <c r="N875" s="5" t="inlineStr">
        <is>
          <t>%</t>
        </is>
      </c>
      <c r="O875" s="5" t="inlineStr">
        <is>
          <t>%</t>
        </is>
      </c>
      <c r="P875" s="16" t="n">
        <v>0</v>
      </c>
      <c r="Q875" s="16" t="n">
        <v>0</v>
      </c>
      <c r="R875" s="5" t="inlineStr">
        <is>
          <t>217-2023-12-31</t>
        </is>
      </c>
    </row>
    <row r="876">
      <c r="A876" s="26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44" t="n">
        <v>45322</v>
      </c>
      <c r="G876" s="5" t="n">
        <v>2024</v>
      </c>
      <c r="H876" s="5" t="inlineStr">
        <is>
          <t>Enero</t>
        </is>
      </c>
      <c r="I876" s="6" t="inlineStr">
        <is>
          <t>2024-1</t>
        </is>
      </c>
      <c r="J876" s="5" t="n">
        <v>20</v>
      </c>
      <c r="K876" s="10" t="n">
        <v>53.86</v>
      </c>
      <c r="L876" s="28">
        <f>IFERROR(IF(OR(J876=0,K876=""),"",IF(E876="Positivo",MIN(MAX(K876/J876,0),1.3),MIN(MAX(J876/K876,0),1.3))),"") </f>
        <v/>
      </c>
      <c r="M876" s="28">
        <f>IFERROR(IF(OR(J876=0,K876=""),"",IF(E876="Positivo",MAX(K876/J876,0),MAX(J876/K876,0))),"") </f>
        <v/>
      </c>
      <c r="N876" s="5" t="inlineStr">
        <is>
          <t>%</t>
        </is>
      </c>
      <c r="O876" s="5" t="inlineStr">
        <is>
          <t>%</t>
        </is>
      </c>
      <c r="P876" s="16" t="n">
        <v>0</v>
      </c>
      <c r="Q876" s="16" t="n">
        <v>0</v>
      </c>
      <c r="R876" s="5" t="inlineStr">
        <is>
          <t>217-2024-01-31</t>
        </is>
      </c>
    </row>
    <row r="877">
      <c r="A877" s="26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43" t="n">
        <v>45351</v>
      </c>
      <c r="G877" s="5" t="n">
        <v>2024</v>
      </c>
      <c r="H877" s="5" t="inlineStr">
        <is>
          <t>Febrero</t>
        </is>
      </c>
      <c r="I877" s="6" t="inlineStr">
        <is>
          <t>2024-1</t>
        </is>
      </c>
      <c r="J877" s="5" t="n">
        <v>20</v>
      </c>
      <c r="K877" s="123" t="n">
        <v>18.72</v>
      </c>
      <c r="L877" s="28">
        <f>IFERROR(IF(OR(J877=0,K877=""),"",IF(E877="Positivo",MIN(MAX(K877/J877,0),1.3),MIN(MAX(J877/K877,0),1.3))),"") </f>
        <v/>
      </c>
      <c r="M877" s="28">
        <f>IFERROR(IF(OR(J877=0,K877=""),"",IF(E877="Positivo",MAX(K877/J877,0),MAX(J877/K877,0))),"") </f>
        <v/>
      </c>
      <c r="N877" s="5" t="inlineStr">
        <is>
          <t>%</t>
        </is>
      </c>
      <c r="O877" s="5" t="inlineStr">
        <is>
          <t>%</t>
        </is>
      </c>
      <c r="P877" s="16" t="n">
        <v>0</v>
      </c>
      <c r="Q877" s="16" t="n">
        <v>1</v>
      </c>
      <c r="R877" s="5" t="inlineStr">
        <is>
          <t>217-2024-02-29</t>
        </is>
      </c>
    </row>
    <row r="878">
      <c r="A878" s="39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44" t="n">
        <v>45382</v>
      </c>
      <c r="G878" s="5" t="n">
        <v>2024</v>
      </c>
      <c r="H878" s="5" t="inlineStr">
        <is>
          <t>Marzo</t>
        </is>
      </c>
      <c r="I878" s="6" t="inlineStr">
        <is>
          <t>2024-1</t>
        </is>
      </c>
      <c r="J878" s="5" t="n">
        <v>20</v>
      </c>
      <c r="K878" s="123" t="n">
        <v>18.39</v>
      </c>
      <c r="L878" s="28">
        <f>IFERROR(IF(OR(J878=0,K878=""),"",IF(E878="Positivo",MIN(MAX(K878/J878,0),1.3),MIN(MAX(J878/K878,0),1.3))),"") </f>
        <v/>
      </c>
      <c r="M878" s="28">
        <f>IFERROR(IF(OR(J878=0,K878=""),"",IF(E878="Positivo",MAX(K878/J878,0),MAX(J878/K878,0))),"") </f>
        <v/>
      </c>
      <c r="N878" s="5" t="inlineStr">
        <is>
          <t>%</t>
        </is>
      </c>
      <c r="O878" s="5" t="inlineStr">
        <is>
          <t>%</t>
        </is>
      </c>
      <c r="P878" s="16" t="n">
        <v>0</v>
      </c>
      <c r="Q878" s="16" t="n">
        <v>1</v>
      </c>
      <c r="R878" s="5" t="inlineStr">
        <is>
          <t>217-2024-03-31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44" t="n">
        <v>45412</v>
      </c>
      <c r="G879" s="5" t="n">
        <v>2024</v>
      </c>
      <c r="H879" s="5" t="inlineStr">
        <is>
          <t>Abril</t>
        </is>
      </c>
      <c r="I879" s="6" t="inlineStr">
        <is>
          <t>2024-1</t>
        </is>
      </c>
      <c r="J879" s="5" t="n">
        <v>20</v>
      </c>
      <c r="K879" s="5" t="n">
        <v>18.6</v>
      </c>
      <c r="L879" s="28">
        <f>IFERROR(IF(OR(J879=0,K879=""),"",IF(E879="Positivo",MIN(MAX(K879/J879,0),1.3),MIN(MAX(J879/K879,0),1.3))),"") </f>
        <v/>
      </c>
      <c r="M879" s="28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1</v>
      </c>
      <c r="R879" s="5" t="inlineStr">
        <is>
          <t>217-2024-04-30</t>
        </is>
      </c>
    </row>
    <row r="880">
      <c r="A880" s="26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44" t="n">
        <v>45443</v>
      </c>
      <c r="G880" s="5" t="n">
        <v>2024</v>
      </c>
      <c r="H880" s="5" t="inlineStr">
        <is>
          <t>Mayo</t>
        </is>
      </c>
      <c r="I880" s="6" t="inlineStr">
        <is>
          <t>2024-1</t>
        </is>
      </c>
      <c r="J880" s="5" t="n">
        <v>20</v>
      </c>
      <c r="K880" s="10" t="n">
        <v>28.11</v>
      </c>
      <c r="L880" s="28">
        <f>IFERROR(IF(OR(J880=0,K880=""),"",IF(E880="Positivo",MIN(MAX(K880/J880,0),1.3),MIN(MAX(J880/K880,0),1.3))),"") </f>
        <v/>
      </c>
      <c r="M880" s="28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16" t="n">
        <v>0</v>
      </c>
      <c r="Q880" s="16" t="n">
        <v>1</v>
      </c>
      <c r="R880" s="5" t="inlineStr">
        <is>
          <t>217-2024-05-31</t>
        </is>
      </c>
    </row>
    <row r="881">
      <c r="A881" s="26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43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20</v>
      </c>
      <c r="K881" s="123" t="n">
        <v>17.23</v>
      </c>
      <c r="L881" s="28">
        <f>IFERROR(IF(OR(J881=0,K881=""),"",IF(E881="Positivo",MIN(MAX(K881/J881,0),1.3),MIN(MAX(J881/K881,0),1.3))),"") </f>
        <v/>
      </c>
      <c r="M881" s="28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6" t="n">
        <v>0</v>
      </c>
      <c r="Q881" s="16" t="n">
        <v>1</v>
      </c>
      <c r="R881" s="5" t="inlineStr">
        <is>
          <t>217-2024-06-30</t>
        </is>
      </c>
    </row>
    <row r="882">
      <c r="A882" s="39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44" t="n">
        <v>45504</v>
      </c>
      <c r="G882" s="5" t="n">
        <v>2024</v>
      </c>
      <c r="H882" s="5" t="inlineStr">
        <is>
          <t>Julio</t>
        </is>
      </c>
      <c r="I882" s="6" t="inlineStr">
        <is>
          <t>2024-2</t>
        </is>
      </c>
      <c r="J882" s="5" t="n">
        <v>20</v>
      </c>
      <c r="K882" s="123" t="n">
        <v>27.77</v>
      </c>
      <c r="L882" s="28">
        <f>IFERROR(IF(OR(J882=0,K882=""),"",IF(E882="Positivo",MIN(MAX(K882/J882,0),1.3),MIN(MAX(J882/K882,0),1.3))),"") </f>
        <v/>
      </c>
      <c r="M882" s="28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6" t="n">
        <v>0</v>
      </c>
      <c r="Q882" s="16" t="n">
        <v>1</v>
      </c>
      <c r="R882" s="5" t="inlineStr">
        <is>
          <t>217-2024-07-31</t>
        </is>
      </c>
    </row>
    <row r="883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44" t="n">
        <v>45535</v>
      </c>
      <c r="G883" s="5" t="n">
        <v>2024</v>
      </c>
      <c r="H883" s="5" t="inlineStr">
        <is>
          <t>Agosto</t>
        </is>
      </c>
      <c r="I883" s="6" t="inlineStr">
        <is>
          <t>2024-2</t>
        </is>
      </c>
      <c r="J883" s="5" t="n">
        <v>20</v>
      </c>
      <c r="K883" s="5" t="n">
        <v>23.96</v>
      </c>
      <c r="L883" s="28">
        <f>IFERROR(IF(OR(J883=0,K883=""),"",IF(E883="Positivo",MIN(MAX(K883/J883,0),1.3),MIN(MAX(J883/K883,0),1.3))),"") </f>
        <v/>
      </c>
      <c r="M883" s="28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1</v>
      </c>
      <c r="R883" s="5" t="inlineStr">
        <is>
          <t>217-2024-08-31</t>
        </is>
      </c>
    </row>
    <row r="884">
      <c r="A884" s="26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44" t="n">
        <v>45565</v>
      </c>
      <c r="G884" s="5" t="n">
        <v>2024</v>
      </c>
      <c r="H884" s="5" t="inlineStr">
        <is>
          <t>Septiembre</t>
        </is>
      </c>
      <c r="I884" s="6" t="inlineStr">
        <is>
          <t>2024-2</t>
        </is>
      </c>
      <c r="J884" s="5" t="n">
        <v>20</v>
      </c>
      <c r="K884" s="10" t="n">
        <v>16.13</v>
      </c>
      <c r="L884" s="28">
        <f>IFERROR(IF(OR(J884=0,K884=""),"",IF(E884="Positivo",MIN(MAX(K884/J884,0),1.3),MIN(MAX(J884/K884,0),1.3))),"") </f>
        <v/>
      </c>
      <c r="M884" s="28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6" t="n">
        <v>0</v>
      </c>
      <c r="Q884" s="16" t="n">
        <v>1</v>
      </c>
      <c r="R884" s="5" t="inlineStr">
        <is>
          <t>217-2024-09-30</t>
        </is>
      </c>
    </row>
    <row r="885">
      <c r="A885" s="26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43" t="n">
        <v>45596</v>
      </c>
      <c r="G885" s="5" t="n">
        <v>2024</v>
      </c>
      <c r="H885" s="5" t="inlineStr">
        <is>
          <t>Octubre</t>
        </is>
      </c>
      <c r="I885" s="6" t="inlineStr">
        <is>
          <t>2024-2</t>
        </is>
      </c>
      <c r="J885" s="5" t="n">
        <v>20</v>
      </c>
      <c r="K885" s="123" t="n">
        <v>34.47</v>
      </c>
      <c r="L885" s="28">
        <f>IFERROR(IF(OR(J885=0,K885=""),"",IF(E885="Positivo",MIN(MAX(K885/J885,0),1.3),MIN(MAX(J885/K885,0),1.3))),"") </f>
        <v/>
      </c>
      <c r="M885" s="28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6" t="n">
        <v>0</v>
      </c>
      <c r="Q885" s="16" t="n">
        <v>1</v>
      </c>
      <c r="R885" s="5" t="inlineStr">
        <is>
          <t>217-2024-10-31</t>
        </is>
      </c>
    </row>
    <row r="886">
      <c r="A886" s="39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44" t="n">
        <v>45626</v>
      </c>
      <c r="G886" s="5" t="n">
        <v>2024</v>
      </c>
      <c r="H886" s="5" t="inlineStr">
        <is>
          <t>Noviembre</t>
        </is>
      </c>
      <c r="I886" s="6" t="inlineStr">
        <is>
          <t>2024-2</t>
        </is>
      </c>
      <c r="J886" s="5" t="n">
        <v>20</v>
      </c>
      <c r="K886" s="123" t="n">
        <v>19.61275051088461</v>
      </c>
      <c r="L886" s="28">
        <f>IFERROR(IF(OR(J886=0,K886=""),"",IF(E886="Positivo",MIN(MAX(K886/J886,0),1.3),MIN(MAX(J886/K886,0),1.3))),"") </f>
        <v/>
      </c>
      <c r="M886" s="28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6" t="n">
        <v>0</v>
      </c>
      <c r="Q886" s="16" t="n">
        <v>1</v>
      </c>
      <c r="R886" s="5" t="inlineStr">
        <is>
          <t>217-2024-11-30</t>
        </is>
      </c>
    </row>
    <row r="887">
      <c r="A887" s="5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44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20</v>
      </c>
      <c r="K887" s="5" t="n">
        <v>27.05</v>
      </c>
      <c r="L887" s="28">
        <f>IFERROR(IF(OR(J887=0,K887=""),"",IF(E887="Positivo",MIN(MAX(K887/J887,0),1.3),MIN(MAX(J887/K887,0),1.3))),"") </f>
        <v/>
      </c>
      <c r="M887" s="28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1</v>
      </c>
      <c r="R887" s="5" t="inlineStr">
        <is>
          <t>217-2024-12-31</t>
        </is>
      </c>
    </row>
    <row r="888">
      <c r="A888" s="26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44" t="n">
        <v>45688</v>
      </c>
      <c r="G888" s="5" t="n">
        <v>2025</v>
      </c>
      <c r="H888" s="5" t="inlineStr">
        <is>
          <t>Enero</t>
        </is>
      </c>
      <c r="I888" s="6" t="inlineStr">
        <is>
          <t>2025-1</t>
        </is>
      </c>
      <c r="J888" s="5" t="n">
        <v>20</v>
      </c>
      <c r="K888" s="10" t="n">
        <v>139.19</v>
      </c>
      <c r="L888" s="28">
        <f>IFERROR(IF(OR(J888=0,K888=""),"",IF(E888="Positivo",MIN(MAX(K888/J888,0),1.3),MIN(MAX(J888/K888,0),1.3))),"") </f>
        <v/>
      </c>
      <c r="M888" s="28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16" t="n">
        <v>0</v>
      </c>
      <c r="Q888" s="16" t="n">
        <v>0</v>
      </c>
      <c r="R888" s="5" t="inlineStr">
        <is>
          <t>217-2025-01-31</t>
        </is>
      </c>
    </row>
    <row r="889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43" t="n">
        <v>45716</v>
      </c>
      <c r="G889" s="5" t="n">
        <v>2025</v>
      </c>
      <c r="H889" s="5" t="inlineStr">
        <is>
          <t>Febrero</t>
        </is>
      </c>
      <c r="I889" s="6" t="inlineStr">
        <is>
          <t>2025-1</t>
        </is>
      </c>
      <c r="J889" s="5" t="n">
        <v>20</v>
      </c>
      <c r="K889" s="123" t="n">
        <v>42.89</v>
      </c>
      <c r="L889" s="28">
        <f>IFERROR(IF(OR(J889=0,K889=""),"",IF(E889="Positivo",MIN(MAX(K889/J889,0),1.3),MIN(MAX(J889/K889,0),1.3))),"") </f>
        <v/>
      </c>
      <c r="M889" s="28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1</v>
      </c>
      <c r="R889" s="5" t="inlineStr">
        <is>
          <t>217-2025-02-28</t>
        </is>
      </c>
    </row>
    <row r="890">
      <c r="A890" s="39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44" t="n">
        <v>45747</v>
      </c>
      <c r="G890" s="5" t="n">
        <v>2025</v>
      </c>
      <c r="H890" s="5" t="inlineStr">
        <is>
          <t>Marzo</t>
        </is>
      </c>
      <c r="I890" s="6" t="inlineStr">
        <is>
          <t>2025-1</t>
        </is>
      </c>
      <c r="J890" s="5" t="n">
        <v>20</v>
      </c>
      <c r="K890" s="123" t="n">
        <v>27.57</v>
      </c>
      <c r="L890" s="28">
        <f>IFERROR(IF(OR(J890=0,K890=""),"",IF(E890="Positivo",MIN(MAX(K890/J890,0),1.3),MIN(MAX(J890/K890,0),1.3))),"") </f>
        <v/>
      </c>
      <c r="M890" s="28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1</v>
      </c>
      <c r="R890" s="5" t="inlineStr">
        <is>
          <t>217-2025-03-31</t>
        </is>
      </c>
    </row>
    <row r="89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44" t="n">
        <v>45777</v>
      </c>
      <c r="G891" s="5" t="n">
        <v>2025</v>
      </c>
      <c r="H891" s="5" t="inlineStr">
        <is>
          <t>Abril</t>
        </is>
      </c>
      <c r="I891" s="6" t="inlineStr">
        <is>
          <t>2025-1</t>
        </is>
      </c>
      <c r="J891" s="5" t="n">
        <v>20</v>
      </c>
      <c r="K891" s="5" t="n">
        <v>45.35</v>
      </c>
      <c r="L891" s="28">
        <f>IFERROR(IF(OR(J891=0,K891=""),"",IF(E891="Positivo",MIN(MAX(K891/J891,0),1.3),MIN(MAX(J891/K891,0),1.3))),"") </f>
        <v/>
      </c>
      <c r="M891" s="28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1</v>
      </c>
      <c r="R891" s="5" t="inlineStr">
        <is>
          <t>217-2025-04-30</t>
        </is>
      </c>
    </row>
    <row r="892">
      <c r="A892" s="26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44" t="n">
        <v>45808</v>
      </c>
      <c r="G892" s="5" t="n">
        <v>2025</v>
      </c>
      <c r="H892" s="5" t="inlineStr">
        <is>
          <t>Mayo</t>
        </is>
      </c>
      <c r="I892" s="6" t="inlineStr">
        <is>
          <t>2025-1</t>
        </is>
      </c>
      <c r="J892" s="5" t="n">
        <v>20</v>
      </c>
      <c r="K892" s="10" t="n">
        <v>29.8</v>
      </c>
      <c r="L892" s="28">
        <f>IFERROR(IF(OR(J892=0,K892=""),"",IF(E892="Positivo",MIN(MAX(K892/J892,0),1.3),MIN(MAX(J892/K892,0),1.3))),"") </f>
        <v/>
      </c>
      <c r="M892" s="28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1</v>
      </c>
      <c r="R892" s="5" t="inlineStr">
        <is>
          <t>217-2025-05-31</t>
        </is>
      </c>
    </row>
    <row r="893">
      <c r="A893" s="26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43" t="n">
        <v>45838</v>
      </c>
      <c r="G893" s="5" t="n">
        <v>2025</v>
      </c>
      <c r="H893" s="5" t="inlineStr">
        <is>
          <t>Junio</t>
        </is>
      </c>
      <c r="I893" s="6" t="inlineStr">
        <is>
          <t>2025-1</t>
        </is>
      </c>
      <c r="J893" s="5" t="n">
        <v>20</v>
      </c>
      <c r="K893" s="123" t="n">
        <v>48.94</v>
      </c>
      <c r="L893" s="28">
        <f>IFERROR(IF(OR(J893=0,K893=""),"",IF(E893="Positivo",MIN(MAX(K893/J893,0),1.3),MIN(MAX(J893/K893,0),1.3))),"") </f>
        <v/>
      </c>
      <c r="M893" s="28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1</v>
      </c>
      <c r="R893" s="5" t="inlineStr">
        <is>
          <t>217-2025-06-30</t>
        </is>
      </c>
    </row>
    <row r="894">
      <c r="A894" s="39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44" t="n">
        <v>45869</v>
      </c>
      <c r="G894" s="5" t="n">
        <v>2025</v>
      </c>
      <c r="H894" s="5" t="inlineStr">
        <is>
          <t>Julio</t>
        </is>
      </c>
      <c r="I894" s="6" t="inlineStr">
        <is>
          <t>2025-2</t>
        </is>
      </c>
      <c r="J894" s="5" t="n">
        <v>20</v>
      </c>
      <c r="K894" s="123" t="n">
        <v>50.5</v>
      </c>
      <c r="L894" s="28">
        <f>IFERROR(IF(OR(J894=0,K894=""),"",IF(E894="Positivo",MIN(MAX(K894/J894,0),1.3),MIN(MAX(J894/K894,0),1.3))),"") </f>
        <v/>
      </c>
      <c r="M894" s="28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16" t="n">
        <v>0</v>
      </c>
      <c r="Q894" s="16" t="n">
        <v>0</v>
      </c>
      <c r="R894" s="5" t="inlineStr">
        <is>
          <t>217-2025-07-31</t>
        </is>
      </c>
    </row>
    <row r="895">
      <c r="A895" s="5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44" t="n">
        <v>45900</v>
      </c>
      <c r="G895" s="5" t="n">
        <v>2025</v>
      </c>
      <c r="H895" s="5" t="inlineStr">
        <is>
          <t>Agosto</t>
        </is>
      </c>
      <c r="I895" s="6" t="inlineStr">
        <is>
          <t>2025-2</t>
        </is>
      </c>
      <c r="J895" s="5" t="n">
        <v>20</v>
      </c>
      <c r="K895" s="5" t="n">
        <v>27.45</v>
      </c>
      <c r="L895" s="28">
        <f>IFERROR(IF(OR(J895=0,K895=""),"",IF(E895="Positivo",MIN(MAX(K895/J895,0),1.3),MIN(MAX(J895/K895,0),1.3))),"") </f>
        <v/>
      </c>
      <c r="M895" s="28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 t="inlineStr">
        <is>
          <t>217-2025-08-31</t>
        </is>
      </c>
    </row>
    <row r="896">
      <c r="A896" s="26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44" t="n">
        <v>45930</v>
      </c>
      <c r="G896" s="5" t="n">
        <v>2025</v>
      </c>
      <c r="H896" s="5" t="inlineStr">
        <is>
          <t>Septiembre</t>
        </is>
      </c>
      <c r="I896" s="6" t="inlineStr">
        <is>
          <t>2025-2</t>
        </is>
      </c>
      <c r="J896" s="5" t="n">
        <v>20</v>
      </c>
      <c r="K896" s="123" t="n">
        <v>39.5</v>
      </c>
      <c r="L896" s="28">
        <f>IFERROR(IF(OR(J896=0,K896=""),"",IF(E896="Positivo",MIN(MAX(K896/J896,0),1.3),MIN(MAX(J896/K896,0),1.3))),"") </f>
        <v/>
      </c>
      <c r="M896" s="28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0</v>
      </c>
      <c r="R896" s="5" t="inlineStr">
        <is>
          <t>217-2025-09-30</t>
        </is>
      </c>
    </row>
    <row r="897">
      <c r="A897" s="26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44" t="n">
        <v>45961</v>
      </c>
      <c r="G897" s="5" t="n">
        <v>2025</v>
      </c>
      <c r="H897" s="5" t="inlineStr">
        <is>
          <t>Octubre</t>
        </is>
      </c>
      <c r="I897" s="6" t="inlineStr">
        <is>
          <t>2025-2</t>
        </is>
      </c>
      <c r="J897" s="5" t="n">
        <v>20</v>
      </c>
      <c r="K897" s="123" t="n">
        <v>148.5</v>
      </c>
      <c r="L897" s="28">
        <f>IFERROR(IF(OR(J897=0,K897=""),"",IF(E897="Positivo",MIN(MAX(K897/J897,0),1.3),MIN(MAX(J897/K897,0),1.3))),"") </f>
        <v/>
      </c>
      <c r="M897" s="28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0</v>
      </c>
      <c r="R897" s="5" t="inlineStr">
        <is>
          <t>217-2025-10-31</t>
        </is>
      </c>
    </row>
    <row r="898">
      <c r="A898" s="39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44" t="n">
        <v>45991</v>
      </c>
      <c r="G898" s="5" t="n">
        <v>2025</v>
      </c>
      <c r="H898" s="5" t="inlineStr">
        <is>
          <t>Noviembre</t>
        </is>
      </c>
      <c r="I898" s="6" t="inlineStr">
        <is>
          <t>2025-2</t>
        </is>
      </c>
      <c r="J898" s="5" t="n">
        <v>20</v>
      </c>
      <c r="K898" s="123" t="n">
        <v>229.04</v>
      </c>
      <c r="L898" s="28">
        <f>IFERROR(IF(OR(J898=0,K898=""),"",IF(E898="Positivo",MIN(MAX(K898/J898,0),1.3),MIN(MAX(J898/K898,0),1.3))),"") </f>
        <v/>
      </c>
      <c r="M898" s="28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16" t="n">
        <v>0</v>
      </c>
      <c r="Q898" s="16" t="n">
        <v>0</v>
      </c>
      <c r="R898" s="5" t="inlineStr">
        <is>
          <t>217-2025-11-30</t>
        </is>
      </c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44" t="n">
        <v>46022</v>
      </c>
      <c r="G899" s="5" t="n">
        <v>2025</v>
      </c>
      <c r="H899" s="5" t="inlineStr">
        <is>
          <t>Diciembre</t>
        </is>
      </c>
      <c r="I899" s="6" t="inlineStr">
        <is>
          <t>2025-2</t>
        </is>
      </c>
      <c r="J899" s="5" t="n">
        <v>20</v>
      </c>
      <c r="K899" s="123" t="n">
        <v>48.34</v>
      </c>
      <c r="L899" s="28">
        <f>IFERROR(IF(OR(J899=0,K899=""),"",IF(E899="Positivo",MIN(MAX(K899/J899,0),1.3),MIN(MAX(J899/K899,0),1.3))),"") </f>
        <v/>
      </c>
      <c r="M899" s="28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 t="inlineStr">
        <is>
          <t>217-2025-12-31</t>
        </is>
      </c>
    </row>
    <row r="900">
      <c r="A900" s="26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144" t="n">
        <v>44592</v>
      </c>
      <c r="G900" s="5" t="n">
        <v>2022</v>
      </c>
      <c r="H900" s="5" t="inlineStr">
        <is>
          <t>Enero</t>
        </is>
      </c>
      <c r="I900" s="6" t="inlineStr">
        <is>
          <t>2022-1</t>
        </is>
      </c>
      <c r="J900" s="5" t="n">
        <v>172000</v>
      </c>
      <c r="K900" s="123" t="n">
        <v>77569</v>
      </c>
      <c r="L900" s="28">
        <f>IFERROR(IF(OR(J900=0,K900=""),"",IF(E900="Positivo",MIN(MAX(K900/J900,0),1.0),MIN(MAX(J900/K900,0),1.0))),"") </f>
        <v/>
      </c>
      <c r="M900" s="28">
        <f>IFERROR(IF(OR(J900=0,K900=""),"",IF(E900="Positivo",MAX(K900/J900,0),MAX(J900/K900,0))),"") </f>
        <v/>
      </c>
      <c r="N900" s="5" t="inlineStr">
        <is>
          <t>kWh</t>
        </is>
      </c>
      <c r="O900" s="5" t="inlineStr">
        <is>
          <t>kWh</t>
        </is>
      </c>
      <c r="P900" s="16" t="n">
        <v>0</v>
      </c>
      <c r="Q900" s="16" t="n">
        <v>0</v>
      </c>
      <c r="R900" s="5" t="inlineStr">
        <is>
          <t>218-2022-01-31</t>
        </is>
      </c>
    </row>
    <row r="901">
      <c r="A901" s="5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144" t="n">
        <v>44620</v>
      </c>
      <c r="G901" s="5" t="n">
        <v>2022</v>
      </c>
      <c r="H901" s="5" t="inlineStr">
        <is>
          <t>Febrero</t>
        </is>
      </c>
      <c r="I901" s="6" t="inlineStr">
        <is>
          <t>2022-1</t>
        </is>
      </c>
      <c r="J901" s="5" t="n">
        <v>172000</v>
      </c>
      <c r="K901" s="123" t="n">
        <v>88546</v>
      </c>
      <c r="L901" s="28">
        <f>IFERROR(IF(OR(J901=0,K901=""),"",IF(E901="Positivo",MIN(MAX(K901/J901,0),1.0),MIN(MAX(J901/K901,0),1.0))),"") </f>
        <v/>
      </c>
      <c r="M901" s="28">
        <f>IFERROR(IF(OR(J901=0,K901=""),"",IF(E901="Positivo",MAX(K901/J901,0),MAX(J901/K901,0))),"") </f>
        <v/>
      </c>
      <c r="N901" s="5" t="inlineStr">
        <is>
          <t>kWh</t>
        </is>
      </c>
      <c r="O901" s="5" t="inlineStr">
        <is>
          <t>kWh</t>
        </is>
      </c>
      <c r="P901" s="16" t="n">
        <v>0</v>
      </c>
      <c r="Q901" s="16" t="n">
        <v>0</v>
      </c>
      <c r="R901" s="5" t="inlineStr">
        <is>
          <t>218-2022-02-28</t>
        </is>
      </c>
    </row>
    <row r="902">
      <c r="A902" s="39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144" t="n">
        <v>44651</v>
      </c>
      <c r="G902" s="5" t="n">
        <v>2022</v>
      </c>
      <c r="H902" s="5" t="inlineStr">
        <is>
          <t>Marzo</t>
        </is>
      </c>
      <c r="I902" s="6" t="inlineStr">
        <is>
          <t>2022-1</t>
        </is>
      </c>
      <c r="J902" s="5" t="n">
        <v>172000</v>
      </c>
      <c r="K902" s="123" t="n">
        <v>110711</v>
      </c>
      <c r="L902" s="28">
        <f>IFERROR(IF(OR(J902=0,K902=""),"",IF(E902="Positivo",MIN(MAX(K902/J902,0),1.0),MIN(MAX(J902/K902,0),1.0))),"") </f>
        <v/>
      </c>
      <c r="M902" s="28">
        <f>IFERROR(IF(OR(J902=0,K902=""),"",IF(E902="Positivo",MAX(K902/J902,0),MAX(J902/K902,0))),"") </f>
        <v/>
      </c>
      <c r="N902" s="5" t="inlineStr">
        <is>
          <t>kWh</t>
        </is>
      </c>
      <c r="O902" s="5" t="inlineStr">
        <is>
          <t>kWh</t>
        </is>
      </c>
      <c r="P902" s="16" t="n">
        <v>0</v>
      </c>
      <c r="Q902" s="16" t="n">
        <v>0</v>
      </c>
      <c r="R902" s="5" t="inlineStr">
        <is>
          <t>218-2022-03-31</t>
        </is>
      </c>
    </row>
    <row r="903">
      <c r="A903" s="26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144" t="n">
        <v>44681</v>
      </c>
      <c r="G903" s="5" t="n">
        <v>2022</v>
      </c>
      <c r="H903" s="5" t="inlineStr">
        <is>
          <t>Abril</t>
        </is>
      </c>
      <c r="I903" s="6" t="inlineStr">
        <is>
          <t>2022-1</t>
        </is>
      </c>
      <c r="J903" s="5" t="n">
        <v>172000</v>
      </c>
      <c r="K903" s="123" t="n">
        <v>105150</v>
      </c>
      <c r="L903" s="28">
        <f>IFERROR(IF(OR(J903=0,K903=""),"",IF(E903="Positivo",MIN(MAX(K903/J903,0),1.0),MIN(MAX(J903/K903,0),1.0))),"") </f>
        <v/>
      </c>
      <c r="M903" s="28">
        <f>IFERROR(IF(OR(J903=0,K903=""),"",IF(E903="Positivo",MAX(K903/J903,0),MAX(J903/K903,0))),"") </f>
        <v/>
      </c>
      <c r="N903" s="5" t="inlineStr">
        <is>
          <t>kWh</t>
        </is>
      </c>
      <c r="O903" s="5" t="inlineStr">
        <is>
          <t>kWh</t>
        </is>
      </c>
      <c r="P903" s="16" t="n">
        <v>0</v>
      </c>
      <c r="Q903" s="16" t="n">
        <v>0</v>
      </c>
      <c r="R903" s="5" t="inlineStr">
        <is>
          <t>218-2022-04-30</t>
        </is>
      </c>
    </row>
    <row r="904">
      <c r="A904" s="26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144" t="n">
        <v>44712</v>
      </c>
      <c r="G904" s="5" t="n">
        <v>2022</v>
      </c>
      <c r="H904" s="5" t="inlineStr">
        <is>
          <t>Mayo</t>
        </is>
      </c>
      <c r="I904" s="6" t="inlineStr">
        <is>
          <t>2022-1</t>
        </is>
      </c>
      <c r="J904" s="5" t="n">
        <v>172000</v>
      </c>
      <c r="K904" s="123" t="n">
        <v>110816</v>
      </c>
      <c r="L904" s="28">
        <f>IFERROR(IF(OR(J904=0,K904=""),"",IF(E904="Positivo",MIN(MAX(K904/J904,0),1.0),MIN(MAX(J904/K904,0),1.0))),"") </f>
        <v/>
      </c>
      <c r="M904" s="28">
        <f>IFERROR(IF(OR(J904=0,K904=""),"",IF(E904="Positivo",MAX(K904/J904,0),MAX(J904/K904,0))),"") </f>
        <v/>
      </c>
      <c r="N904" s="5" t="inlineStr">
        <is>
          <t>kWh</t>
        </is>
      </c>
      <c r="O904" s="5" t="inlineStr">
        <is>
          <t>kWh</t>
        </is>
      </c>
      <c r="P904" s="16" t="n">
        <v>0</v>
      </c>
      <c r="Q904" s="16" t="n">
        <v>0</v>
      </c>
      <c r="R904" s="5" t="inlineStr">
        <is>
          <t>218-2022-05-31</t>
        </is>
      </c>
    </row>
    <row r="905">
      <c r="A905" s="43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144" t="n">
        <v>44742</v>
      </c>
      <c r="G905" s="5" t="n">
        <v>2022</v>
      </c>
      <c r="H905" s="5" t="inlineStr">
        <is>
          <t>Junio</t>
        </is>
      </c>
      <c r="I905" s="6" t="inlineStr">
        <is>
          <t>2022-1</t>
        </is>
      </c>
      <c r="J905" s="5" t="n">
        <v>172000</v>
      </c>
      <c r="K905" s="123" t="n">
        <v>98441</v>
      </c>
      <c r="L905" s="28">
        <f>IFERROR(IF(OR(J905=0,K905=""),"",IF(E905="Positivo",MIN(MAX(K905/J905,0),1.0),MIN(MAX(J905/K905,0),1.0))),"") </f>
        <v/>
      </c>
      <c r="M905" s="28">
        <f>IFERROR(IF(OR(J905=0,K905=""),"",IF(E905="Positivo",MAX(K905/J905,0),MAX(J905/K905,0))),"") </f>
        <v/>
      </c>
      <c r="N905" s="5" t="inlineStr">
        <is>
          <t>kWh</t>
        </is>
      </c>
      <c r="O905" s="5" t="inlineStr">
        <is>
          <t>kWh</t>
        </is>
      </c>
      <c r="P905" s="16" t="n">
        <v>0</v>
      </c>
      <c r="Q905" s="16" t="n">
        <v>0</v>
      </c>
      <c r="R905" s="5" t="inlineStr">
        <is>
          <t>218-2022-06-30</t>
        </is>
      </c>
    </row>
    <row r="906">
      <c r="A906" s="39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144" t="n">
        <v>44773</v>
      </c>
      <c r="G906" s="5" t="n">
        <v>2022</v>
      </c>
      <c r="H906" s="5" t="inlineStr">
        <is>
          <t>Julio</t>
        </is>
      </c>
      <c r="I906" s="6" t="inlineStr">
        <is>
          <t>2022-2</t>
        </is>
      </c>
      <c r="J906" s="5" t="n">
        <v>172000</v>
      </c>
      <c r="K906" s="123" t="n">
        <v>79975</v>
      </c>
      <c r="L906" s="28">
        <f>IFERROR(IF(OR(J906=0,K906=""),"",IF(E906="Positivo",MIN(MAX(K906/J906,0),1.0),MIN(MAX(J906/K906,0),1.0))),"") </f>
        <v/>
      </c>
      <c r="M906" s="28">
        <f>IFERROR(IF(OR(J906=0,K906=""),"",IF(E906="Positivo",MAX(K906/J906,0),MAX(J906/K906,0))),"") </f>
        <v/>
      </c>
      <c r="N906" s="5" t="inlineStr">
        <is>
          <t>kWh</t>
        </is>
      </c>
      <c r="O906" s="5" t="inlineStr">
        <is>
          <t>kWh</t>
        </is>
      </c>
      <c r="P906" s="16" t="n">
        <v>0</v>
      </c>
      <c r="Q906" s="16" t="n">
        <v>0</v>
      </c>
      <c r="R906" s="5" t="inlineStr">
        <is>
          <t>218-2022-07-31</t>
        </is>
      </c>
    </row>
    <row r="907">
      <c r="A907" s="26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144" t="n">
        <v>44804</v>
      </c>
      <c r="G907" s="5" t="n">
        <v>2022</v>
      </c>
      <c r="H907" s="5" t="inlineStr">
        <is>
          <t>Agosto</t>
        </is>
      </c>
      <c r="I907" s="6" t="inlineStr">
        <is>
          <t>2022-2</t>
        </is>
      </c>
      <c r="J907" s="5" t="n">
        <v>172000</v>
      </c>
      <c r="K907" s="10" t="n">
        <v>173574</v>
      </c>
      <c r="L907" s="28">
        <f>IFERROR(IF(OR(J907=0,K907=""),"",IF(E907="Positivo",MIN(MAX(K907/J907,0),1.0),MIN(MAX(J907/K907,0),1.0))),"") </f>
        <v/>
      </c>
      <c r="M907" s="28">
        <f>IFERROR(IF(OR(J907=0,K907=""),"",IF(E907="Positivo",MAX(K907/J907,0),MAX(J907/K907,0))),"") </f>
        <v/>
      </c>
      <c r="N907" s="5" t="inlineStr">
        <is>
          <t>kWh</t>
        </is>
      </c>
      <c r="O907" s="5" t="inlineStr">
        <is>
          <t>kWh</t>
        </is>
      </c>
      <c r="P907" s="16" t="n">
        <v>0</v>
      </c>
      <c r="Q907" s="16" t="n">
        <v>0</v>
      </c>
      <c r="R907" s="5" t="inlineStr">
        <is>
          <t>218-2022-08-31</t>
        </is>
      </c>
    </row>
    <row r="908">
      <c r="A908" s="5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144" t="n">
        <v>44834</v>
      </c>
      <c r="G908" s="5" t="n">
        <v>2022</v>
      </c>
      <c r="H908" s="5" t="inlineStr">
        <is>
          <t>Septiembre</t>
        </is>
      </c>
      <c r="I908" s="6" t="inlineStr">
        <is>
          <t>2022-2</t>
        </is>
      </c>
      <c r="J908" s="5" t="n">
        <v>172000</v>
      </c>
      <c r="K908" s="5" t="n">
        <v>157375</v>
      </c>
      <c r="L908" s="28">
        <f>IFERROR(IF(OR(J908=0,K908=""),"",IF(E908="Positivo",MIN(MAX(K908/J908,0),1.0),MIN(MAX(J908/K908,0),1.0))),"") </f>
        <v/>
      </c>
      <c r="M908" s="28">
        <f>IFERROR(IF(OR(J908=0,K908=""),"",IF(E908="Positivo",MAX(K908/J908,0),MAX(J908/K908,0))),"") </f>
        <v/>
      </c>
      <c r="N908" s="5" t="inlineStr">
        <is>
          <t>kWh</t>
        </is>
      </c>
      <c r="O908" s="5" t="inlineStr">
        <is>
          <t>kWh</t>
        </is>
      </c>
      <c r="P908" s="5" t="n">
        <v>0</v>
      </c>
      <c r="Q908" s="5" t="n">
        <v>0</v>
      </c>
      <c r="R908" s="5" t="inlineStr">
        <is>
          <t>218-2022-09-30</t>
        </is>
      </c>
    </row>
    <row r="909">
      <c r="A909" s="26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144" t="n">
        <v>44865</v>
      </c>
      <c r="G909" s="5" t="n">
        <v>2022</v>
      </c>
      <c r="H909" s="5" t="inlineStr">
        <is>
          <t>Octubre</t>
        </is>
      </c>
      <c r="I909" s="6" t="inlineStr">
        <is>
          <t>2022-2</t>
        </is>
      </c>
      <c r="J909" s="5" t="n">
        <v>172000</v>
      </c>
      <c r="K909" s="10" t="n">
        <v>149257</v>
      </c>
      <c r="L909" s="28">
        <f>IFERROR(IF(OR(J909=0,K909=""),"",IF(E909="Positivo",MIN(MAX(K909/J909,0),1.0),MIN(MAX(J909/K909,0),1.0))),"") </f>
        <v/>
      </c>
      <c r="M909" s="28">
        <f>IFERROR(IF(OR(J909=0,K909=""),"",IF(E909="Positivo",MAX(K909/J909,0),MAX(J909/K909,0))),"") </f>
        <v/>
      </c>
      <c r="N909" s="5" t="inlineStr">
        <is>
          <t>kWh</t>
        </is>
      </c>
      <c r="O909" s="5" t="inlineStr">
        <is>
          <t>kWh</t>
        </is>
      </c>
      <c r="P909" s="16" t="n">
        <v>0</v>
      </c>
      <c r="Q909" s="16" t="n">
        <v>0</v>
      </c>
      <c r="R909" s="5" t="inlineStr">
        <is>
          <t>218-2022-10-31</t>
        </is>
      </c>
    </row>
    <row r="910">
      <c r="A910" s="26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144" t="n">
        <v>44895</v>
      </c>
      <c r="G910" s="5" t="n">
        <v>2022</v>
      </c>
      <c r="H910" s="5" t="inlineStr">
        <is>
          <t>Noviembre</t>
        </is>
      </c>
      <c r="I910" s="6" t="inlineStr">
        <is>
          <t>2022-2</t>
        </is>
      </c>
      <c r="J910" s="5" t="n">
        <v>172000</v>
      </c>
      <c r="K910" s="10" t="n">
        <v>144214</v>
      </c>
      <c r="L910" s="28">
        <f>IFERROR(IF(OR(J910=0,K910=""),"",IF(E910="Positivo",MIN(MAX(K910/J910,0),1.0),MIN(MAX(J910/K910,0),1.0))),"") </f>
        <v/>
      </c>
      <c r="M910" s="28">
        <f>IFERROR(IF(OR(J910=0,K910=""),"",IF(E910="Positivo",MAX(K910/J910,0),MAX(J910/K910,0))),"") </f>
        <v/>
      </c>
      <c r="N910" s="5" t="inlineStr">
        <is>
          <t>kWh</t>
        </is>
      </c>
      <c r="O910" s="5" t="inlineStr">
        <is>
          <t>kWh</t>
        </is>
      </c>
      <c r="P910" s="16" t="n">
        <v>0</v>
      </c>
      <c r="Q910" s="16" t="n">
        <v>0</v>
      </c>
      <c r="R910" s="5" t="inlineStr">
        <is>
          <t>218-2022-11-30</t>
        </is>
      </c>
    </row>
    <row r="911">
      <c r="A911" s="26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144" t="n">
        <v>44926</v>
      </c>
      <c r="G911" s="5" t="n">
        <v>2022</v>
      </c>
      <c r="H911" s="5" t="inlineStr">
        <is>
          <t>Diciembre</t>
        </is>
      </c>
      <c r="I911" s="6" t="inlineStr">
        <is>
          <t>2022-2</t>
        </is>
      </c>
      <c r="J911" s="5" t="n">
        <v>172000</v>
      </c>
      <c r="K911" s="123" t="n">
        <v>125564</v>
      </c>
      <c r="L911" s="28">
        <f>IFERROR(IF(OR(J911=0,K911=""),"",IF(E911="Positivo",MIN(MAX(K911/J911,0),1.0),MIN(MAX(J911/K911,0),1.0))),"") </f>
        <v/>
      </c>
      <c r="M911" s="28">
        <f>IFERROR(IF(OR(J911=0,K911=""),"",IF(E911="Positivo",MAX(K911/J911,0),MAX(J911/K911,0))),"") </f>
        <v/>
      </c>
      <c r="N911" s="5" t="inlineStr">
        <is>
          <t>kWh</t>
        </is>
      </c>
      <c r="O911" s="5" t="inlineStr">
        <is>
          <t>kWh</t>
        </is>
      </c>
      <c r="P911" s="16" t="n">
        <v>0</v>
      </c>
      <c r="Q911" s="16" t="n">
        <v>0</v>
      </c>
      <c r="R911" s="5" t="inlineStr">
        <is>
          <t>218-2022-12-31</t>
        </is>
      </c>
    </row>
    <row r="912">
      <c r="A912" s="26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144" t="n">
        <v>44957</v>
      </c>
      <c r="G912" s="5" t="n">
        <v>2023</v>
      </c>
      <c r="H912" s="5" t="inlineStr">
        <is>
          <t>Enero</t>
        </is>
      </c>
      <c r="I912" s="6" t="inlineStr">
        <is>
          <t>2023-1</t>
        </is>
      </c>
      <c r="J912" s="5" t="n">
        <v>172000</v>
      </c>
      <c r="K912" s="123" t="n">
        <v>120858</v>
      </c>
      <c r="L912" s="28">
        <f>IFERROR(IF(OR(J912=0,K912=""),"",IF(E912="Positivo",MIN(MAX(K912/J912,0),1.0),MIN(MAX(J912/K912,0),1.0))),"") </f>
        <v/>
      </c>
      <c r="M912" s="28">
        <f>IFERROR(IF(OR(J912=0,K912=""),"",IF(E912="Positivo",MAX(K912/J912,0),MAX(J912/K912,0))),"") </f>
        <v/>
      </c>
      <c r="N912" s="5" t="inlineStr">
        <is>
          <t>kWh</t>
        </is>
      </c>
      <c r="O912" s="5" t="inlineStr">
        <is>
          <t>kWh</t>
        </is>
      </c>
      <c r="P912" s="16" t="n">
        <v>0</v>
      </c>
      <c r="Q912" s="16" t="n">
        <v>1</v>
      </c>
      <c r="R912" s="5" t="inlineStr">
        <is>
          <t>218-2023-01-31</t>
        </is>
      </c>
    </row>
    <row r="913">
      <c r="A913" s="43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144" t="n">
        <v>44985</v>
      </c>
      <c r="G913" s="5" t="n">
        <v>2023</v>
      </c>
      <c r="H913" s="5" t="inlineStr">
        <is>
          <t>Febrero</t>
        </is>
      </c>
      <c r="I913" s="6" t="inlineStr">
        <is>
          <t>2023-1</t>
        </is>
      </c>
      <c r="J913" s="5" t="n">
        <v>172000</v>
      </c>
      <c r="K913" s="123" t="n">
        <v>111868</v>
      </c>
      <c r="L913" s="28">
        <f>IFERROR(IF(OR(J913=0,K913=""),"",IF(E913="Positivo",MIN(MAX(K913/J913,0),1.0),MIN(MAX(J913/K913,0),1.0))),"") </f>
        <v/>
      </c>
      <c r="M913" s="28">
        <f>IFERROR(IF(OR(J913=0,K913=""),"",IF(E913="Positivo",MAX(K913/J913,0),MAX(J913/K913,0))),"") </f>
        <v/>
      </c>
      <c r="N913" s="5" t="inlineStr">
        <is>
          <t>kWh</t>
        </is>
      </c>
      <c r="O913" s="5" t="inlineStr">
        <is>
          <t>kWh</t>
        </is>
      </c>
      <c r="P913" s="16" t="n">
        <v>0</v>
      </c>
      <c r="Q913" s="16" t="n">
        <v>1</v>
      </c>
      <c r="R913" s="5" t="inlineStr">
        <is>
          <t>218-2023-02-28</t>
        </is>
      </c>
    </row>
    <row r="914">
      <c r="A914" s="39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44" t="n">
        <v>45016</v>
      </c>
      <c r="G914" s="5" t="n">
        <v>2023</v>
      </c>
      <c r="H914" s="5" t="inlineStr">
        <is>
          <t>Marzo</t>
        </is>
      </c>
      <c r="I914" s="6" t="inlineStr">
        <is>
          <t>2023-1</t>
        </is>
      </c>
      <c r="J914" s="5" t="n">
        <v>172000</v>
      </c>
      <c r="K914" s="123" t="n">
        <v>151441.41</v>
      </c>
      <c r="L914" s="28">
        <f>IFERROR(IF(OR(J914=0,K914=""),"",IF(E914="Positivo",MIN(MAX(K914/J914,0),1.0),MIN(MAX(J914/K914,0),1.0))),"") </f>
        <v/>
      </c>
      <c r="M914" s="28">
        <f>IFERROR(IF(OR(J914=0,K914=""),"",IF(E914="Positivo",MAX(K914/J914,0),MAX(J914/K914,0))),"") </f>
        <v/>
      </c>
      <c r="N914" s="5" t="inlineStr">
        <is>
          <t>kWh</t>
        </is>
      </c>
      <c r="O914" s="5" t="inlineStr">
        <is>
          <t>kWh</t>
        </is>
      </c>
      <c r="P914" s="16" t="n">
        <v>0</v>
      </c>
      <c r="Q914" s="16" t="n">
        <v>1</v>
      </c>
      <c r="R914" s="5" t="inlineStr">
        <is>
          <t>218-2023-03-31</t>
        </is>
      </c>
    </row>
    <row r="915">
      <c r="A915" s="26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44" t="n">
        <v>45046</v>
      </c>
      <c r="G915" s="5" t="n">
        <v>2023</v>
      </c>
      <c r="H915" s="5" t="inlineStr">
        <is>
          <t>Abril</t>
        </is>
      </c>
      <c r="I915" s="6" t="inlineStr">
        <is>
          <t>2023-1</t>
        </is>
      </c>
      <c r="J915" s="5" t="n">
        <v>172000</v>
      </c>
      <c r="K915" s="10" t="n">
        <v>137079</v>
      </c>
      <c r="L915" s="28">
        <f>IFERROR(IF(OR(J915=0,K915=""),"",IF(E915="Positivo",MIN(MAX(K915/J915,0),1.0),MIN(MAX(J915/K915,0),1.0))),"") </f>
        <v/>
      </c>
      <c r="M915" s="28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16" t="n">
        <v>0</v>
      </c>
      <c r="Q915" s="16" t="n">
        <v>1</v>
      </c>
      <c r="R915" s="5" t="inlineStr">
        <is>
          <t>218-2023-04-30</t>
        </is>
      </c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44" t="n">
        <v>45077</v>
      </c>
      <c r="G916" s="5" t="n">
        <v>2023</v>
      </c>
      <c r="H916" s="5" t="inlineStr">
        <is>
          <t>Mayo</t>
        </is>
      </c>
      <c r="I916" s="6" t="inlineStr">
        <is>
          <t>2023-1</t>
        </is>
      </c>
      <c r="J916" s="5" t="n">
        <v>172000</v>
      </c>
      <c r="K916" s="5" t="n">
        <v>147309</v>
      </c>
      <c r="L916" s="28">
        <f>IFERROR(IF(OR(J916=0,K916=""),"",IF(E916="Positivo",MIN(MAX(K916/J916,0),1.0),MIN(MAX(J916/K916,0),1.0))),"") </f>
        <v/>
      </c>
      <c r="M916" s="28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5" t="n">
        <v>0</v>
      </c>
      <c r="Q916" s="5" t="n">
        <v>1</v>
      </c>
      <c r="R916" s="5" t="inlineStr">
        <is>
          <t>218-2023-05-31</t>
        </is>
      </c>
    </row>
    <row r="917">
      <c r="A917" s="26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44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172000</v>
      </c>
      <c r="K917" s="10" t="n">
        <v>140491</v>
      </c>
      <c r="L917" s="28">
        <f>IFERROR(IF(OR(J917=0,K917=""),"",IF(E917="Positivo",MIN(MAX(K917/J917,0),1.0),MIN(MAX(J917/K917,0),1.0))),"") </f>
        <v/>
      </c>
      <c r="M917" s="28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6" t="n">
        <v>0</v>
      </c>
      <c r="Q917" s="16" t="n">
        <v>1</v>
      </c>
      <c r="R917" s="5" t="inlineStr">
        <is>
          <t>218-2023-06-30</t>
        </is>
      </c>
    </row>
    <row r="918">
      <c r="A918" s="26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44" t="n">
        <v>45138</v>
      </c>
      <c r="G918" s="5" t="n">
        <v>2023</v>
      </c>
      <c r="H918" s="5" t="inlineStr">
        <is>
          <t>Julio</t>
        </is>
      </c>
      <c r="I918" s="6" t="inlineStr">
        <is>
          <t>2023-2</t>
        </is>
      </c>
      <c r="J918" s="5" t="n">
        <v>172000</v>
      </c>
      <c r="K918" s="10" t="n">
        <v>125486</v>
      </c>
      <c r="L918" s="28">
        <f>IFERROR(IF(OR(J918=0,K918=""),"",IF(E918="Positivo",MIN(MAX(K918/J918,0),1.0),MIN(MAX(J918/K918,0),1.0))),"") </f>
        <v/>
      </c>
      <c r="M918" s="28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16" t="n">
        <v>0</v>
      </c>
      <c r="Q918" s="16" t="n">
        <v>1</v>
      </c>
      <c r="R918" s="5" t="inlineStr">
        <is>
          <t>218-2023-07-31</t>
        </is>
      </c>
    </row>
    <row r="919">
      <c r="A919" s="26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43" t="n">
        <v>45169</v>
      </c>
      <c r="G919" s="5" t="n">
        <v>2023</v>
      </c>
      <c r="H919" s="5" t="inlineStr">
        <is>
          <t>Agosto</t>
        </is>
      </c>
      <c r="I919" s="6" t="inlineStr">
        <is>
          <t>2023-2</t>
        </is>
      </c>
      <c r="J919" s="5" t="n">
        <v>172000</v>
      </c>
      <c r="K919" s="123" t="n">
        <v>143021.71</v>
      </c>
      <c r="L919" s="28">
        <f>IFERROR(IF(OR(J919=0,K919=""),"",IF(E919="Positivo",MIN(MAX(K919/J919,0),1.0),MIN(MAX(J919/K919,0),1.0))),"") </f>
        <v/>
      </c>
      <c r="M919" s="28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6" t="n">
        <v>0</v>
      </c>
      <c r="Q919" s="16" t="n">
        <v>1</v>
      </c>
      <c r="R919" s="5" t="inlineStr">
        <is>
          <t>218-2023-08-31</t>
        </is>
      </c>
    </row>
    <row r="920">
      <c r="A920" s="39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44" t="n">
        <v>45199</v>
      </c>
      <c r="G920" s="5" t="n">
        <v>2023</v>
      </c>
      <c r="H920" s="5" t="inlineStr">
        <is>
          <t>Septiembre</t>
        </is>
      </c>
      <c r="I920" s="6" t="inlineStr">
        <is>
          <t>2023-2</t>
        </is>
      </c>
      <c r="J920" s="5" t="n">
        <v>172000</v>
      </c>
      <c r="K920" s="123" t="n">
        <v>146746.83</v>
      </c>
      <c r="L920" s="28">
        <f>IFERROR(IF(OR(J920=0,K920=""),"",IF(E920="Positivo",MIN(MAX(K920/J920,0),1.0),MIN(MAX(J920/K920,0),1.0))),"") </f>
        <v/>
      </c>
      <c r="M920" s="28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16" t="n">
        <v>0</v>
      </c>
      <c r="Q920" s="16" t="n">
        <v>1</v>
      </c>
      <c r="R920" s="5" t="inlineStr">
        <is>
          <t>218-2023-09-30</t>
        </is>
      </c>
    </row>
    <row r="921">
      <c r="A921" s="5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44" t="n">
        <v>45230</v>
      </c>
      <c r="G921" s="5" t="n">
        <v>2023</v>
      </c>
      <c r="H921" s="5" t="inlineStr">
        <is>
          <t>Octubre</t>
        </is>
      </c>
      <c r="I921" s="6" t="inlineStr">
        <is>
          <t>2023-2</t>
        </is>
      </c>
      <c r="J921" s="5" t="n">
        <v>172000</v>
      </c>
      <c r="K921" s="5" t="n">
        <v>141458.28</v>
      </c>
      <c r="L921" s="28">
        <f>IFERROR(IF(OR(J921=0,K921=""),"",IF(E921="Positivo",MIN(MAX(K921/J921,0),1.0),MIN(MAX(J921/K921,0),1.0))),"") </f>
        <v/>
      </c>
      <c r="M921" s="28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5" t="n">
        <v>0</v>
      </c>
      <c r="Q921" s="5" t="n">
        <v>1</v>
      </c>
      <c r="R921" s="5" t="inlineStr">
        <is>
          <t>218-2023-10-31</t>
        </is>
      </c>
    </row>
    <row r="922">
      <c r="A922" s="26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44" t="n">
        <v>45260</v>
      </c>
      <c r="G922" s="5" t="n">
        <v>2023</v>
      </c>
      <c r="H922" s="5" t="inlineStr">
        <is>
          <t>Noviembre</t>
        </is>
      </c>
      <c r="I922" s="6" t="inlineStr">
        <is>
          <t>2023-2</t>
        </is>
      </c>
      <c r="J922" s="5" t="n">
        <v>172000</v>
      </c>
      <c r="K922" s="10" t="n">
        <v>129770</v>
      </c>
      <c r="L922" s="28">
        <f>IFERROR(IF(OR(J922=0,K922=""),"",IF(E922="Positivo",MIN(MAX(K922/J922,0),1.0),MIN(MAX(J922/K922,0),1.0))),"") </f>
        <v/>
      </c>
      <c r="M922" s="28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16" t="n">
        <v>0</v>
      </c>
      <c r="Q922" s="16" t="n">
        <v>1</v>
      </c>
      <c r="R922" s="5" t="inlineStr">
        <is>
          <t>218-2023-11-30</t>
        </is>
      </c>
    </row>
    <row r="923">
      <c r="A923" s="26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43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172000</v>
      </c>
      <c r="K923" s="123" t="n">
        <v>109170</v>
      </c>
      <c r="L923" s="28">
        <f>IFERROR(IF(OR(J923=0,K923=""),"",IF(E923="Positivo",MIN(MAX(K923/J923,0),1.0),MIN(MAX(J923/K923,0),1.0))),"") </f>
        <v/>
      </c>
      <c r="M923" s="28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16" t="n">
        <v>0</v>
      </c>
      <c r="Q923" s="16" t="n">
        <v>1</v>
      </c>
      <c r="R923" s="5" t="inlineStr">
        <is>
          <t>218-2023-12-31</t>
        </is>
      </c>
    </row>
    <row r="924">
      <c r="A924" s="39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44" t="n">
        <v>45322</v>
      </c>
      <c r="G924" s="5" t="n">
        <v>2024</v>
      </c>
      <c r="H924" s="5" t="inlineStr">
        <is>
          <t>Enero</t>
        </is>
      </c>
      <c r="I924" s="6" t="inlineStr">
        <is>
          <t>2024-1</t>
        </is>
      </c>
      <c r="J924" s="5" t="n">
        <v>172000</v>
      </c>
      <c r="K924" s="123" t="n">
        <v>122939.06</v>
      </c>
      <c r="L924" s="28">
        <f>IFERROR(IF(OR(J924=0,K924=""),"",IF(E924="Positivo",MIN(MAX(K924/J924,0),1.0),MIN(MAX(J924/K924,0),1.0))),"") </f>
        <v/>
      </c>
      <c r="M924" s="28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16" t="n">
        <v>0</v>
      </c>
      <c r="Q924" s="16" t="n">
        <v>1</v>
      </c>
      <c r="R924" s="5" t="inlineStr">
        <is>
          <t>218-2024-01-31</t>
        </is>
      </c>
    </row>
    <row r="925">
      <c r="A925" s="5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44" t="n">
        <v>45351</v>
      </c>
      <c r="G925" s="5" t="n">
        <v>2024</v>
      </c>
      <c r="H925" s="5" t="inlineStr">
        <is>
          <t>Febrero</t>
        </is>
      </c>
      <c r="I925" s="6" t="inlineStr">
        <is>
          <t>2024-1</t>
        </is>
      </c>
      <c r="J925" s="5" t="n">
        <v>172000</v>
      </c>
      <c r="K925" s="5" t="n">
        <v>135675.99</v>
      </c>
      <c r="L925" s="28">
        <f>IFERROR(IF(OR(J925=0,K925=""),"",IF(E925="Positivo",MIN(MAX(K925/J925,0),1.0),MIN(MAX(J925/K925,0),1.0))),"") </f>
        <v/>
      </c>
      <c r="M925" s="28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5" t="n">
        <v>0</v>
      </c>
      <c r="Q925" s="5" t="n">
        <v>1</v>
      </c>
      <c r="R925" s="5" t="inlineStr">
        <is>
          <t>218-2024-02-29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44" t="n">
        <v>45382</v>
      </c>
      <c r="G926" s="5" t="n">
        <v>2024</v>
      </c>
      <c r="H926" s="5" t="inlineStr">
        <is>
          <t>Marzo</t>
        </is>
      </c>
      <c r="I926" s="6" t="inlineStr">
        <is>
          <t>2024-1</t>
        </is>
      </c>
      <c r="J926" s="5" t="n">
        <v>172000</v>
      </c>
      <c r="K926" s="10" t="n">
        <v>153748.73</v>
      </c>
      <c r="L926" s="28">
        <f>IFERROR(IF(OR(J926=0,K926=""),"",IF(E926="Positivo",MIN(MAX(K926/J926,0),1.0),MIN(MAX(J926/K926,0),1.0))),"") </f>
        <v/>
      </c>
      <c r="M926" s="28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6" t="n">
        <v>0</v>
      </c>
      <c r="Q926" s="16" t="n">
        <v>1</v>
      </c>
      <c r="R926" s="5" t="inlineStr">
        <is>
          <t>218-2024-03-31</t>
        </is>
      </c>
    </row>
    <row r="927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43" t="n">
        <v>45412</v>
      </c>
      <c r="G927" s="5" t="n">
        <v>2024</v>
      </c>
      <c r="H927" s="5" t="inlineStr">
        <is>
          <t>Abril</t>
        </is>
      </c>
      <c r="I927" s="6" t="inlineStr">
        <is>
          <t>2024-1</t>
        </is>
      </c>
      <c r="J927" s="5" t="n">
        <v>172000</v>
      </c>
      <c r="K927" s="123" t="n">
        <v>164779.39</v>
      </c>
      <c r="L927" s="28">
        <f>IFERROR(IF(OR(J927=0,K927=""),"",IF(E927="Positivo",MIN(MAX(K927/J927,0),1.0),MIN(MAX(J927/K927,0),1.0))),"") </f>
        <v/>
      </c>
      <c r="M927" s="28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16" t="n">
        <v>0</v>
      </c>
      <c r="Q927" s="16" t="n">
        <v>1</v>
      </c>
      <c r="R927" s="5" t="inlineStr">
        <is>
          <t>218-2024-04-30</t>
        </is>
      </c>
    </row>
    <row r="928">
      <c r="A928" s="39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44" t="n">
        <v>45443</v>
      </c>
      <c r="G928" s="5" t="n">
        <v>2024</v>
      </c>
      <c r="H928" s="5" t="inlineStr">
        <is>
          <t>Mayo</t>
        </is>
      </c>
      <c r="I928" s="6" t="inlineStr">
        <is>
          <t>2024-1</t>
        </is>
      </c>
      <c r="J928" s="5" t="n">
        <v>172000</v>
      </c>
      <c r="K928" s="123" t="n">
        <v>157279.15</v>
      </c>
      <c r="L928" s="28">
        <f>IFERROR(IF(OR(J928=0,K928=""),"",IF(E928="Positivo",MIN(MAX(K928/J928,0),1.0),MIN(MAX(J928/K928,0),1.0))),"") </f>
        <v/>
      </c>
      <c r="M928" s="28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6" t="n">
        <v>0</v>
      </c>
      <c r="Q928" s="16" t="n">
        <v>1</v>
      </c>
      <c r="R928" s="5" t="inlineStr">
        <is>
          <t>218-2024-05-31</t>
        </is>
      </c>
    </row>
    <row r="929">
      <c r="A929" s="5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44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172000</v>
      </c>
      <c r="K929" s="5" t="n">
        <v>140488.65</v>
      </c>
      <c r="L929" s="28">
        <f>IFERROR(IF(OR(J929=0,K929=""),"",IF(E929="Positivo",MIN(MAX(K929/J929,0),1.0),MIN(MAX(J929/K929,0),1.0))),"") </f>
        <v/>
      </c>
      <c r="M929" s="28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5" t="n">
        <v>0</v>
      </c>
      <c r="Q929" s="5" t="n">
        <v>1</v>
      </c>
      <c r="R929" s="5" t="inlineStr">
        <is>
          <t>218-2024-06-30</t>
        </is>
      </c>
    </row>
    <row r="930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44" t="n">
        <v>45504</v>
      </c>
      <c r="G930" s="5" t="n">
        <v>2024</v>
      </c>
      <c r="H930" s="5" t="inlineStr">
        <is>
          <t>Julio</t>
        </is>
      </c>
      <c r="I930" s="6" t="inlineStr">
        <is>
          <t>2024-2</t>
        </is>
      </c>
      <c r="J930" s="5" t="n">
        <v>172000</v>
      </c>
      <c r="K930" s="10" t="n">
        <v>131127</v>
      </c>
      <c r="L930" s="28">
        <f>IFERROR(IF(OR(J930=0,K930=""),"",IF(E930="Positivo",MIN(MAX(K930/J930,0),1.0),MIN(MAX(J930/K930,0),1.0))),"") </f>
        <v/>
      </c>
      <c r="M930" s="28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6" t="n">
        <v>0</v>
      </c>
      <c r="Q930" s="16" t="n">
        <v>1</v>
      </c>
      <c r="R930" s="5" t="inlineStr">
        <is>
          <t>218-2024-07-31</t>
        </is>
      </c>
    </row>
    <row r="931">
      <c r="A931" s="26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44" t="n">
        <v>45535</v>
      </c>
      <c r="G931" s="5" t="n">
        <v>2024</v>
      </c>
      <c r="H931" s="5" t="inlineStr">
        <is>
          <t>Agosto</t>
        </is>
      </c>
      <c r="I931" s="6" t="inlineStr">
        <is>
          <t>2024-2</t>
        </is>
      </c>
      <c r="J931" s="5" t="n">
        <v>172000</v>
      </c>
      <c r="K931" s="123" t="n">
        <v>141809.93</v>
      </c>
      <c r="L931" s="28">
        <f>IFERROR(IF(OR(J931=0,K931=""),"",IF(E931="Positivo",MIN(MAX(K931/J931,0),1.0),MIN(MAX(J931/K931,0),1.0))),"") </f>
        <v/>
      </c>
      <c r="M931" s="28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16" t="n">
        <v>0</v>
      </c>
      <c r="Q931" s="16" t="n">
        <v>1</v>
      </c>
      <c r="R931" s="5" t="inlineStr">
        <is>
          <t>218-2024-08-31</t>
        </is>
      </c>
    </row>
    <row r="932">
      <c r="A932" s="26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44" t="n">
        <v>45565</v>
      </c>
      <c r="G932" s="5" t="n">
        <v>2024</v>
      </c>
      <c r="H932" s="5" t="inlineStr">
        <is>
          <t>Septiembre</t>
        </is>
      </c>
      <c r="I932" s="6" t="inlineStr">
        <is>
          <t>2024-2</t>
        </is>
      </c>
      <c r="J932" s="5" t="n">
        <v>172000</v>
      </c>
      <c r="K932" s="10" t="n">
        <v>145856.52</v>
      </c>
      <c r="L932" s="28">
        <f>IFERROR(IF(OR(J932=0,K932=""),"",IF(E932="Positivo",MIN(MAX(K932/J932,0),1.0),MIN(MAX(J932/K932,0),1.0))),"") </f>
        <v/>
      </c>
      <c r="M932" s="28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16" t="n">
        <v>0</v>
      </c>
      <c r="Q932" s="16" t="n">
        <v>1</v>
      </c>
      <c r="R932" s="5" t="inlineStr">
        <is>
          <t>218-2024-09-30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44" t="n">
        <v>45596</v>
      </c>
      <c r="G933" s="5" t="n">
        <v>2024</v>
      </c>
      <c r="H933" s="5" t="inlineStr">
        <is>
          <t>Octubre</t>
        </is>
      </c>
      <c r="I933" s="6" t="inlineStr">
        <is>
          <t>2024-2</t>
        </is>
      </c>
      <c r="J933" s="5" t="n">
        <v>172000</v>
      </c>
      <c r="K933" s="123" t="n">
        <v>156418.49</v>
      </c>
      <c r="L933" s="28">
        <f>IFERROR(IF(OR(J933=0,K933=""),"",IF(E933="Positivo",MIN(MAX(K933/J933,0),1.0),MIN(MAX(J933/K933,0),1.0))),"") </f>
        <v/>
      </c>
      <c r="M933" s="28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6" t="n">
        <v>0</v>
      </c>
      <c r="Q933" s="16" t="n">
        <v>1</v>
      </c>
      <c r="R933" s="5" t="inlineStr">
        <is>
          <t>218-2024-10-31</t>
        </is>
      </c>
    </row>
    <row r="934">
      <c r="A934" s="43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44" t="n">
        <v>45626</v>
      </c>
      <c r="G934" s="5" t="n">
        <v>2024</v>
      </c>
      <c r="H934" s="5" t="inlineStr">
        <is>
          <t>Noviembre</t>
        </is>
      </c>
      <c r="I934" s="6" t="inlineStr">
        <is>
          <t>2024-2</t>
        </is>
      </c>
      <c r="J934" s="5" t="n">
        <v>172000</v>
      </c>
      <c r="K934" s="123" t="n">
        <v>147205.36</v>
      </c>
      <c r="L934" s="28">
        <f>IFERROR(IF(OR(J934=0,K934=""),"",IF(E934="Positivo",MIN(MAX(K934/J934,0),1.0),MIN(MAX(J934/K934,0),1.0))),"") </f>
        <v/>
      </c>
      <c r="M934" s="28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16" t="n">
        <v>0</v>
      </c>
      <c r="Q934" s="16" t="n">
        <v>1</v>
      </c>
      <c r="R934" s="5" t="inlineStr">
        <is>
          <t>218-2024-11-30</t>
        </is>
      </c>
    </row>
    <row r="935">
      <c r="A935" s="39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44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172000</v>
      </c>
      <c r="K935" s="123" t="n">
        <v>126974.55</v>
      </c>
      <c r="L935" s="28">
        <f>IFERROR(IF(OR(J935=0,K935=""),"",IF(E935="Positivo",MIN(MAX(K935/J935,0),1.0),MIN(MAX(J935/K935,0),1.0))),"") </f>
        <v/>
      </c>
      <c r="M935" s="28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6" t="n">
        <v>0</v>
      </c>
      <c r="Q935" s="16" t="n">
        <v>1</v>
      </c>
      <c r="R935" s="5" t="inlineStr">
        <is>
          <t>218-2024-12-31</t>
        </is>
      </c>
    </row>
    <row r="936">
      <c r="A936" s="26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44" t="n">
        <v>45688</v>
      </c>
      <c r="G936" s="5" t="n">
        <v>2025</v>
      </c>
      <c r="H936" s="5" t="inlineStr">
        <is>
          <t>Enero</t>
        </is>
      </c>
      <c r="I936" s="6" t="inlineStr">
        <is>
          <t>2025-1</t>
        </is>
      </c>
      <c r="J936" s="5" t="n">
        <v>172000</v>
      </c>
      <c r="K936" s="10" t="n">
        <v>113367.97</v>
      </c>
      <c r="L936" s="28">
        <f>IFERROR(IF(OR(J936=0,K936=""),"",IF(E936="Positivo",MIN(MAX(K936/J936,0),1.0),MIN(MAX(J936/K936,0),1.0))),"") </f>
        <v/>
      </c>
      <c r="M936" s="28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16" t="n">
        <v>0</v>
      </c>
      <c r="Q936" s="16" t="n">
        <v>1</v>
      </c>
      <c r="R936" s="5" t="inlineStr">
        <is>
          <t>218-2025-01-31</t>
        </is>
      </c>
    </row>
    <row r="937">
      <c r="A937" s="5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44" t="n">
        <v>45716</v>
      </c>
      <c r="G937" s="5" t="n">
        <v>2025</v>
      </c>
      <c r="H937" s="5" t="inlineStr">
        <is>
          <t>Febrero</t>
        </is>
      </c>
      <c r="I937" s="6" t="inlineStr">
        <is>
          <t>2025-1</t>
        </is>
      </c>
      <c r="J937" s="5" t="n">
        <v>172000</v>
      </c>
      <c r="K937" s="5" t="n">
        <v>134763.39</v>
      </c>
      <c r="L937" s="28">
        <f>IFERROR(IF(OR(J937=0,K937=""),"",IF(E937="Positivo",MIN(MAX(K937/J937,0),1.0),MIN(MAX(J937/K937,0),1.0))),"") </f>
        <v/>
      </c>
      <c r="M937" s="28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5" t="n">
        <v>0</v>
      </c>
      <c r="Q937" s="5" t="n">
        <v>1</v>
      </c>
      <c r="R937" s="5" t="inlineStr">
        <is>
          <t>218-2025-02-28</t>
        </is>
      </c>
    </row>
    <row r="938">
      <c r="A938" s="26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44" t="n">
        <v>45747</v>
      </c>
      <c r="G938" s="5" t="n">
        <v>2025</v>
      </c>
      <c r="H938" s="5" t="inlineStr">
        <is>
          <t>Marzo</t>
        </is>
      </c>
      <c r="I938" s="6" t="inlineStr">
        <is>
          <t>2025-1</t>
        </is>
      </c>
      <c r="J938" s="5" t="n">
        <v>172000</v>
      </c>
      <c r="K938" s="10" t="n">
        <v>156103.54</v>
      </c>
      <c r="L938" s="28">
        <f>IFERROR(IF(OR(J938=0,K938=""),"",IF(E938="Positivo",MIN(MAX(K938/J938,0),1.0),MIN(MAX(J938/K938,0),1.0))),"") </f>
        <v/>
      </c>
      <c r="M938" s="28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16" t="n">
        <v>0</v>
      </c>
      <c r="Q938" s="16" t="n">
        <v>1</v>
      </c>
      <c r="R938" s="5" t="inlineStr">
        <is>
          <t>218-2025-03-31</t>
        </is>
      </c>
    </row>
    <row r="939">
      <c r="A939" s="26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44" t="n">
        <v>45777</v>
      </c>
      <c r="G939" s="5" t="n">
        <v>2025</v>
      </c>
      <c r="H939" s="5" t="inlineStr">
        <is>
          <t>Abril</t>
        </is>
      </c>
      <c r="I939" s="6" t="inlineStr">
        <is>
          <t>2025-1</t>
        </is>
      </c>
      <c r="J939" s="5" t="n">
        <v>172000</v>
      </c>
      <c r="K939" s="10" t="n">
        <v>139469.85</v>
      </c>
      <c r="L939" s="28">
        <f>IFERROR(IF(OR(J939=0,K939=""),"",IF(E939="Positivo",MIN(MAX(K939/J939,0),1.0),MIN(MAX(J939/K939,0),1.0))),"") </f>
        <v/>
      </c>
      <c r="M939" s="28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6" t="n">
        <v>0</v>
      </c>
      <c r="Q939" s="16" t="n">
        <v>1</v>
      </c>
      <c r="R939" s="5" t="inlineStr">
        <is>
          <t>218-2025-04-30</t>
        </is>
      </c>
    </row>
    <row r="940">
      <c r="A940" s="26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43" t="n">
        <v>45808</v>
      </c>
      <c r="G940" s="5" t="n">
        <v>2025</v>
      </c>
      <c r="H940" s="5" t="inlineStr">
        <is>
          <t>Mayo</t>
        </is>
      </c>
      <c r="I940" s="6" t="inlineStr">
        <is>
          <t>2025-1</t>
        </is>
      </c>
      <c r="J940" s="5" t="n">
        <v>172000</v>
      </c>
      <c r="K940" s="123" t="n">
        <v>146327.63</v>
      </c>
      <c r="L940" s="28">
        <f>IFERROR(IF(OR(J940=0,K940=""),"",IF(E940="Positivo",MIN(MAX(K940/J940,0),1.0),MIN(MAX(J940/K940,0),1.0))),"") </f>
        <v/>
      </c>
      <c r="M940" s="28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16" t="n">
        <v>0</v>
      </c>
      <c r="Q940" s="16" t="n">
        <v>0</v>
      </c>
      <c r="R940" s="5" t="inlineStr">
        <is>
          <t>218-2025-05-31</t>
        </is>
      </c>
    </row>
    <row r="941">
      <c r="A941" s="39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44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172000</v>
      </c>
      <c r="K941" s="123" t="n">
        <v>130528.88</v>
      </c>
      <c r="L941" s="28">
        <f>IFERROR(IF(OR(J941=0,K941=""),"",IF(E941="Positivo",MIN(MAX(K941/J941,0),1.0),MIN(MAX(J941/K941,0),1.0))),"") </f>
        <v/>
      </c>
      <c r="M941" s="28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16" t="n">
        <v>0</v>
      </c>
      <c r="Q941" s="16" t="n">
        <v>0</v>
      </c>
      <c r="R941" s="5" t="inlineStr">
        <is>
          <t>218-2025-06-30</t>
        </is>
      </c>
    </row>
    <row r="942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44" t="n">
        <v>45869</v>
      </c>
      <c r="G942" s="5" t="n">
        <v>2025</v>
      </c>
      <c r="H942" s="5" t="inlineStr">
        <is>
          <t>Julio</t>
        </is>
      </c>
      <c r="I942" s="6" t="inlineStr">
        <is>
          <t>2025-2</t>
        </is>
      </c>
      <c r="J942" s="5" t="n">
        <v>172000</v>
      </c>
      <c r="K942" s="5" t="n">
        <v>126471.65</v>
      </c>
      <c r="L942" s="28">
        <f>IFERROR(IF(OR(J942=0,K942=""),"",IF(E942="Positivo",MIN(MAX(K942/J942,0),1.0),MIN(MAX(J942/K942,0),1.0))),"") </f>
        <v/>
      </c>
      <c r="M942" s="28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0</v>
      </c>
      <c r="R942" s="5" t="inlineStr">
        <is>
          <t>218-2025-07-31</t>
        </is>
      </c>
    </row>
    <row r="943">
      <c r="A943" s="26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44" t="n">
        <v>45900</v>
      </c>
      <c r="G943" s="5" t="n">
        <v>2025</v>
      </c>
      <c r="H943" s="5" t="inlineStr">
        <is>
          <t>Agosto</t>
        </is>
      </c>
      <c r="I943" s="6" t="inlineStr">
        <is>
          <t>2025-2</t>
        </is>
      </c>
      <c r="J943" s="5" t="n">
        <v>172000</v>
      </c>
      <c r="K943" s="10" t="n">
        <v>142618.62</v>
      </c>
      <c r="L943" s="28">
        <f>IFERROR(IF(OR(J943=0,K943=""),"",IF(E943="Positivo",MIN(MAX(K943/J943,0),1.0),MIN(MAX(J943/K943,0),1.0))),"") </f>
        <v/>
      </c>
      <c r="M943" s="28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6" t="n">
        <v>0</v>
      </c>
      <c r="Q943" s="16" t="n">
        <v>0</v>
      </c>
      <c r="R943" s="5" t="inlineStr">
        <is>
          <t>218-2025-08-31</t>
        </is>
      </c>
    </row>
    <row r="944">
      <c r="A944" s="26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43" t="n">
        <v>45930</v>
      </c>
      <c r="G944" s="5" t="n">
        <v>2025</v>
      </c>
      <c r="H944" s="5" t="inlineStr">
        <is>
          <t>Septiembre</t>
        </is>
      </c>
      <c r="I944" s="6" t="inlineStr">
        <is>
          <t>2025-2</t>
        </is>
      </c>
      <c r="J944" s="5" t="n">
        <v>172000</v>
      </c>
      <c r="K944" s="123" t="n">
        <v>154601.59</v>
      </c>
      <c r="L944" s="28">
        <f>IFERROR(IF(OR(J944=0,K944=""),"",IF(E944="Positivo",MIN(MAX(K944/J944,0),1.0),MIN(MAX(J944/K944,0),1.0))),"") </f>
        <v/>
      </c>
      <c r="M944" s="28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16" t="n">
        <v>0</v>
      </c>
      <c r="Q944" s="16" t="n">
        <v>0</v>
      </c>
      <c r="R944" s="5" t="inlineStr">
        <is>
          <t>218-2025-09-30</t>
        </is>
      </c>
    </row>
    <row r="945">
      <c r="A945" s="39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44" t="n">
        <v>45961</v>
      </c>
      <c r="G945" s="5" t="n">
        <v>2025</v>
      </c>
      <c r="H945" s="5" t="inlineStr">
        <is>
          <t>Octubre</t>
        </is>
      </c>
      <c r="I945" s="6" t="inlineStr">
        <is>
          <t>2025-2</t>
        </is>
      </c>
      <c r="J945" s="5" t="n">
        <v>172000</v>
      </c>
      <c r="K945" s="123" t="n">
        <v>150485.75</v>
      </c>
      <c r="L945" s="28">
        <f>IFERROR(IF(OR(J945=0,K945=""),"",IF(E945="Positivo",MIN(MAX(K945/J945,0),1.0),MIN(MAX(J945/K945,0),1.0))),"") </f>
        <v/>
      </c>
      <c r="M945" s="28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16" t="n">
        <v>0</v>
      </c>
      <c r="Q945" s="16" t="n">
        <v>0</v>
      </c>
      <c r="R945" s="5" t="inlineStr">
        <is>
          <t>218-2025-10-31</t>
        </is>
      </c>
    </row>
    <row r="946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44" t="n">
        <v>45991</v>
      </c>
      <c r="G946" s="5" t="n">
        <v>2025</v>
      </c>
      <c r="H946" s="5" t="inlineStr">
        <is>
          <t>Noviembre</t>
        </is>
      </c>
      <c r="I946" s="6" t="inlineStr">
        <is>
          <t>2025-2</t>
        </is>
      </c>
      <c r="J946" s="5" t="n">
        <v>172000</v>
      </c>
      <c r="K946" s="5" t="n">
        <v>143419.75</v>
      </c>
      <c r="L946" s="28">
        <f>IFERROR(IF(OR(J946=0,K946=""),"",IF(E946="Positivo",MIN(MAX(K946/J946,0),1.0),MIN(MAX(J946/K946,0),1.0))),"") </f>
        <v/>
      </c>
      <c r="M946" s="28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0</v>
      </c>
      <c r="R946" s="5" t="inlineStr">
        <is>
          <t>218-2025-11-30</t>
        </is>
      </c>
    </row>
    <row r="947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44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172000</v>
      </c>
      <c r="K947" s="10" t="n">
        <v>123820.04</v>
      </c>
      <c r="L947" s="28">
        <f>IFERROR(IF(OR(J947=0,K947=""),"",IF(E947="Positivo",MIN(MAX(K947/J947,0),1.0),MIN(MAX(J947/K947,0),1.0))),"") </f>
        <v/>
      </c>
      <c r="M947" s="28">
        <f>IFERROR(IF(OR(J947=0,K947=""),"",IF(E947="Positivo",MAX(K947/J947,0),MAX(J947/K947,0))),"") </f>
        <v/>
      </c>
      <c r="N947" s="5" t="inlineStr">
        <is>
          <t>kWh</t>
        </is>
      </c>
      <c r="O947" s="5" t="inlineStr">
        <is>
          <t>kWh</t>
        </is>
      </c>
      <c r="P947" s="16" t="n">
        <v>0</v>
      </c>
      <c r="Q947" s="16" t="n">
        <v>0</v>
      </c>
      <c r="R947" s="5" t="inlineStr">
        <is>
          <t>218-2025-12-31</t>
        </is>
      </c>
    </row>
    <row r="948">
      <c r="A948" s="39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144" t="n">
        <v>44742</v>
      </c>
      <c r="G948" s="5" t="n">
        <v>2022</v>
      </c>
      <c r="H948" s="5" t="inlineStr">
        <is>
          <t>Junio</t>
        </is>
      </c>
      <c r="I948" s="6" t="inlineStr">
        <is>
          <t>2022-1</t>
        </is>
      </c>
      <c r="J948" s="5" t="n">
        <v>1</v>
      </c>
      <c r="K948" s="123" t="n">
        <v>16.685183396325</v>
      </c>
      <c r="L948" s="28">
        <f>IFERROR(IF(OR(J948=0,K948=""),"",IF(E948="Positivo",MIN(MAX(K948/J948,0),1.3),MIN(MAX(J948/K948,0),1.3))),"") </f>
        <v/>
      </c>
      <c r="M948" s="28">
        <f>IFERROR(IF(OR(J948=0,K948=""),"",IF(E948="Positivo",MAX(K948/J948,0),MAX(J948/K948,0))),"") </f>
        <v/>
      </c>
      <c r="N948" s="5" t="inlineStr">
        <is>
          <t>%</t>
        </is>
      </c>
      <c r="O948" s="5" t="inlineStr">
        <is>
          <t>%</t>
        </is>
      </c>
      <c r="P948" s="16" t="n">
        <v>0</v>
      </c>
      <c r="Q948" s="16" t="n">
        <v>0</v>
      </c>
      <c r="R948" s="5" t="inlineStr">
        <is>
          <t>219-2022-06-30</t>
        </is>
      </c>
    </row>
    <row r="949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144" t="n">
        <v>44926</v>
      </c>
      <c r="G949" s="5" t="n">
        <v>2022</v>
      </c>
      <c r="H949" s="5" t="inlineStr">
        <is>
          <t>Diciembre</t>
        </is>
      </c>
      <c r="I949" s="6" t="inlineStr">
        <is>
          <t>2022-2</t>
        </is>
      </c>
      <c r="J949" s="5" t="n">
        <v>1</v>
      </c>
      <c r="K949" s="5" t="n">
        <v>-68.789622683372</v>
      </c>
      <c r="L949" s="28">
        <f>IFERROR(IF(OR(J949=0,K949=""),"",IF(E949="Positivo",MIN(MAX(K949/J949,0),1.3),MIN(MAX(J949/K949,0),1.3))),"") </f>
        <v/>
      </c>
      <c r="M949" s="28">
        <f>IFERROR(IF(OR(J949=0,K949=""),"",IF(E949="Positivo",MAX(K949/J949,0),MAX(J949/K949,0))),"") </f>
        <v/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219-2022-12-31</t>
        </is>
      </c>
    </row>
    <row r="950">
      <c r="A950" s="26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144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</v>
      </c>
      <c r="K950" s="10" t="n">
        <v>21.14703682627429</v>
      </c>
      <c r="L950" s="28">
        <f>IFERROR(IF(OR(J950=0,K950=""),"",IF(E950="Positivo",MIN(MAX(K950/J950,0),1.3),MIN(MAX(J950/K950,0),1.3))),"") </f>
        <v/>
      </c>
      <c r="M950" s="28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6" t="n">
        <v>0</v>
      </c>
      <c r="Q950" s="16" t="n">
        <v>0</v>
      </c>
      <c r="R950" s="5" t="inlineStr">
        <is>
          <t>219-2023-06-30</t>
        </is>
      </c>
    </row>
    <row r="951">
      <c r="A951" s="26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143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</v>
      </c>
      <c r="K951" s="123" t="n">
        <v>-5.89</v>
      </c>
      <c r="L951" s="28">
        <f>IFERROR(IF(OR(J951=0,K951=""),"",IF(E951="Positivo",MIN(MAX(K951/J951,0),1.3),MIN(MAX(J951/K951,0),1.3))),"") </f>
        <v/>
      </c>
      <c r="M951" s="28">
        <f>IFERROR(IF(OR(J951=0,K951=""),"",IF(E951="Positivo",MAX(K951/J951,0),MAX(J951/K951,0))),"") </f>
        <v/>
      </c>
      <c r="N951" s="5" t="inlineStr">
        <is>
          <t>kWh</t>
        </is>
      </c>
      <c r="O951" s="5" t="inlineStr">
        <is>
          <t>kWh</t>
        </is>
      </c>
      <c r="P951" s="16" t="n">
        <v>0</v>
      </c>
      <c r="Q951" s="16" t="n">
        <v>0</v>
      </c>
      <c r="R951" s="5" t="inlineStr">
        <is>
          <t>219-2023-12-31</t>
        </is>
      </c>
    </row>
    <row r="952">
      <c r="A952" s="39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144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</v>
      </c>
      <c r="K952" s="123" t="n">
        <v>11.94</v>
      </c>
      <c r="L952" s="28">
        <f>IFERROR(IF(OR(J952=0,K952=""),"",IF(E952="Positivo",MIN(MAX(K952/J952,0),1.3),MIN(MAX(J952/K952,0),1.3))),"") </f>
        <v/>
      </c>
      <c r="M952" s="28">
        <f>IFERROR(IF(OR(J952=0,K952=""),"",IF(E952="Positivo",MAX(K952/J952,0),MAX(J952/K952,0))),"") </f>
        <v/>
      </c>
      <c r="N952" s="5" t="inlineStr">
        <is>
          <t>%</t>
        </is>
      </c>
      <c r="O952" s="5" t="inlineStr">
        <is>
          <t>%</t>
        </is>
      </c>
      <c r="P952" s="16" t="n">
        <v>0</v>
      </c>
      <c r="Q952" s="16" t="n">
        <v>0</v>
      </c>
      <c r="R952" s="5" t="inlineStr">
        <is>
          <t>219-2024-06-30</t>
        </is>
      </c>
    </row>
    <row r="953">
      <c r="A953" s="5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Semestral</t>
        </is>
      </c>
      <c r="E953" s="5" t="inlineStr">
        <is>
          <t>Positivo</t>
        </is>
      </c>
      <c r="F953" s="144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</v>
      </c>
      <c r="K953" s="5" t="n">
        <v>-12.53</v>
      </c>
      <c r="L953" s="28">
        <f>IFERROR(IF(OR(J953=0,K953=""),"",IF(E953="Positivo",MIN(MAX(K953/J953,0),1.3),MIN(MAX(J953/K953,0),1.3))),"") </f>
        <v/>
      </c>
      <c r="M953" s="28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219-2024-12-31</t>
        </is>
      </c>
    </row>
    <row r="954">
      <c r="A954" s="26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144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</v>
      </c>
      <c r="K954" s="10" t="n">
        <v>18.43</v>
      </c>
      <c r="L954" s="28">
        <f>IFERROR(IF(OR(J954=0,K954=""),"",IF(E954="Positivo",MIN(MAX(K954/J954,0),1.3),MIN(MAX(J954/K954,0),1.3))),"") </f>
        <v/>
      </c>
      <c r="M954" s="28">
        <f>IFERROR(IF(OR(J954=0,K954=""),"",IF(E954="Positivo",MAX(K954/J954,0),MAX(J954/K954,0))),"") </f>
        <v/>
      </c>
      <c r="N954" s="5" t="inlineStr">
        <is>
          <t>%</t>
        </is>
      </c>
      <c r="O954" s="5" t="inlineStr">
        <is>
          <t>%</t>
        </is>
      </c>
      <c r="P954" s="16" t="n">
        <v>0</v>
      </c>
      <c r="Q954" s="16" t="n">
        <v>0</v>
      </c>
      <c r="R954" s="5" t="inlineStr">
        <is>
          <t>219-2025-06-30</t>
        </is>
      </c>
    </row>
    <row r="955">
      <c r="A955" s="26" t="n">
        <v>219</v>
      </c>
      <c r="B955" s="5" t="inlineStr">
        <is>
          <t>Disminución del Consumo de Energía Eléctrica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143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</v>
      </c>
      <c r="K955" s="123" t="n">
        <v>-18.28</v>
      </c>
      <c r="L955" s="28">
        <f>IFERROR(IF(OR(J955=0,K955=""),"",IF(E955="Positivo",MIN(MAX(K955/J955,0),1.3),MIN(MAX(J955/K955,0),1.3))),"") </f>
        <v/>
      </c>
      <c r="M955" s="28">
        <f>IFERROR(IF(OR(J955=0,K955=""),"",IF(E955="Positivo",MAX(K955/J955,0),MAX(J955/K955,0))),"") </f>
        <v/>
      </c>
      <c r="N955" s="5" t="inlineStr">
        <is>
          <t>%</t>
        </is>
      </c>
      <c r="O955" s="5" t="inlineStr">
        <is>
          <t>%</t>
        </is>
      </c>
      <c r="P955" s="16" t="n">
        <v>0</v>
      </c>
      <c r="Q955" s="16" t="n">
        <v>0</v>
      </c>
      <c r="R955" s="5" t="inlineStr">
        <is>
          <t>219-2025-12-31</t>
        </is>
      </c>
    </row>
    <row r="956">
      <c r="A956" s="39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144" t="n">
        <v>44742</v>
      </c>
      <c r="G956" s="5" t="n">
        <v>2022</v>
      </c>
      <c r="H956" s="5" t="inlineStr">
        <is>
          <t>Junio</t>
        </is>
      </c>
      <c r="I956" s="6" t="inlineStr">
        <is>
          <t>2022-1</t>
        </is>
      </c>
      <c r="J956" s="5" t="n">
        <v>1</v>
      </c>
      <c r="K956" s="123" t="n">
        <v>-88.60356590106301</v>
      </c>
      <c r="L956" s="28">
        <f>IFERROR(IF(OR(J956=0,K956=""),"",IF(E956="Positivo",MIN(MAX(K956/J956,0),1.3),MIN(MAX(J956/K956,0),1.3))),"") </f>
        <v/>
      </c>
      <c r="M956" s="28">
        <f>IFERROR(IF(OR(J956=0,K956=""),"",IF(E956="Positivo",MAX(K956/J956,0),MAX(J956/K956,0))),"") </f>
        <v/>
      </c>
      <c r="N956" s="5" t="inlineStr">
        <is>
          <t>%</t>
        </is>
      </c>
      <c r="O956" s="5" t="inlineStr">
        <is>
          <t>%</t>
        </is>
      </c>
      <c r="P956" s="16" t="n">
        <v>0</v>
      </c>
      <c r="Q956" s="16" t="n">
        <v>0</v>
      </c>
      <c r="R956" s="5" t="inlineStr">
        <is>
          <t>220-2022-06-30</t>
        </is>
      </c>
    </row>
    <row r="957">
      <c r="A957" s="5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Trimestral</t>
        </is>
      </c>
      <c r="E957" s="5" t="inlineStr">
        <is>
          <t>Positivo</t>
        </is>
      </c>
      <c r="F957" s="144" t="n">
        <v>44926</v>
      </c>
      <c r="G957" s="5" t="n">
        <v>2022</v>
      </c>
      <c r="H957" s="5" t="inlineStr">
        <is>
          <t>Diciembre</t>
        </is>
      </c>
      <c r="I957" s="6" t="inlineStr">
        <is>
          <t>2022-2</t>
        </is>
      </c>
      <c r="J957" s="5" t="n">
        <v>1</v>
      </c>
      <c r="K957" s="5" t="n">
        <v>-85.889409840455</v>
      </c>
      <c r="L957" s="28">
        <f>IFERROR(IF(OR(J957=0,K957=""),"",IF(E957="Positivo",MIN(MAX(K957/J957,0),1.3),MIN(MAX(J957/K957,0),1.3))),"") </f>
        <v/>
      </c>
      <c r="M957" s="28">
        <f>IFERROR(IF(OR(J957=0,K957=""),"",IF(E957="Positivo",MAX(K957/J957,0),MAX(J957/K957,0))),"") </f>
        <v/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 t="inlineStr">
        <is>
          <t>220-2022-12-31</t>
        </is>
      </c>
    </row>
    <row r="958">
      <c r="A958" s="26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Semestral</t>
        </is>
      </c>
      <c r="E958" s="5" t="inlineStr">
        <is>
          <t>Positivo</t>
        </is>
      </c>
      <c r="F958" s="144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</v>
      </c>
      <c r="K958" s="10" t="n">
        <v>40.67840779343521</v>
      </c>
      <c r="L958" s="28">
        <f>IFERROR(IF(OR(J958=0,K958=""),"",IF(E958="Positivo",MIN(MAX(K958/J958,0),1.3),MIN(MAX(J958/K958,0),1.3))),"") </f>
        <v/>
      </c>
      <c r="M958" s="28">
        <f>IFERROR(IF(OR(J958=0,K958=""),"",IF(E958="Positivo",MAX(K958/J958,0),MAX(J958/K958,0))),"") </f>
        <v/>
      </c>
      <c r="N958" s="5" t="inlineStr">
        <is>
          <t>%</t>
        </is>
      </c>
      <c r="O958" s="5" t="inlineStr">
        <is>
          <t>%</t>
        </is>
      </c>
      <c r="P958" s="16" t="n">
        <v>0</v>
      </c>
      <c r="Q958" s="16" t="n">
        <v>0</v>
      </c>
      <c r="R958" s="5" t="inlineStr">
        <is>
          <t>220-2023-06-30</t>
        </is>
      </c>
    </row>
    <row r="959">
      <c r="A959" s="26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Trimestral</t>
        </is>
      </c>
      <c r="E959" s="5" t="inlineStr">
        <is>
          <t>Positivo</t>
        </is>
      </c>
      <c r="F959" s="143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</v>
      </c>
      <c r="K959" s="123" t="n">
        <v>-38.58</v>
      </c>
      <c r="L959" s="28">
        <f>IFERROR(IF(OR(J959=0,K959=""),"",IF(E959="Positivo",MIN(MAX(K959/J959,0),1.3),MIN(MAX(J959/K959,0),1.3))),"") </f>
        <v/>
      </c>
      <c r="M959" s="28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16" t="n">
        <v>0</v>
      </c>
      <c r="Q959" s="16" t="n">
        <v>0</v>
      </c>
      <c r="R959" s="5" t="inlineStr">
        <is>
          <t>220-2023-12-31</t>
        </is>
      </c>
    </row>
    <row r="960">
      <c r="A960" s="39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144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</v>
      </c>
      <c r="K960" s="123" t="n">
        <v>3.58</v>
      </c>
      <c r="L960" s="28">
        <f>IFERROR(IF(OR(J960=0,K960=""),"",IF(E960="Positivo",MIN(MAX(K960/J960,0),1.3),MIN(MAX(J960/K960,0),1.3))),"") </f>
        <v/>
      </c>
      <c r="M960" s="28">
        <f>IFERROR(IF(OR(J960=0,K960=""),"",IF(E960="Positivo",MAX(K960/J960,0),MAX(J960/K960,0))),"") </f>
        <v/>
      </c>
      <c r="N960" s="5" t="inlineStr">
        <is>
          <t>%</t>
        </is>
      </c>
      <c r="O960" s="5" t="inlineStr">
        <is>
          <t>%</t>
        </is>
      </c>
      <c r="P960" s="16" t="n">
        <v>0</v>
      </c>
      <c r="Q960" s="16" t="n">
        <v>0</v>
      </c>
      <c r="R960" s="5" t="inlineStr">
        <is>
          <t>220-2024-06-30</t>
        </is>
      </c>
    </row>
    <row r="961">
      <c r="A961" s="5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Semestral</t>
        </is>
      </c>
      <c r="E961" s="5" t="inlineStr">
        <is>
          <t>Positivo</t>
        </is>
      </c>
      <c r="F961" s="144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</v>
      </c>
      <c r="K961" s="5" t="n">
        <v>13.05</v>
      </c>
      <c r="L961" s="28">
        <f>IFERROR(IF(OR(J961=0,K961=""),"",IF(E961="Positivo",MIN(MAX(K961/J961,0),1.3),MIN(MAX(J961/K961,0),1.3))),"") </f>
        <v/>
      </c>
      <c r="M961" s="28">
        <f>IFERROR(IF(OR(J961=0,K961=""),"",IF(E961="Positivo",MAX(K961/J961,0),MAX(J961/K961,0))),"") 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220-2024-12-31</t>
        </is>
      </c>
    </row>
    <row r="962">
      <c r="A962" s="26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144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</v>
      </c>
      <c r="K962" s="10" t="n">
        <v>33.98</v>
      </c>
      <c r="L962" s="28">
        <f>IFERROR(IF(OR(J962=0,K962=""),"",IF(E962="Positivo",MIN(MAX(K962/J962,0),1.3),MIN(MAX(J962/K962,0),1.3))),"") </f>
        <v/>
      </c>
      <c r="M962" s="28">
        <f>IFERROR(IF(OR(J962=0,K962=""),"",IF(E962="Positivo",MAX(K962/J962,0),MAX(J962/K962,0))),"") </f>
        <v/>
      </c>
      <c r="N962" s="5" t="inlineStr">
        <is>
          <t>%</t>
        </is>
      </c>
      <c r="O962" s="5" t="inlineStr">
        <is>
          <t>%</t>
        </is>
      </c>
      <c r="P962" s="16" t="n">
        <v>0</v>
      </c>
      <c r="Q962" s="16" t="n">
        <v>0</v>
      </c>
      <c r="R962" s="5" t="inlineStr">
        <is>
          <t>220-2025-06-30</t>
        </is>
      </c>
    </row>
    <row r="963">
      <c r="A963" s="26" t="n">
        <v>220</v>
      </c>
      <c r="B963" s="5" t="inlineStr">
        <is>
          <t>Disminución del Consumo de Agua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43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</v>
      </c>
      <c r="K963" s="123" t="n">
        <v>-10.18</v>
      </c>
      <c r="L963" s="28">
        <f>IFERROR(IF(OR(J963=0,K963=""),"",IF(E963="Positivo",MIN(MAX(K963/J963,0),1.3),MIN(MAX(J963/K963,0),1.3))),"") </f>
        <v/>
      </c>
      <c r="M963" s="28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16" t="n">
        <v>0</v>
      </c>
      <c r="Q963" s="16" t="n">
        <v>0</v>
      </c>
      <c r="R963" s="5" t="inlineStr">
        <is>
          <t>220-2025-12-31</t>
        </is>
      </c>
    </row>
    <row r="964">
      <c r="A964" s="39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144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100</v>
      </c>
      <c r="K964" s="123" t="n">
        <v>200</v>
      </c>
      <c r="L964" s="28">
        <f>IFERROR(IF(OR(J964=0,K964=""),"",IF(E964="Positivo",MIN(MAX(K964/J964,0),1.3),MIN(MAX(J964/K964,0),1.3))),"") </f>
        <v/>
      </c>
      <c r="M964" s="28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6" t="n">
        <v>0</v>
      </c>
      <c r="Q964" s="16" t="n">
        <v>0</v>
      </c>
      <c r="R964" s="5" t="inlineStr">
        <is>
          <t>221-2022-12-31</t>
        </is>
      </c>
    </row>
    <row r="965">
      <c r="A965" s="5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144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28">
        <f>IFERROR(IF(OR(J965=0,K965=""),"",IF(E965="Positivo",MIN(MAX(K965/J965,0),1.3),MIN(MAX(J965/K965,0),1.3))),"") </f>
        <v/>
      </c>
      <c r="M965" s="28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221-2023-12-31</t>
        </is>
      </c>
    </row>
    <row r="966">
      <c r="A966" s="26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144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10" t="n">
        <v>33.33</v>
      </c>
      <c r="L966" s="28">
        <f>IFERROR(IF(OR(J966=0,K966=""),"",IF(E966="Positivo",MIN(MAX(K966/J966,0),1.3),MIN(MAX(J966/K966,0),1.3))),"") </f>
        <v/>
      </c>
      <c r="M966" s="28">
        <f>IFERROR(IF(OR(J966=0,K966=""),"",IF(E966="Positivo",MAX(K966/J966,0),MAX(J966/K966,0))),"") </f>
        <v/>
      </c>
      <c r="N966" s="5" t="n"/>
      <c r="O966" s="5" t="n"/>
      <c r="P966" s="16" t="n">
        <v>0</v>
      </c>
      <c r="Q966" s="16" t="n">
        <v>0</v>
      </c>
      <c r="R966" s="5" t="inlineStr">
        <is>
          <t>221-2024-12-31</t>
        </is>
      </c>
    </row>
    <row r="967">
      <c r="A967" s="26" t="n">
        <v>221</v>
      </c>
      <c r="B967" s="5" t="inlineStr">
        <is>
          <t>Riesgo de la Calidad del Agua Potable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143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100</v>
      </c>
      <c r="K967" s="123" t="n">
        <v>27.5</v>
      </c>
      <c r="L967" s="28">
        <f>IFERROR(IF(OR(J967=0,K967=""),"",IF(E967="Positivo",MIN(MAX(K967/J967,0),1.3),MIN(MAX(J967/K967,0),1.3))),"") </f>
        <v/>
      </c>
      <c r="M967" s="28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16" t="n">
        <v>0</v>
      </c>
      <c r="Q967" s="16" t="n">
        <v>0</v>
      </c>
      <c r="R967" s="5" t="inlineStr">
        <is>
          <t>221-2025-12-31</t>
        </is>
      </c>
    </row>
    <row r="968">
      <c r="A968" s="39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144" t="n">
        <v>44926</v>
      </c>
      <c r="G968" s="5" t="n">
        <v>2022</v>
      </c>
      <c r="H968" s="5" t="inlineStr">
        <is>
          <t>Diciembre</t>
        </is>
      </c>
      <c r="I968" s="6" t="inlineStr">
        <is>
          <t>2022-2</t>
        </is>
      </c>
      <c r="J968" s="5" t="n">
        <v>90</v>
      </c>
      <c r="K968" s="123" t="n">
        <v>93.75</v>
      </c>
      <c r="L968" s="28">
        <f>IFERROR(IF(OR(J968=0,K968=""),"",IF(E968="Positivo",MIN(MAX(K968/J968,0),1.3),MIN(MAX(J968/K968,0),1.3))),"") </f>
        <v/>
      </c>
      <c r="M968" s="28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6" t="n">
        <v>0</v>
      </c>
      <c r="Q968" s="16" t="n">
        <v>0</v>
      </c>
      <c r="R968" s="5" t="inlineStr">
        <is>
          <t>222-2022-12-31</t>
        </is>
      </c>
    </row>
    <row r="969">
      <c r="A969" s="5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144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90</v>
      </c>
      <c r="K969" s="5" t="n">
        <v>68.75</v>
      </c>
      <c r="L969" s="28">
        <f>IFERROR(IF(OR(J969=0,K969=""),"",IF(E969="Positivo",MIN(MAX(K969/J969,0),1.3),MIN(MAX(J969/K969,0),1.3))),"") </f>
        <v/>
      </c>
      <c r="M969" s="28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222-2023-12-31</t>
        </is>
      </c>
    </row>
    <row r="970">
      <c r="A970" s="26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144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90</v>
      </c>
      <c r="K970" s="10" t="n">
        <v>68.75</v>
      </c>
      <c r="L970" s="28">
        <f>IFERROR(IF(OR(J970=0,K970=""),"",IF(E970="Positivo",MIN(MAX(K970/J970,0),1.3),MIN(MAX(J970/K970,0),1.3))),"") </f>
        <v/>
      </c>
      <c r="M970" s="28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6" t="n">
        <v>0</v>
      </c>
      <c r="Q970" s="16" t="n">
        <v>0</v>
      </c>
      <c r="R970" s="5" t="inlineStr">
        <is>
          <t>222-2024-12-31</t>
        </is>
      </c>
    </row>
    <row r="971">
      <c r="A971" s="26" t="n">
        <v>222</v>
      </c>
      <c r="B971" s="5" t="inlineStr">
        <is>
          <t>Calidad de las Aguas Residuales Domesticas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143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90</v>
      </c>
      <c r="K971" s="123" t="n">
        <v>68.75</v>
      </c>
      <c r="L971" s="28">
        <f>IFERROR(IF(OR(J971=0,K971=""),"",IF(E971="Positivo",MIN(MAX(K971/J971,0),1.3),MIN(MAX(J971/K971,0),1.3))),"") </f>
        <v/>
      </c>
      <c r="M971" s="28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6" t="n">
        <v>0</v>
      </c>
      <c r="Q971" s="16" t="n">
        <v>0</v>
      </c>
      <c r="R971" s="5" t="inlineStr">
        <is>
          <t>222-2025-12-31</t>
        </is>
      </c>
    </row>
    <row r="972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143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100</v>
      </c>
      <c r="K972" s="123" t="n">
        <v>0</v>
      </c>
      <c r="L972" s="28">
        <f>IFERROR(IF(OR(J972=0,K972=""),"",IF(E972="Positivo",MIN(MAX(K972/J972,0),1.3),MIN(MAX(J972/K972,0),1.3))),"") </f>
        <v/>
      </c>
      <c r="M972" s="28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 t="inlineStr">
        <is>
          <t>223-2022-12-31</t>
        </is>
      </c>
    </row>
    <row r="973">
      <c r="A973" s="39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144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123" t="n">
        <v>100</v>
      </c>
      <c r="L973" s="28">
        <f>IFERROR(IF(OR(J973=0,K973=""),"",IF(E973="Positivo",MIN(MAX(K973/J973,0),1.3),MIN(MAX(J973/K973,0),1.3))),"") </f>
        <v/>
      </c>
      <c r="M973" s="28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16" t="n">
        <v>0</v>
      </c>
      <c r="Q973" s="16" t="n">
        <v>0</v>
      </c>
      <c r="R973" s="5" t="inlineStr">
        <is>
          <t>223-2023-12-31</t>
        </is>
      </c>
    </row>
    <row r="974">
      <c r="A974" s="39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144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123" t="n">
        <v>94.12</v>
      </c>
      <c r="L974" s="28">
        <f>IFERROR(IF(OR(J974=0,K974=""),"",IF(E974="Positivo",MIN(MAX(K974/J974,0),1.3),MIN(MAX(J974/K974,0),1.3))),"") </f>
        <v/>
      </c>
      <c r="M974" s="28">
        <f>IFERROR(IF(OR(J974=0,K974=""),"",IF(E974="Positivo",MAX(K974/J974,0),MAX(J974/K974,0))),"") </f>
        <v/>
      </c>
      <c r="N974" s="5" t="n"/>
      <c r="O974" s="5" t="n"/>
      <c r="P974" s="16" t="n">
        <v>0</v>
      </c>
      <c r="Q974" s="16" t="n">
        <v>0</v>
      </c>
      <c r="R974" s="5" t="inlineStr">
        <is>
          <t>223-2024-12-31</t>
        </is>
      </c>
    </row>
    <row r="975">
      <c r="A975" s="26" t="n">
        <v>223</v>
      </c>
      <c r="B975" s="5" t="inlineStr">
        <is>
          <t>Registro de Publicidad Exterior Visual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144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100</v>
      </c>
      <c r="K975" s="10" t="n">
        <v>91.67</v>
      </c>
      <c r="L975" s="28">
        <f>IFERROR(IF(OR(J975=0,K975=""),"",IF(E975="Positivo",MIN(MAX(K975/J975,0),1.3),MIN(MAX(J975/K975,0),1.3))),"") </f>
        <v/>
      </c>
      <c r="M975" s="28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 t="inlineStr">
        <is>
          <t>223-2025-12-31</t>
        </is>
      </c>
    </row>
    <row r="976">
      <c r="A976" s="26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143" t="n">
        <v>44926</v>
      </c>
      <c r="G976" s="5" t="n">
        <v>2022</v>
      </c>
      <c r="H976" s="5" t="inlineStr">
        <is>
          <t>Diciembre</t>
        </is>
      </c>
      <c r="I976" s="6" t="inlineStr">
        <is>
          <t>2022-2</t>
        </is>
      </c>
      <c r="J976" s="5" t="n">
        <v>100</v>
      </c>
      <c r="K976" s="123" t="n">
        <v>71.42857142857143</v>
      </c>
      <c r="L976" s="28">
        <f>IFERROR(IF(OR(J976=0,K976=""),"",IF(E976="Positivo",MIN(MAX(K976/J976,0),1.3),MIN(MAX(J976/K976,0),1.3))),"") </f>
        <v/>
      </c>
      <c r="M976" s="28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 t="inlineStr">
        <is>
          <t>224-2022-12-31</t>
        </is>
      </c>
    </row>
    <row r="977">
      <c r="A977" s="39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144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100</v>
      </c>
      <c r="K977" s="123" t="n">
        <v>40</v>
      </c>
      <c r="L977" s="28">
        <f>IFERROR(IF(OR(J977=0,K977=""),"",IF(E977="Positivo",MIN(MAX(K977/J977,0),1.3),MIN(MAX(J977/K977,0),1.3))),"") </f>
        <v/>
      </c>
      <c r="M977" s="28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16" t="n">
        <v>0</v>
      </c>
      <c r="Q977" s="16" t="n">
        <v>0</v>
      </c>
      <c r="R977" s="5" t="inlineStr">
        <is>
          <t>224-2023-12-31</t>
        </is>
      </c>
    </row>
    <row r="978">
      <c r="A978" s="26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144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100</v>
      </c>
      <c r="K978" s="10" t="n">
        <v>100</v>
      </c>
      <c r="L978" s="28">
        <f>IFERROR(IF(OR(J978=0,K978=""),"",IF(E978="Positivo",MIN(MAX(K978/J978,0),1.3),MIN(MAX(J978/K978,0),1.3))),"") </f>
        <v/>
      </c>
      <c r="M978" s="28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 t="inlineStr">
        <is>
          <t>224-2024-12-31</t>
        </is>
      </c>
    </row>
    <row r="979">
      <c r="A979" s="26" t="n">
        <v>224</v>
      </c>
      <c r="B979" s="5" t="inlineStr">
        <is>
          <t>Cumplimiento Nivel de Emisión de Ruido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43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100</v>
      </c>
      <c r="K979" s="123" t="n">
        <v>100</v>
      </c>
      <c r="L979" s="28">
        <f>IFERROR(IF(OR(J979=0,K979=""),"",IF(E979="Positivo",MIN(MAX(K979/J979,0),1.3),MIN(MAX(J979/K979,0),1.3))),"") </f>
        <v/>
      </c>
      <c r="M979" s="28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 t="inlineStr">
        <is>
          <t>224-2025-12-31</t>
        </is>
      </c>
    </row>
    <row r="980">
      <c r="A980" s="39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144" t="n">
        <v>44592</v>
      </c>
      <c r="G980" s="5" t="n">
        <v>2022</v>
      </c>
      <c r="H980" s="5" t="inlineStr">
        <is>
          <t>Enero</t>
        </is>
      </c>
      <c r="I980" s="6" t="inlineStr">
        <is>
          <t>2022-1</t>
        </is>
      </c>
      <c r="J980" s="5" t="n">
        <v>1</v>
      </c>
      <c r="K980" s="123" t="n">
        <v>0</v>
      </c>
      <c r="L980" s="28">
        <f>IFERROR(IF(OR(J980=0,K980=""),"",IF(E980="Positivo",MIN(MAX(K980/J980,0),1.3),MIN(MAX(J980/K980,0),1.3))),"") </f>
        <v/>
      </c>
      <c r="M980" s="28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6" t="n">
        <v>0</v>
      </c>
      <c r="Q980" s="16" t="n">
        <v>0</v>
      </c>
      <c r="R980" s="5" t="inlineStr">
        <is>
          <t>225-2022-01-31</t>
        </is>
      </c>
    </row>
    <row r="981">
      <c r="A981" s="5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144" t="n">
        <v>44620</v>
      </c>
      <c r="G981" s="5" t="n">
        <v>2022</v>
      </c>
      <c r="H981" s="5" t="inlineStr">
        <is>
          <t>Febrero</t>
        </is>
      </c>
      <c r="I981" s="6" t="inlineStr">
        <is>
          <t>2022-1</t>
        </is>
      </c>
      <c r="J981" s="5" t="n">
        <v>1</v>
      </c>
      <c r="K981" s="5" t="n">
        <v>0</v>
      </c>
      <c r="L981" s="28">
        <f>IFERROR(IF(OR(J981=0,K981=""),"",IF(E981="Positivo",MIN(MAX(K981/J981,0),1.3),MIN(MAX(J981/K981,0),1.3))),"") </f>
        <v/>
      </c>
      <c r="M981" s="28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225-2022-02-28</t>
        </is>
      </c>
    </row>
    <row r="982">
      <c r="A982" s="26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144" t="n">
        <v>44651</v>
      </c>
      <c r="G982" s="5" t="n">
        <v>2022</v>
      </c>
      <c r="H982" s="5" t="inlineStr">
        <is>
          <t>Marzo</t>
        </is>
      </c>
      <c r="I982" s="6" t="inlineStr">
        <is>
          <t>2022-1</t>
        </is>
      </c>
      <c r="J982" s="5" t="n">
        <v>1</v>
      </c>
      <c r="K982" s="10" t="n">
        <v>0</v>
      </c>
      <c r="L982" s="28">
        <f>IFERROR(IF(OR(J982=0,K982=""),"",IF(E982="Positivo",MIN(MAX(K982/J982,0),1.3),MIN(MAX(J982/K982,0),1.3))),"") </f>
        <v/>
      </c>
      <c r="M982" s="28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16" t="n">
        <v>0</v>
      </c>
      <c r="Q982" s="16" t="n">
        <v>0</v>
      </c>
      <c r="R982" s="5" t="inlineStr">
        <is>
          <t>225-2022-03-31</t>
        </is>
      </c>
    </row>
    <row r="983">
      <c r="A983" s="26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143" t="n">
        <v>44681</v>
      </c>
      <c r="G983" s="5" t="n">
        <v>2022</v>
      </c>
      <c r="H983" s="5" t="inlineStr">
        <is>
          <t>Abril</t>
        </is>
      </c>
      <c r="I983" s="6" t="inlineStr">
        <is>
          <t>2022-1</t>
        </is>
      </c>
      <c r="J983" s="5" t="n">
        <v>1</v>
      </c>
      <c r="K983" s="123" t="n">
        <v>0</v>
      </c>
      <c r="L983" s="28">
        <f>IFERROR(IF(OR(J983=0,K983=""),"",IF(E983="Positivo",MIN(MAX(K983/J983,0),1.3),MIN(MAX(J983/K983,0),1.3))),"") </f>
        <v/>
      </c>
      <c r="M983" s="28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6" t="n">
        <v>0</v>
      </c>
      <c r="Q983" s="16" t="n">
        <v>0</v>
      </c>
      <c r="R983" s="5" t="inlineStr">
        <is>
          <t>225-2022-04-30</t>
        </is>
      </c>
    </row>
    <row r="984">
      <c r="A984" s="39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144" t="n">
        <v>44712</v>
      </c>
      <c r="G984" s="5" t="n">
        <v>2022</v>
      </c>
      <c r="H984" s="5" t="inlineStr">
        <is>
          <t>Mayo</t>
        </is>
      </c>
      <c r="I984" s="6" t="inlineStr">
        <is>
          <t>2022-1</t>
        </is>
      </c>
      <c r="J984" s="5" t="n">
        <v>1</v>
      </c>
      <c r="K984" s="123" t="n">
        <v>0</v>
      </c>
      <c r="L984" s="28">
        <f>IFERROR(IF(OR(J984=0,K984=""),"",IF(E984="Positivo",MIN(MAX(K984/J984,0),1.3),MIN(MAX(J984/K984,0),1.3))),"") </f>
        <v/>
      </c>
      <c r="M984" s="28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6" t="n">
        <v>0</v>
      </c>
      <c r="Q984" s="16" t="n">
        <v>0</v>
      </c>
      <c r="R984" s="5" t="inlineStr">
        <is>
          <t>225-2022-05-31</t>
        </is>
      </c>
    </row>
    <row r="985">
      <c r="A985" s="5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144" t="n">
        <v>44742</v>
      </c>
      <c r="G985" s="5" t="n">
        <v>2022</v>
      </c>
      <c r="H985" s="5" t="inlineStr">
        <is>
          <t>Junio</t>
        </is>
      </c>
      <c r="I985" s="6" t="inlineStr">
        <is>
          <t>2022-1</t>
        </is>
      </c>
      <c r="J985" s="5" t="n">
        <v>1</v>
      </c>
      <c r="K985" s="5" t="n">
        <v>0</v>
      </c>
      <c r="L985" s="28">
        <f>IFERROR(IF(OR(J985=0,K985=""),"",IF(E985="Positivo",MIN(MAX(K985/J985,0),1.3),MIN(MAX(J985/K985,0),1.3))),"") </f>
        <v/>
      </c>
      <c r="M985" s="28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225-2022-06-30</t>
        </is>
      </c>
    </row>
    <row r="986">
      <c r="A986" s="26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144" t="n">
        <v>44773</v>
      </c>
      <c r="G986" s="5" t="n">
        <v>2022</v>
      </c>
      <c r="H986" s="5" t="inlineStr">
        <is>
          <t>Julio</t>
        </is>
      </c>
      <c r="I986" s="6" t="inlineStr">
        <is>
          <t>2022-2</t>
        </is>
      </c>
      <c r="J986" s="5" t="n">
        <v>1</v>
      </c>
      <c r="K986" s="10" t="n">
        <v>0</v>
      </c>
      <c r="L986" s="28">
        <f>IFERROR(IF(OR(J986=0,K986=""),"",IF(E986="Positivo",MIN(MAX(K986/J986,0),1.3),MIN(MAX(J986/K986,0),1.3))),"") </f>
        <v/>
      </c>
      <c r="M986" s="28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6" t="n">
        <v>0</v>
      </c>
      <c r="Q986" s="16" t="n">
        <v>0</v>
      </c>
      <c r="R986" s="5" t="inlineStr">
        <is>
          <t>225-2022-07-31</t>
        </is>
      </c>
    </row>
    <row r="987">
      <c r="A987" s="26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143" t="n">
        <v>44804</v>
      </c>
      <c r="G987" s="5" t="n">
        <v>2022</v>
      </c>
      <c r="H987" s="5" t="inlineStr">
        <is>
          <t>Agosto</t>
        </is>
      </c>
      <c r="I987" s="6" t="inlineStr">
        <is>
          <t>2022-2</t>
        </is>
      </c>
      <c r="J987" s="5" t="n">
        <v>1</v>
      </c>
      <c r="K987" s="123" t="n">
        <v>0</v>
      </c>
      <c r="L987" s="28">
        <f>IFERROR(IF(OR(J987=0,K987=""),"",IF(E987="Positivo",MIN(MAX(K987/J987,0),1.3),MIN(MAX(J987/K987,0),1.3))),"") </f>
        <v/>
      </c>
      <c r="M987" s="28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 t="inlineStr">
        <is>
          <t>225-2022-08-31</t>
        </is>
      </c>
    </row>
    <row r="988">
      <c r="A988" s="39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144" t="n">
        <v>44834</v>
      </c>
      <c r="G988" s="5" t="n">
        <v>2022</v>
      </c>
      <c r="H988" s="5" t="inlineStr">
        <is>
          <t>Septiembre</t>
        </is>
      </c>
      <c r="I988" s="6" t="inlineStr">
        <is>
          <t>2022-2</t>
        </is>
      </c>
      <c r="J988" s="5" t="n">
        <v>1</v>
      </c>
      <c r="K988" s="123" t="n">
        <v>0</v>
      </c>
      <c r="L988" s="28">
        <f>IFERROR(IF(OR(J988=0,K988=""),"",IF(E988="Positivo",MIN(MAX(K988/J988,0),1.3),MIN(MAX(J988/K988,0),1.3))),"") </f>
        <v/>
      </c>
      <c r="M988" s="28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 t="inlineStr">
        <is>
          <t>225-2022-09-30</t>
        </is>
      </c>
    </row>
    <row r="989">
      <c r="A989" s="5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144" t="n">
        <v>44865</v>
      </c>
      <c r="G989" s="5" t="n">
        <v>2022</v>
      </c>
      <c r="H989" s="5" t="inlineStr">
        <is>
          <t>Octubre</t>
        </is>
      </c>
      <c r="I989" s="6" t="inlineStr">
        <is>
          <t>2022-2</t>
        </is>
      </c>
      <c r="J989" s="5" t="n">
        <v>1</v>
      </c>
      <c r="K989" s="5" t="n">
        <v>0</v>
      </c>
      <c r="L989" s="28">
        <f>IFERROR(IF(OR(J989=0,K989=""),"",IF(E989="Positivo",MIN(MAX(K989/J989,0),1.3),MIN(MAX(J989/K989,0),1.3))),"") </f>
        <v/>
      </c>
      <c r="M989" s="28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225-2022-10-31</t>
        </is>
      </c>
    </row>
    <row r="990">
      <c r="A990" s="26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144" t="n">
        <v>44895</v>
      </c>
      <c r="G990" s="5" t="n">
        <v>2022</v>
      </c>
      <c r="H990" s="5" t="inlineStr">
        <is>
          <t>Noviembre</t>
        </is>
      </c>
      <c r="I990" s="6" t="inlineStr">
        <is>
          <t>2022-2</t>
        </is>
      </c>
      <c r="J990" s="5" t="n">
        <v>1</v>
      </c>
      <c r="K990" s="10" t="n">
        <v>0</v>
      </c>
      <c r="L990" s="28">
        <f>IFERROR(IF(OR(J990=0,K990=""),"",IF(E990="Positivo",MIN(MAX(K990/J990,0),1.3),MIN(MAX(J990/K990,0),1.3))),"") </f>
        <v/>
      </c>
      <c r="M990" s="28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 t="inlineStr">
        <is>
          <t>225-2022-11-30</t>
        </is>
      </c>
    </row>
    <row r="991">
      <c r="A991" s="43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144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</v>
      </c>
      <c r="K991" s="123" t="n">
        <v>0</v>
      </c>
      <c r="L991" s="28">
        <f>IFERROR(IF(OR(J991=0,K991=""),"",IF(E991="Positivo",MIN(MAX(K991/J991,0),1.3),MIN(MAX(J991/K991,0),1.3))),"") </f>
        <v/>
      </c>
      <c r="M991" s="28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 t="inlineStr">
        <is>
          <t>225-2022-12-31</t>
        </is>
      </c>
    </row>
    <row r="992">
      <c r="A992" s="39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144" t="n">
        <v>44957</v>
      </c>
      <c r="G992" s="5" t="n">
        <v>2023</v>
      </c>
      <c r="H992" s="5" t="inlineStr">
        <is>
          <t>Enero</t>
        </is>
      </c>
      <c r="I992" s="6" t="inlineStr">
        <is>
          <t>2023-1</t>
        </is>
      </c>
      <c r="J992" s="5" t="n">
        <v>1</v>
      </c>
      <c r="K992" s="123" t="n">
        <v>25</v>
      </c>
      <c r="L992" s="28">
        <f>IFERROR(IF(OR(J992=0,K992=""),"",IF(E992="Positivo",MIN(MAX(K992/J992,0),1.3),MIN(MAX(J992/K992,0),1.3))),"") </f>
        <v/>
      </c>
      <c r="M992" s="28">
        <f>IFERROR(IF(OR(J992=0,K992=""),"",IF(E992="Positivo",MAX(K992/J992,0),MAX(J992/K992,0))),"") </f>
        <v/>
      </c>
      <c r="N992" s="5" t="inlineStr">
        <is>
          <t>ENT</t>
        </is>
      </c>
      <c r="O992" s="5" t="inlineStr">
        <is>
          <t>ENT</t>
        </is>
      </c>
      <c r="P992" s="16" t="n">
        <v>0</v>
      </c>
      <c r="Q992" s="16" t="n">
        <v>0</v>
      </c>
      <c r="R992" s="5" t="inlineStr">
        <is>
          <t>225-2023-01-31</t>
        </is>
      </c>
    </row>
    <row r="993">
      <c r="A993" s="39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144" t="n">
        <v>44985</v>
      </c>
      <c r="G993" s="5" t="n">
        <v>2023</v>
      </c>
      <c r="H993" s="5" t="inlineStr">
        <is>
          <t>Febrero</t>
        </is>
      </c>
      <c r="I993" s="6" t="inlineStr">
        <is>
          <t>2023-1</t>
        </is>
      </c>
      <c r="J993" s="5" t="n">
        <v>1</v>
      </c>
      <c r="K993" s="123" t="n">
        <v>20</v>
      </c>
      <c r="L993" s="28">
        <f>IFERROR(IF(OR(J993=0,K993=""),"",IF(E993="Positivo",MIN(MAX(K993/J993,0),1.3),MIN(MAX(J993/K993,0),1.3))),"") </f>
        <v/>
      </c>
      <c r="M993" s="28">
        <f>IFERROR(IF(OR(J993=0,K993=""),"",IF(E993="Positivo",MAX(K993/J993,0),MAX(J993/K993,0))),"") </f>
        <v/>
      </c>
      <c r="N993" s="5" t="inlineStr">
        <is>
          <t>ENT</t>
        </is>
      </c>
      <c r="O993" s="5" t="inlineStr">
        <is>
          <t>ENT</t>
        </is>
      </c>
      <c r="P993" s="16" t="n">
        <v>0</v>
      </c>
      <c r="Q993" s="16" t="n">
        <v>0</v>
      </c>
      <c r="R993" s="5" t="inlineStr">
        <is>
          <t>225-2023-02-28</t>
        </is>
      </c>
    </row>
    <row r="994">
      <c r="A994" s="39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144" t="n">
        <v>45016</v>
      </c>
      <c r="G994" s="5" t="n">
        <v>2023</v>
      </c>
      <c r="H994" s="5" t="inlineStr">
        <is>
          <t>Marzo</t>
        </is>
      </c>
      <c r="I994" s="6" t="inlineStr">
        <is>
          <t>2023-1</t>
        </is>
      </c>
      <c r="J994" s="5" t="n">
        <v>1</v>
      </c>
      <c r="K994" s="5" t="n">
        <v>19</v>
      </c>
      <c r="L994" s="28">
        <f>IFERROR(IF(OR(J994=0,K994=""),"",IF(E994="Positivo",MIN(MAX(K994/J994,0),1.3),MIN(MAX(J994/K994,0),1.3))),"") </f>
        <v/>
      </c>
      <c r="M994" s="28">
        <f>IFERROR(IF(OR(J994=0,K994=""),"",IF(E994="Positivo",MAX(K994/J994,0),MAX(J994/K994,0))),"") </f>
        <v/>
      </c>
      <c r="N994" s="5" t="inlineStr">
        <is>
          <t>ENT</t>
        </is>
      </c>
      <c r="O994" s="5" t="inlineStr">
        <is>
          <t>ENT</t>
        </is>
      </c>
      <c r="P994" s="16" t="n">
        <v>0</v>
      </c>
      <c r="Q994" s="16" t="n">
        <v>0</v>
      </c>
      <c r="R994" s="5" t="inlineStr">
        <is>
          <t>225-2023-03-31</t>
        </is>
      </c>
    </row>
    <row r="995">
      <c r="A995" s="26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43" t="n">
        <v>45046</v>
      </c>
      <c r="G995" s="5" t="n">
        <v>2023</v>
      </c>
      <c r="H995" s="5" t="inlineStr">
        <is>
          <t>Abril</t>
        </is>
      </c>
      <c r="I995" s="6" t="inlineStr">
        <is>
          <t>2023-1</t>
        </is>
      </c>
      <c r="J995" s="5" t="n">
        <v>1</v>
      </c>
      <c r="K995" s="123" t="n">
        <v>20</v>
      </c>
      <c r="L995" s="28">
        <f>IFERROR(IF(OR(J995=0,K995=""),"",IF(E995="Positivo",MIN(MAX(K995/J995,0),1.3),MIN(MAX(J995/K995,0),1.3))),"") </f>
        <v/>
      </c>
      <c r="M995" s="28">
        <f>IFERROR(IF(OR(J995=0,K995=""),"",IF(E995="Positivo",MAX(K995/J995,0),MAX(J995/K995,0))),"") </f>
        <v/>
      </c>
      <c r="N995" s="5" t="inlineStr">
        <is>
          <t>ENT</t>
        </is>
      </c>
      <c r="O995" s="5" t="inlineStr">
        <is>
          <t>ENT</t>
        </is>
      </c>
      <c r="P995" s="16" t="n">
        <v>0</v>
      </c>
      <c r="Q995" s="16" t="n">
        <v>0</v>
      </c>
      <c r="R995" s="5" t="inlineStr">
        <is>
          <t>225-2023-04-30</t>
        </is>
      </c>
    </row>
    <row r="996">
      <c r="A996" s="39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44" t="n">
        <v>45077</v>
      </c>
      <c r="G996" s="5" t="n">
        <v>2023</v>
      </c>
      <c r="H996" s="5" t="inlineStr">
        <is>
          <t>Mayo</t>
        </is>
      </c>
      <c r="I996" s="6" t="inlineStr">
        <is>
          <t>2023-1</t>
        </is>
      </c>
      <c r="J996" s="5" t="n">
        <v>1</v>
      </c>
      <c r="K996" s="123" t="n">
        <v>23</v>
      </c>
      <c r="L996" s="28">
        <f>IFERROR(IF(OR(J996=0,K996=""),"",IF(E996="Positivo",MIN(MAX(K996/J996,0),1.3),MIN(MAX(J996/K996,0),1.3))),"") </f>
        <v/>
      </c>
      <c r="M996" s="28">
        <f>IFERROR(IF(OR(J996=0,K996=""),"",IF(E996="Positivo",MAX(K996/J996,0),MAX(J996/K996,0))),"") </f>
        <v/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 t="inlineStr">
        <is>
          <t>225-2023-05-31</t>
        </is>
      </c>
    </row>
    <row r="997">
      <c r="A997" s="5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44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</v>
      </c>
      <c r="K997" s="5" t="n">
        <v>19</v>
      </c>
      <c r="L997" s="28">
        <f>IFERROR(IF(OR(J997=0,K997=""),"",IF(E997="Positivo",MIN(MAX(K997/J997,0),1.3),MIN(MAX(J997/K997,0),1.3))),"") </f>
        <v/>
      </c>
      <c r="M997" s="28">
        <f>IFERROR(IF(OR(J997=0,K997=""),"",IF(E997="Positivo",MAX(K997/J997,0),MAX(J997/K997,0))),"") </f>
        <v/>
      </c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225-2023-06-30</t>
        </is>
      </c>
    </row>
    <row r="998">
      <c r="A998" s="26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44" t="n">
        <v>45138</v>
      </c>
      <c r="G998" s="5" t="n">
        <v>2023</v>
      </c>
      <c r="H998" s="5" t="inlineStr">
        <is>
          <t>Julio</t>
        </is>
      </c>
      <c r="I998" s="6" t="inlineStr">
        <is>
          <t>2023-2</t>
        </is>
      </c>
      <c r="J998" s="5" t="n">
        <v>1</v>
      </c>
      <c r="K998" s="10" t="n">
        <v>20</v>
      </c>
      <c r="L998" s="28">
        <f>IFERROR(IF(OR(J998=0,K998=""),"",IF(E998="Positivo",MIN(MAX(K998/J998,0),1.3),MIN(MAX(J998/K998,0),1.3))),"") </f>
        <v/>
      </c>
      <c r="M998" s="28">
        <f>IFERROR(IF(OR(J998=0,K998=""),"",IF(E998="Positivo",MAX(K998/J998,0),MAX(J998/K998,0))),"") </f>
        <v/>
      </c>
      <c r="N998" s="5" t="inlineStr">
        <is>
          <t>ENT</t>
        </is>
      </c>
      <c r="O998" s="5" t="inlineStr">
        <is>
          <t>ENT</t>
        </is>
      </c>
      <c r="P998" s="16" t="n">
        <v>0</v>
      </c>
      <c r="Q998" s="16" t="n">
        <v>0</v>
      </c>
      <c r="R998" s="5" t="inlineStr">
        <is>
          <t>225-2023-07-31</t>
        </is>
      </c>
    </row>
    <row r="999">
      <c r="A999" s="43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44" t="n">
        <v>45169</v>
      </c>
      <c r="G999" s="5" t="n">
        <v>2023</v>
      </c>
      <c r="H999" s="5" t="inlineStr">
        <is>
          <t>Agosto</t>
        </is>
      </c>
      <c r="I999" s="6" t="inlineStr">
        <is>
          <t>2023-2</t>
        </is>
      </c>
      <c r="J999" s="5" t="n">
        <v>1</v>
      </c>
      <c r="K999" s="123" t="n">
        <v>23</v>
      </c>
      <c r="L999" s="28">
        <f>IFERROR(IF(OR(J999=0,K999=""),"",IF(E999="Positivo",MIN(MAX(K999/J999,0),1.3),MIN(MAX(J999/K999,0),1.3))),"") </f>
        <v/>
      </c>
      <c r="M999" s="28">
        <f>IFERROR(IF(OR(J999=0,K999=""),"",IF(E999="Positivo",MAX(K999/J999,0),MAX(J999/K999,0))),"") </f>
        <v/>
      </c>
      <c r="N999" s="5" t="inlineStr">
        <is>
          <t>ENT</t>
        </is>
      </c>
      <c r="O999" s="5" t="inlineStr">
        <is>
          <t>ENT</t>
        </is>
      </c>
      <c r="P999" s="16" t="n">
        <v>0</v>
      </c>
      <c r="Q999" s="16" t="n">
        <v>0</v>
      </c>
      <c r="R999" s="5" t="inlineStr">
        <is>
          <t>225-2023-08-31</t>
        </is>
      </c>
    </row>
    <row r="1000">
      <c r="A1000" s="39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44" t="n">
        <v>45199</v>
      </c>
      <c r="G1000" s="5" t="n">
        <v>2023</v>
      </c>
      <c r="H1000" s="5" t="inlineStr">
        <is>
          <t>Septiembre</t>
        </is>
      </c>
      <c r="I1000" s="6" t="inlineStr">
        <is>
          <t>2023-2</t>
        </is>
      </c>
      <c r="J1000" s="5" t="n">
        <v>1</v>
      </c>
      <c r="K1000" s="123" t="n">
        <v>21</v>
      </c>
      <c r="L1000" s="28">
        <f>IFERROR(IF(OR(J1000=0,K1000=""),"",IF(E1000="Positivo",MIN(MAX(K1000/J1000,0),1.3),MIN(MAX(J1000/K1000,0),1.3))),"") </f>
        <v/>
      </c>
      <c r="M1000" s="28">
        <f>IFERROR(IF(OR(J1000=0,K1000=""),"",IF(E1000="Positivo",MAX(K1000/J1000,0),MAX(J1000/K1000,0))),"") </f>
        <v/>
      </c>
      <c r="N1000" s="5" t="inlineStr">
        <is>
          <t>ENT</t>
        </is>
      </c>
      <c r="O1000" s="5" t="inlineStr">
        <is>
          <t>ENT</t>
        </is>
      </c>
      <c r="P1000" s="16" t="n">
        <v>0</v>
      </c>
      <c r="Q1000" s="16" t="n">
        <v>0</v>
      </c>
      <c r="R1000" s="5" t="inlineStr">
        <is>
          <t>225-2023-09-30</t>
        </is>
      </c>
    </row>
    <row r="1001">
      <c r="A1001" s="43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44" t="n">
        <v>45230</v>
      </c>
      <c r="G1001" s="5" t="n">
        <v>2023</v>
      </c>
      <c r="H1001" s="5" t="inlineStr">
        <is>
          <t>Octubre</t>
        </is>
      </c>
      <c r="I1001" s="6" t="inlineStr">
        <is>
          <t>2023-2</t>
        </is>
      </c>
      <c r="J1001" s="5" t="n">
        <v>1</v>
      </c>
      <c r="K1001" s="123" t="n">
        <v>19</v>
      </c>
      <c r="L1001" s="28">
        <f>IFERROR(IF(OR(J1001=0,K1001=""),"",IF(E1001="Positivo",MIN(MAX(K1001/J1001,0),1.3),MIN(MAX(J1001/K1001,0),1.3))),"") </f>
        <v/>
      </c>
      <c r="M1001" s="28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16" t="n">
        <v>0</v>
      </c>
      <c r="Q1001" s="16" t="n">
        <v>0</v>
      </c>
      <c r="R1001" s="5" t="inlineStr">
        <is>
          <t>225-2023-10-31</t>
        </is>
      </c>
    </row>
    <row r="1002">
      <c r="A1002" s="43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44" t="n">
        <v>45260</v>
      </c>
      <c r="G1002" s="5" t="n">
        <v>2023</v>
      </c>
      <c r="H1002" s="5" t="inlineStr">
        <is>
          <t>Noviembre</t>
        </is>
      </c>
      <c r="I1002" s="6" t="inlineStr">
        <is>
          <t>2023-2</t>
        </is>
      </c>
      <c r="J1002" s="5" t="n">
        <v>1</v>
      </c>
      <c r="K1002" s="123" t="n">
        <v>18</v>
      </c>
      <c r="L1002" s="28">
        <f>IFERROR(IF(OR(J1002=0,K1002=""),"",IF(E1002="Positivo",MIN(MAX(K1002/J1002,0),1.3),MIN(MAX(J1002/K1002,0),1.3))),"") </f>
        <v/>
      </c>
      <c r="M1002" s="28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16" t="n">
        <v>0</v>
      </c>
      <c r="Q1002" s="16" t="n">
        <v>0</v>
      </c>
      <c r="R1002" s="5" t="inlineStr">
        <is>
          <t>225-2023-11-30</t>
        </is>
      </c>
    </row>
    <row r="1003">
      <c r="A1003" s="39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44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1</v>
      </c>
      <c r="K1003" s="123" t="n">
        <v>18</v>
      </c>
      <c r="L1003" s="28">
        <f>IFERROR(IF(OR(J1003=0,K1003=""),"",IF(E1003="Positivo",MIN(MAX(K1003/J1003,0),1.3),MIN(MAX(J1003/K1003,0),1.3))),"") </f>
        <v/>
      </c>
      <c r="M1003" s="28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16" t="n">
        <v>0</v>
      </c>
      <c r="Q1003" s="16" t="n">
        <v>0</v>
      </c>
      <c r="R1003" s="5" t="inlineStr">
        <is>
          <t>225-2023-12-31</t>
        </is>
      </c>
    </row>
    <row r="1004">
      <c r="A1004" s="26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43" t="n">
        <v>45322</v>
      </c>
      <c r="G1004" s="5" t="n">
        <v>2024</v>
      </c>
      <c r="H1004" s="5" t="inlineStr">
        <is>
          <t>Enero</t>
        </is>
      </c>
      <c r="I1004" s="6" t="inlineStr">
        <is>
          <t>2024-1</t>
        </is>
      </c>
      <c r="J1004" s="5" t="n">
        <v>1</v>
      </c>
      <c r="K1004" s="123" t="n">
        <v>20</v>
      </c>
      <c r="L1004" s="28">
        <f>IFERROR(IF(OR(J1004=0,K1004=""),"",IF(E1004="Positivo",MIN(MAX(K1004/J1004,0),1.3),MIN(MAX(J1004/K1004,0),1.3))),"") </f>
        <v/>
      </c>
      <c r="M1004" s="28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16" t="n">
        <v>0</v>
      </c>
      <c r="Q1004" s="16" t="n">
        <v>0</v>
      </c>
      <c r="R1004" s="5" t="inlineStr">
        <is>
          <t>225-2024-01-31</t>
        </is>
      </c>
    </row>
    <row r="1005">
      <c r="A1005" s="39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44" t="n">
        <v>45351</v>
      </c>
      <c r="G1005" s="5" t="n">
        <v>2024</v>
      </c>
      <c r="H1005" s="5" t="inlineStr">
        <is>
          <t>Febrero</t>
        </is>
      </c>
      <c r="I1005" s="6" t="inlineStr">
        <is>
          <t>2024-1</t>
        </is>
      </c>
      <c r="J1005" s="5" t="n">
        <v>1</v>
      </c>
      <c r="K1005" s="123" t="n">
        <v>19</v>
      </c>
      <c r="L1005" s="28">
        <f>IFERROR(IF(OR(J1005=0,K1005=""),"",IF(E1005="Positivo",MIN(MAX(K1005/J1005,0),1.3),MIN(MAX(J1005/K1005,0),1.3))),"") </f>
        <v/>
      </c>
      <c r="M1005" s="28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16" t="n">
        <v>0</v>
      </c>
      <c r="Q1005" s="16" t="n">
        <v>0</v>
      </c>
      <c r="R1005" s="5" t="inlineStr">
        <is>
          <t>225-2024-02-29</t>
        </is>
      </c>
    </row>
    <row r="1006">
      <c r="A1006" s="26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43" t="n">
        <v>45382</v>
      </c>
      <c r="G1006" s="5" t="n">
        <v>2024</v>
      </c>
      <c r="H1006" s="5" t="inlineStr">
        <is>
          <t>Marzo</t>
        </is>
      </c>
      <c r="I1006" s="6" t="inlineStr">
        <is>
          <t>2024-1</t>
        </is>
      </c>
      <c r="J1006" s="5" t="n">
        <v>1</v>
      </c>
      <c r="K1006" s="123" t="n">
        <v>23</v>
      </c>
      <c r="L1006" s="28">
        <f>IFERROR(IF(OR(J1006=0,K1006=""),"",IF(E1006="Positivo",MIN(MAX(K1006/J1006,0),1.3),MIN(MAX(J1006/K1006,0),1.3))),"") </f>
        <v/>
      </c>
      <c r="M1006" s="28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16" t="n">
        <v>0</v>
      </c>
      <c r="Q1006" s="16" t="n">
        <v>0</v>
      </c>
      <c r="R1006" s="5" t="inlineStr">
        <is>
          <t>225-2024-03-31</t>
        </is>
      </c>
    </row>
    <row r="1007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44" t="n">
        <v>45412</v>
      </c>
      <c r="G1007" s="5" t="n">
        <v>2024</v>
      </c>
      <c r="H1007" s="5" t="inlineStr">
        <is>
          <t>Abril</t>
        </is>
      </c>
      <c r="I1007" s="6" t="inlineStr">
        <is>
          <t>2024-1</t>
        </is>
      </c>
      <c r="J1007" s="5" t="n">
        <v>1</v>
      </c>
      <c r="K1007" s="10" t="n">
        <v>20</v>
      </c>
      <c r="L1007" s="28">
        <f>IFERROR(IF(OR(J1007=0,K1007=""),"",IF(E1007="Positivo",MIN(MAX(K1007/J1007,0),1.3),MIN(MAX(J1007/K1007,0),1.3))),"") </f>
        <v/>
      </c>
      <c r="M1007" s="28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16" t="n">
        <v>0</v>
      </c>
      <c r="Q1007" s="16" t="n">
        <v>0</v>
      </c>
      <c r="R1007" s="5" t="inlineStr">
        <is>
          <t>225-2024-04-30</t>
        </is>
      </c>
    </row>
    <row r="1008">
      <c r="A1008" s="39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44" t="n">
        <v>45443</v>
      </c>
      <c r="G1008" s="5" t="n">
        <v>2024</v>
      </c>
      <c r="H1008" s="5" t="inlineStr">
        <is>
          <t>Mayo</t>
        </is>
      </c>
      <c r="I1008" s="6" t="inlineStr">
        <is>
          <t>2024-1</t>
        </is>
      </c>
      <c r="J1008" s="5" t="n">
        <v>1</v>
      </c>
      <c r="K1008" s="123" t="n">
        <v>20</v>
      </c>
      <c r="L1008" s="28">
        <f>IFERROR(IF(OR(J1008=0,K1008=""),"",IF(E1008="Positivo",MIN(MAX(K1008/J1008,0),1.3),MIN(MAX(J1008/K1008,0),1.3))),"") </f>
        <v/>
      </c>
      <c r="M1008" s="28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16" t="n">
        <v>0</v>
      </c>
      <c r="Q1008" s="16" t="n">
        <v>0</v>
      </c>
      <c r="R1008" s="5" t="inlineStr">
        <is>
          <t>225-2024-05-31</t>
        </is>
      </c>
    </row>
    <row r="1009">
      <c r="A1009" s="26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44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1</v>
      </c>
      <c r="K1009" s="10" t="n">
        <v>21</v>
      </c>
      <c r="L1009" s="28">
        <f>IFERROR(IF(OR(J1009=0,K1009=""),"",IF(E1009="Positivo",MIN(MAX(K1009/J1009,0),1.3),MIN(MAX(J1009/K1009,0),1.3))),"") </f>
        <v/>
      </c>
      <c r="M1009" s="28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6" t="n">
        <v>0</v>
      </c>
      <c r="Q1009" s="16" t="n">
        <v>0</v>
      </c>
      <c r="R1009" s="5" t="inlineStr">
        <is>
          <t>225-2024-06-30</t>
        </is>
      </c>
    </row>
    <row r="1010">
      <c r="A1010" s="39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44" t="n">
        <v>45504</v>
      </c>
      <c r="G1010" s="5" t="n">
        <v>2024</v>
      </c>
      <c r="H1010" s="5" t="inlineStr">
        <is>
          <t>Julio</t>
        </is>
      </c>
      <c r="I1010" s="6" t="inlineStr">
        <is>
          <t>2024-2</t>
        </is>
      </c>
      <c r="J1010" s="5" t="n">
        <v>1</v>
      </c>
      <c r="K1010" s="123" t="n">
        <v>20</v>
      </c>
      <c r="L1010" s="28">
        <f>IFERROR(IF(OR(J1010=0,K1010=""),"",IF(E1010="Positivo",MIN(MAX(K1010/J1010,0),1.3),MIN(MAX(J1010/K1010,0),1.3))),"") </f>
        <v/>
      </c>
      <c r="M1010" s="28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16" t="n">
        <v>0</v>
      </c>
      <c r="Q1010" s="16" t="n">
        <v>0</v>
      </c>
      <c r="R1010" s="5" t="inlineStr">
        <is>
          <t>225-2024-07-31</t>
        </is>
      </c>
    </row>
    <row r="1011">
      <c r="A1011" s="26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44" t="n">
        <v>45535</v>
      </c>
      <c r="G1011" s="5" t="n">
        <v>2024</v>
      </c>
      <c r="H1011" s="5" t="inlineStr">
        <is>
          <t>Agosto</t>
        </is>
      </c>
      <c r="I1011" s="6" t="inlineStr">
        <is>
          <t>2024-2</t>
        </is>
      </c>
      <c r="J1011" s="5" t="n">
        <v>1</v>
      </c>
      <c r="K1011" s="10" t="n">
        <v>21</v>
      </c>
      <c r="L1011" s="28">
        <f>IFERROR(IF(OR(J1011=0,K1011=""),"",IF(E1011="Positivo",MIN(MAX(K1011/J1011,0),1.3),MIN(MAX(J1011/K1011,0),1.3))),"") </f>
        <v/>
      </c>
      <c r="M1011" s="28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6" t="n">
        <v>0</v>
      </c>
      <c r="Q1011" s="16" t="n">
        <v>0</v>
      </c>
      <c r="R1011" s="5" t="inlineStr">
        <is>
          <t>225-2024-08-31</t>
        </is>
      </c>
    </row>
    <row r="1012">
      <c r="A1012" s="39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44" t="n">
        <v>45565</v>
      </c>
      <c r="G1012" s="5" t="n">
        <v>2024</v>
      </c>
      <c r="H1012" s="5" t="inlineStr">
        <is>
          <t>Septiembre</t>
        </is>
      </c>
      <c r="I1012" s="6" t="inlineStr">
        <is>
          <t>2024-2</t>
        </is>
      </c>
      <c r="J1012" s="5" t="n">
        <v>1</v>
      </c>
      <c r="K1012" s="123" t="n">
        <v>22</v>
      </c>
      <c r="L1012" s="120">
        <f>IFERROR(IF(OR(J1012=0,K1012=""),"",IF(E1012="Positivo",MIN(MAX(K1012/J1012,0),1.3),MIN(MAX(J1012/K1012,0),1.3))),"") </f>
        <v/>
      </c>
      <c r="M1012" s="28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6" t="n">
        <v>0</v>
      </c>
      <c r="Q1012" s="16" t="n">
        <v>0</v>
      </c>
      <c r="R1012" s="5" t="inlineStr">
        <is>
          <t>225-2024-09-30</t>
        </is>
      </c>
    </row>
    <row r="1013">
      <c r="A1013" s="26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44" t="n">
        <v>45596</v>
      </c>
      <c r="G1013" s="5" t="n">
        <v>2024</v>
      </c>
      <c r="H1013" s="5" t="inlineStr">
        <is>
          <t>Octubre</t>
        </is>
      </c>
      <c r="I1013" s="6" t="inlineStr">
        <is>
          <t>2024-2</t>
        </is>
      </c>
      <c r="J1013" s="5" t="n">
        <v>1</v>
      </c>
      <c r="K1013" s="10" t="n">
        <v>20</v>
      </c>
      <c r="L1013" s="28">
        <f>IFERROR(IF(OR(J1013=0,K1013=""),"",IF(E1013="Positivo",MIN(MAX(K1013/J1013,0),1.3),MIN(MAX(J1013/K1013,0),1.3))),"") </f>
        <v/>
      </c>
      <c r="M1013" s="28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16" t="n">
        <v>0</v>
      </c>
      <c r="Q1013" s="16" t="n">
        <v>0</v>
      </c>
      <c r="R1013" s="5" t="inlineStr">
        <is>
          <t>225-2024-10-31</t>
        </is>
      </c>
    </row>
    <row r="1014">
      <c r="A1014" s="26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43" t="n">
        <v>45626</v>
      </c>
      <c r="G1014" s="5" t="n">
        <v>2024</v>
      </c>
      <c r="H1014" s="5" t="inlineStr">
        <is>
          <t>Noviembre</t>
        </is>
      </c>
      <c r="I1014" s="6" t="inlineStr">
        <is>
          <t>2024-2</t>
        </is>
      </c>
      <c r="J1014" s="5" t="n">
        <v>1</v>
      </c>
      <c r="K1014" s="124" t="n">
        <v>22</v>
      </c>
      <c r="L1014" s="28">
        <f>IFERROR(IF(OR(J1014=0,K1014=""),"",IF(E1014="Positivo",MIN(MAX(K1014/J1014,0),1.3),MIN(MAX(J1014/K1014,0),1.3))),"") </f>
        <v/>
      </c>
      <c r="M1014" s="28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6" t="n">
        <v>0</v>
      </c>
      <c r="Q1014" s="16" t="n">
        <v>0</v>
      </c>
      <c r="R1014" s="5" t="inlineStr">
        <is>
          <t>225-2024-11-30</t>
        </is>
      </c>
    </row>
    <row r="1015">
      <c r="A1015" s="39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44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</v>
      </c>
      <c r="K1015" s="124" t="n">
        <v>18</v>
      </c>
      <c r="L1015" s="28">
        <f>IFERROR(IF(OR(J1015=0,K1015=""),"",IF(E1015="Positivo",MIN(MAX(K1015/J1015,0),1.3),MIN(MAX(J1015/K1015,0),1.3))),"") </f>
        <v/>
      </c>
      <c r="M1015" s="28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16" t="n">
        <v>0</v>
      </c>
      <c r="Q1015" s="16" t="n">
        <v>0</v>
      </c>
      <c r="R1015" s="5" t="inlineStr">
        <is>
          <t>225-2024-12-31</t>
        </is>
      </c>
    </row>
    <row r="1016">
      <c r="A1016" s="26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43" t="n">
        <v>45688</v>
      </c>
      <c r="G1016" s="5" t="n">
        <v>2025</v>
      </c>
      <c r="H1016" s="5" t="inlineStr">
        <is>
          <t>Enero</t>
        </is>
      </c>
      <c r="I1016" s="6" t="inlineStr">
        <is>
          <t>2025-1</t>
        </is>
      </c>
      <c r="J1016" s="5" t="n">
        <v>1</v>
      </c>
      <c r="K1016" s="124" t="n">
        <v>22</v>
      </c>
      <c r="L1016" s="28">
        <f>IFERROR(IF(OR(J1016=0,K1016=""),"",IF(E1016="Positivo",MIN(MAX(K1016/J1016,0),1.3),MIN(MAX(J1016/K1016,0),1.3))),"") </f>
        <v/>
      </c>
      <c r="M1016" s="28">
        <f>IFERROR(IF(OR(J1016=0,K1016=""),"",IF(E1016="Positivo",MAX(K1016/J1016,0),MAX(J1016/K1016,0))),"") </f>
        <v/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 t="inlineStr">
        <is>
          <t>225-2025-01-31</t>
        </is>
      </c>
    </row>
    <row r="1017">
      <c r="A1017" s="26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44" t="n">
        <v>45716</v>
      </c>
      <c r="G1017" s="5" t="n">
        <v>2025</v>
      </c>
      <c r="H1017" s="5" t="inlineStr">
        <is>
          <t>Febrero</t>
        </is>
      </c>
      <c r="I1017" s="6" t="inlineStr">
        <is>
          <t>2025-1</t>
        </is>
      </c>
      <c r="J1017" s="5" t="n">
        <v>1</v>
      </c>
      <c r="K1017" s="10" t="n">
        <v>20</v>
      </c>
      <c r="L1017" s="28">
        <f>IFERROR(IF(OR(J1017=0,K1017=""),"",IF(E1017="Positivo",MIN(MAX(K1017/J1017,0),1.3),MIN(MAX(J1017/K1017,0),1.3))),"") </f>
        <v/>
      </c>
      <c r="M1017" s="28">
        <f>IFERROR(IF(OR(J1017=0,K1017=""),"",IF(E1017="Positivo",MAX(K1017/J1017,0),MAX(J1017/K1017,0))),"") </f>
        <v/>
      </c>
      <c r="N1017" s="5" t="inlineStr">
        <is>
          <t>%</t>
        </is>
      </c>
      <c r="O1017" s="5" t="inlineStr">
        <is>
          <t>%</t>
        </is>
      </c>
      <c r="P1017" s="16" t="n">
        <v>0</v>
      </c>
      <c r="Q1017" s="16" t="n">
        <v>0</v>
      </c>
      <c r="R1017" s="5" t="inlineStr">
        <is>
          <t>225-2025-02-28</t>
        </is>
      </c>
    </row>
    <row r="1018">
      <c r="A1018" s="39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44" t="n">
        <v>45747</v>
      </c>
      <c r="G1018" s="5" t="n">
        <v>2025</v>
      </c>
      <c r="H1018" s="5" t="inlineStr">
        <is>
          <t>Marzo</t>
        </is>
      </c>
      <c r="I1018" s="6" t="inlineStr">
        <is>
          <t>2025-1</t>
        </is>
      </c>
      <c r="J1018" s="5" t="n">
        <v>1</v>
      </c>
      <c r="K1018" s="123" t="n">
        <v>21</v>
      </c>
      <c r="L1018" s="28">
        <f>IFERROR(IF(OR(J1018=0,K1018=""),"",IF(E1018="Positivo",MIN(MAX(K1018/J1018,0),1.3),MIN(MAX(J1018/K1018,0),1.3))),"") </f>
        <v/>
      </c>
      <c r="M1018" s="28">
        <f>IFERROR(IF(OR(J1018=0,K1018=""),"",IF(E1018="Positivo",MAX(K1018/J1018,0),MAX(J1018/K1018,0))),"") </f>
        <v/>
      </c>
      <c r="N1018" s="5" t="inlineStr">
        <is>
          <t>%</t>
        </is>
      </c>
      <c r="O1018" s="5" t="inlineStr">
        <is>
          <t>%</t>
        </is>
      </c>
      <c r="P1018" s="16" t="n">
        <v>0</v>
      </c>
      <c r="Q1018" s="16" t="n">
        <v>0</v>
      </c>
      <c r="R1018" s="5" t="inlineStr">
        <is>
          <t>225-2025-03-31</t>
        </is>
      </c>
    </row>
    <row r="1019">
      <c r="A1019" s="26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44" t="n">
        <v>45777</v>
      </c>
      <c r="G1019" s="5" t="n">
        <v>2025</v>
      </c>
      <c r="H1019" s="5" t="inlineStr">
        <is>
          <t>Abril</t>
        </is>
      </c>
      <c r="I1019" s="6" t="inlineStr">
        <is>
          <t>2025-1</t>
        </is>
      </c>
      <c r="J1019" s="5" t="n">
        <v>1</v>
      </c>
      <c r="K1019" s="10" t="n">
        <v>26</v>
      </c>
      <c r="L1019" s="28">
        <f>IFERROR(IF(OR(J1019=0,K1019=""),"",IF(E1019="Positivo",MIN(MAX(K1019/J1019,0),1.3),MIN(MAX(J1019/K1019,0),1.3))),"") </f>
        <v/>
      </c>
      <c r="M1019" s="28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16" t="n">
        <v>0</v>
      </c>
      <c r="Q1019" s="16" t="n">
        <v>0</v>
      </c>
      <c r="R1019" s="5" t="inlineStr">
        <is>
          <t>225-2025-04-30</t>
        </is>
      </c>
    </row>
    <row r="1020">
      <c r="A1020" s="39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44" t="n">
        <v>45808</v>
      </c>
      <c r="G1020" s="5" t="n">
        <v>2025</v>
      </c>
      <c r="H1020" s="5" t="inlineStr">
        <is>
          <t>Mayo</t>
        </is>
      </c>
      <c r="I1020" s="6" t="inlineStr">
        <is>
          <t>2025-1</t>
        </is>
      </c>
      <c r="J1020" s="5" t="n">
        <v>1</v>
      </c>
      <c r="K1020" s="123" t="n">
        <v>28</v>
      </c>
      <c r="L1020" s="28">
        <f>IFERROR(IF(OR(J1020=0,K1020=""),"",IF(E1020="Positivo",MIN(MAX(K1020/J1020,0),1.3),MIN(MAX(J1020/K1020,0),1.3))),"") </f>
        <v/>
      </c>
      <c r="M1020" s="28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16" t="n">
        <v>0</v>
      </c>
      <c r="Q1020" s="16" t="n">
        <v>0</v>
      </c>
      <c r="R1020" s="5" t="inlineStr">
        <is>
          <t>225-2025-05-31</t>
        </is>
      </c>
    </row>
    <row r="102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44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1</v>
      </c>
      <c r="K1021" s="10" t="n">
        <v>26</v>
      </c>
      <c r="L1021" s="28">
        <f>IFERROR(IF(OR(J1021=0,K1021=""),"",IF(E1021="Positivo",MIN(MAX(K1021/J1021,0),1.3),MIN(MAX(J1021/K1021,0),1.3))),"") </f>
        <v/>
      </c>
      <c r="M1021" s="28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16" t="n">
        <v>0</v>
      </c>
      <c r="Q1021" s="16" t="n">
        <v>0</v>
      </c>
      <c r="R1021" s="5" t="inlineStr">
        <is>
          <t>225-2025-06-30</t>
        </is>
      </c>
    </row>
    <row r="1022">
      <c r="A1022" s="26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44" t="n">
        <v>45869</v>
      </c>
      <c r="G1022" s="5" t="n">
        <v>2025</v>
      </c>
      <c r="H1022" s="5" t="inlineStr">
        <is>
          <t>Julio</t>
        </is>
      </c>
      <c r="I1022" s="6" t="inlineStr">
        <is>
          <t>2025-2</t>
        </is>
      </c>
      <c r="J1022" s="5" t="n">
        <v>1</v>
      </c>
      <c r="K1022" s="10" t="n">
        <v>18</v>
      </c>
      <c r="L1022" s="28">
        <f>IFERROR(IF(OR(J1022=0,K1022=""),"",IF(E1022="Positivo",MIN(MAX(K1022/J1022,0),1.3),MIN(MAX(J1022/K1022,0),1.3))),"") </f>
        <v/>
      </c>
      <c r="M1022" s="28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16" t="n">
        <v>0</v>
      </c>
      <c r="Q1022" s="16" t="n">
        <v>0</v>
      </c>
      <c r="R1022" s="5" t="inlineStr">
        <is>
          <t>225-2025-07-31</t>
        </is>
      </c>
    </row>
    <row r="1023">
      <c r="A1023" s="39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44" t="n">
        <v>45900</v>
      </c>
      <c r="G1023" s="5" t="n">
        <v>2025</v>
      </c>
      <c r="H1023" s="5" t="inlineStr">
        <is>
          <t>Agosto</t>
        </is>
      </c>
      <c r="I1023" s="6" t="inlineStr">
        <is>
          <t>2025-2</t>
        </is>
      </c>
      <c r="J1023" s="5" t="n">
        <v>1</v>
      </c>
      <c r="K1023" s="123" t="n">
        <v>17</v>
      </c>
      <c r="L1023" s="28">
        <f>IFERROR(IF(OR(J1023=0,K1023=""),"",IF(E1023="Positivo",MIN(MAX(K1023/J1023,0),1.3),MIN(MAX(J1023/K1023,0),1.3))),"") </f>
        <v/>
      </c>
      <c r="M1023" s="28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16" t="n">
        <v>0</v>
      </c>
      <c r="Q1023" s="16" t="n">
        <v>0</v>
      </c>
      <c r="R1023" s="5" t="inlineStr">
        <is>
          <t>225-2025-08-31</t>
        </is>
      </c>
    </row>
    <row r="1024">
      <c r="A1024" s="5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44" t="n">
        <v>45930</v>
      </c>
      <c r="G1024" s="5" t="n">
        <v>2025</v>
      </c>
      <c r="H1024" s="5" t="inlineStr">
        <is>
          <t>Septiembre</t>
        </is>
      </c>
      <c r="I1024" s="6" t="inlineStr">
        <is>
          <t>2025-2</t>
        </is>
      </c>
      <c r="J1024" s="5" t="n">
        <v>1</v>
      </c>
      <c r="K1024" s="5" t="n">
        <v>19</v>
      </c>
      <c r="L1024" s="28">
        <f>IFERROR(IF(OR(J1024=0,K1024=""),"",IF(E1024="Positivo",MIN(MAX(K1024/J1024,0),1.3),MIN(MAX(J1024/K1024,0),1.3))),"") </f>
        <v/>
      </c>
      <c r="M1024" s="28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 t="inlineStr">
        <is>
          <t>225-2025-09-30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43" t="n">
        <v>45961</v>
      </c>
      <c r="G1025" s="5" t="n">
        <v>2025</v>
      </c>
      <c r="H1025" s="5" t="inlineStr">
        <is>
          <t>Octubre</t>
        </is>
      </c>
      <c r="I1025" s="6" t="inlineStr">
        <is>
          <t>2025-2</t>
        </is>
      </c>
      <c r="J1025" s="5" t="n">
        <v>1</v>
      </c>
      <c r="K1025" s="123" t="n">
        <v>11</v>
      </c>
      <c r="L1025" s="28">
        <f>IFERROR(IF(OR(J1025=0,K1025=""),"",IF(E1025="Positivo",MIN(MAX(K1025/J1025,0),1.3),MIN(MAX(J1025/K1025,0),1.3))),"") </f>
        <v/>
      </c>
      <c r="M1025" s="28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 t="inlineStr">
        <is>
          <t>225-2025-10-31</t>
        </is>
      </c>
    </row>
    <row r="1026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44" t="n">
        <v>45991</v>
      </c>
      <c r="G1026" s="5" t="n">
        <v>2025</v>
      </c>
      <c r="H1026" s="5" t="inlineStr">
        <is>
          <t>Noviembre</t>
        </is>
      </c>
      <c r="I1026" s="6" t="inlineStr">
        <is>
          <t>2025-2</t>
        </is>
      </c>
      <c r="J1026" s="5" t="n">
        <v>1</v>
      </c>
      <c r="K1026" s="5" t="n">
        <v>25</v>
      </c>
      <c r="L1026" s="28">
        <f>IFERROR(IF(OR(J1026=0,K1026=""),"",IF(E1026="Positivo",MIN(MAX(K1026/J1026,0),1.3),MIN(MAX(J1026/K1026,0),1.3))),"") </f>
        <v/>
      </c>
      <c r="M1026" s="28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225-2025-11-30</t>
        </is>
      </c>
    </row>
    <row r="1027">
      <c r="A1027" s="39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44" t="n">
        <v>46022</v>
      </c>
      <c r="G1027" s="5" t="n">
        <v>2025</v>
      </c>
      <c r="H1027" s="5" t="inlineStr">
        <is>
          <t>Diciembre</t>
        </is>
      </c>
      <c r="I1027" s="6" t="inlineStr">
        <is>
          <t>2025-2</t>
        </is>
      </c>
      <c r="J1027" s="5" t="n">
        <v>1</v>
      </c>
      <c r="K1027" s="123" t="n">
        <v>0</v>
      </c>
      <c r="L1027" s="28">
        <f>IFERROR(IF(OR(J1027=0,K1027=""),"",IF(E1027="Positivo",MIN(MAX(K1027/J1027,0),1.3),MIN(MAX(J1027/K1027,0),1.3))),"") </f>
        <v/>
      </c>
      <c r="M1027" s="28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 t="inlineStr">
        <is>
          <t>225-2025-12-31</t>
        </is>
      </c>
    </row>
    <row r="1028">
      <c r="A1028" s="26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144" t="n">
        <v>44926</v>
      </c>
      <c r="G1028" s="5" t="n">
        <v>2022</v>
      </c>
      <c r="H1028" s="5" t="inlineStr">
        <is>
          <t>Diciembre</t>
        </is>
      </c>
      <c r="I1028" s="6" t="inlineStr">
        <is>
          <t>2022-2</t>
        </is>
      </c>
      <c r="J1028" s="5" t="n">
        <v>2</v>
      </c>
      <c r="K1028" s="123" t="n">
        <v>476.4899959564209</v>
      </c>
      <c r="L1028" s="28">
        <f>IFERROR(IF(OR(J1028=0,K1028=""),"",IF(E1028="Positivo",MIN(MAX(K1028/J1028,0),1.3),MIN(MAX(J1028/K1028,0),1.3))),"") </f>
        <v/>
      </c>
      <c r="M1028" s="28">
        <f>IFERROR(IF(OR(J1028=0,K1028=""),"",IF(E1028="Positivo",MAX(K1028/J1028,0),MAX(J1028/K1028,0))),"") </f>
        <v/>
      </c>
      <c r="N1028" s="5" t="inlineStr">
        <is>
          <t>ENT</t>
        </is>
      </c>
      <c r="O1028" s="5" t="inlineStr">
        <is>
          <t>ENT</t>
        </is>
      </c>
      <c r="P1028" s="16" t="n">
        <v>0</v>
      </c>
      <c r="Q1028" s="16" t="n">
        <v>0</v>
      </c>
      <c r="R1028" s="5" t="inlineStr">
        <is>
          <t>226-2022-12-31</t>
        </is>
      </c>
    </row>
    <row r="1029">
      <c r="A1029" s="26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144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2</v>
      </c>
      <c r="K1029" s="123" t="n">
        <v>622.6900000000001</v>
      </c>
      <c r="L1029" s="28">
        <f>IFERROR(IF(OR(J1029=0,K1029=""),"",IF(E1029="Positivo",MIN(MAX(K1029/J1029,0),1.3),MIN(MAX(J1029/K1029,0),1.3))),"") </f>
        <v/>
      </c>
      <c r="M1029" s="28">
        <f>IFERROR(IF(OR(J1029=0,K1029=""),"",IF(E1029="Positivo",MAX(K1029/J1029,0),MAX(J1029/K1029,0))),"") </f>
        <v/>
      </c>
      <c r="N1029" s="5" t="inlineStr">
        <is>
          <t>%</t>
        </is>
      </c>
      <c r="O1029" s="5" t="inlineStr">
        <is>
          <t>%</t>
        </is>
      </c>
      <c r="P1029" s="16" t="n">
        <v>0</v>
      </c>
      <c r="Q1029" s="16" t="n">
        <v>0</v>
      </c>
      <c r="R1029" s="5" t="inlineStr">
        <is>
          <t>226-2023-12-31</t>
        </is>
      </c>
    </row>
    <row r="1030">
      <c r="A1030" s="43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144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2</v>
      </c>
      <c r="K1030" s="123" t="n">
        <v>3531.11</v>
      </c>
      <c r="L1030" s="28">
        <f>IFERROR(IF(OR(J1030=0,K1030=""),"",IF(E1030="Positivo",MIN(MAX(K1030/J1030,0),1.3),MIN(MAX(J1030/K1030,0),1.3))),"") </f>
        <v/>
      </c>
      <c r="M1030" s="28">
        <f>IFERROR(IF(OR(J1030=0,K1030=""),"",IF(E1030="Positivo",MAX(K1030/J1030,0),MAX(J1030/K1030,0))),"") </f>
        <v/>
      </c>
      <c r="N1030" s="5" t="inlineStr">
        <is>
          <t>%</t>
        </is>
      </c>
      <c r="O1030" s="5" t="inlineStr">
        <is>
          <t>%</t>
        </is>
      </c>
      <c r="P1030" s="16" t="n">
        <v>0</v>
      </c>
      <c r="Q1030" s="16" t="n">
        <v>0</v>
      </c>
      <c r="R1030" s="5" t="inlineStr">
        <is>
          <t>226-2024-12-31</t>
        </is>
      </c>
    </row>
    <row r="1031">
      <c r="A1031" s="39" t="n">
        <v>226</v>
      </c>
      <c r="B1031" s="5" t="inlineStr">
        <is>
          <t>Generación de Gases de Efecto Invernadero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Positivo</t>
        </is>
      </c>
      <c r="F1031" s="144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2</v>
      </c>
      <c r="K1031" s="123" t="n"/>
      <c r="L1031" s="28" t="n"/>
      <c r="M1031" s="28" t="n"/>
      <c r="N1031" s="5" t="inlineStr">
        <is>
          <t>%</t>
        </is>
      </c>
      <c r="O1031" s="5" t="inlineStr">
        <is>
          <t>No Aplica</t>
        </is>
      </c>
      <c r="P1031" s="16" t="n">
        <v>0</v>
      </c>
      <c r="Q1031" s="16" t="n">
        <v>0</v>
      </c>
      <c r="R1031" s="5" t="inlineStr">
        <is>
          <t>226-2025-12-31</t>
        </is>
      </c>
      <c r="S1031" t="inlineStr">
        <is>
          <t>No Aplica</t>
        </is>
      </c>
    </row>
    <row r="1032">
      <c r="A1032" s="26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144" t="n">
        <v>44926</v>
      </c>
      <c r="G1032" s="5" t="n">
        <v>2022</v>
      </c>
      <c r="H1032" s="5" t="inlineStr">
        <is>
          <t>Diciembre</t>
        </is>
      </c>
      <c r="I1032" s="6" t="inlineStr">
        <is>
          <t>2022-2</t>
        </is>
      </c>
      <c r="J1032" s="5" t="n">
        <v>0.3</v>
      </c>
      <c r="K1032" s="10" t="n">
        <v>0.01</v>
      </c>
      <c r="L1032" s="28">
        <f>IFERROR(IF(OR(J1032=0,K1032=""),"",IF(E1032="Positivo",MIN(MAX(K1032/J1032,0),1.3),MIN(MAX(J1032/K1032,0),1.3))),"") </f>
        <v/>
      </c>
      <c r="M1032" s="28">
        <f>IFERROR(IF(OR(J1032=0,K1032=""),"",IF(E1032="Positivo",MAX(K1032/J1032,0),MAX(J1032/K1032,0))),"") </f>
        <v/>
      </c>
      <c r="N1032" s="5" t="inlineStr">
        <is>
          <t>ENT</t>
        </is>
      </c>
      <c r="O1032" s="5" t="inlineStr">
        <is>
          <t>ENT</t>
        </is>
      </c>
      <c r="P1032" s="16" t="n">
        <v>0</v>
      </c>
      <c r="Q1032" s="16" t="n">
        <v>0</v>
      </c>
      <c r="R1032" s="5" t="inlineStr">
        <is>
          <t>227-2022-12-31</t>
        </is>
      </c>
    </row>
    <row r="1033">
      <c r="A1033" s="5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144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5" t="n">
        <v>0.3</v>
      </c>
      <c r="K1033" s="5" t="n">
        <v>0.01</v>
      </c>
      <c r="L1033" s="28">
        <f>IFERROR(IF(OR(J1033=0,K1033=""),"",IF(E1033="Positivo",MIN(MAX(K1033/J1033,0),1.3),MIN(MAX(J1033/K1033,0),1.3))),"") </f>
        <v/>
      </c>
      <c r="M1033" s="28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 t="inlineStr">
        <is>
          <t>227-2023-12-31</t>
        </is>
      </c>
    </row>
    <row r="1034">
      <c r="A1034" s="26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144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5" t="n">
        <v>0.3</v>
      </c>
      <c r="K1034" s="10" t="n">
        <v>3531.11</v>
      </c>
      <c r="L1034" s="28">
        <f>IFERROR(IF(OR(J1034=0,K1034=""),"",IF(E1034="Positivo",MIN(MAX(K1034/J1034,0),1.3),MIN(MAX(J1034/K1034,0),1.3))),"") </f>
        <v/>
      </c>
      <c r="M1034" s="28">
        <f>IFERROR(IF(OR(J1034=0,K1034=""),"",IF(E1034="Positivo",MAX(K1034/J1034,0),MAX(J1034/K1034,0))),"") </f>
        <v/>
      </c>
      <c r="N1034" s="5" t="n"/>
      <c r="O1034" s="5" t="n"/>
      <c r="P1034" s="16" t="n">
        <v>0</v>
      </c>
      <c r="Q1034" s="16" t="n">
        <v>0</v>
      </c>
      <c r="R1034" s="5" t="inlineStr">
        <is>
          <t>227-2024-12-31</t>
        </is>
      </c>
    </row>
    <row r="1035">
      <c r="A1035" s="26" t="n">
        <v>227</v>
      </c>
      <c r="B1035" s="5" t="inlineStr">
        <is>
          <t>Generación de  Gases de Efecto Invernadero per Cápita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Negativo</t>
        </is>
      </c>
      <c r="F1035" s="144" t="n">
        <v>46022</v>
      </c>
      <c r="G1035" s="5" t="n">
        <v>2025</v>
      </c>
      <c r="H1035" s="5" t="inlineStr">
        <is>
          <t>Diciembre</t>
        </is>
      </c>
      <c r="I1035" s="6" t="inlineStr">
        <is>
          <t>2025-2</t>
        </is>
      </c>
      <c r="J1035" s="5" t="n">
        <v>0.3</v>
      </c>
      <c r="K1035" s="10" t="n"/>
      <c r="L1035" s="28" t="n"/>
      <c r="M1035" s="28" t="n"/>
      <c r="N1035" s="5" t="inlineStr">
        <is>
          <t>%</t>
        </is>
      </c>
      <c r="O1035" s="5" t="inlineStr">
        <is>
          <t>No Aplica</t>
        </is>
      </c>
      <c r="P1035" s="16" t="n">
        <v>0</v>
      </c>
      <c r="Q1035" s="16" t="n">
        <v>0</v>
      </c>
      <c r="R1035" s="5" t="inlineStr">
        <is>
          <t>227-2025-12-31</t>
        </is>
      </c>
      <c r="S1035" t="inlineStr">
        <is>
          <t>No Aplica</t>
        </is>
      </c>
    </row>
    <row r="1036">
      <c r="A1036" s="26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143" t="n">
        <v>44926</v>
      </c>
      <c r="G1036" s="5" t="n">
        <v>2022</v>
      </c>
      <c r="H1036" s="5" t="inlineStr">
        <is>
          <t>Diciembre</t>
        </is>
      </c>
      <c r="I1036" s="6" t="inlineStr">
        <is>
          <t>2022-2</t>
        </is>
      </c>
      <c r="J1036" s="119" t="n">
        <v>100</v>
      </c>
      <c r="K1036" s="123" t="n">
        <v>100.1070326764465</v>
      </c>
      <c r="L1036" s="28">
        <f>IFERROR(IF(OR(J1036=0,K1036=""),"",IF(E1036="Positivo",MIN(MAX(K1036/J1036,0),1.3),MIN(MAX(J1036/K1036,0),1.3))),"") </f>
        <v/>
      </c>
      <c r="M1036" s="28">
        <f>IFERROR(IF(OR(J1036=0,K1036=""),"",IF(E1036="Positivo",MAX(K1036/J1036,0),MAX(J1036/K1036,0))),"") </f>
        <v/>
      </c>
      <c r="N1036" s="5" t="inlineStr">
        <is>
          <t>tCO2e</t>
        </is>
      </c>
      <c r="O1036" s="5" t="inlineStr">
        <is>
          <t>tCO2e</t>
        </is>
      </c>
      <c r="P1036" s="16" t="n">
        <v>0</v>
      </c>
      <c r="Q1036" s="16" t="n">
        <v>0</v>
      </c>
      <c r="R1036" s="5" t="inlineStr">
        <is>
          <t>228-2022-12-31</t>
        </is>
      </c>
    </row>
    <row r="1037">
      <c r="A1037" s="39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144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119" t="n">
        <v>100</v>
      </c>
      <c r="K1037" s="123" t="n">
        <v>100</v>
      </c>
      <c r="L1037" s="28">
        <f>IFERROR(IF(OR(J1037=0,K1037=""),"",IF(E1037="Positivo",MIN(MAX(K1037/J1037,0),1.3),MIN(MAX(J1037/K1037,0),1.3))),"") </f>
        <v/>
      </c>
      <c r="M1037" s="28">
        <f>IFERROR(IF(OR(J1037=0,K1037=""),"",IF(E1037="Positivo",MAX(K1037/J1037,0),MAX(J1037/K1037,0))),"") </f>
        <v/>
      </c>
      <c r="N1037" s="5" t="inlineStr">
        <is>
          <t>tCO2e</t>
        </is>
      </c>
      <c r="O1037" s="5" t="inlineStr">
        <is>
          <t>tCO2e</t>
        </is>
      </c>
      <c r="P1037" s="16" t="n">
        <v>1</v>
      </c>
      <c r="Q1037" s="16" t="n">
        <v>1</v>
      </c>
      <c r="R1037" s="5" t="inlineStr">
        <is>
          <t>228-2023-12-31</t>
        </is>
      </c>
    </row>
    <row r="1038">
      <c r="A1038" s="5" t="n">
        <v>228</v>
      </c>
      <c r="B1038" s="5" t="inlineStr">
        <is>
          <t>Compensación de Gases de Efecto Invernadero</t>
        </is>
      </c>
      <c r="C1038" s="5" t="inlineStr">
        <is>
          <t>GESTIÓN AMBIENTAL</t>
        </is>
      </c>
      <c r="D1038" s="5" t="inlineStr">
        <is>
          <t>Anual</t>
        </is>
      </c>
      <c r="E1038" s="5" t="inlineStr">
        <is>
          <t>Positivo</t>
        </is>
      </c>
      <c r="F1038" s="144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119" t="n">
        <v>100</v>
      </c>
      <c r="K1038" s="123" t="n">
        <v>3531.11</v>
      </c>
      <c r="L1038" s="28">
        <f>IFERROR(IF(OR(J1038=0,K1038=""),"",IF(E1038="Positivo",MIN(MAX(K1038/J1038,0),1.3),MIN(MAX(J1038/K1038,0),1.3))),"") </f>
        <v/>
      </c>
      <c r="M1038" s="28">
        <f>IFERROR(IF(OR(J1038=0,K1038=""),"",IF(E1038="Positivo",MAX(K1038/J1038,0),MAX(J1038/K1038,0))),"") </f>
        <v/>
      </c>
      <c r="N1038" s="5" t="inlineStr">
        <is>
          <t>tCO2e</t>
        </is>
      </c>
      <c r="O1038" s="5" t="inlineStr">
        <is>
          <t>tCO2e</t>
        </is>
      </c>
      <c r="P1038" s="5" t="n">
        <v>1</v>
      </c>
      <c r="Q1038" s="5" t="n">
        <v>1</v>
      </c>
      <c r="R1038" s="5" t="inlineStr">
        <is>
          <t>228-2024-12-31</t>
        </is>
      </c>
    </row>
    <row r="1039">
      <c r="A1039" s="26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Semestral</t>
        </is>
      </c>
      <c r="E1039" s="5" t="inlineStr">
        <is>
          <t>Positivo</t>
        </is>
      </c>
      <c r="F1039" s="144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119" t="n">
        <v>90</v>
      </c>
      <c r="K1039" s="123" t="n">
        <v>100</v>
      </c>
      <c r="L1039" s="28">
        <f>IFERROR(IF(OR(J1039=0,K1039=""),"",IF(E1039="Positivo",MIN(MAX(K1039/J1039,0),1.3),MIN(MAX(J1039/K1039,0),1.3))),"") </f>
        <v/>
      </c>
      <c r="M1039" s="28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16" t="n">
        <v>0</v>
      </c>
      <c r="Q1039" s="16" t="n">
        <v>0</v>
      </c>
      <c r="R1039" s="5" t="inlineStr">
        <is>
          <t>230-2023-06-30</t>
        </is>
      </c>
    </row>
    <row r="1040">
      <c r="A1040" s="26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Trimestral</t>
        </is>
      </c>
      <c r="E1040" s="5" t="inlineStr">
        <is>
          <t>Positivo</t>
        </is>
      </c>
      <c r="F1040" s="143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90</v>
      </c>
      <c r="K1040" s="123" t="n">
        <v>100</v>
      </c>
      <c r="L1040" s="28">
        <f>IFERROR(IF(OR(J1040=0,K1040=""),"",IF(E1040="Positivo",MIN(MAX(K1040/J1040,0),1.3),MIN(MAX(J1040/K1040,0),1.3))),"") </f>
        <v/>
      </c>
      <c r="M1040" s="28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16" t="n">
        <v>0</v>
      </c>
      <c r="Q1040" s="16" t="n">
        <v>0</v>
      </c>
      <c r="R1040" s="5" t="inlineStr">
        <is>
          <t>230-2023-12-31</t>
        </is>
      </c>
    </row>
    <row r="1041">
      <c r="A1041" s="39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144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90</v>
      </c>
      <c r="K1041" s="123" t="n">
        <v>100</v>
      </c>
      <c r="L1041" s="28">
        <f>IFERROR(IF(OR(J1041=0,K1041=""),"",IF(E1041="Positivo",MIN(MAX(K1041/J1041,0),1.3),MIN(MAX(J1041/K1041,0),1.3))),"") </f>
        <v/>
      </c>
      <c r="M1041" s="28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16" t="n">
        <v>0</v>
      </c>
      <c r="Q1041" s="16" t="n">
        <v>0</v>
      </c>
      <c r="R1041" s="5" t="inlineStr">
        <is>
          <t>230-2024-06-30</t>
        </is>
      </c>
    </row>
    <row r="1042">
      <c r="A1042" s="5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Semestral</t>
        </is>
      </c>
      <c r="E1042" s="5" t="inlineStr">
        <is>
          <t>Positivo</t>
        </is>
      </c>
      <c r="F1042" s="144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>
        <v>90</v>
      </c>
      <c r="K1042" s="5" t="n">
        <v>100</v>
      </c>
      <c r="L1042" s="28">
        <f>IFERROR(IF(OR(J1042=0,K1042=""),"",IF(E1042="Positivo",MIN(MAX(K1042/J1042,0),1.3),MIN(MAX(J1042/K1042,0),1.3))),"") </f>
        <v/>
      </c>
      <c r="M1042" s="28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230-2024-12-31</t>
        </is>
      </c>
    </row>
    <row r="1043">
      <c r="A1043" s="26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144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>
        <v>90</v>
      </c>
      <c r="K1043" s="10" t="n">
        <v>96.77</v>
      </c>
      <c r="L1043" s="28">
        <f>IFERROR(IF(OR(J1043=0,K1043=""),"",IF(E1043="Positivo",MIN(MAX(K1043/J1043,0),1.3),MIN(MAX(J1043/K1043,0),1.3))),"") </f>
        <v/>
      </c>
      <c r="M1043" s="28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16" t="n">
        <v>0</v>
      </c>
      <c r="Q1043" s="16" t="n">
        <v>0</v>
      </c>
      <c r="R1043" s="5" t="inlineStr">
        <is>
          <t>230-2025-06-30</t>
        </is>
      </c>
    </row>
    <row r="1044">
      <c r="A1044" s="39" t="n">
        <v>230</v>
      </c>
      <c r="B1044" s="5" t="inlineStr">
        <is>
          <t>Ejecución de Eventos de Formación en Materia Ambiental</t>
        </is>
      </c>
      <c r="C1044" s="5" t="inlineStr">
        <is>
          <t>GESTIÓN AMBIENTAL</t>
        </is>
      </c>
      <c r="D1044" s="5" t="inlineStr">
        <is>
          <t>Trimestral</t>
        </is>
      </c>
      <c r="E1044" s="5" t="inlineStr">
        <is>
          <t>Positivo</t>
        </is>
      </c>
      <c r="F1044" s="144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90</v>
      </c>
      <c r="K1044" s="123" t="n">
        <v>96.72</v>
      </c>
      <c r="L1044" s="28">
        <f>IFERROR(IF(OR(J1044=0,K1044=""),"",IF(E1044="Positivo",MIN(MAX(K1044/J1044,0),1.3),MIN(MAX(J1044/K1044,0),1.3))),"") </f>
        <v/>
      </c>
      <c r="M1044" s="28">
        <f>IFERROR(IF(OR(J1044=0,K1044=""),"",IF(E1044="Positivo",MAX(K1044/J1044,0),MAX(J1044/K1044,0))),"") </f>
        <v/>
      </c>
      <c r="N1044" s="5" t="inlineStr">
        <is>
          <t>%</t>
        </is>
      </c>
      <c r="O1044" s="20" t="inlineStr">
        <is>
          <t>%</t>
        </is>
      </c>
      <c r="P1044" s="16" t="n">
        <v>0</v>
      </c>
      <c r="Q1044" s="16" t="n">
        <v>0</v>
      </c>
      <c r="R1044" s="5" t="inlineStr">
        <is>
          <t>230-2025-12-31</t>
        </is>
      </c>
    </row>
    <row r="1045">
      <c r="A1045" s="39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Semestral</t>
        </is>
      </c>
      <c r="E1045" s="5" t="inlineStr">
        <is>
          <t>Positivo</t>
        </is>
      </c>
      <c r="F1045" s="144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35</v>
      </c>
      <c r="K1045" s="123" t="n">
        <v>40.58</v>
      </c>
      <c r="L1045" s="28">
        <f>IFERROR(IF(OR(J1045=0,K1045=""),"",IF(E1045="Positivo",MIN(MAX(K1045/J1045,0),1.3),MIN(MAX(J1045/K1045,0),1.3))),"") </f>
        <v/>
      </c>
      <c r="M1045" s="28">
        <f>IFERROR(IF(OR(J1045=0,K1045=""),"",IF(E1045="Positivo",MAX(K1045/J1045,0),MAX(J1045/K1045,0))),"") </f>
        <v/>
      </c>
      <c r="N1045" s="5" t="inlineStr">
        <is>
          <t>%</t>
        </is>
      </c>
      <c r="O1045" s="20" t="inlineStr">
        <is>
          <t>%</t>
        </is>
      </c>
      <c r="P1045" s="16" t="n">
        <v>0</v>
      </c>
      <c r="Q1045" s="16" t="n">
        <v>0</v>
      </c>
      <c r="R1045" s="5" t="inlineStr">
        <is>
          <t>231-2023-06-30</t>
        </is>
      </c>
    </row>
    <row r="1046">
      <c r="A1046" s="26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Trimestral</t>
        </is>
      </c>
      <c r="E1046" s="5" t="inlineStr">
        <is>
          <t>Positivo</t>
        </is>
      </c>
      <c r="F1046" s="144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35</v>
      </c>
      <c r="K1046" s="10" t="n">
        <v>96.44</v>
      </c>
      <c r="L1046" s="28">
        <f>IFERROR(IF(OR(J1046=0,K1046=""),"",IF(E1046="Positivo",MIN(MAX(K1046/J1046,0),1.3),MIN(MAX(J1046/K1046,0),1.3))),"") </f>
        <v/>
      </c>
      <c r="M1046" s="28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6" t="n">
        <v>0</v>
      </c>
      <c r="Q1046" s="16" t="n">
        <v>0</v>
      </c>
      <c r="R1046" s="5" t="inlineStr">
        <is>
          <t>231-2023-12-31</t>
        </is>
      </c>
    </row>
    <row r="1047">
      <c r="A1047" s="26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144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35</v>
      </c>
      <c r="K1047" s="123" t="n">
        <v>96.75</v>
      </c>
      <c r="L1047" s="28">
        <f>IFERROR(IF(OR(J1047=0,K1047=""),"",IF(E1047="Positivo",MIN(MAX(K1047/J1047,0),1.3),MIN(MAX(J1047/K1047,0),1.3))),"") </f>
        <v/>
      </c>
      <c r="M1047" s="28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6" t="n">
        <v>0</v>
      </c>
      <c r="Q1047" s="16" t="n">
        <v>0</v>
      </c>
      <c r="R1047" s="5" t="inlineStr">
        <is>
          <t>231-2024-06-30</t>
        </is>
      </c>
    </row>
    <row r="1048">
      <c r="A1048" s="26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Semestral</t>
        </is>
      </c>
      <c r="E1048" s="5" t="inlineStr">
        <is>
          <t>Positivo</t>
        </is>
      </c>
      <c r="F1048" s="144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35</v>
      </c>
      <c r="K1048" s="123" t="n">
        <v>104.19</v>
      </c>
      <c r="L1048" s="28">
        <f>IFERROR(IF(OR(J1048=0,K1048=""),"",IF(E1048="Positivo",MIN(MAX(K1048/J1048,0),1.3),MIN(MAX(J1048/K1048,0),1.3))),"") </f>
        <v/>
      </c>
      <c r="M1048" s="28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16" t="n">
        <v>0</v>
      </c>
      <c r="Q1048" s="16" t="n">
        <v>0</v>
      </c>
      <c r="R1048" s="5" t="inlineStr">
        <is>
          <t>231-2024-12-31</t>
        </is>
      </c>
    </row>
    <row r="1049">
      <c r="A1049" s="43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144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35</v>
      </c>
      <c r="K1049" s="123" t="n">
        <v>570.89</v>
      </c>
      <c r="L1049" s="28">
        <f>IFERROR(IF(OR(J1049=0,K1049=""),"",IF(E1049="Positivo",MIN(MAX(K1049/J1049,0),1.3),MIN(MAX(J1049/K1049,0),1.3))),"") </f>
        <v/>
      </c>
      <c r="M1049" s="28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16" t="n">
        <v>0</v>
      </c>
      <c r="Q1049" s="16" t="n">
        <v>0</v>
      </c>
      <c r="R1049" s="5" t="inlineStr">
        <is>
          <t>231-2025-06-30</t>
        </is>
      </c>
    </row>
    <row r="1050">
      <c r="A1050" s="39" t="n">
        <v>231</v>
      </c>
      <c r="B1050" s="5" t="inlineStr">
        <is>
          <t>Asistencia Eventos de Formación en Materia Ambiental</t>
        </is>
      </c>
      <c r="C1050" s="5" t="inlineStr">
        <is>
          <t>GESTIÓN AMBIENTAL</t>
        </is>
      </c>
      <c r="D1050" s="5" t="inlineStr">
        <is>
          <t>Trimestral</t>
        </is>
      </c>
      <c r="E1050" s="5" t="inlineStr">
        <is>
          <t>Positivo</t>
        </is>
      </c>
      <c r="F1050" s="144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35</v>
      </c>
      <c r="K1050" s="123" t="n">
        <v>7277.98</v>
      </c>
      <c r="L1050" s="28">
        <f>IFERROR(IF(OR(J1050=0,K1050=""),"",IF(E1050="Positivo",MIN(MAX(K1050/J1050,0),1.3),MIN(MAX(J1050/K1050,0),1.3))),"") </f>
        <v/>
      </c>
      <c r="M1050" s="28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16" t="n">
        <v>0</v>
      </c>
      <c r="Q1050" s="16" t="n">
        <v>0</v>
      </c>
      <c r="R1050" s="5" t="inlineStr">
        <is>
          <t>231-2025-12-31</t>
        </is>
      </c>
    </row>
    <row r="1051">
      <c r="A1051" s="26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Semestral</t>
        </is>
      </c>
      <c r="E1051" s="5" t="inlineStr">
        <is>
          <t>Positivo</t>
        </is>
      </c>
      <c r="F1051" s="144" t="n">
        <v>45107</v>
      </c>
      <c r="G1051" s="5" t="n">
        <v>2023</v>
      </c>
      <c r="H1051" s="5" t="inlineStr">
        <is>
          <t>Junio</t>
        </is>
      </c>
      <c r="I1051" s="6" t="inlineStr">
        <is>
          <t>2023-1</t>
        </is>
      </c>
      <c r="J1051" s="5" t="n">
        <v>90</v>
      </c>
      <c r="K1051" s="10" t="n">
        <v>100</v>
      </c>
      <c r="L1051" s="28">
        <f>IFERROR(IF(OR(J1051=0,K1051=""),"",IF(E1051="Positivo",MIN(MAX(K1051/J1051,0),1.3),MIN(MAX(J1051/K1051,0),1.3))),"") </f>
        <v/>
      </c>
      <c r="M1051" s="28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16" t="n">
        <v>0</v>
      </c>
      <c r="Q1051" s="16" t="n">
        <v>0</v>
      </c>
      <c r="R1051" s="5" t="inlineStr">
        <is>
          <t>232-2023-06-30</t>
        </is>
      </c>
    </row>
    <row r="1052">
      <c r="A1052" s="5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Trimestral</t>
        </is>
      </c>
      <c r="E1052" s="5" t="inlineStr">
        <is>
          <t>Positivo</t>
        </is>
      </c>
      <c r="F1052" s="144" t="n">
        <v>45291</v>
      </c>
      <c r="G1052" s="5" t="n">
        <v>2023</v>
      </c>
      <c r="H1052" s="5" t="inlineStr">
        <is>
          <t>Diciembre</t>
        </is>
      </c>
      <c r="I1052" s="6" t="inlineStr">
        <is>
          <t>2023-2</t>
        </is>
      </c>
      <c r="J1052" s="5" t="n">
        <v>90</v>
      </c>
      <c r="K1052" s="5" t="n">
        <v>91.3</v>
      </c>
      <c r="L1052" s="28">
        <f>IFERROR(IF(OR(J1052=0,K1052=""),"",IF(E1052="Positivo",MIN(MAX(K1052/J1052,0),1.3),MIN(MAX(J1052/K1052,0),1.3))),"") </f>
        <v/>
      </c>
      <c r="M1052" s="28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232-2023-12-31</t>
        </is>
      </c>
    </row>
    <row r="1053">
      <c r="A1053" s="26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144" t="n">
        <v>45473</v>
      </c>
      <c r="G1053" s="5" t="n">
        <v>2024</v>
      </c>
      <c r="H1053" s="5" t="inlineStr">
        <is>
          <t>Junio</t>
        </is>
      </c>
      <c r="I1053" s="6" t="inlineStr">
        <is>
          <t>2024-1</t>
        </is>
      </c>
      <c r="J1053" s="5" t="n">
        <v>90</v>
      </c>
      <c r="K1053" s="10" t="n">
        <v>95.45</v>
      </c>
      <c r="L1053" s="28">
        <f>IFERROR(IF(OR(J1053=0,K1053=""),"",IF(E1053="Positivo",MIN(MAX(K1053/J1053,0),1.3),MIN(MAX(J1053/K1053,0),1.3))),"") </f>
        <v/>
      </c>
      <c r="M1053" s="28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16" t="n">
        <v>0</v>
      </c>
      <c r="Q1053" s="16" t="n">
        <v>0</v>
      </c>
      <c r="R1053" s="5" t="inlineStr">
        <is>
          <t>232-2024-06-30</t>
        </is>
      </c>
    </row>
    <row r="1054">
      <c r="A1054" s="26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Semestral</t>
        </is>
      </c>
      <c r="E1054" s="5" t="inlineStr">
        <is>
          <t>Positivo</t>
        </is>
      </c>
      <c r="F1054" s="144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90</v>
      </c>
      <c r="K1054" s="10" t="n">
        <v>100</v>
      </c>
      <c r="L1054" s="28">
        <f>IFERROR(IF(OR(J1054=0,K1054=""),"",IF(E1054="Positivo",MIN(MAX(K1054/J1054,0),1.3),MIN(MAX(J1054/K1054,0),1.3))),"") </f>
        <v/>
      </c>
      <c r="M1054" s="28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16" t="n">
        <v>0</v>
      </c>
      <c r="Q1054" s="16" t="n">
        <v>0</v>
      </c>
      <c r="R1054" s="5" t="inlineStr">
        <is>
          <t>232-2024-12-31</t>
        </is>
      </c>
    </row>
    <row r="1055">
      <c r="A1055" s="26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144" t="n">
        <v>45838</v>
      </c>
      <c r="G1055" s="5" t="n">
        <v>2025</v>
      </c>
      <c r="H1055" s="5" t="inlineStr">
        <is>
          <t>Junio</t>
        </is>
      </c>
      <c r="I1055" s="6" t="inlineStr">
        <is>
          <t>2025-1</t>
        </is>
      </c>
      <c r="J1055" s="5" t="n">
        <v>90</v>
      </c>
      <c r="K1055" s="123" t="n">
        <v>85.70999999999999</v>
      </c>
      <c r="L1055" s="28">
        <f>IFERROR(IF(OR(J1055=0,K1055=""),"",IF(E1055="Positivo",MIN(MAX(K1055/J1055,0),1.3),MIN(MAX(J1055/K1055,0),1.3))),"") </f>
        <v/>
      </c>
      <c r="M1055" s="28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16" t="n">
        <v>0</v>
      </c>
      <c r="Q1055" s="16" t="n">
        <v>0</v>
      </c>
      <c r="R1055" s="5" t="inlineStr">
        <is>
          <t>232-2025-06-30</t>
        </is>
      </c>
    </row>
    <row r="1056">
      <c r="A1056" s="26" t="n">
        <v>232</v>
      </c>
      <c r="B1056" s="5" t="inlineStr">
        <is>
          <t>Ejecución de las Comunicaciones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44" t="n">
        <v>46022</v>
      </c>
      <c r="G1056" s="5" t="n">
        <v>2025</v>
      </c>
      <c r="H1056" s="5" t="inlineStr">
        <is>
          <t>Diciembre</t>
        </is>
      </c>
      <c r="I1056" s="6" t="inlineStr">
        <is>
          <t>2025-2</t>
        </is>
      </c>
      <c r="J1056" s="5" t="n">
        <v>90</v>
      </c>
      <c r="K1056" s="123" t="n">
        <v>80.84999999999999</v>
      </c>
      <c r="L1056" s="28">
        <f>IFERROR(IF(OR(J1056=0,K1056=""),"",IF(E1056="Positivo",MIN(MAX(K1056/J1056,0),1.3),MIN(MAX(J1056/K1056,0),1.3))),"") </f>
        <v/>
      </c>
      <c r="M1056" s="28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6" t="n">
        <v>0</v>
      </c>
      <c r="Q1056" s="16" t="n">
        <v>0</v>
      </c>
      <c r="R1056" s="5" t="inlineStr">
        <is>
          <t>232-2025-12-31</t>
        </is>
      </c>
    </row>
    <row r="1057">
      <c r="A1057" s="43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44" t="n">
        <v>45016</v>
      </c>
      <c r="G1057" s="5" t="n">
        <v>2023</v>
      </c>
      <c r="H1057" s="5" t="inlineStr">
        <is>
          <t>Marzo</t>
        </is>
      </c>
      <c r="I1057" s="6" t="inlineStr">
        <is>
          <t>2023-1</t>
        </is>
      </c>
      <c r="J1057" s="5" t="n">
        <v>20</v>
      </c>
      <c r="K1057" s="123" t="n">
        <v>64.36781609195403</v>
      </c>
      <c r="L1057" s="28">
        <f>IFERROR(IF(OR(J1057=0,K1057=""),"",IF(E1057="Positivo",MIN(MAX(K1057/J1057,0),1.3),MIN(MAX(J1057/K1057,0),1.3))),"") </f>
        <v/>
      </c>
      <c r="M1057" s="28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16" t="n">
        <v>0</v>
      </c>
      <c r="Q1057" s="16" t="n">
        <v>0</v>
      </c>
      <c r="R1057" s="5" t="inlineStr">
        <is>
          <t>233-2023-03-31</t>
        </is>
      </c>
    </row>
    <row r="1058">
      <c r="A1058" s="39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Trimestral</t>
        </is>
      </c>
      <c r="E1058" s="5" t="inlineStr">
        <is>
          <t>Positivo</t>
        </is>
      </c>
      <c r="F1058" s="144" t="n">
        <v>45107</v>
      </c>
      <c r="G1058" s="5" t="n">
        <v>2023</v>
      </c>
      <c r="H1058" s="5" t="inlineStr">
        <is>
          <t>Junio</t>
        </is>
      </c>
      <c r="I1058" s="6" t="inlineStr">
        <is>
          <t>2023-1</t>
        </is>
      </c>
      <c r="J1058" s="5" t="n">
        <v>20</v>
      </c>
      <c r="K1058" s="123" t="n">
        <v>27.60583259715072</v>
      </c>
      <c r="L1058" s="28">
        <f>IFERROR(IF(OR(J1058=0,K1058=""),"",IF(E1058="Positivo",MIN(MAX(K1058/J1058,0),1.3),MIN(MAX(J1058/K1058,0),1.3))),"") </f>
        <v/>
      </c>
      <c r="M1058" s="28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6" t="n">
        <v>1</v>
      </c>
      <c r="Q1058" s="16" t="n">
        <v>1</v>
      </c>
      <c r="R1058" s="5" t="inlineStr">
        <is>
          <t>233-2023-06-30</t>
        </is>
      </c>
    </row>
    <row r="1059">
      <c r="A1059" s="26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44" t="n">
        <v>45199</v>
      </c>
      <c r="G1059" s="5" t="n">
        <v>2023</v>
      </c>
      <c r="H1059" s="5" t="inlineStr">
        <is>
          <t>Septiembre</t>
        </is>
      </c>
      <c r="I1059" s="6" t="inlineStr">
        <is>
          <t>2023-2</t>
        </is>
      </c>
      <c r="J1059" s="5" t="n">
        <v>20</v>
      </c>
      <c r="K1059" s="10" t="n">
        <v>27.41037918985376</v>
      </c>
      <c r="L1059" s="28">
        <f>IFERROR(IF(OR(J1059=0,K1059=""),"",IF(E1059="Positivo",MIN(MAX(K1059/J1059,0),1.3),MIN(MAX(J1059/K1059,0),1.3))),"") </f>
        <v/>
      </c>
      <c r="M1059" s="28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16" t="n">
        <v>0</v>
      </c>
      <c r="Q1059" s="16" t="n">
        <v>0</v>
      </c>
      <c r="R1059" s="5" t="inlineStr">
        <is>
          <t>233-2023-09-30</t>
        </is>
      </c>
    </row>
    <row r="1060">
      <c r="A1060" s="5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Semestral</t>
        </is>
      </c>
      <c r="E1060" s="5" t="inlineStr">
        <is>
          <t>Positivo</t>
        </is>
      </c>
      <c r="F1060" s="144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20</v>
      </c>
      <c r="K1060" s="5" t="n">
        <v>9.628275441803778</v>
      </c>
      <c r="L1060" s="28">
        <f>IFERROR(IF(OR(J1060=0,K1060=""),"",IF(E1060="Positivo",MIN(MAX(K1060/J1060,0),1.3),MIN(MAX(J1060/K1060,0),1.3))),"") </f>
        <v/>
      </c>
      <c r="M1060" s="28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233-2023-12-31</t>
        </is>
      </c>
    </row>
    <row r="1061">
      <c r="A1061" s="26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44" t="n">
        <v>45382</v>
      </c>
      <c r="G1061" s="5" t="n">
        <v>2024</v>
      </c>
      <c r="H1061" s="5" t="inlineStr">
        <is>
          <t>Marzo</t>
        </is>
      </c>
      <c r="I1061" s="6" t="inlineStr">
        <is>
          <t>2024-1</t>
        </is>
      </c>
      <c r="J1061" s="5" t="n">
        <v>20</v>
      </c>
      <c r="K1061" s="10" t="n">
        <v>48.35069444444444</v>
      </c>
      <c r="L1061" s="28">
        <f>IFERROR(IF(OR(J1061=0,K1061=""),"",IF(E1061="Positivo",MIN(MAX(K1061/J1061,0),1.3),MIN(MAX(J1061/K1061,0),1.3))),"") </f>
        <v/>
      </c>
      <c r="M1061" s="28">
        <f>IFERROR(IF(OR(J1061=0,K1061=""),"",IF(E1061="Positivo",MAX(K1061/J1061,0),MAX(J1061/K1061,0))),"") </f>
        <v/>
      </c>
      <c r="N1061" s="5" t="n"/>
      <c r="O1061" s="5" t="n"/>
      <c r="P1061" s="16" t="n">
        <v>0</v>
      </c>
      <c r="Q1061" s="16" t="n">
        <v>0</v>
      </c>
      <c r="R1061" s="5" t="inlineStr">
        <is>
          <t>233-2024-03-31</t>
        </is>
      </c>
    </row>
    <row r="1062">
      <c r="A1062" s="26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44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20</v>
      </c>
      <c r="K1062" s="10" t="n">
        <v>18.56653706346807</v>
      </c>
      <c r="L1062" s="28">
        <f>IFERROR(IF(OR(J1062=0,K1062=""),"",IF(E1062="Positivo",MIN(MAX(K1062/J1062,0),1.3),MIN(MAX(J1062/K1062,0),1.3))),"") </f>
        <v/>
      </c>
      <c r="M1062" s="28">
        <f>IFERROR(IF(OR(J1062=0,K1062=""),"",IF(E1062="Positivo",MAX(K1062/J1062,0),MAX(J1062/K1062,0))),"") </f>
        <v/>
      </c>
      <c r="N1062" s="5" t="n"/>
      <c r="O1062" s="5" t="n"/>
      <c r="P1062" s="16" t="n">
        <v>0</v>
      </c>
      <c r="Q1062" s="16" t="n">
        <v>0</v>
      </c>
      <c r="R1062" s="5" t="inlineStr">
        <is>
          <t>233-2024-06-30</t>
        </is>
      </c>
    </row>
    <row r="1063">
      <c r="A1063" s="26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44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20</v>
      </c>
      <c r="K1063" s="125" t="n">
        <v>31.82123655913979</v>
      </c>
      <c r="L1063" s="28">
        <f>IFERROR(IF(OR(J1063=0,K1063=""),"",IF(E1063="Positivo",MIN(MAX(K1063/J1063,0),1.3),MIN(MAX(J1063/K1063,0),1.3))),"") </f>
        <v/>
      </c>
      <c r="M1063" s="28">
        <f>IFERROR(IF(OR(J1063=0,K1063=""),"",IF(E1063="Positivo",MAX(K1063/J1063,0),MAX(J1063/K1063,0))),"") </f>
        <v/>
      </c>
      <c r="N1063" s="5" t="n"/>
      <c r="O1063" s="5" t="n"/>
      <c r="P1063" s="16" t="n">
        <v>0</v>
      </c>
      <c r="Q1063" s="16" t="n">
        <v>0</v>
      </c>
      <c r="R1063" s="5" t="inlineStr">
        <is>
          <t>233-2024-12-31</t>
        </is>
      </c>
    </row>
    <row r="1064">
      <c r="A1064" s="26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44" t="n">
        <v>45747</v>
      </c>
      <c r="G1064" s="5" t="n">
        <v>2025</v>
      </c>
      <c r="H1064" s="5" t="inlineStr">
        <is>
          <t>Marzo</t>
        </is>
      </c>
      <c r="I1064" s="6" t="inlineStr">
        <is>
          <t>2025-1</t>
        </is>
      </c>
      <c r="J1064" s="5" t="n">
        <v>20</v>
      </c>
      <c r="K1064" s="125" t="n">
        <v>32.86</v>
      </c>
      <c r="L1064" s="28">
        <f>IFERROR(IF(OR(J1064=0,K1064=""),"",IF(E1064="Positivo",MIN(MAX(K1064/J1064,0),1.3),MIN(MAX(J1064/K1064,0),1.3))),"") </f>
        <v/>
      </c>
      <c r="M1064" s="28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6" t="n">
        <v>0</v>
      </c>
      <c r="Q1064" s="16" t="n">
        <v>0</v>
      </c>
      <c r="R1064" s="5" t="inlineStr">
        <is>
          <t>233-2025-03-31</t>
        </is>
      </c>
    </row>
    <row r="1065">
      <c r="A1065" s="43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44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20</v>
      </c>
      <c r="K1065" s="125" t="n">
        <v>11.77</v>
      </c>
      <c r="L1065" s="28">
        <f>IFERROR(IF(OR(J1065=0,K1065=""),"",IF(E1065="Positivo",MIN(MAX(K1065/J1065,0),1.3),MIN(MAX(J1065/K1065,0),1.3))),"") </f>
        <v/>
      </c>
      <c r="M1065" s="28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16" t="n">
        <v>0</v>
      </c>
      <c r="Q1065" s="16" t="n">
        <v>0</v>
      </c>
      <c r="R1065" s="5" t="inlineStr">
        <is>
          <t>233-2025-06-30</t>
        </is>
      </c>
    </row>
    <row r="1066">
      <c r="A1066" s="39" t="n">
        <v>233</v>
      </c>
      <c r="B1066" s="5" t="inlineStr">
        <is>
          <t>Impacto de las Comunicaciones Correo Electrónico</t>
        </is>
      </c>
      <c r="C1066" s="5" t="inlineStr">
        <is>
          <t>GESTIÓN AMBIENTAL</t>
        </is>
      </c>
      <c r="D1066" s="5" t="inlineStr">
        <is>
          <t>Semestral</t>
        </is>
      </c>
      <c r="E1066" s="5" t="inlineStr">
        <is>
          <t>Positivo</t>
        </is>
      </c>
      <c r="F1066" s="144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5" t="n">
        <v>20</v>
      </c>
      <c r="K1066" s="125" t="n"/>
      <c r="L1066" s="28" t="n"/>
      <c r="M1066" s="8" t="n"/>
      <c r="N1066" s="5" t="inlineStr">
        <is>
          <t>%</t>
        </is>
      </c>
      <c r="O1066" s="5" t="inlineStr">
        <is>
          <t>No Aplica</t>
        </is>
      </c>
      <c r="P1066" s="16" t="n">
        <v>0</v>
      </c>
      <c r="Q1066" s="16" t="n">
        <v>0</v>
      </c>
      <c r="R1066" s="5" t="inlineStr">
        <is>
          <t>233-2025-12-31</t>
        </is>
      </c>
      <c r="S1066" t="inlineStr">
        <is>
          <t>No Aplica</t>
        </is>
      </c>
    </row>
    <row r="1067">
      <c r="A1067" s="26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44" t="n">
        <v>45016</v>
      </c>
      <c r="G1067" s="5" t="n">
        <v>2023</v>
      </c>
      <c r="H1067" s="5" t="inlineStr">
        <is>
          <t>Marzo</t>
        </is>
      </c>
      <c r="I1067" s="6" t="inlineStr">
        <is>
          <t>2023-1</t>
        </is>
      </c>
      <c r="J1067" s="5" t="n">
        <v>4000</v>
      </c>
      <c r="K1067" s="10" t="n">
        <v>3692.25</v>
      </c>
      <c r="L1067" s="28">
        <f>IFERROR(IF(OR(J1067=0,K1067=""),"",IF(E1067="Positivo",MIN(MAX(K1067/J1067,0),1.3),MIN(MAX(J1067/K1067,0),1.3))),"") </f>
        <v/>
      </c>
      <c r="M1067" s="28">
        <f>IFERROR(IF(OR(J1067=0,K1067=""),"",IF(E1067="Positivo",MAX(K1067/J1067,0),MAX(J1067/K1067,0))),"") </f>
        <v/>
      </c>
      <c r="N1067" s="5" t="n"/>
      <c r="O1067" s="5" t="n"/>
      <c r="P1067" s="16" t="n">
        <v>0</v>
      </c>
      <c r="Q1067" s="16" t="n">
        <v>0</v>
      </c>
      <c r="R1067" s="5" t="inlineStr">
        <is>
          <t>234-2023-03-31</t>
        </is>
      </c>
    </row>
    <row r="1068">
      <c r="A1068" s="5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44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4000</v>
      </c>
      <c r="K1068" s="5" t="n">
        <v>6843.5</v>
      </c>
      <c r="L1068" s="28">
        <f>IFERROR(IF(OR(J1068=0,K1068=""),"",IF(E1068="Positivo",MIN(MAX(K1068/J1068,0),1.3),MIN(MAX(J1068/K1068,0),1.3))),"") </f>
        <v/>
      </c>
      <c r="M1068" s="28">
        <f>IFERROR(IF(OR(J1068=0,K1068=""),"",IF(E1068="Positivo",MAX(K1068/J1068,0),MAX(J1068/K1068,0))),"") </f>
        <v/>
      </c>
      <c r="N1068" s="5" t="n"/>
      <c r="O1068" s="5" t="n"/>
      <c r="P1068" s="16" t="n">
        <v>0</v>
      </c>
      <c r="Q1068" s="5" t="n">
        <v>0</v>
      </c>
      <c r="R1068" s="5" t="inlineStr">
        <is>
          <t>234-2023-06-30</t>
        </is>
      </c>
    </row>
    <row r="1069">
      <c r="A1069" s="26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44" t="n">
        <v>45199</v>
      </c>
      <c r="G1069" s="5" t="n">
        <v>2023</v>
      </c>
      <c r="H1069" s="5" t="inlineStr">
        <is>
          <t>Septiembre</t>
        </is>
      </c>
      <c r="I1069" s="6" t="inlineStr">
        <is>
          <t>2023-2</t>
        </is>
      </c>
      <c r="J1069" s="5" t="n">
        <v>4000</v>
      </c>
      <c r="K1069" s="10" t="n">
        <v>10713.75</v>
      </c>
      <c r="L1069" s="28">
        <f>IFERROR(IF(OR(J1069=0,K1069=""),"",IF(E1069="Positivo",MIN(MAX(K1069/J1069,0),1.3),MIN(MAX(J1069/K1069,0),1.3))),"") </f>
        <v/>
      </c>
      <c r="M1069" s="28">
        <f>IFERROR(IF(OR(J1069=0,K1069=""),"",IF(E1069="Positivo",MAX(K1069/J1069,0),MAX(J1069/K1069,0))),"") </f>
        <v/>
      </c>
      <c r="N1069" s="5" t="inlineStr">
        <is>
          <t>ENT</t>
        </is>
      </c>
      <c r="O1069" s="5" t="inlineStr">
        <is>
          <t>ENT</t>
        </is>
      </c>
      <c r="P1069" s="16" t="n">
        <v>0</v>
      </c>
      <c r="Q1069" s="16" t="n">
        <v>0</v>
      </c>
      <c r="R1069" s="5" t="inlineStr">
        <is>
          <t>234-2023-09-30</t>
        </is>
      </c>
    </row>
    <row r="1070">
      <c r="A1070" s="26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44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4000</v>
      </c>
      <c r="K1070" s="10" t="n">
        <v>5893.5</v>
      </c>
      <c r="L1070" s="28">
        <f>IFERROR(IF(OR(J1070=0,K1070=""),"",IF(E1070="Positivo",MIN(MAX(K1070/J1070,0),1.3),MIN(MAX(J1070/K1070,0),1.3))),"") </f>
        <v/>
      </c>
      <c r="M1070" s="28">
        <f>IFERROR(IF(OR(J1070=0,K1070=""),"",IF(E1070="Positivo",MAX(K1070/J1070,0),MAX(J1070/K1070,0))),"") </f>
        <v/>
      </c>
      <c r="N1070" s="5" t="inlineStr">
        <is>
          <t>ENT</t>
        </is>
      </c>
      <c r="O1070" s="5" t="inlineStr">
        <is>
          <t>ENT</t>
        </is>
      </c>
      <c r="P1070" s="16" t="n">
        <v>0</v>
      </c>
      <c r="Q1070" s="16" t="n">
        <v>0</v>
      </c>
      <c r="R1070" s="5" t="inlineStr">
        <is>
          <t>234-2023-12-31</t>
        </is>
      </c>
    </row>
    <row r="1071">
      <c r="A1071" s="26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44" t="n">
        <v>45382</v>
      </c>
      <c r="G1071" s="5" t="n">
        <v>2024</v>
      </c>
      <c r="H1071" s="5" t="inlineStr">
        <is>
          <t>Marzo</t>
        </is>
      </c>
      <c r="I1071" s="6" t="inlineStr">
        <is>
          <t>2024-1</t>
        </is>
      </c>
      <c r="J1071" s="5" t="n">
        <v>4000</v>
      </c>
      <c r="K1071" s="124" t="n">
        <v>3234.25</v>
      </c>
      <c r="L1071" s="28">
        <f>IFERROR(IF(OR(J1071=0,K1071=""),"",IF(E1071="Positivo",MIN(MAX(K1071/J1071,0),1.3),MIN(MAX(J1071/K1071,0),1.3))),"") </f>
        <v/>
      </c>
      <c r="M1071" s="28">
        <f>IFERROR(IF(OR(J1071=0,K1071=""),"",IF(E1071="Positivo",MAX(K1071/J1071,0),MAX(J1071/K1071,0))),"") </f>
        <v/>
      </c>
      <c r="N1071" s="5" t="n"/>
      <c r="O1071" s="5" t="n"/>
      <c r="P1071" s="16" t="n">
        <v>0</v>
      </c>
      <c r="Q1071" s="16" t="n">
        <v>0</v>
      </c>
      <c r="R1071" s="5" t="inlineStr">
        <is>
          <t>234-2024-03-31</t>
        </is>
      </c>
    </row>
    <row r="1072">
      <c r="A1072" s="26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44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4000</v>
      </c>
      <c r="K1072" s="124" t="n">
        <v>5453.333333333333</v>
      </c>
      <c r="L1072" s="28">
        <f>IFERROR(IF(OR(J1072=0,K1072=""),"",IF(E1072="Positivo",MIN(MAX(K1072/J1072,0),1.3),MIN(MAX(J1072/K1072,0),1.3))),"") </f>
        <v/>
      </c>
      <c r="M1072" s="28">
        <f>IFERROR(IF(OR(J1072=0,K1072=""),"",IF(E1072="Positivo",MAX(K1072/J1072,0),MAX(J1072/K1072,0))),"") </f>
        <v/>
      </c>
      <c r="N1072" s="5" t="n"/>
      <c r="O1072" s="5" t="n"/>
      <c r="P1072" s="16" t="n">
        <v>0</v>
      </c>
      <c r="Q1072" s="16" t="n">
        <v>0</v>
      </c>
      <c r="R1072" s="5" t="inlineStr">
        <is>
          <t>234-2024-06-30</t>
        </is>
      </c>
    </row>
    <row r="1073">
      <c r="A1073" s="43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44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4000</v>
      </c>
      <c r="K1073" s="124" t="n">
        <v>4218</v>
      </c>
      <c r="L1073" s="28">
        <f>IFERROR(IF(OR(J1073=0,K1073=""),"",IF(E1073="Positivo",MIN(MAX(K1073/J1073,0),1.3),MIN(MAX(J1073/K1073,0),1.3))),"") </f>
        <v/>
      </c>
      <c r="M1073" s="28">
        <f>IFERROR(IF(OR(J1073=0,K1073=""),"",IF(E1073="Positivo",MAX(K1073/J1073,0),MAX(J1073/K1073,0))),"") </f>
        <v/>
      </c>
      <c r="N1073" s="5" t="n"/>
      <c r="O1073" s="5" t="n"/>
      <c r="P1073" s="16" t="n">
        <v>0</v>
      </c>
      <c r="Q1073" s="16" t="n">
        <v>0</v>
      </c>
      <c r="R1073" s="5" t="inlineStr">
        <is>
          <t>234-2024-12-31</t>
        </is>
      </c>
    </row>
    <row r="1074">
      <c r="A1074" s="39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44" t="n">
        <v>45747</v>
      </c>
      <c r="G1074" s="5" t="n">
        <v>2025</v>
      </c>
      <c r="H1074" s="5" t="inlineStr">
        <is>
          <t>Marzo</t>
        </is>
      </c>
      <c r="I1074" s="6" t="inlineStr">
        <is>
          <t>2025-1</t>
        </is>
      </c>
      <c r="J1074" s="5" t="n">
        <v>4000</v>
      </c>
      <c r="K1074" s="124" t="n">
        <v>7112</v>
      </c>
      <c r="L1074" s="28">
        <f>IFERROR(IF(OR(J1074=0,K1074=""),"",IF(E1074="Positivo",MIN(MAX(K1074/J1074,0),1.3),MIN(MAX(J1074/K1074,0),1.3))),"") </f>
        <v/>
      </c>
      <c r="M1074" s="28">
        <f>IFERROR(IF(OR(J1074=0,K1074=""),"",IF(E1074="Positivo",MAX(K1074/J1074,0),MAX(J1074/K1074,0))),"") </f>
        <v/>
      </c>
      <c r="N1074" s="5" t="inlineStr">
        <is>
          <t>ENT</t>
        </is>
      </c>
      <c r="O1074" s="5" t="inlineStr">
        <is>
          <t>ENT</t>
        </is>
      </c>
      <c r="P1074" s="16" t="n">
        <v>0</v>
      </c>
      <c r="Q1074" s="16" t="n">
        <v>0</v>
      </c>
      <c r="R1074" s="5" t="inlineStr">
        <is>
          <t>234-2025-03-31</t>
        </is>
      </c>
    </row>
    <row r="1075">
      <c r="A1075" s="26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44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4000</v>
      </c>
      <c r="K1075" s="10" t="n">
        <v>14042.5</v>
      </c>
      <c r="L1075" s="28">
        <f>IFERROR(IF(OR(J1075=0,K1075=""),"",IF(E1075="Positivo",MIN(MAX(K1075/J1075,0),1.3),MIN(MAX(J1075/K1075,0),1.3))),"") </f>
        <v/>
      </c>
      <c r="M1075" s="28">
        <f>IFERROR(IF(OR(J1075=0,K1075=""),"",IF(E1075="Positivo",MAX(K1075/J1075,0),MAX(J1075/K1075,0))),"") </f>
        <v/>
      </c>
      <c r="N1075" s="5" t="inlineStr">
        <is>
          <t>ENT</t>
        </is>
      </c>
      <c r="O1075" s="5" t="inlineStr">
        <is>
          <t>ENT</t>
        </is>
      </c>
      <c r="P1075" s="16" t="n">
        <v>0</v>
      </c>
      <c r="Q1075" s="16" t="n">
        <v>0</v>
      </c>
      <c r="R1075" s="5" t="inlineStr">
        <is>
          <t>234-2025-06-30</t>
        </is>
      </c>
    </row>
    <row r="1076">
      <c r="A1076" s="5" t="n">
        <v>234</v>
      </c>
      <c r="B1076" s="5" t="inlineStr">
        <is>
          <t>Impacto de las Comunicaciones en Materia Ambiental a Través de Redes Sociales - Instagram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44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4000</v>
      </c>
      <c r="K1076" s="5" t="n"/>
      <c r="L1076" s="28" t="n"/>
      <c r="M1076" s="28" t="n"/>
      <c r="N1076" s="5" t="inlineStr">
        <is>
          <t>ENT</t>
        </is>
      </c>
      <c r="O1076" s="5" t="inlineStr">
        <is>
          <t>No Aplica</t>
        </is>
      </c>
      <c r="P1076" s="16" t="n">
        <v>0</v>
      </c>
      <c r="Q1076" s="5" t="n">
        <v>0</v>
      </c>
      <c r="R1076" s="5" t="inlineStr">
        <is>
          <t>234-2025-12-31</t>
        </is>
      </c>
      <c r="S1076" t="inlineStr">
        <is>
          <t>No Aplica</t>
        </is>
      </c>
    </row>
    <row r="1077">
      <c r="A1077" s="26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144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10" t="n">
        <v>81.65289256198299</v>
      </c>
      <c r="L1077" s="28">
        <f>IFERROR(IF(OR(J1077=0,K1077=""),"",IF(E1077="Positivo",MIN(MAX(K1077/J1077,0),1.3),MIN(MAX(J1077/K1077,0),1.3))),"") </f>
        <v/>
      </c>
      <c r="M1077" s="28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16" t="n">
        <v>0</v>
      </c>
      <c r="Q1077" s="16" t="n">
        <v>0</v>
      </c>
      <c r="R1077" s="5" t="inlineStr">
        <is>
          <t>235-2023-12-31</t>
        </is>
      </c>
    </row>
    <row r="1078">
      <c r="A1078" s="26" t="n">
        <v>235</v>
      </c>
      <c r="B1078" s="5" t="inlineStr">
        <is>
          <t>Cumplimiento de Requisitos Legales Ambientales Aplicables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Positivo</t>
        </is>
      </c>
      <c r="F1078" s="144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10" t="n">
        <v>92.012779552716</v>
      </c>
      <c r="L1078" s="28">
        <f>IFERROR(IF(OR(J1078=0,K1078=""),"",IF(E1078="Positivo",MIN(MAX(K1078/J1078,0),1.3),MIN(MAX(J1078/K1078,0),1.3))),"") </f>
        <v/>
      </c>
      <c r="M1078" s="28">
        <f>IFERROR(IF(OR(J1078=0,K1078=""),"",IF(E1078="Positivo",MAX(K1078/J1078,0),MAX(J1078/K1078,0))),"") </f>
        <v/>
      </c>
      <c r="N1078" s="5" t="n"/>
      <c r="O1078" s="5" t="n"/>
      <c r="P1078" s="16" t="n">
        <v>0</v>
      </c>
      <c r="Q1078" s="16" t="n">
        <v>0</v>
      </c>
      <c r="R1078" s="5" t="inlineStr">
        <is>
          <t>235-2024-12-31</t>
        </is>
      </c>
    </row>
    <row r="1079">
      <c r="A1079" s="43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144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123" t="n">
        <v>0</v>
      </c>
      <c r="L1079" s="28">
        <f>IFERROR(IF(OR(J1079=0,K1079=""),"",IF(E1079="Positivo",MIN(MAX(K1079/J1079,0),1.3),MIN(MAX(J1079/K1079,0),1.3))),"") </f>
        <v/>
      </c>
      <c r="M1079" s="28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16" t="n">
        <v>0</v>
      </c>
      <c r="Q1079" s="16" t="n">
        <v>0</v>
      </c>
      <c r="R1079" s="5" t="inlineStr">
        <is>
          <t>236-2023-12-31</t>
        </is>
      </c>
    </row>
    <row r="1080">
      <c r="A1080" s="39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144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0</v>
      </c>
      <c r="K1080" s="123" t="n">
        <v>0</v>
      </c>
      <c r="L1080" s="28">
        <f>IFERROR(IF(OR(J1080=0,K1080=""),"",IF(E1080="Positivo",MIN(MAX(K1080/J1080,0),1.3),MIN(MAX(J1080/K1080,0),1.3))),"") </f>
        <v/>
      </c>
      <c r="M1080" s="28">
        <f>IFERROR(IF(OR(J1080=0,K1080=""),"",IF(E1080="Positivo",MAX(K1080/J1080,0),MAX(J1080/K1080,0))),"") </f>
        <v/>
      </c>
      <c r="N1080" s="5" t="n"/>
      <c r="O1080" s="5" t="n"/>
      <c r="P1080" s="16" t="n">
        <v>0</v>
      </c>
      <c r="Q1080" s="16" t="n">
        <v>0</v>
      </c>
      <c r="R1080" s="5" t="inlineStr">
        <is>
          <t>236-2024-12-31</t>
        </is>
      </c>
    </row>
    <row r="1081">
      <c r="A1081" s="26" t="n">
        <v>236</v>
      </c>
      <c r="B1081" s="5" t="inlineStr">
        <is>
          <t>Actos Administrativos o Decisiones Judiciales Ambientales</t>
        </is>
      </c>
      <c r="C1081" s="5" t="inlineStr">
        <is>
          <t>GESTIÓN AMBIENTAL</t>
        </is>
      </c>
      <c r="D1081" s="5" t="inlineStr">
        <is>
          <t>Anual</t>
        </is>
      </c>
      <c r="E1081" s="5" t="inlineStr">
        <is>
          <t>Negativo</t>
        </is>
      </c>
      <c r="F1081" s="143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0</v>
      </c>
      <c r="K1081" s="123" t="n">
        <v>0</v>
      </c>
      <c r="L1081" s="28">
        <f>IFERROR(IF(OR(J1081=0,K1081=""),"",IF(E1081="Positivo",MIN(MAX(K1081/J1081,0),1.3),MIN(MAX(J1081/K1081,0),1.3))),"") </f>
        <v/>
      </c>
      <c r="M1081" s="28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16" t="n">
        <v>0</v>
      </c>
      <c r="Q1081" s="16" t="n">
        <v>0</v>
      </c>
      <c r="R1081" s="5" t="inlineStr">
        <is>
          <t>236-2025-12-31</t>
        </is>
      </c>
    </row>
    <row r="1082">
      <c r="A1082" s="39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44" t="n">
        <v>44742</v>
      </c>
      <c r="G1082" s="5" t="n">
        <v>2022</v>
      </c>
      <c r="H1082" s="5" t="inlineStr">
        <is>
          <t>Junio</t>
        </is>
      </c>
      <c r="I1082" s="6" t="inlineStr">
        <is>
          <t>2022-1</t>
        </is>
      </c>
      <c r="J1082" s="5" t="n">
        <v>90</v>
      </c>
      <c r="K1082" s="123" t="n"/>
      <c r="L1082" s="8" t="n"/>
      <c r="M1082" s="28" t="n"/>
      <c r="N1082" s="5" t="inlineStr">
        <is>
          <t>Sin Reporte</t>
        </is>
      </c>
      <c r="O1082" s="5" t="inlineStr">
        <is>
          <t>No Aplica</t>
        </is>
      </c>
      <c r="P1082" s="16" t="n">
        <v>0</v>
      </c>
      <c r="Q1082" s="16" t="n">
        <v>0</v>
      </c>
      <c r="R1082" s="5" t="inlineStr">
        <is>
          <t>238-2022-06-30</t>
        </is>
      </c>
      <c r="S1082" t="inlineStr">
        <is>
          <t>No Aplica</t>
        </is>
      </c>
    </row>
    <row r="1083">
      <c r="A1083" s="39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44" t="n">
        <v>44926</v>
      </c>
      <c r="G1083" s="5" t="n">
        <v>2022</v>
      </c>
      <c r="H1083" s="5" t="inlineStr">
        <is>
          <t>Diciembre</t>
        </is>
      </c>
      <c r="I1083" s="6" t="inlineStr">
        <is>
          <t>2022-2</t>
        </is>
      </c>
      <c r="J1083" s="11" t="n">
        <v>90</v>
      </c>
      <c r="K1083" s="123" t="n"/>
      <c r="L1083" s="8" t="n"/>
      <c r="M1083" s="28" t="n"/>
      <c r="N1083" s="5" t="inlineStr">
        <is>
          <t>Sin Reporte</t>
        </is>
      </c>
      <c r="O1083" s="5" t="inlineStr">
        <is>
          <t>No Aplica</t>
        </is>
      </c>
      <c r="P1083" s="16" t="n">
        <v>0</v>
      </c>
      <c r="Q1083" s="16" t="n">
        <v>0</v>
      </c>
      <c r="R1083" s="5" t="inlineStr">
        <is>
          <t>238-2022-12-31</t>
        </is>
      </c>
      <c r="S1083" t="inlineStr">
        <is>
          <t>No Aplica</t>
        </is>
      </c>
    </row>
    <row r="1084">
      <c r="A1084" s="26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44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90</v>
      </c>
      <c r="K1084" s="10" t="n">
        <v>94.44444444444444</v>
      </c>
      <c r="L1084" s="28">
        <f>IFERROR(IF(OR(J1084=0,K1084=""),"",IF(E1084="Positivo",MIN(MAX(K1084/J1084,0),1.3),MIN(MAX(J1084/K1084,0),1.3))),"") </f>
        <v/>
      </c>
      <c r="M1084" s="28">
        <f>IFERROR(IF(OR(J1084=0,K1084=""),"",IF(E1084="Positivo",MAX(K1084/J1084,0),MAX(J1084/K1084,0))),"") </f>
        <v/>
      </c>
      <c r="N1084" s="5" t="n"/>
      <c r="O1084" s="5" t="n"/>
      <c r="P1084" s="16" t="n">
        <v>0</v>
      </c>
      <c r="Q1084" s="16" t="n">
        <v>0</v>
      </c>
      <c r="R1084" s="5" t="inlineStr">
        <is>
          <t>238-2023-03-31</t>
        </is>
      </c>
    </row>
    <row r="1085">
      <c r="A1085" s="26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43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11" t="n">
        <v>90</v>
      </c>
      <c r="K1085" s="123" t="n">
        <v>96.42857142857144</v>
      </c>
      <c r="L1085" s="28">
        <f>IFERROR(IF(OR(J1085=0,K1085=""),"",IF(E1085="Positivo",MIN(MAX(K1085/J1085,0),1.3),MIN(MAX(J1085/K1085,0),1.3))),"") </f>
        <v/>
      </c>
      <c r="M1085" s="28">
        <f>IFERROR(IF(OR(J1085=0,K1085=""),"",IF(E1085="Positivo",MAX(K1085/J1085,0),MAX(J1085/K1085,0))),"") </f>
        <v/>
      </c>
      <c r="N1085" s="11" t="n"/>
      <c r="O1085" s="11" t="n"/>
      <c r="P1085" s="16" t="n">
        <v>0</v>
      </c>
      <c r="Q1085" s="16" t="n">
        <v>0</v>
      </c>
      <c r="R1085" s="5" t="inlineStr">
        <is>
          <t>238-2023-06-30</t>
        </is>
      </c>
    </row>
    <row r="1086">
      <c r="A1086" s="39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Trimestral</t>
        </is>
      </c>
      <c r="E1086" s="5" t="inlineStr">
        <is>
          <t>Positivo</t>
        </is>
      </c>
      <c r="F1086" s="144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90</v>
      </c>
      <c r="K1086" s="123" t="n">
        <v>84.21052631578947</v>
      </c>
      <c r="L1086" s="28">
        <f>IFERROR(IF(OR(J1086=0,K1086=""),"",IF(E1086="Positivo",MIN(MAX(K1086/J1086,0),1.3),MIN(MAX(J1086/K1086,0),1.3))),"") </f>
        <v/>
      </c>
      <c r="M1086" s="28">
        <f>IFERROR(IF(OR(J1086=0,K1086=""),"",IF(E1086="Positivo",MAX(K1086/J1086,0),MAX(J1086/K1086,0))),"") </f>
        <v/>
      </c>
      <c r="N1086" s="11" t="n"/>
      <c r="O1086" s="11" t="n"/>
      <c r="P1086" s="16" t="n">
        <v>0</v>
      </c>
      <c r="Q1086" s="16" t="n">
        <v>0</v>
      </c>
      <c r="R1086" s="5" t="inlineStr">
        <is>
          <t>238-2023-09-30</t>
        </is>
      </c>
    </row>
    <row r="1087">
      <c r="A1087" s="5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44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90</v>
      </c>
      <c r="K1087" s="5" t="n">
        <v>75</v>
      </c>
      <c r="L1087" s="28">
        <f>IFERROR(IF(OR(J1087=0,K1087=""),"",IF(E1087="Positivo",MIN(MAX(K1087/J1087,0),1.3),MIN(MAX(J1087/K1087,0),1.3))),"") </f>
        <v/>
      </c>
      <c r="M1087" s="28">
        <f>IFERROR(IF(OR(J1087=0,K1087=""),"",IF(E1087="Positivo",MAX(K1087/J1087,0),MAX(J1087/K1087,0))),"") </f>
        <v/>
      </c>
      <c r="N1087" s="11" t="inlineStr">
        <is>
          <t>Sin Reporte</t>
        </is>
      </c>
      <c r="O1087" s="11" t="inlineStr">
        <is>
          <t>Sin Reporte</t>
        </is>
      </c>
      <c r="P1087" s="5" t="n">
        <v>0</v>
      </c>
      <c r="Q1087" s="5" t="n">
        <v>0</v>
      </c>
      <c r="R1087" s="5" t="inlineStr">
        <is>
          <t>238-2023-12-31</t>
        </is>
      </c>
    </row>
    <row r="1088">
      <c r="A1088" s="26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44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90</v>
      </c>
      <c r="K1088" s="10" t="n">
        <v>76.19047619047619</v>
      </c>
      <c r="L1088" s="28">
        <f>IFERROR(IF(OR(J1088=0,K1088=""),"",IF(E1088="Positivo",MIN(MAX(K1088/J1088,0),1.3),MIN(MAX(J1088/K1088,0),1.3))),"") </f>
        <v/>
      </c>
      <c r="M1088" s="28">
        <f>IFERROR(IF(OR(J1088=0,K1088=""),"",IF(E1088="Positivo",MAX(K1088/J1088,0),MAX(J1088/K1088,0))),"") </f>
        <v/>
      </c>
      <c r="N1088" s="11" t="inlineStr">
        <is>
          <t>Sin Reporte</t>
        </is>
      </c>
      <c r="O1088" s="11" t="inlineStr">
        <is>
          <t>Sin Reporte</t>
        </is>
      </c>
      <c r="P1088" s="16" t="n">
        <v>0</v>
      </c>
      <c r="Q1088" s="16" t="n">
        <v>0</v>
      </c>
      <c r="R1088" s="5" t="inlineStr">
        <is>
          <t>238-2024-03-31</t>
        </is>
      </c>
    </row>
    <row r="1089">
      <c r="A1089" s="26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Semestral</t>
        </is>
      </c>
      <c r="E1089" s="5" t="inlineStr">
        <is>
          <t>Positivo</t>
        </is>
      </c>
      <c r="F1089" s="143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90</v>
      </c>
      <c r="K1089" s="123" t="n">
        <v>78.125</v>
      </c>
      <c r="L1089" s="28">
        <f>IFERROR(IF(OR(J1089=0,K1089=""),"",IF(E1089="Positivo",MIN(MAX(K1089/J1089,0),1.3),MIN(MAX(J1089/K1089,0),1.3))),"") </f>
        <v/>
      </c>
      <c r="M1089" s="28">
        <f>IFERROR(IF(OR(J1089=0,K1089=""),"",IF(E1089="Positivo",MAX(K1089/J1089,0),MAX(J1089/K1089,0))),"") </f>
        <v/>
      </c>
      <c r="N1089" s="5" t="inlineStr">
        <is>
          <t>Sin Reporte</t>
        </is>
      </c>
      <c r="O1089" s="20" t="inlineStr">
        <is>
          <t>Sin Reporte</t>
        </is>
      </c>
      <c r="P1089" s="16" t="n">
        <v>0</v>
      </c>
      <c r="Q1089" s="16" t="n">
        <v>0</v>
      </c>
      <c r="R1089" s="5" t="inlineStr">
        <is>
          <t>238-2024-06-30</t>
        </is>
      </c>
    </row>
    <row r="1090">
      <c r="A1090" s="39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44" t="n">
        <v>45565</v>
      </c>
      <c r="G1090" s="5" t="n">
        <v>2024</v>
      </c>
      <c r="H1090" s="5" t="inlineStr">
        <is>
          <t>Septiembre</t>
        </is>
      </c>
      <c r="I1090" s="6" t="inlineStr">
        <is>
          <t>2024-2</t>
        </is>
      </c>
      <c r="J1090" s="5" t="n">
        <v>90</v>
      </c>
      <c r="K1090" s="123" t="n">
        <v>84.21052631578947</v>
      </c>
      <c r="L1090" s="28">
        <f>IFERROR(IF(OR(J1090=0,K1090=""),"",IF(E1090="Positivo",MIN(MAX(K1090/J1090,0),1.3),MIN(MAX(J1090/K1090,0),1.3))),"") </f>
        <v/>
      </c>
      <c r="M1090" s="28">
        <f>IFERROR(IF(OR(J1090=0,K1090=""),"",IF(E1090="Positivo",MAX(K1090/J1090,0),MAX(J1090/K1090,0))),"") </f>
        <v/>
      </c>
      <c r="N1090" s="5" t="inlineStr">
        <is>
          <t>Sin Reporte</t>
        </is>
      </c>
      <c r="O1090" s="20" t="inlineStr">
        <is>
          <t>Sin Reporte</t>
        </is>
      </c>
      <c r="P1090" s="16" t="n">
        <v>0</v>
      </c>
      <c r="Q1090" s="16" t="n">
        <v>0</v>
      </c>
      <c r="R1090" s="5" t="inlineStr">
        <is>
          <t>238-2024-09-30</t>
        </is>
      </c>
    </row>
    <row r="1091">
      <c r="A1091" s="5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144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5" t="n">
        <v>80</v>
      </c>
      <c r="L1091" s="28">
        <f>IFERROR(IF(OR(J1091=0,K1091=""),"",IF(E1091="Positivo",MIN(MAX(K1091/J1091,0),1.3),MIN(MAX(J1091/K1091,0),1.3))),"") </f>
        <v/>
      </c>
      <c r="M1091" s="28">
        <f>IFERROR(IF(OR(J1091=0,K1091=""),"",IF(E1091="Positivo",MAX(K1091/J1091,0),MAX(J1091/K1091,0))),"") </f>
        <v/>
      </c>
      <c r="N1091" s="5" t="inlineStr">
        <is>
          <t>Sin Reporte</t>
        </is>
      </c>
      <c r="O1091" s="20" t="inlineStr">
        <is>
          <t>Sin Reporte</t>
        </is>
      </c>
      <c r="P1091" s="5" t="n">
        <v>0</v>
      </c>
      <c r="Q1091" s="5" t="n">
        <v>0</v>
      </c>
      <c r="R1091" s="5" t="inlineStr">
        <is>
          <t>238-2024-12-31</t>
        </is>
      </c>
    </row>
    <row r="1092">
      <c r="A1092" s="26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44" t="n">
        <v>45747</v>
      </c>
      <c r="G1092" s="5" t="n">
        <v>2025</v>
      </c>
      <c r="H1092" s="5" t="inlineStr">
        <is>
          <t>Marzo</t>
        </is>
      </c>
      <c r="I1092" s="6" t="inlineStr">
        <is>
          <t>2025-1</t>
        </is>
      </c>
      <c r="J1092" s="5" t="n">
        <v>90</v>
      </c>
      <c r="K1092" s="10" t="n">
        <v>95.12</v>
      </c>
      <c r="L1092" s="28">
        <f>IFERROR(IF(OR(J1092=0,K1092=""),"",IF(E1092="Positivo",MIN(MAX(K1092/J1092,0),1.3),MIN(MAX(J1092/K1092,0),1.3))),"") </f>
        <v/>
      </c>
      <c r="M1092" s="28">
        <f>IFERROR(IF(OR(J1092=0,K1092=""),"",IF(E1092="Positivo",MAX(K1092/J1092,0),MAX(J1092/K1092,0))),"") </f>
        <v/>
      </c>
      <c r="N1092" s="5" t="inlineStr">
        <is>
          <t>Sin Reporte</t>
        </is>
      </c>
      <c r="O1092" s="20" t="inlineStr">
        <is>
          <t>Sin Reporte</t>
        </is>
      </c>
      <c r="P1092" s="16" t="n">
        <v>0</v>
      </c>
      <c r="Q1092" s="16" t="n">
        <v>0</v>
      </c>
      <c r="R1092" s="5" t="inlineStr">
        <is>
          <t>238-2025-03-31</t>
        </is>
      </c>
    </row>
    <row r="1093">
      <c r="A1093" s="26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43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90</v>
      </c>
      <c r="K1093" s="123" t="n">
        <v>90.48</v>
      </c>
      <c r="L1093" s="28">
        <f>IFERROR(IF(OR(J1093=0,K1093=""),"",IF(E1093="Positivo",MIN(MAX(K1093/J1093,0),1.3),MIN(MAX(J1093/K1093,0),1.3))),"") </f>
        <v/>
      </c>
      <c r="M1093" s="28">
        <f>IFERROR(IF(OR(J1093=0,K1093=""),"",IF(E1093="Positivo",MAX(K1093/J1093,0),MAX(J1093/K1093,0))),"") </f>
        <v/>
      </c>
      <c r="N1093" s="5" t="inlineStr">
        <is>
          <t>Sin Reporte</t>
        </is>
      </c>
      <c r="O1093" s="5" t="inlineStr">
        <is>
          <t>Sin Reporte</t>
        </is>
      </c>
      <c r="P1093" s="16" t="n">
        <v>0</v>
      </c>
      <c r="Q1093" s="16" t="n">
        <v>0</v>
      </c>
      <c r="R1093" s="5" t="inlineStr">
        <is>
          <t>238-2025-06-30</t>
        </is>
      </c>
    </row>
    <row r="1094">
      <c r="A1094" s="39" t="n">
        <v>238</v>
      </c>
      <c r="B1094" s="5" t="inlineStr">
        <is>
          <t>Cumplimiento de la Protección del Medio Ambiente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Positivo</t>
        </is>
      </c>
      <c r="F1094" s="144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90</v>
      </c>
      <c r="K1094" s="123" t="n">
        <v>68</v>
      </c>
      <c r="L1094" s="28">
        <f>IFERROR(IF(OR(J1094=0,K1094=""),"",IF(E1094="Positivo",MIN(MAX(K1094/J1094,0),1.3),MIN(MAX(J1094/K1094,0),1.3))),"") </f>
        <v/>
      </c>
      <c r="M1094" s="28">
        <f>IFERROR(IF(OR(J1094=0,K1094=""),"",IF(E1094="Positivo",MAX(K1094/J1094,0),MAX(J1094/K1094,0))),"") </f>
        <v/>
      </c>
      <c r="N1094" s="5" t="inlineStr">
        <is>
          <t>Sin Reporte</t>
        </is>
      </c>
      <c r="O1094" s="5" t="inlineStr">
        <is>
          <t>Sin Reporte</t>
        </is>
      </c>
      <c r="P1094" s="16" t="n">
        <v>0</v>
      </c>
      <c r="Q1094" s="16" t="n">
        <v>0</v>
      </c>
      <c r="R1094" s="5" t="inlineStr">
        <is>
          <t>238-2025-12-31</t>
        </is>
      </c>
    </row>
    <row r="1095">
      <c r="A1095" s="5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144" t="n">
        <v>44592</v>
      </c>
      <c r="G1095" s="5" t="n">
        <v>2022</v>
      </c>
      <c r="H1095" s="5" t="inlineStr">
        <is>
          <t>Enero</t>
        </is>
      </c>
      <c r="I1095" s="6" t="inlineStr">
        <is>
          <t>2022-1</t>
        </is>
      </c>
      <c r="J1095" s="5" t="n"/>
      <c r="K1095" s="5" t="n">
        <v>0</v>
      </c>
      <c r="L1095" s="28" t="n"/>
      <c r="M1095" s="28" t="n"/>
      <c r="N1095" s="5" t="inlineStr">
        <is>
          <t>Metrica</t>
        </is>
      </c>
      <c r="O1095" s="5" t="inlineStr">
        <is>
          <t>ENT</t>
        </is>
      </c>
      <c r="P1095" s="5" t="n">
        <v>0</v>
      </c>
      <c r="Q1095" s="5" t="n">
        <v>0</v>
      </c>
      <c r="R1095" s="5" t="inlineStr">
        <is>
          <t>239-2022-01-31</t>
        </is>
      </c>
      <c r="S1095" t="inlineStr">
        <is>
          <t>Metrica</t>
        </is>
      </c>
    </row>
    <row r="1096">
      <c r="A1096" s="26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144" t="n">
        <v>44620</v>
      </c>
      <c r="G1096" s="5" t="n">
        <v>2022</v>
      </c>
      <c r="H1096" s="5" t="inlineStr">
        <is>
          <t>Febrero</t>
        </is>
      </c>
      <c r="I1096" s="6" t="inlineStr">
        <is>
          <t>2022-1</t>
        </is>
      </c>
      <c r="J1096" s="5" t="n"/>
      <c r="K1096" s="10" t="n">
        <v>0</v>
      </c>
      <c r="L1096" s="28" t="n"/>
      <c r="M1096" s="28" t="n"/>
      <c r="N1096" s="5" t="inlineStr">
        <is>
          <t>Metrica</t>
        </is>
      </c>
      <c r="O1096" s="5" t="inlineStr">
        <is>
          <t>ENT</t>
        </is>
      </c>
      <c r="P1096" s="16" t="n">
        <v>0</v>
      </c>
      <c r="Q1096" s="16" t="n">
        <v>0</v>
      </c>
      <c r="R1096" s="5" t="inlineStr">
        <is>
          <t>239-2022-02-28</t>
        </is>
      </c>
      <c r="S1096" t="inlineStr">
        <is>
          <t>Metrica</t>
        </is>
      </c>
    </row>
    <row r="1097">
      <c r="A1097" s="26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144" t="n">
        <v>44651</v>
      </c>
      <c r="G1097" s="5" t="n">
        <v>2022</v>
      </c>
      <c r="H1097" s="5" t="inlineStr">
        <is>
          <t>Marzo</t>
        </is>
      </c>
      <c r="I1097" s="6" t="inlineStr">
        <is>
          <t>2022-1</t>
        </is>
      </c>
      <c r="J1097" s="5" t="n"/>
      <c r="K1097" s="10" t="n">
        <v>0</v>
      </c>
      <c r="L1097" s="28" t="n"/>
      <c r="M1097" s="28" t="n"/>
      <c r="N1097" s="5" t="inlineStr">
        <is>
          <t>Metrica</t>
        </is>
      </c>
      <c r="O1097" s="5" t="inlineStr">
        <is>
          <t>ENT</t>
        </is>
      </c>
      <c r="P1097" s="16" t="n">
        <v>0</v>
      </c>
      <c r="Q1097" s="16" t="n">
        <v>0</v>
      </c>
      <c r="R1097" s="5" t="inlineStr">
        <is>
          <t>239-2022-03-31</t>
        </is>
      </c>
      <c r="S1097" t="inlineStr">
        <is>
          <t>Metrica</t>
        </is>
      </c>
    </row>
    <row r="1098">
      <c r="A1098" s="26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143" t="n">
        <v>44681</v>
      </c>
      <c r="G1098" s="5" t="n">
        <v>2022</v>
      </c>
      <c r="H1098" s="5" t="inlineStr">
        <is>
          <t>Abril</t>
        </is>
      </c>
      <c r="I1098" s="6" t="inlineStr">
        <is>
          <t>2022-1</t>
        </is>
      </c>
      <c r="J1098" s="5" t="n"/>
      <c r="K1098" s="123" t="n">
        <v>0</v>
      </c>
      <c r="L1098" s="28" t="n"/>
      <c r="M1098" s="28" t="n"/>
      <c r="N1098" s="5" t="inlineStr">
        <is>
          <t>Metrica</t>
        </is>
      </c>
      <c r="O1098" s="5" t="inlineStr">
        <is>
          <t>ENT</t>
        </is>
      </c>
      <c r="P1098" s="16" t="n">
        <v>0</v>
      </c>
      <c r="Q1098" s="16" t="n">
        <v>0</v>
      </c>
      <c r="R1098" s="5" t="inlineStr">
        <is>
          <t>239-2022-04-30</t>
        </is>
      </c>
      <c r="S1098" t="inlineStr">
        <is>
          <t>Metrica</t>
        </is>
      </c>
    </row>
    <row r="1099">
      <c r="A1099" s="39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144" t="n">
        <v>44712</v>
      </c>
      <c r="G1099" s="5" t="n">
        <v>2022</v>
      </c>
      <c r="H1099" s="5" t="inlineStr">
        <is>
          <t>Mayo</t>
        </is>
      </c>
      <c r="I1099" s="6" t="inlineStr">
        <is>
          <t>2022-1</t>
        </is>
      </c>
      <c r="J1099" s="5" t="n"/>
      <c r="K1099" s="123" t="n">
        <v>0</v>
      </c>
      <c r="L1099" s="28" t="n"/>
      <c r="M1099" s="28" t="n"/>
      <c r="N1099" s="5" t="inlineStr">
        <is>
          <t>Metrica</t>
        </is>
      </c>
      <c r="O1099" s="5" t="inlineStr">
        <is>
          <t>ENT</t>
        </is>
      </c>
      <c r="P1099" s="16" t="n">
        <v>0</v>
      </c>
      <c r="Q1099" s="16" t="n">
        <v>0</v>
      </c>
      <c r="R1099" s="5" t="inlineStr">
        <is>
          <t>239-2022-05-31</t>
        </is>
      </c>
      <c r="S1099" t="inlineStr">
        <is>
          <t>Metrica</t>
        </is>
      </c>
    </row>
    <row r="1100">
      <c r="A1100" s="39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144" t="n">
        <v>44742</v>
      </c>
      <c r="G1100" s="5" t="n">
        <v>2022</v>
      </c>
      <c r="H1100" s="5" t="inlineStr">
        <is>
          <t>Junio</t>
        </is>
      </c>
      <c r="I1100" s="6" t="inlineStr">
        <is>
          <t>2022-1</t>
        </is>
      </c>
      <c r="J1100" s="5" t="n"/>
      <c r="K1100" s="123" t="n">
        <v>0</v>
      </c>
      <c r="L1100" s="28" t="n"/>
      <c r="M1100" s="28" t="n"/>
      <c r="N1100" s="5" t="inlineStr">
        <is>
          <t>Metrica</t>
        </is>
      </c>
      <c r="O1100" s="5" t="inlineStr">
        <is>
          <t>ENT</t>
        </is>
      </c>
      <c r="P1100" s="16" t="n">
        <v>0</v>
      </c>
      <c r="Q1100" s="16" t="n">
        <v>0</v>
      </c>
      <c r="R1100" s="5" t="inlineStr">
        <is>
          <t>239-2022-06-30</t>
        </is>
      </c>
      <c r="S1100" t="inlineStr">
        <is>
          <t>Metrica</t>
        </is>
      </c>
    </row>
    <row r="1101">
      <c r="A1101" s="39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144" t="n">
        <v>44773</v>
      </c>
      <c r="G1101" s="5" t="n">
        <v>2022</v>
      </c>
      <c r="H1101" s="5" t="inlineStr">
        <is>
          <t>Julio</t>
        </is>
      </c>
      <c r="I1101" s="6" t="inlineStr">
        <is>
          <t>2022-2</t>
        </is>
      </c>
      <c r="J1101" s="5" t="n"/>
      <c r="K1101" s="123" t="n">
        <v>0</v>
      </c>
      <c r="L1101" s="8" t="n"/>
      <c r="M1101" s="28" t="n"/>
      <c r="N1101" s="5" t="inlineStr">
        <is>
          <t>Metrica</t>
        </is>
      </c>
      <c r="O1101" s="5" t="inlineStr">
        <is>
          <t>ENT</t>
        </is>
      </c>
      <c r="P1101" s="16" t="n">
        <v>0</v>
      </c>
      <c r="Q1101" s="16" t="n">
        <v>0</v>
      </c>
      <c r="R1101" s="5" t="inlineStr">
        <is>
          <t>239-2022-07-31</t>
        </is>
      </c>
      <c r="S1101" t="inlineStr">
        <is>
          <t>Metrica</t>
        </is>
      </c>
    </row>
    <row r="1102">
      <c r="A1102" s="5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144" t="n">
        <v>44804</v>
      </c>
      <c r="G1102" s="5" t="n">
        <v>2022</v>
      </c>
      <c r="H1102" s="5" t="inlineStr">
        <is>
          <t>Agosto</t>
        </is>
      </c>
      <c r="I1102" s="6" t="inlineStr">
        <is>
          <t>2022-2</t>
        </is>
      </c>
      <c r="J1102" s="5" t="n"/>
      <c r="K1102" s="5" t="n">
        <v>0</v>
      </c>
      <c r="L1102" s="28" t="n"/>
      <c r="M1102" s="28" t="n"/>
      <c r="N1102" s="5" t="inlineStr">
        <is>
          <t>Metrica</t>
        </is>
      </c>
      <c r="O1102" s="5" t="inlineStr">
        <is>
          <t>ENT</t>
        </is>
      </c>
      <c r="P1102" s="16" t="n">
        <v>0</v>
      </c>
      <c r="Q1102" s="5" t="n">
        <v>0</v>
      </c>
      <c r="R1102" s="5" t="inlineStr">
        <is>
          <t>239-2022-08-31</t>
        </is>
      </c>
      <c r="S1102" t="inlineStr">
        <is>
          <t>Metrica</t>
        </is>
      </c>
    </row>
    <row r="1103">
      <c r="A1103" s="26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144" t="n">
        <v>44834</v>
      </c>
      <c r="G1103" s="5" t="n">
        <v>2022</v>
      </c>
      <c r="H1103" s="5" t="inlineStr">
        <is>
          <t>Septiembre</t>
        </is>
      </c>
      <c r="I1103" s="6" t="inlineStr">
        <is>
          <t>2022-2</t>
        </is>
      </c>
      <c r="J1103" s="5" t="n"/>
      <c r="K1103" s="10" t="n">
        <v>0</v>
      </c>
      <c r="L1103" s="28" t="n"/>
      <c r="M1103" s="28" t="n"/>
      <c r="N1103" s="5" t="inlineStr">
        <is>
          <t>Metrica</t>
        </is>
      </c>
      <c r="O1103" s="5" t="inlineStr">
        <is>
          <t>ENT</t>
        </is>
      </c>
      <c r="P1103" s="16" t="n">
        <v>0</v>
      </c>
      <c r="Q1103" s="16" t="n">
        <v>0</v>
      </c>
      <c r="R1103" s="5" t="inlineStr">
        <is>
          <t>239-2022-09-30</t>
        </is>
      </c>
      <c r="S1103" t="inlineStr">
        <is>
          <t>Metrica</t>
        </is>
      </c>
    </row>
    <row r="1104">
      <c r="A1104" s="39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144" t="n">
        <v>44865</v>
      </c>
      <c r="G1104" s="5" t="n">
        <v>2022</v>
      </c>
      <c r="H1104" s="5" t="inlineStr">
        <is>
          <t>Octubre</t>
        </is>
      </c>
      <c r="I1104" s="6" t="inlineStr">
        <is>
          <t>2022-2</t>
        </is>
      </c>
      <c r="J1104" s="5" t="n"/>
      <c r="K1104" s="123" t="n">
        <v>0</v>
      </c>
      <c r="L1104" s="8" t="n"/>
      <c r="M1104" s="28" t="n"/>
      <c r="N1104" s="5" t="inlineStr">
        <is>
          <t>Metrica</t>
        </is>
      </c>
      <c r="O1104" s="5" t="inlineStr">
        <is>
          <t>ENT</t>
        </is>
      </c>
      <c r="P1104" s="16" t="n">
        <v>0</v>
      </c>
      <c r="Q1104" s="16" t="n">
        <v>0</v>
      </c>
      <c r="R1104" s="5" t="inlineStr">
        <is>
          <t>239-2022-10-31</t>
        </is>
      </c>
      <c r="S1104" t="inlineStr">
        <is>
          <t>Metrica</t>
        </is>
      </c>
    </row>
    <row r="1105">
      <c r="A1105" s="5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144" t="n">
        <v>44895</v>
      </c>
      <c r="G1105" s="5" t="n">
        <v>2022</v>
      </c>
      <c r="H1105" s="5" t="inlineStr">
        <is>
          <t>Noviembre</t>
        </is>
      </c>
      <c r="I1105" s="6" t="inlineStr">
        <is>
          <t>2022-2</t>
        </is>
      </c>
      <c r="J1105" s="5" t="n"/>
      <c r="K1105" s="5" t="n">
        <v>0</v>
      </c>
      <c r="L1105" s="28" t="n"/>
      <c r="M1105" s="28" t="n"/>
      <c r="N1105" s="5" t="inlineStr">
        <is>
          <t>Metrica</t>
        </is>
      </c>
      <c r="O1105" s="5" t="inlineStr">
        <is>
          <t>ENT</t>
        </is>
      </c>
      <c r="P1105" s="16" t="n">
        <v>0</v>
      </c>
      <c r="Q1105" s="5" t="n">
        <v>0</v>
      </c>
      <c r="R1105" s="5" t="inlineStr">
        <is>
          <t>239-2022-11-30</t>
        </is>
      </c>
      <c r="S1105" t="inlineStr">
        <is>
          <t>Metrica</t>
        </is>
      </c>
    </row>
    <row r="1106">
      <c r="A1106" s="26" t="n">
        <v>239</v>
      </c>
      <c r="B1106" s="5" t="inlineStr">
        <is>
          <t>Portafolio de Proyectos - Metrica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144" t="n">
        <v>44926</v>
      </c>
      <c r="G1106" s="5" t="n">
        <v>2022</v>
      </c>
      <c r="H1106" s="5" t="inlineStr">
        <is>
          <t>Diciembre</t>
        </is>
      </c>
      <c r="I1106" s="6" t="inlineStr">
        <is>
          <t>2022-2</t>
        </is>
      </c>
      <c r="J1106" s="5" t="n"/>
      <c r="K1106" s="10" t="n">
        <v>0</v>
      </c>
      <c r="L1106" s="28" t="n"/>
      <c r="M1106" s="28" t="n"/>
      <c r="N1106" s="5" t="inlineStr">
        <is>
          <t>Metrica</t>
        </is>
      </c>
      <c r="O1106" s="5" t="inlineStr">
        <is>
          <t>ENT</t>
        </is>
      </c>
      <c r="P1106" s="16" t="n">
        <v>0</v>
      </c>
      <c r="Q1106" s="16" t="n">
        <v>0</v>
      </c>
      <c r="R1106" s="5" t="inlineStr">
        <is>
          <t>239-2022-12-31</t>
        </is>
      </c>
      <c r="S1106" t="inlineStr">
        <is>
          <t>Metrica</t>
        </is>
      </c>
    </row>
    <row r="1107">
      <c r="A1107" s="43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144" t="n">
        <v>44957</v>
      </c>
      <c r="G1107" s="5" t="n">
        <v>2023</v>
      </c>
      <c r="H1107" s="5" t="inlineStr">
        <is>
          <t>Enero</t>
        </is>
      </c>
      <c r="I1107" s="6" t="inlineStr">
        <is>
          <t>2023-1</t>
        </is>
      </c>
      <c r="J1107" s="5" t="n"/>
      <c r="K1107" s="123" t="n">
        <v>12</v>
      </c>
      <c r="L1107" s="28" t="n"/>
      <c r="M1107" s="8" t="n"/>
      <c r="N1107" s="5" t="inlineStr">
        <is>
          <t>Metrica</t>
        </is>
      </c>
      <c r="O1107" s="5" t="inlineStr">
        <is>
          <t>ENT</t>
        </is>
      </c>
      <c r="P1107" s="16" t="n">
        <v>0</v>
      </c>
      <c r="Q1107" s="16" t="n">
        <v>0</v>
      </c>
      <c r="R1107" s="5" t="inlineStr">
        <is>
          <t>239-2023-01-31</t>
        </is>
      </c>
    </row>
    <row r="1108">
      <c r="A1108" s="39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144" t="n">
        <v>44985</v>
      </c>
      <c r="G1108" s="5" t="n">
        <v>2023</v>
      </c>
      <c r="H1108" s="5" t="inlineStr">
        <is>
          <t>Febrero</t>
        </is>
      </c>
      <c r="I1108" s="6" t="inlineStr">
        <is>
          <t>2023-1</t>
        </is>
      </c>
      <c r="J1108" s="5" t="n"/>
      <c r="K1108" s="123" t="n">
        <v>18</v>
      </c>
      <c r="L1108" s="28" t="n"/>
      <c r="M1108" s="8" t="n"/>
      <c r="N1108" s="5" t="inlineStr">
        <is>
          <t>Metrica</t>
        </is>
      </c>
      <c r="O1108" s="5" t="inlineStr">
        <is>
          <t>ENT</t>
        </is>
      </c>
      <c r="P1108" s="16" t="n">
        <v>0</v>
      </c>
      <c r="Q1108" s="16" t="n">
        <v>0</v>
      </c>
      <c r="R1108" s="5" t="inlineStr">
        <is>
          <t>239-2023-02-28</t>
        </is>
      </c>
    </row>
    <row r="1109">
      <c r="A1109" s="43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144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/>
      <c r="K1109" s="123" t="n">
        <v>18</v>
      </c>
      <c r="L1109" s="28" t="n"/>
      <c r="M1109" s="8" t="n"/>
      <c r="N1109" s="5" t="inlineStr">
        <is>
          <t>Metrica</t>
        </is>
      </c>
      <c r="O1109" s="5" t="inlineStr">
        <is>
          <t>ENT</t>
        </is>
      </c>
      <c r="P1109" s="16" t="n">
        <v>0</v>
      </c>
      <c r="Q1109" s="16" t="n">
        <v>0</v>
      </c>
      <c r="R1109" s="5" t="inlineStr">
        <is>
          <t>239-2023-03-31</t>
        </is>
      </c>
    </row>
    <row r="1110">
      <c r="A1110" s="26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144" t="n">
        <v>45046</v>
      </c>
      <c r="G1110" s="5" t="n">
        <v>2023</v>
      </c>
      <c r="H1110" s="5" t="inlineStr">
        <is>
          <t>Abril</t>
        </is>
      </c>
      <c r="I1110" s="6" t="inlineStr">
        <is>
          <t>2023-1</t>
        </is>
      </c>
      <c r="J1110" s="5" t="n"/>
      <c r="K1110" s="10" t="n">
        <v>18</v>
      </c>
      <c r="L1110" s="28" t="n"/>
      <c r="M1110" s="28" t="n"/>
      <c r="N1110" s="5" t="inlineStr">
        <is>
          <t>Metrica</t>
        </is>
      </c>
      <c r="O1110" s="5" t="inlineStr">
        <is>
          <t>ENT</t>
        </is>
      </c>
      <c r="P1110" s="16" t="n">
        <v>0</v>
      </c>
      <c r="Q1110" s="16" t="n">
        <v>0</v>
      </c>
      <c r="R1110" s="5" t="inlineStr">
        <is>
          <t>239-2023-04-30</t>
        </is>
      </c>
    </row>
    <row r="1111">
      <c r="A1111" s="39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44" t="n">
        <v>45077</v>
      </c>
      <c r="G1111" s="5" t="n">
        <v>2023</v>
      </c>
      <c r="H1111" s="5" t="inlineStr">
        <is>
          <t>Mayo</t>
        </is>
      </c>
      <c r="I1111" s="6" t="inlineStr">
        <is>
          <t>2023-1</t>
        </is>
      </c>
      <c r="J1111" s="5" t="n"/>
      <c r="K1111" s="123" t="n">
        <v>19</v>
      </c>
      <c r="L1111" s="8" t="n"/>
      <c r="M1111" s="28" t="n"/>
      <c r="N1111" s="5" t="inlineStr">
        <is>
          <t>Metrica</t>
        </is>
      </c>
      <c r="O1111" s="5" t="inlineStr">
        <is>
          <t>ENT</t>
        </is>
      </c>
      <c r="P1111" s="16" t="n">
        <v>0</v>
      </c>
      <c r="Q1111" s="16" t="n">
        <v>0</v>
      </c>
      <c r="R1111" s="5" t="inlineStr">
        <is>
          <t>239-2023-05-31</t>
        </is>
      </c>
    </row>
    <row r="1112">
      <c r="A1112" s="39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44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123" t="n">
        <v>19</v>
      </c>
      <c r="L1112" s="8" t="n"/>
      <c r="M1112" s="28" t="n"/>
      <c r="N1112" s="5" t="inlineStr">
        <is>
          <t>Metrica</t>
        </is>
      </c>
      <c r="O1112" s="5" t="inlineStr">
        <is>
          <t>ENT</t>
        </is>
      </c>
      <c r="P1112" s="16" t="n">
        <v>0</v>
      </c>
      <c r="Q1112" s="16" t="n">
        <v>0</v>
      </c>
      <c r="R1112" s="5" t="inlineStr">
        <is>
          <t>239-2023-06-30</t>
        </is>
      </c>
    </row>
    <row r="1113">
      <c r="A1113" s="26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44" t="n">
        <v>45138</v>
      </c>
      <c r="G1113" s="5" t="n">
        <v>2023</v>
      </c>
      <c r="H1113" s="5" t="inlineStr">
        <is>
          <t>Julio</t>
        </is>
      </c>
      <c r="I1113" s="6" t="inlineStr">
        <is>
          <t>2023-2</t>
        </is>
      </c>
      <c r="J1113" s="5" t="n"/>
      <c r="K1113" s="10" t="n">
        <v>18</v>
      </c>
      <c r="L1113" s="28" t="n"/>
      <c r="M1113" s="28" t="n"/>
      <c r="N1113" s="5" t="inlineStr">
        <is>
          <t>Metrica</t>
        </is>
      </c>
      <c r="O1113" s="5" t="inlineStr">
        <is>
          <t>ENT</t>
        </is>
      </c>
      <c r="P1113" s="16" t="n">
        <v>0</v>
      </c>
      <c r="Q1113" s="16" t="n">
        <v>0</v>
      </c>
      <c r="R1113" s="5" t="inlineStr">
        <is>
          <t>239-2023-07-31</t>
        </is>
      </c>
    </row>
    <row r="1114">
      <c r="A1114" s="39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44" t="n">
        <v>45169</v>
      </c>
      <c r="G1114" s="5" t="n">
        <v>2023</v>
      </c>
      <c r="H1114" s="5" t="inlineStr">
        <is>
          <t>Agosto</t>
        </is>
      </c>
      <c r="I1114" s="6" t="inlineStr">
        <is>
          <t>2023-2</t>
        </is>
      </c>
      <c r="J1114" s="5" t="n"/>
      <c r="K1114" s="123" t="n">
        <v>0</v>
      </c>
      <c r="L1114" s="8" t="n"/>
      <c r="M1114" s="28" t="n"/>
      <c r="N1114" s="5" t="inlineStr">
        <is>
          <t>Metrica</t>
        </is>
      </c>
      <c r="O1114" s="5" t="inlineStr">
        <is>
          <t>ENT</t>
        </is>
      </c>
      <c r="P1114" s="16" t="n">
        <v>0</v>
      </c>
      <c r="Q1114" s="16" t="n">
        <v>0</v>
      </c>
      <c r="R1114" s="5" t="inlineStr">
        <is>
          <t>239-2023-08-31</t>
        </is>
      </c>
    </row>
    <row r="1115">
      <c r="A1115" s="26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44" t="n">
        <v>45199</v>
      </c>
      <c r="G1115" s="5" t="n">
        <v>2023</v>
      </c>
      <c r="H1115" s="5" t="inlineStr">
        <is>
          <t>Septiembre</t>
        </is>
      </c>
      <c r="I1115" s="6" t="inlineStr">
        <is>
          <t>2023-2</t>
        </is>
      </c>
      <c r="J1115" s="5" t="n"/>
      <c r="K1115" s="10" t="n">
        <v>0</v>
      </c>
      <c r="L1115" s="28" t="n"/>
      <c r="M1115" s="28" t="n"/>
      <c r="N1115" s="5" t="inlineStr">
        <is>
          <t>Metrica</t>
        </is>
      </c>
      <c r="O1115" s="5" t="inlineStr">
        <is>
          <t>ENT</t>
        </is>
      </c>
      <c r="P1115" s="16" t="n">
        <v>0</v>
      </c>
      <c r="Q1115" s="16" t="n">
        <v>0</v>
      </c>
      <c r="R1115" s="5" t="inlineStr">
        <is>
          <t>239-2023-09-30</t>
        </is>
      </c>
    </row>
    <row r="1116">
      <c r="A1116" s="43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44" t="n">
        <v>45230</v>
      </c>
      <c r="G1116" s="5" t="n">
        <v>2023</v>
      </c>
      <c r="H1116" s="5" t="inlineStr">
        <is>
          <t>Octubre</t>
        </is>
      </c>
      <c r="I1116" s="6" t="inlineStr">
        <is>
          <t>2023-2</t>
        </is>
      </c>
      <c r="J1116" s="5" t="n"/>
      <c r="K1116" s="123" t="n">
        <v>0</v>
      </c>
      <c r="L1116" s="8" t="n"/>
      <c r="M1116" s="28" t="n"/>
      <c r="N1116" s="5" t="inlineStr">
        <is>
          <t>Metrica</t>
        </is>
      </c>
      <c r="O1116" s="5" t="inlineStr">
        <is>
          <t>ENT</t>
        </is>
      </c>
      <c r="P1116" s="16" t="n">
        <v>0</v>
      </c>
      <c r="Q1116" s="16" t="n">
        <v>0</v>
      </c>
      <c r="R1116" s="5" t="inlineStr">
        <is>
          <t>239-2023-10-31</t>
        </is>
      </c>
    </row>
    <row r="1117">
      <c r="A1117" s="39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44" t="n">
        <v>45260</v>
      </c>
      <c r="G1117" s="5" t="n">
        <v>2023</v>
      </c>
      <c r="H1117" s="5" t="inlineStr">
        <is>
          <t>Noviembre</t>
        </is>
      </c>
      <c r="I1117" s="6" t="inlineStr">
        <is>
          <t>2023-2</t>
        </is>
      </c>
      <c r="J1117" s="5" t="n"/>
      <c r="K1117" s="123" t="n">
        <v>0</v>
      </c>
      <c r="L1117" s="8" t="n"/>
      <c r="M1117" s="28" t="n"/>
      <c r="N1117" s="5" t="inlineStr">
        <is>
          <t>Metrica</t>
        </is>
      </c>
      <c r="O1117" s="5" t="inlineStr">
        <is>
          <t>ENT</t>
        </is>
      </c>
      <c r="P1117" s="16" t="n">
        <v>0</v>
      </c>
      <c r="Q1117" s="16" t="n">
        <v>0</v>
      </c>
      <c r="R1117" s="5" t="inlineStr">
        <is>
          <t>239-2023-11-30</t>
        </is>
      </c>
    </row>
    <row r="1118">
      <c r="A1118" s="26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44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/>
      <c r="K1118" s="10" t="n">
        <v>0</v>
      </c>
      <c r="L1118" s="28" t="n"/>
      <c r="M1118" s="28" t="n"/>
      <c r="N1118" s="5" t="inlineStr">
        <is>
          <t>Metrica</t>
        </is>
      </c>
      <c r="O1118" s="5" t="inlineStr">
        <is>
          <t>ENT</t>
        </is>
      </c>
      <c r="P1118" s="16" t="n">
        <v>0</v>
      </c>
      <c r="Q1118" s="16" t="n">
        <v>0</v>
      </c>
      <c r="R1118" s="5" t="inlineStr">
        <is>
          <t>239-2023-12-31</t>
        </is>
      </c>
    </row>
    <row r="1119">
      <c r="A1119" s="5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44" t="n">
        <v>45322</v>
      </c>
      <c r="G1119" s="5" t="n">
        <v>2024</v>
      </c>
      <c r="H1119" s="5" t="inlineStr">
        <is>
          <t>Enero</t>
        </is>
      </c>
      <c r="I1119" s="6" t="inlineStr">
        <is>
          <t>2024-1</t>
        </is>
      </c>
      <c r="J1119" s="5" t="n"/>
      <c r="K1119" s="5" t="n">
        <v>0</v>
      </c>
      <c r="L1119" s="28" t="n"/>
      <c r="M1119" s="28" t="n"/>
      <c r="N1119" s="5" t="inlineStr">
        <is>
          <t>Metrica</t>
        </is>
      </c>
      <c r="O1119" s="5" t="inlineStr">
        <is>
          <t>ENT</t>
        </is>
      </c>
      <c r="P1119" s="5" t="n">
        <v>0</v>
      </c>
      <c r="Q1119" s="5" t="n">
        <v>0</v>
      </c>
      <c r="R1119" s="5" t="inlineStr">
        <is>
          <t>239-2024-01-31</t>
        </is>
      </c>
    </row>
    <row r="1120">
      <c r="A1120" s="26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44" t="n">
        <v>45351</v>
      </c>
      <c r="G1120" s="5" t="n">
        <v>2024</v>
      </c>
      <c r="H1120" s="5" t="inlineStr">
        <is>
          <t>Febrero</t>
        </is>
      </c>
      <c r="I1120" s="6" t="inlineStr">
        <is>
          <t>2024-1</t>
        </is>
      </c>
      <c r="J1120" s="5" t="n"/>
      <c r="K1120" s="10" t="n">
        <v>29</v>
      </c>
      <c r="L1120" s="28" t="n"/>
      <c r="M1120" s="28" t="n"/>
      <c r="N1120" s="5" t="inlineStr">
        <is>
          <t>Metrica</t>
        </is>
      </c>
      <c r="O1120" s="5" t="inlineStr">
        <is>
          <t>ENT</t>
        </is>
      </c>
      <c r="P1120" s="16" t="n">
        <v>0</v>
      </c>
      <c r="Q1120" s="16" t="n">
        <v>0</v>
      </c>
      <c r="R1120" s="5" t="inlineStr">
        <is>
          <t>239-2024-02-29</t>
        </is>
      </c>
    </row>
    <row r="1121">
      <c r="A1121" s="26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44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/>
      <c r="K1121" s="10" t="n">
        <v>0</v>
      </c>
      <c r="L1121" s="28" t="n"/>
      <c r="M1121" s="28" t="n"/>
      <c r="N1121" s="5" t="inlineStr">
        <is>
          <t>Metrica</t>
        </is>
      </c>
      <c r="O1121" s="5" t="inlineStr">
        <is>
          <t>ENT</t>
        </is>
      </c>
      <c r="P1121" s="16" t="n">
        <v>0</v>
      </c>
      <c r="Q1121" s="16" t="n">
        <v>0</v>
      </c>
      <c r="R1121" s="5" t="inlineStr">
        <is>
          <t>239-2024-03-31</t>
        </is>
      </c>
    </row>
    <row r="1122">
      <c r="A1122" s="43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44" t="n">
        <v>45412</v>
      </c>
      <c r="G1122" s="5" t="n">
        <v>2024</v>
      </c>
      <c r="H1122" s="5" t="inlineStr">
        <is>
          <t>Abril</t>
        </is>
      </c>
      <c r="I1122" s="6" t="inlineStr">
        <is>
          <t>2024-1</t>
        </is>
      </c>
      <c r="J1122" s="5" t="n"/>
      <c r="K1122" s="123" t="n">
        <v>28</v>
      </c>
      <c r="L1122" s="28" t="n"/>
      <c r="M1122" s="28" t="n"/>
      <c r="N1122" s="5" t="inlineStr">
        <is>
          <t>Metrica</t>
        </is>
      </c>
      <c r="O1122" s="5" t="inlineStr">
        <is>
          <t>ENT</t>
        </is>
      </c>
      <c r="P1122" s="16" t="n">
        <v>0</v>
      </c>
      <c r="Q1122" s="16" t="n">
        <v>0</v>
      </c>
      <c r="R1122" s="5" t="inlineStr">
        <is>
          <t>239-2024-04-30</t>
        </is>
      </c>
    </row>
    <row r="1123">
      <c r="A1123" s="39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44" t="n">
        <v>45443</v>
      </c>
      <c r="G1123" s="5" t="n">
        <v>2024</v>
      </c>
      <c r="H1123" s="5" t="inlineStr">
        <is>
          <t>Mayo</t>
        </is>
      </c>
      <c r="I1123" s="6" t="inlineStr">
        <is>
          <t>2024-1</t>
        </is>
      </c>
      <c r="J1123" s="5" t="n"/>
      <c r="K1123" s="123" t="n">
        <v>29</v>
      </c>
      <c r="L1123" s="28" t="n"/>
      <c r="M1123" s="28" t="n"/>
      <c r="N1123" s="5" t="inlineStr">
        <is>
          <t>Metrica</t>
        </is>
      </c>
      <c r="O1123" s="5" t="inlineStr">
        <is>
          <t>ENT</t>
        </is>
      </c>
      <c r="P1123" s="16" t="n">
        <v>0</v>
      </c>
      <c r="Q1123" s="16" t="n">
        <v>0</v>
      </c>
      <c r="R1123" s="5" t="inlineStr">
        <is>
          <t>239-2024-05-31</t>
        </is>
      </c>
    </row>
    <row r="1124">
      <c r="A1124" s="43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44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/>
      <c r="K1124" s="123" t="n">
        <v>29</v>
      </c>
      <c r="L1124" s="28" t="n"/>
      <c r="M1124" s="28" t="n"/>
      <c r="N1124" s="5" t="inlineStr">
        <is>
          <t>Metrica</t>
        </is>
      </c>
      <c r="O1124" s="5" t="inlineStr">
        <is>
          <t>ENT</t>
        </is>
      </c>
      <c r="P1124" s="16" t="n">
        <v>0</v>
      </c>
      <c r="Q1124" s="16" t="n">
        <v>0</v>
      </c>
      <c r="R1124" s="5" t="inlineStr">
        <is>
          <t>239-2024-06-30</t>
        </is>
      </c>
    </row>
    <row r="1125">
      <c r="A1125" s="26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44" t="n">
        <v>45504</v>
      </c>
      <c r="G1125" s="5" t="n">
        <v>2024</v>
      </c>
      <c r="H1125" s="5" t="inlineStr">
        <is>
          <t>Julio</t>
        </is>
      </c>
      <c r="I1125" s="6" t="inlineStr">
        <is>
          <t>2024-2</t>
        </is>
      </c>
      <c r="J1125" s="5" t="n"/>
      <c r="K1125" s="10" t="n">
        <v>0</v>
      </c>
      <c r="L1125" s="28" t="n"/>
      <c r="M1125" s="28" t="n"/>
      <c r="N1125" s="5" t="inlineStr">
        <is>
          <t>Metrica</t>
        </is>
      </c>
      <c r="O1125" s="5" t="inlineStr">
        <is>
          <t>ENT</t>
        </is>
      </c>
      <c r="P1125" s="16" t="n">
        <v>0</v>
      </c>
      <c r="Q1125" s="16" t="n">
        <v>0</v>
      </c>
      <c r="R1125" s="5" t="inlineStr">
        <is>
          <t>239-2024-07-31</t>
        </is>
      </c>
    </row>
    <row r="1126">
      <c r="A1126" s="26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43" t="n">
        <v>45535</v>
      </c>
      <c r="G1126" s="5" t="n">
        <v>2024</v>
      </c>
      <c r="H1126" s="5" t="inlineStr">
        <is>
          <t>Agosto</t>
        </is>
      </c>
      <c r="I1126" s="6" t="inlineStr">
        <is>
          <t>2024-2</t>
        </is>
      </c>
      <c r="J1126" s="5" t="n"/>
      <c r="K1126" s="123" t="n">
        <v>0</v>
      </c>
      <c r="L1126" s="8" t="n"/>
      <c r="M1126" s="28" t="n"/>
      <c r="N1126" s="5" t="inlineStr">
        <is>
          <t>Metrica</t>
        </is>
      </c>
      <c r="O1126" s="5" t="inlineStr">
        <is>
          <t>ENT</t>
        </is>
      </c>
      <c r="P1126" s="16" t="n">
        <v>0</v>
      </c>
      <c r="Q1126" s="16" t="n">
        <v>0</v>
      </c>
      <c r="R1126" s="5" t="inlineStr">
        <is>
          <t>239-2024-08-31</t>
        </is>
      </c>
    </row>
    <row r="1127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43" t="n">
        <v>45565</v>
      </c>
      <c r="G1127" s="5" t="n">
        <v>2024</v>
      </c>
      <c r="H1127" s="5" t="inlineStr">
        <is>
          <t>Septiembre</t>
        </is>
      </c>
      <c r="I1127" s="6" t="inlineStr">
        <is>
          <t>2024-2</t>
        </is>
      </c>
      <c r="J1127" s="5" t="n"/>
      <c r="K1127" s="123" t="n">
        <v>0</v>
      </c>
      <c r="L1127" s="8" t="n"/>
      <c r="M1127" s="28" t="n"/>
      <c r="N1127" s="5" t="inlineStr">
        <is>
          <t>Metrica</t>
        </is>
      </c>
      <c r="O1127" s="5" t="inlineStr">
        <is>
          <t>ENT</t>
        </is>
      </c>
      <c r="P1127" s="16" t="n">
        <v>0</v>
      </c>
      <c r="Q1127" s="16" t="n">
        <v>0</v>
      </c>
      <c r="R1127" s="5" t="inlineStr">
        <is>
          <t>239-2024-09-30</t>
        </is>
      </c>
    </row>
    <row r="1128">
      <c r="A1128" s="39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44" t="n">
        <v>45596</v>
      </c>
      <c r="G1128" s="5" t="n">
        <v>2024</v>
      </c>
      <c r="H1128" s="5" t="inlineStr">
        <is>
          <t>Octubre</t>
        </is>
      </c>
      <c r="I1128" s="6" t="inlineStr">
        <is>
          <t>2024-2</t>
        </is>
      </c>
      <c r="J1128" s="5" t="n"/>
      <c r="K1128" s="123" t="n">
        <v>0</v>
      </c>
      <c r="L1128" s="8" t="n"/>
      <c r="M1128" s="28" t="n"/>
      <c r="N1128" s="5" t="inlineStr">
        <is>
          <t>Metrica</t>
        </is>
      </c>
      <c r="O1128" s="5" t="inlineStr">
        <is>
          <t>ENT</t>
        </is>
      </c>
      <c r="P1128" s="16" t="n">
        <v>0</v>
      </c>
      <c r="Q1128" s="16" t="n">
        <v>0</v>
      </c>
      <c r="R1128" s="5" t="inlineStr">
        <is>
          <t>239-2024-10-31</t>
        </is>
      </c>
    </row>
    <row r="1129">
      <c r="A1129" s="5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44" t="n">
        <v>45626</v>
      </c>
      <c r="G1129" s="5" t="n">
        <v>2024</v>
      </c>
      <c r="H1129" s="5" t="inlineStr">
        <is>
          <t>Noviembre</t>
        </is>
      </c>
      <c r="I1129" s="6" t="inlineStr">
        <is>
          <t>2024-2</t>
        </is>
      </c>
      <c r="J1129" s="5" t="n"/>
      <c r="K1129" s="11" t="n">
        <v>0</v>
      </c>
      <c r="L1129" s="8" t="n"/>
      <c r="M1129" s="28" t="n"/>
      <c r="N1129" s="5" t="inlineStr">
        <is>
          <t>Metrica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239-2024-11-30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44" t="n">
        <v>45657</v>
      </c>
      <c r="G1130" s="5" t="n">
        <v>2024</v>
      </c>
      <c r="H1130" s="5" t="inlineStr">
        <is>
          <t>Diciembre</t>
        </is>
      </c>
      <c r="I1130" s="6" t="inlineStr">
        <is>
          <t>2024-2</t>
        </is>
      </c>
      <c r="J1130" s="5" t="n"/>
      <c r="K1130" s="10" t="n">
        <v>0</v>
      </c>
      <c r="L1130" s="8" t="n"/>
      <c r="M1130" s="28" t="n"/>
      <c r="N1130" s="5" t="inlineStr">
        <is>
          <t>Metrica</t>
        </is>
      </c>
      <c r="O1130" s="5" t="inlineStr">
        <is>
          <t>ENT</t>
        </is>
      </c>
      <c r="P1130" s="16" t="n">
        <v>0</v>
      </c>
      <c r="Q1130" s="16" t="n">
        <v>0</v>
      </c>
      <c r="R1130" s="5" t="inlineStr">
        <is>
          <t>239-2024-12-31</t>
        </is>
      </c>
    </row>
    <row r="1131">
      <c r="A1131" s="43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44" t="n">
        <v>45688</v>
      </c>
      <c r="G1131" s="5" t="n">
        <v>2025</v>
      </c>
      <c r="H1131" s="5" t="inlineStr">
        <is>
          <t>Enero</t>
        </is>
      </c>
      <c r="I1131" s="6" t="inlineStr">
        <is>
          <t>2025-1</t>
        </is>
      </c>
      <c r="J1131" s="5" t="n"/>
      <c r="K1131" s="123" t="n">
        <v>33</v>
      </c>
      <c r="L1131" s="8" t="n"/>
      <c r="M1131" s="28" t="n"/>
      <c r="N1131" s="5" t="inlineStr">
        <is>
          <t>Metrica</t>
        </is>
      </c>
      <c r="O1131" s="5" t="inlineStr">
        <is>
          <t>ENT</t>
        </is>
      </c>
      <c r="P1131" s="16" t="n">
        <v>0</v>
      </c>
      <c r="Q1131" s="16" t="n">
        <v>0</v>
      </c>
      <c r="R1131" s="5" t="inlineStr">
        <is>
          <t>239-2025-01-31</t>
        </is>
      </c>
    </row>
    <row r="1132">
      <c r="A1132" s="39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44" t="n">
        <v>45716</v>
      </c>
      <c r="G1132" s="5" t="n">
        <v>2025</v>
      </c>
      <c r="H1132" s="5" t="inlineStr">
        <is>
          <t>Febrero</t>
        </is>
      </c>
      <c r="I1132" s="6" t="inlineStr">
        <is>
          <t>2025-1</t>
        </is>
      </c>
      <c r="J1132" s="5" t="n"/>
      <c r="K1132" s="123" t="n">
        <v>0</v>
      </c>
      <c r="L1132" s="8" t="n"/>
      <c r="M1132" s="28" t="n"/>
      <c r="N1132" s="5" t="inlineStr">
        <is>
          <t>Metrica</t>
        </is>
      </c>
      <c r="O1132" s="5" t="inlineStr">
        <is>
          <t>ENT</t>
        </is>
      </c>
      <c r="P1132" s="16" t="n">
        <v>0</v>
      </c>
      <c r="Q1132" s="16" t="n">
        <v>0</v>
      </c>
      <c r="R1132" s="5" t="inlineStr">
        <is>
          <t>239-2025-02-28</t>
        </is>
      </c>
    </row>
    <row r="1133">
      <c r="A1133" s="26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44" t="n">
        <v>45747</v>
      </c>
      <c r="G1133" s="5" t="n">
        <v>2025</v>
      </c>
      <c r="H1133" s="5" t="inlineStr">
        <is>
          <t>Marzo</t>
        </is>
      </c>
      <c r="I1133" s="6" t="inlineStr">
        <is>
          <t>2025-1</t>
        </is>
      </c>
      <c r="J1133" s="5" t="n"/>
      <c r="K1133" s="10" t="n">
        <v>42</v>
      </c>
      <c r="L1133" s="28" t="n"/>
      <c r="M1133" s="28" t="n"/>
      <c r="N1133" s="5" t="inlineStr">
        <is>
          <t>Metrica</t>
        </is>
      </c>
      <c r="O1133" s="5" t="inlineStr">
        <is>
          <t>ENT</t>
        </is>
      </c>
      <c r="P1133" s="16" t="n">
        <v>0</v>
      </c>
      <c r="Q1133" s="16" t="n">
        <v>0</v>
      </c>
      <c r="R1133" s="5" t="inlineStr">
        <is>
          <t>239-2025-03-31</t>
        </is>
      </c>
    </row>
    <row r="1134">
      <c r="A1134" s="5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44" t="n">
        <v>45777</v>
      </c>
      <c r="G1134" s="5" t="n">
        <v>2025</v>
      </c>
      <c r="H1134" s="5" t="inlineStr">
        <is>
          <t>Abril</t>
        </is>
      </c>
      <c r="I1134" s="6" t="inlineStr">
        <is>
          <t>2025-1</t>
        </is>
      </c>
      <c r="J1134" s="5" t="n"/>
      <c r="K1134" s="5" t="n">
        <v>40</v>
      </c>
      <c r="L1134" s="28" t="n"/>
      <c r="M1134" s="28" t="n"/>
      <c r="N1134" s="5" t="inlineStr">
        <is>
          <t>Metrica</t>
        </is>
      </c>
      <c r="O1134" s="5" t="inlineStr">
        <is>
          <t>ENT</t>
        </is>
      </c>
      <c r="P1134" s="5" t="n">
        <v>0</v>
      </c>
      <c r="Q1134" s="5" t="n">
        <v>0</v>
      </c>
      <c r="R1134" s="5" t="inlineStr">
        <is>
          <t>239-2025-04-30</t>
        </is>
      </c>
    </row>
    <row r="1135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44" t="n">
        <v>45808</v>
      </c>
      <c r="G1135" s="5" t="n">
        <v>2025</v>
      </c>
      <c r="H1135" s="5" t="inlineStr">
        <is>
          <t>Mayo</t>
        </is>
      </c>
      <c r="I1135" s="6" t="inlineStr">
        <is>
          <t>2025-1</t>
        </is>
      </c>
      <c r="J1135" s="5" t="n"/>
      <c r="K1135" s="10" t="n">
        <v>42</v>
      </c>
      <c r="L1135" s="28" t="n"/>
      <c r="M1135" s="28" t="n"/>
      <c r="N1135" s="5" t="inlineStr">
        <is>
          <t>Metrica</t>
        </is>
      </c>
      <c r="O1135" s="5" t="inlineStr">
        <is>
          <t>ENT</t>
        </is>
      </c>
      <c r="P1135" s="16" t="n">
        <v>0</v>
      </c>
      <c r="Q1135" s="16" t="n">
        <v>0</v>
      </c>
      <c r="R1135" s="5" t="inlineStr">
        <is>
          <t>239-2025-05-31</t>
        </is>
      </c>
    </row>
    <row r="1136">
      <c r="A1136" s="26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44" t="n">
        <v>45838</v>
      </c>
      <c r="G1136" s="5" t="n">
        <v>2025</v>
      </c>
      <c r="H1136" s="5" t="inlineStr">
        <is>
          <t>Junio</t>
        </is>
      </c>
      <c r="I1136" s="6" t="inlineStr">
        <is>
          <t>2025-1</t>
        </is>
      </c>
      <c r="J1136" s="5" t="n"/>
      <c r="K1136" s="10" t="n">
        <v>41</v>
      </c>
      <c r="L1136" s="28" t="n"/>
      <c r="M1136" s="28" t="n"/>
      <c r="N1136" s="5" t="inlineStr">
        <is>
          <t>Metrica</t>
        </is>
      </c>
      <c r="O1136" s="5" t="inlineStr">
        <is>
          <t>ENT</t>
        </is>
      </c>
      <c r="P1136" s="16" t="n">
        <v>0</v>
      </c>
      <c r="Q1136" s="16" t="n">
        <v>0</v>
      </c>
      <c r="R1136" s="5" t="inlineStr">
        <is>
          <t>239-2025-06-30</t>
        </is>
      </c>
    </row>
    <row r="1137">
      <c r="A1137" s="26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44" t="n">
        <v>45869</v>
      </c>
      <c r="G1137" s="5" t="n">
        <v>2025</v>
      </c>
      <c r="H1137" s="5" t="inlineStr">
        <is>
          <t>Julio</t>
        </is>
      </c>
      <c r="I1137" s="6" t="inlineStr">
        <is>
          <t>2025-2</t>
        </is>
      </c>
      <c r="J1137" s="5" t="n"/>
      <c r="K1137" s="123" t="n">
        <v>42</v>
      </c>
      <c r="L1137" s="28" t="n"/>
      <c r="M1137" s="28" t="n"/>
      <c r="N1137" s="5" t="inlineStr">
        <is>
          <t>Metrica</t>
        </is>
      </c>
      <c r="O1137" s="5" t="inlineStr">
        <is>
          <t>ENT</t>
        </is>
      </c>
      <c r="P1137" s="16" t="n">
        <v>0</v>
      </c>
      <c r="Q1137" s="16" t="n">
        <v>0</v>
      </c>
      <c r="R1137" s="5" t="inlineStr">
        <is>
          <t>239-2025-07-31</t>
        </is>
      </c>
    </row>
    <row r="1138">
      <c r="A1138" s="43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44" t="n">
        <v>45900</v>
      </c>
      <c r="G1138" s="5" t="n">
        <v>2025</v>
      </c>
      <c r="H1138" s="5" t="inlineStr">
        <is>
          <t>Agosto</t>
        </is>
      </c>
      <c r="I1138" s="6" t="inlineStr">
        <is>
          <t>2025-2</t>
        </is>
      </c>
      <c r="J1138" s="5" t="n"/>
      <c r="K1138" s="123" t="n">
        <v>41</v>
      </c>
      <c r="L1138" s="28" t="n"/>
      <c r="M1138" s="28" t="n"/>
      <c r="N1138" s="5" t="inlineStr">
        <is>
          <t>Metrica</t>
        </is>
      </c>
      <c r="O1138" s="5" t="inlineStr">
        <is>
          <t>ENT</t>
        </is>
      </c>
      <c r="P1138" s="16" t="n">
        <v>0</v>
      </c>
      <c r="Q1138" s="16" t="n">
        <v>0</v>
      </c>
      <c r="R1138" s="5" t="inlineStr">
        <is>
          <t>239-2025-08-31</t>
        </is>
      </c>
    </row>
    <row r="1139">
      <c r="A1139" s="39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44" t="n">
        <v>45930</v>
      </c>
      <c r="G1139" s="5" t="n">
        <v>2025</v>
      </c>
      <c r="H1139" s="5" t="inlineStr">
        <is>
          <t>Septiembre</t>
        </is>
      </c>
      <c r="I1139" s="6" t="inlineStr">
        <is>
          <t>2025-2</t>
        </is>
      </c>
      <c r="J1139" s="5" t="n"/>
      <c r="K1139" s="123" t="n">
        <v>43</v>
      </c>
      <c r="L1139" s="8" t="n"/>
      <c r="M1139" s="28" t="n"/>
      <c r="N1139" s="5" t="inlineStr">
        <is>
          <t>Metrica</t>
        </is>
      </c>
      <c r="O1139" s="5" t="inlineStr">
        <is>
          <t>ENT</t>
        </is>
      </c>
      <c r="P1139" s="16" t="n">
        <v>0</v>
      </c>
      <c r="Q1139" s="16" t="n">
        <v>0</v>
      </c>
      <c r="R1139" s="5" t="inlineStr">
        <is>
          <t>239-2025-09-30</t>
        </is>
      </c>
      <c r="S1139" t="inlineStr">
        <is>
          <t>Metrica</t>
        </is>
      </c>
    </row>
    <row r="1140">
      <c r="A1140" s="26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44" t="n">
        <v>45961</v>
      </c>
      <c r="G1140" s="5" t="n">
        <v>2025</v>
      </c>
      <c r="H1140" s="5" t="inlineStr">
        <is>
          <t>Octubre</t>
        </is>
      </c>
      <c r="I1140" s="6" t="inlineStr">
        <is>
          <t>2025-2</t>
        </is>
      </c>
      <c r="J1140" s="5" t="n"/>
      <c r="K1140" s="10" t="n">
        <v>43</v>
      </c>
      <c r="L1140" s="28" t="n"/>
      <c r="M1140" s="28" t="n"/>
      <c r="N1140" s="5" t="inlineStr">
        <is>
          <t>Metrica</t>
        </is>
      </c>
      <c r="O1140" s="5" t="inlineStr">
        <is>
          <t>ENT</t>
        </is>
      </c>
      <c r="P1140" s="16" t="n">
        <v>0</v>
      </c>
      <c r="Q1140" s="16" t="n">
        <v>0</v>
      </c>
      <c r="R1140" s="5" t="inlineStr">
        <is>
          <t>239-2025-10-31</t>
        </is>
      </c>
      <c r="S1140" t="inlineStr">
        <is>
          <t>Metrica</t>
        </is>
      </c>
    </row>
    <row r="1141">
      <c r="A1141" s="5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44" t="n">
        <v>45991</v>
      </c>
      <c r="G1141" s="5" t="n">
        <v>2025</v>
      </c>
      <c r="H1141" s="5" t="inlineStr">
        <is>
          <t>Noviembre</t>
        </is>
      </c>
      <c r="I1141" s="6" t="inlineStr">
        <is>
          <t>2025-2</t>
        </is>
      </c>
      <c r="J1141" s="5" t="n"/>
      <c r="K1141" s="5" t="n">
        <v>43</v>
      </c>
      <c r="L1141" s="28" t="n"/>
      <c r="M1141" s="28" t="n"/>
      <c r="N1141" s="5" t="inlineStr">
        <is>
          <t>Metrica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239-2025-11-30</t>
        </is>
      </c>
      <c r="S1141" t="inlineStr">
        <is>
          <t>Metrica</t>
        </is>
      </c>
    </row>
    <row r="1142">
      <c r="A1142" s="26" t="n">
        <v>239</v>
      </c>
      <c r="B1142" s="5" t="inlineStr">
        <is>
          <t>Portafolio de Proyectos - Metrica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44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5" t="n"/>
      <c r="K1142" s="10" t="n">
        <v>44</v>
      </c>
      <c r="L1142" s="28" t="n"/>
      <c r="M1142" s="28" t="n"/>
      <c r="N1142" s="5" t="inlineStr">
        <is>
          <t>Metrica</t>
        </is>
      </c>
      <c r="O1142" s="5" t="inlineStr">
        <is>
          <t>ENT</t>
        </is>
      </c>
      <c r="P1142" s="16" t="n">
        <v>0</v>
      </c>
      <c r="Q1142" s="16" t="n">
        <v>0</v>
      </c>
      <c r="R1142" s="5" t="inlineStr">
        <is>
          <t>239-2025-12-31</t>
        </is>
      </c>
      <c r="S1142" t="inlineStr">
        <is>
          <t>Metrica</t>
        </is>
      </c>
    </row>
    <row r="1143">
      <c r="A1143" s="39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144" t="n">
        <v>45016</v>
      </c>
      <c r="G1143" s="5" t="n">
        <v>2023</v>
      </c>
      <c r="H1143" s="5" t="inlineStr">
        <is>
          <t>Marzo</t>
        </is>
      </c>
      <c r="I1143" s="6" t="inlineStr">
        <is>
          <t>2023-1</t>
        </is>
      </c>
      <c r="J1143" s="5" t="n">
        <v>100</v>
      </c>
      <c r="K1143" s="123" t="n">
        <v>40</v>
      </c>
      <c r="L1143" s="28">
        <f>IFERROR(IF(OR(J1143=0,K1143=""),"",IF(E1143="Positivo",MIN(MAX(K1143/J1143,0),1.3),MIN(MAX(J1143/K1143,0),1.3))),"") </f>
        <v/>
      </c>
      <c r="M1143" s="28">
        <f>IFERROR(IF(OR(J1143=0,K1143=""),"",IF(E1143="Positivo",MAX(K1143/J1143,0),MAX(J1143/K1143,0))),"") </f>
        <v/>
      </c>
      <c r="N1143" s="5" t="inlineStr">
        <is>
          <t>%</t>
        </is>
      </c>
      <c r="O1143" s="5" t="inlineStr">
        <is>
          <t>%</t>
        </is>
      </c>
      <c r="P1143" s="16" t="n">
        <v>0</v>
      </c>
      <c r="Q1143" s="16" t="n">
        <v>0</v>
      </c>
      <c r="R1143" s="5" t="inlineStr">
        <is>
          <t>240-2023-03-31</t>
        </is>
      </c>
    </row>
    <row r="1144">
      <c r="A1144" s="5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144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5" t="n">
        <v>60</v>
      </c>
      <c r="L1144" s="28">
        <f>IFERROR(IF(OR(J1144=0,K1144=""),"",IF(E1144="Positivo",MIN(MAX(K1144/J1144,0),1.3),MIN(MAX(J1144/K1144,0),1.3))),"") </f>
        <v/>
      </c>
      <c r="M1144" s="28">
        <f>IFERROR(IF(OR(J1144=0,K1144=""),"",IF(E1144="Positivo",MAX(K1144/J1144,0),MAX(J1144/K1144,0))),"") </f>
        <v/>
      </c>
      <c r="N1144" s="5" t="inlineStr">
        <is>
          <t>%</t>
        </is>
      </c>
      <c r="O1144" s="5" t="inlineStr">
        <is>
          <t>%</t>
        </is>
      </c>
      <c r="P1144" s="16" t="n">
        <v>0</v>
      </c>
      <c r="Q1144" s="5" t="n">
        <v>0</v>
      </c>
      <c r="R1144" s="5" t="inlineStr">
        <is>
          <t>240-2023-06-30</t>
        </is>
      </c>
    </row>
    <row r="1145">
      <c r="A1145" s="26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144" t="n">
        <v>45199</v>
      </c>
      <c r="G1145" s="5" t="n">
        <v>2023</v>
      </c>
      <c r="H1145" s="5" t="inlineStr">
        <is>
          <t>Septiembre</t>
        </is>
      </c>
      <c r="I1145" s="6" t="inlineStr">
        <is>
          <t>2023-2</t>
        </is>
      </c>
      <c r="J1145" s="5" t="n">
        <v>100</v>
      </c>
      <c r="K1145" s="10" t="n">
        <v>80</v>
      </c>
      <c r="L1145" s="28">
        <f>IFERROR(IF(OR(J1145=0,K1145=""),"",IF(E1145="Positivo",MIN(MAX(K1145/J1145,0),1.3),MIN(MAX(J1145/K1145,0),1.3))),"") </f>
        <v/>
      </c>
      <c r="M1145" s="28">
        <f>IFERROR(IF(OR(J1145=0,K1145=""),"",IF(E1145="Positivo",MAX(K1145/J1145,0),MAX(J1145/K1145,0))),"") </f>
        <v/>
      </c>
      <c r="N1145" s="5" t="inlineStr">
        <is>
          <t>%</t>
        </is>
      </c>
      <c r="O1145" s="5" t="inlineStr">
        <is>
          <t>%</t>
        </is>
      </c>
      <c r="P1145" s="16" t="n">
        <v>0</v>
      </c>
      <c r="Q1145" s="16" t="n">
        <v>0</v>
      </c>
      <c r="R1145" s="5" t="inlineStr">
        <is>
          <t>240-2023-09-30</t>
        </is>
      </c>
    </row>
    <row r="1146">
      <c r="A1146" s="43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144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123" t="n">
        <v>80</v>
      </c>
      <c r="L1146" s="28">
        <f>IFERROR(IF(OR(J1146=0,K1146=""),"",IF(E1146="Positivo",MIN(MAX(K1146/J1146,0),1.3),MIN(MAX(J1146/K1146,0),1.3))),"") </f>
        <v/>
      </c>
      <c r="M1146" s="28">
        <f>IFERROR(IF(OR(J1146=0,K1146=""),"",IF(E1146="Positivo",MAX(K1146/J1146,0),MAX(J1146/K1146,0))),"") </f>
        <v/>
      </c>
      <c r="N1146" s="5" t="inlineStr">
        <is>
          <t>%</t>
        </is>
      </c>
      <c r="O1146" s="5" t="inlineStr">
        <is>
          <t>%</t>
        </is>
      </c>
      <c r="P1146" s="16" t="n">
        <v>0</v>
      </c>
      <c r="Q1146" s="16" t="n">
        <v>0</v>
      </c>
      <c r="R1146" s="5" t="inlineStr">
        <is>
          <t>240-2023-12-31</t>
        </is>
      </c>
    </row>
    <row r="1147">
      <c r="A1147" s="39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144" t="n">
        <v>45382</v>
      </c>
      <c r="G1147" s="5" t="n">
        <v>2024</v>
      </c>
      <c r="H1147" s="5" t="inlineStr">
        <is>
          <t>Marzo</t>
        </is>
      </c>
      <c r="I1147" s="6" t="inlineStr">
        <is>
          <t>2024-1</t>
        </is>
      </c>
      <c r="J1147" s="5" t="n">
        <v>100</v>
      </c>
      <c r="K1147" s="123" t="n">
        <v>91.66666666666666</v>
      </c>
      <c r="L1147" s="28">
        <f>IFERROR(IF(OR(J1147=0,K1147=""),"",IF(E1147="Positivo",MIN(MAX(K1147/J1147,0),1.3),MIN(MAX(J1147/K1147,0),1.3))),"") </f>
        <v/>
      </c>
      <c r="M1147" s="28">
        <f>IFERROR(IF(OR(J1147=0,K1147=""),"",IF(E1147="Positivo",MAX(K1147/J1147,0),MAX(J1147/K1147,0))),"") </f>
        <v/>
      </c>
      <c r="N1147" s="5" t="inlineStr">
        <is>
          <t>%</t>
        </is>
      </c>
      <c r="O1147" s="5" t="inlineStr">
        <is>
          <t>%</t>
        </is>
      </c>
      <c r="P1147" s="16" t="n">
        <v>0</v>
      </c>
      <c r="Q1147" s="16" t="n">
        <v>0</v>
      </c>
      <c r="R1147" s="5" t="inlineStr">
        <is>
          <t>240-2024-03-31</t>
        </is>
      </c>
    </row>
    <row r="1148">
      <c r="A1148" s="43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144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5" t="n">
        <v>100</v>
      </c>
      <c r="K1148" s="123" t="n">
        <v>100</v>
      </c>
      <c r="L1148" s="28">
        <f>IFERROR(IF(OR(J1148=0,K1148=""),"",IF(E1148="Positivo",MIN(MAX(K1148/J1148,0),1.3),MIN(MAX(J1148/K1148,0),1.3))),"") </f>
        <v/>
      </c>
      <c r="M1148" s="28">
        <f>IFERROR(IF(OR(J1148=0,K1148=""),"",IF(E1148="Positivo",MAX(K1148/J1148,0),MAX(J1148/K1148,0))),"") </f>
        <v/>
      </c>
      <c r="N1148" s="5" t="inlineStr">
        <is>
          <t>%</t>
        </is>
      </c>
      <c r="O1148" s="5" t="inlineStr">
        <is>
          <t>%</t>
        </is>
      </c>
      <c r="P1148" s="16" t="n">
        <v>0</v>
      </c>
      <c r="Q1148" s="16" t="n">
        <v>0</v>
      </c>
      <c r="R1148" s="5" t="inlineStr">
        <is>
          <t>240-2024-06-30</t>
        </is>
      </c>
    </row>
    <row r="1149">
      <c r="A1149" s="26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144" t="n">
        <v>45565</v>
      </c>
      <c r="G1149" s="5" t="n">
        <v>2024</v>
      </c>
      <c r="H1149" s="5" t="inlineStr">
        <is>
          <t>Septiembre</t>
        </is>
      </c>
      <c r="I1149" s="6" t="inlineStr">
        <is>
          <t>2024-2</t>
        </is>
      </c>
      <c r="J1149" s="119" t="n">
        <v>100</v>
      </c>
      <c r="K1149" s="123" t="n">
        <v>100</v>
      </c>
      <c r="L1149" s="28">
        <f>IFERROR(IF(OR(J1149=0,K1149=""),"",IF(E1149="Positivo",MIN(MAX(K1149/J1149,0),1.3),MIN(MAX(J1149/K1149,0),1.3))),"") </f>
        <v/>
      </c>
      <c r="M1149" s="28">
        <f>IFERROR(IF(OR(J1149=0,K1149=""),"",IF(E1149="Positivo",MAX(K1149/J1149,0),MAX(J1149/K1149,0))),"") </f>
        <v/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 t="inlineStr">
        <is>
          <t>240-2024-09-30</t>
        </is>
      </c>
    </row>
    <row r="1150">
      <c r="A1150" s="43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144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5" t="n">
        <v>100</v>
      </c>
      <c r="K1150" s="123" t="n">
        <v>100</v>
      </c>
      <c r="L1150" s="28">
        <f>IFERROR(IF(OR(J1150=0,K1150=""),"",IF(E1150="Positivo",MIN(MAX(K1150/J1150,0),1.3),MIN(MAX(J1150/K1150,0),1.3))),"") </f>
        <v/>
      </c>
      <c r="M1150" s="28">
        <f>IFERROR(IF(OR(J1150=0,K1150=""),"",IF(E1150="Positivo",MAX(K1150/J1150,0),MAX(J1150/K1150,0))),"") </f>
        <v/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 t="inlineStr">
        <is>
          <t>240-2024-12-31</t>
        </is>
      </c>
    </row>
    <row r="1151">
      <c r="A1151" s="39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Trimestral</t>
        </is>
      </c>
      <c r="E1151" s="5" t="inlineStr">
        <is>
          <t>Positivo</t>
        </is>
      </c>
      <c r="F1151" s="144" t="n">
        <v>45747</v>
      </c>
      <c r="G1151" s="5" t="n">
        <v>2025</v>
      </c>
      <c r="H1151" s="5" t="inlineStr">
        <is>
          <t>Marzo</t>
        </is>
      </c>
      <c r="I1151" s="6" t="inlineStr">
        <is>
          <t>2025-1</t>
        </is>
      </c>
      <c r="J1151" s="5" t="n">
        <v>100</v>
      </c>
      <c r="K1151" s="123" t="n">
        <v>100</v>
      </c>
      <c r="L1151" s="28">
        <f>IFERROR(IF(OR(J1151=0,K1151=""),"",IF(E1151="Positivo",MIN(MAX(K1151/J1151,0),1.3),MIN(MAX(J1151/K1151,0),1.3))),"") </f>
        <v/>
      </c>
      <c r="M1151" s="28">
        <f>IFERROR(IF(OR(J1151=0,K1151=""),"",IF(E1151="Positivo",MAX(K1151/J1151,0),MAX(J1151/K1151,0))),"") </f>
        <v/>
      </c>
      <c r="N1151" s="5" t="inlineStr">
        <is>
          <t>%</t>
        </is>
      </c>
      <c r="O1151" s="5" t="inlineStr">
        <is>
          <t>%</t>
        </is>
      </c>
      <c r="P1151" s="16" t="n">
        <v>0</v>
      </c>
      <c r="Q1151" s="16" t="n">
        <v>0</v>
      </c>
      <c r="R1151" s="5" t="inlineStr">
        <is>
          <t>240-2025-03-31</t>
        </is>
      </c>
    </row>
    <row r="1152">
      <c r="A1152" s="43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Trimestral</t>
        </is>
      </c>
      <c r="E1152" s="5" t="inlineStr">
        <is>
          <t>Positivo</t>
        </is>
      </c>
      <c r="F1152" s="144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123" t="n">
        <v>100</v>
      </c>
      <c r="L1152" s="28">
        <f>IFERROR(IF(OR(J1152=0,K1152=""),"",IF(E1152="Positivo",MIN(MAX(K1152/J1152,0),1.3),MIN(MAX(J1152/K1152,0),1.3))),"") </f>
        <v/>
      </c>
      <c r="M1152" s="28">
        <f>IFERROR(IF(OR(J1152=0,K1152=""),"",IF(E1152="Positivo",MAX(K1152/J1152,0),MAX(J1152/K1152,0))),"") </f>
        <v/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 t="inlineStr">
        <is>
          <t>240-2025-06-30</t>
        </is>
      </c>
    </row>
    <row r="1153">
      <c r="A1153" s="26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144" t="n">
        <v>45930</v>
      </c>
      <c r="G1153" s="5" t="n">
        <v>2025</v>
      </c>
      <c r="H1153" s="5" t="inlineStr">
        <is>
          <t>Septiembre</t>
        </is>
      </c>
      <c r="I1153" s="6" t="inlineStr">
        <is>
          <t>2025-2</t>
        </is>
      </c>
      <c r="J1153" s="5" t="n">
        <v>100</v>
      </c>
      <c r="K1153" s="10" t="n">
        <v>100</v>
      </c>
      <c r="L1153" s="28">
        <f>IFERROR(IF(OR(J1153=0,K1153=""),"",IF(E1153="Positivo",MIN(MAX(K1153/J1153,0),1.3),MIN(MAX(J1153/K1153,0),1.3))),"") </f>
        <v/>
      </c>
      <c r="M1153" s="28">
        <f>IFERROR(IF(OR(J1153=0,K1153=""),"",IF(E1153="Positivo",MAX(K1153/J1153,0),MAX(J1153/K1153,0))),"") </f>
        <v/>
      </c>
      <c r="N1153" s="5" t="inlineStr">
        <is>
          <t>%</t>
        </is>
      </c>
      <c r="O1153" s="5" t="inlineStr">
        <is>
          <t>%</t>
        </is>
      </c>
      <c r="P1153" s="16" t="n">
        <v>0</v>
      </c>
      <c r="Q1153" s="16" t="n">
        <v>0</v>
      </c>
      <c r="R1153" s="5" t="inlineStr">
        <is>
          <t>240-2025-09-30</t>
        </is>
      </c>
    </row>
    <row r="1154">
      <c r="A1154" s="26" t="n">
        <v>240</v>
      </c>
      <c r="B1154" s="5" t="inlineStr">
        <is>
          <t>Cumplimiento de Gestión De Proyectos Cerrados</t>
        </is>
      </c>
      <c r="C1154" s="5" t="inlineStr">
        <is>
          <t>Gestión de Proyectos</t>
        </is>
      </c>
      <c r="D1154" s="5" t="inlineStr">
        <is>
          <t>Semestral</t>
        </is>
      </c>
      <c r="E1154" s="5" t="inlineStr">
        <is>
          <t>Positivo</t>
        </is>
      </c>
      <c r="F1154" s="144" t="n">
        <v>46022</v>
      </c>
      <c r="G1154" s="5" t="n">
        <v>2025</v>
      </c>
      <c r="H1154" s="5" t="inlineStr">
        <is>
          <t>Diciembre</t>
        </is>
      </c>
      <c r="I1154" s="6" t="inlineStr">
        <is>
          <t>2025-2</t>
        </is>
      </c>
      <c r="J1154" s="5" t="n">
        <v>100</v>
      </c>
      <c r="K1154" s="123" t="n">
        <v>100</v>
      </c>
      <c r="L1154" s="28">
        <f>IFERROR(IF(OR(J1154=0,K1154=""),"",IF(E1154="Positivo",MIN(MAX(K1154/J1154,0),1.3),MIN(MAX(J1154/K1154,0),1.3))),"") </f>
        <v/>
      </c>
      <c r="M1154" s="28">
        <f>IFERROR(IF(OR(J1154=0,K1154=""),"",IF(E1154="Positivo",MAX(K1154/J1154,0),MAX(J1154/K1154,0))),"") </f>
        <v/>
      </c>
      <c r="N1154" s="5" t="inlineStr">
        <is>
          <t>%</t>
        </is>
      </c>
      <c r="O1154" s="5" t="inlineStr">
        <is>
          <t>%</t>
        </is>
      </c>
      <c r="P1154" s="16" t="n">
        <v>0</v>
      </c>
      <c r="Q1154" s="16" t="n">
        <v>0</v>
      </c>
      <c r="R1154" s="5" t="inlineStr">
        <is>
          <t>240-2025-12-31</t>
        </is>
      </c>
    </row>
    <row r="1155">
      <c r="A1155" s="26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43" t="n">
        <v>44957</v>
      </c>
      <c r="G1155" s="5" t="n">
        <v>2023</v>
      </c>
      <c r="H1155" s="5" t="inlineStr">
        <is>
          <t>Enero</t>
        </is>
      </c>
      <c r="I1155" s="6" t="inlineStr">
        <is>
          <t>2023-1</t>
        </is>
      </c>
      <c r="J1155" s="5" t="n">
        <v>80</v>
      </c>
      <c r="K1155" s="123" t="n">
        <v>100</v>
      </c>
      <c r="L1155" s="28">
        <f>IFERROR(IF(OR(J1155=0,K1155=""),"",IF(E1155="Positivo",MIN(MAX(K1155/J1155,0),1.3),MIN(MAX(J1155/K1155,0),1.3))),"") </f>
        <v/>
      </c>
      <c r="M1155" s="28">
        <f>IFERROR(IF(OR(J1155=0,K1155=""),"",IF(E1155="Positivo",MAX(K1155/J1155,0),MAX(J1155/K1155,0))),"") </f>
        <v/>
      </c>
      <c r="N1155" s="5" t="inlineStr">
        <is>
          <t>%</t>
        </is>
      </c>
      <c r="O1155" s="5" t="inlineStr">
        <is>
          <t>%</t>
        </is>
      </c>
      <c r="P1155" s="16" t="n">
        <v>0</v>
      </c>
      <c r="Q1155" s="16" t="n">
        <v>0</v>
      </c>
      <c r="R1155" s="5" t="inlineStr">
        <is>
          <t>241-2023-01-31</t>
        </is>
      </c>
    </row>
    <row r="1156">
      <c r="A1156" s="26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44" t="n">
        <v>44985</v>
      </c>
      <c r="G1156" s="5" t="n">
        <v>2023</v>
      </c>
      <c r="H1156" s="5" t="inlineStr">
        <is>
          <t>Febrero</t>
        </is>
      </c>
      <c r="I1156" s="6" t="inlineStr">
        <is>
          <t>2023-1</t>
        </is>
      </c>
      <c r="J1156" s="5" t="n">
        <v>80</v>
      </c>
      <c r="K1156" s="123" t="n">
        <v>100</v>
      </c>
      <c r="L1156" s="28">
        <f>IFERROR(IF(OR(J1156=0,K1156=""),"",IF(E1156="Positivo",MIN(MAX(K1156/J1156,0),1.3),MIN(MAX(J1156/K1156,0),1.3))),"") </f>
        <v/>
      </c>
      <c r="M1156" s="28">
        <f>IFERROR(IF(OR(J1156=0,K1156=""),"",IF(E1156="Positivo",MAX(K1156/J1156,0),MAX(J1156/K1156,0))),"") </f>
        <v/>
      </c>
      <c r="N1156" s="5" t="inlineStr">
        <is>
          <t>%</t>
        </is>
      </c>
      <c r="O1156" s="5" t="inlineStr">
        <is>
          <t>%</t>
        </is>
      </c>
      <c r="P1156" s="16" t="n">
        <v>0</v>
      </c>
      <c r="Q1156" s="16" t="n">
        <v>0</v>
      </c>
      <c r="R1156" s="5" t="inlineStr">
        <is>
          <t>241-2023-02-28</t>
        </is>
      </c>
    </row>
    <row r="1157">
      <c r="A1157" s="26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44" t="n">
        <v>45016</v>
      </c>
      <c r="G1157" s="5" t="n">
        <v>2023</v>
      </c>
      <c r="H1157" s="5" t="inlineStr">
        <is>
          <t>Marzo</t>
        </is>
      </c>
      <c r="I1157" s="6" t="inlineStr">
        <is>
          <t>2023-1</t>
        </is>
      </c>
      <c r="J1157" s="5" t="n">
        <v>80</v>
      </c>
      <c r="K1157" s="123" t="n">
        <v>100</v>
      </c>
      <c r="L1157" s="28">
        <f>IFERROR(IF(OR(J1157=0,K1157=""),"",IF(E1157="Positivo",MIN(MAX(K1157/J1157,0),1.3),MIN(MAX(J1157/K1157,0),1.3))),"") </f>
        <v/>
      </c>
      <c r="M1157" s="28">
        <f>IFERROR(IF(OR(J1157=0,K1157=""),"",IF(E1157="Positivo",MAX(K1157/J1157,0),MAX(J1157/K1157,0))),"") </f>
        <v/>
      </c>
      <c r="N1157" s="5" t="inlineStr">
        <is>
          <t>%</t>
        </is>
      </c>
      <c r="O1157" s="5" t="inlineStr">
        <is>
          <t>%</t>
        </is>
      </c>
      <c r="P1157" s="16" t="n">
        <v>0</v>
      </c>
      <c r="Q1157" s="16" t="n">
        <v>0</v>
      </c>
      <c r="R1157" s="5" t="inlineStr">
        <is>
          <t>241-2023-03-31</t>
        </is>
      </c>
    </row>
    <row r="1158">
      <c r="A1158" s="26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44" t="n">
        <v>45046</v>
      </c>
      <c r="G1158" s="5" t="n">
        <v>2023</v>
      </c>
      <c r="H1158" s="5" t="inlineStr">
        <is>
          <t>Abril</t>
        </is>
      </c>
      <c r="I1158" s="6" t="inlineStr">
        <is>
          <t>2023-1</t>
        </is>
      </c>
      <c r="J1158" s="5" t="n">
        <v>80</v>
      </c>
      <c r="K1158" s="123" t="n">
        <v>81.818181818182</v>
      </c>
      <c r="L1158" s="28">
        <f>IFERROR(IF(OR(J1158=0,K1158=""),"",IF(E1158="Positivo",MIN(MAX(K1158/J1158,0),1.3),MIN(MAX(J1158/K1158,0),1.3))),"") </f>
        <v/>
      </c>
      <c r="M1158" s="28">
        <f>IFERROR(IF(OR(J1158=0,K1158=""),"",IF(E1158="Positivo",MAX(K1158/J1158,0),MAX(J1158/K1158,0))),"") </f>
        <v/>
      </c>
      <c r="N1158" s="5" t="inlineStr">
        <is>
          <t>%</t>
        </is>
      </c>
      <c r="O1158" s="5" t="inlineStr">
        <is>
          <t>%</t>
        </is>
      </c>
      <c r="P1158" s="16" t="n">
        <v>0</v>
      </c>
      <c r="Q1158" s="16" t="n">
        <v>0</v>
      </c>
      <c r="R1158" s="5" t="inlineStr">
        <is>
          <t>241-2023-04-30</t>
        </is>
      </c>
    </row>
    <row r="1159">
      <c r="A1159" s="26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44" t="n">
        <v>45077</v>
      </c>
      <c r="G1159" s="5" t="n">
        <v>2023</v>
      </c>
      <c r="H1159" s="5" t="inlineStr">
        <is>
          <t>Mayo</t>
        </is>
      </c>
      <c r="I1159" s="6" t="inlineStr">
        <is>
          <t>2023-1</t>
        </is>
      </c>
      <c r="J1159" s="5" t="n">
        <v>80</v>
      </c>
      <c r="K1159" s="123" t="n">
        <v>83.333333333333</v>
      </c>
      <c r="L1159" s="28">
        <f>IFERROR(IF(OR(J1159=0,K1159=""),"",IF(E1159="Positivo",MIN(MAX(K1159/J1159,0),1.3),MIN(MAX(J1159/K1159,0),1.3))),"") </f>
        <v/>
      </c>
      <c r="M1159" s="28">
        <f>IFERROR(IF(OR(J1159=0,K1159=""),"",IF(E1159="Positivo",MAX(K1159/J1159,0),MAX(J1159/K1159,0))),"") </f>
        <v/>
      </c>
      <c r="N1159" s="5" t="inlineStr">
        <is>
          <t>%</t>
        </is>
      </c>
      <c r="O1159" s="5" t="inlineStr">
        <is>
          <t>%</t>
        </is>
      </c>
      <c r="P1159" s="16" t="n">
        <v>0</v>
      </c>
      <c r="Q1159" s="16" t="n">
        <v>0</v>
      </c>
      <c r="R1159" s="5" t="inlineStr">
        <is>
          <t>241-2023-05-31</t>
        </is>
      </c>
    </row>
    <row r="1160">
      <c r="A1160" s="26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44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5" t="n">
        <v>80</v>
      </c>
      <c r="K1160" s="123" t="n">
        <v>100</v>
      </c>
      <c r="L1160" s="28">
        <f>IFERROR(IF(OR(J1160=0,K1160=""),"",IF(E1160="Positivo",MIN(MAX(K1160/J1160,0),1.3),MIN(MAX(J1160/K1160,0),1.3))),"") </f>
        <v/>
      </c>
      <c r="M1160" s="28">
        <f>IFERROR(IF(OR(J1160=0,K1160=""),"",IF(E1160="Positivo",MAX(K1160/J1160,0),MAX(J1160/K1160,0))),"") </f>
        <v/>
      </c>
      <c r="N1160" s="5" t="inlineStr">
        <is>
          <t>%</t>
        </is>
      </c>
      <c r="O1160" s="5" t="inlineStr">
        <is>
          <t>%</t>
        </is>
      </c>
      <c r="P1160" s="16" t="n">
        <v>0</v>
      </c>
      <c r="Q1160" s="16" t="n">
        <v>0</v>
      </c>
      <c r="R1160" s="5" t="inlineStr">
        <is>
          <t>241-2023-06-30</t>
        </is>
      </c>
    </row>
    <row r="1161">
      <c r="A1161" s="26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44" t="n">
        <v>45138</v>
      </c>
      <c r="G1161" s="5" t="n">
        <v>2023</v>
      </c>
      <c r="H1161" s="5" t="inlineStr">
        <is>
          <t>Julio</t>
        </is>
      </c>
      <c r="I1161" s="6" t="inlineStr">
        <is>
          <t>2023-2</t>
        </is>
      </c>
      <c r="J1161" s="5" t="n">
        <v>80</v>
      </c>
      <c r="K1161" s="123" t="n">
        <v>100</v>
      </c>
      <c r="L1161" s="28">
        <f>IFERROR(IF(OR(J1161=0,K1161=""),"",IF(E1161="Positivo",MIN(MAX(K1161/J1161,0),1.3),MIN(MAX(J1161/K1161,0),1.3))),"") </f>
        <v/>
      </c>
      <c r="M1161" s="28">
        <f>IFERROR(IF(OR(J1161=0,K1161=""),"",IF(E1161="Positivo",MAX(K1161/J1161,0),MAX(J1161/K1161,0))),"") </f>
        <v/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 t="inlineStr">
        <is>
          <t>241-2023-07-31</t>
        </is>
      </c>
    </row>
    <row r="1162">
      <c r="A1162" s="26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44" t="n">
        <v>45169</v>
      </c>
      <c r="G1162" s="5" t="n">
        <v>2023</v>
      </c>
      <c r="H1162" s="5" t="inlineStr">
        <is>
          <t>Agosto</t>
        </is>
      </c>
      <c r="I1162" s="6" t="inlineStr">
        <is>
          <t>2023-2</t>
        </is>
      </c>
      <c r="J1162" s="5" t="n">
        <v>80</v>
      </c>
      <c r="K1162" s="123" t="n">
        <v>91.67</v>
      </c>
      <c r="L1162" s="28">
        <f>IFERROR(IF(OR(J1162=0,K1162=""),"",IF(E1162="Positivo",MIN(MAX(K1162/J1162,0),1.3),MIN(MAX(J1162/K1162,0),1.3))),"") </f>
        <v/>
      </c>
      <c r="M1162" s="28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6" t="n">
        <v>0</v>
      </c>
      <c r="Q1162" s="16" t="n">
        <v>0</v>
      </c>
      <c r="R1162" s="5" t="inlineStr">
        <is>
          <t>241-2023-08-31</t>
        </is>
      </c>
    </row>
    <row r="1163">
      <c r="A1163" s="39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44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5" t="n">
        <v>80</v>
      </c>
      <c r="K1163" s="123" t="n">
        <v>91.67</v>
      </c>
      <c r="L1163" s="28">
        <f>IFERROR(IF(OR(J1163=0,K1163=""),"",IF(E1163="Positivo",MIN(MAX(K1163/J1163,0),1.3),MIN(MAX(J1163/K1163,0),1.3))),"") </f>
        <v/>
      </c>
      <c r="M1163" s="28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16" t="n">
        <v>0</v>
      </c>
      <c r="R1163" s="5" t="inlineStr">
        <is>
          <t>241-2023-09-30</t>
        </is>
      </c>
    </row>
    <row r="1164">
      <c r="A1164" s="39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44" t="n">
        <v>45230</v>
      </c>
      <c r="G1164" s="5" t="n">
        <v>2023</v>
      </c>
      <c r="H1164" s="5" t="inlineStr">
        <is>
          <t>Octubre</t>
        </is>
      </c>
      <c r="I1164" s="6" t="inlineStr">
        <is>
          <t>2023-2</t>
        </is>
      </c>
      <c r="J1164" s="5" t="n">
        <v>80</v>
      </c>
      <c r="K1164" s="123" t="n">
        <v>88.89</v>
      </c>
      <c r="L1164" s="28">
        <f>IFERROR(IF(OR(J1164=0,K1164=""),"",IF(E1164="Positivo",MIN(MAX(K1164/J1164,0),1.3),MIN(MAX(J1164/K1164,0),1.3))),"") </f>
        <v/>
      </c>
      <c r="M1164" s="28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 t="inlineStr">
        <is>
          <t>241-2023-10-31</t>
        </is>
      </c>
    </row>
    <row r="1165">
      <c r="A1165" s="39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44" t="n">
        <v>45260</v>
      </c>
      <c r="G1165" s="5" t="n">
        <v>2023</v>
      </c>
      <c r="H1165" s="5" t="inlineStr">
        <is>
          <t>Noviembre</t>
        </is>
      </c>
      <c r="I1165" s="6" t="inlineStr">
        <is>
          <t>2023-2</t>
        </is>
      </c>
      <c r="J1165" s="5" t="n">
        <v>80</v>
      </c>
      <c r="K1165" s="123" t="n">
        <v>87.5</v>
      </c>
      <c r="L1165" s="28">
        <f>IFERROR(IF(OR(J1165=0,K1165=""),"",IF(E1165="Positivo",MIN(MAX(K1165/J1165,0),1.3),MIN(MAX(J1165/K1165,0),1.3))),"") </f>
        <v/>
      </c>
      <c r="M1165" s="28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 t="inlineStr">
        <is>
          <t>241-2023-11-30</t>
        </is>
      </c>
    </row>
    <row r="1166">
      <c r="A1166" s="26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44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80</v>
      </c>
      <c r="K1166" s="10" t="n">
        <v>85.70999999999999</v>
      </c>
      <c r="L1166" s="28">
        <f>IFERROR(IF(OR(J1166=0,K1166=""),"",IF(E1166="Positivo",MIN(MAX(K1166/J1166,0),1.3),MIN(MAX(J1166/K1166,0),1.3))),"") </f>
        <v/>
      </c>
      <c r="M1166" s="28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 t="inlineStr">
        <is>
          <t>241-2023-12-31</t>
        </is>
      </c>
    </row>
    <row r="1167">
      <c r="A1167" s="26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44" t="n">
        <v>45322</v>
      </c>
      <c r="G1167" s="5" t="n">
        <v>2024</v>
      </c>
      <c r="H1167" s="5" t="inlineStr">
        <is>
          <t>Enero</t>
        </is>
      </c>
      <c r="I1167" s="6" t="inlineStr">
        <is>
          <t>2024-1</t>
        </is>
      </c>
      <c r="J1167" s="5" t="n">
        <v>80</v>
      </c>
      <c r="K1167" s="10" t="n">
        <v>88.88888888888889</v>
      </c>
      <c r="L1167" s="28">
        <f>IFERROR(IF(OR(J1167=0,K1167=""),"",IF(E1167="Positivo",MIN(MAX(K1167/J1167,0),1.3),MIN(MAX(J1167/K1167,0),1.3))),"") </f>
        <v/>
      </c>
      <c r="M1167" s="28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6" t="n">
        <v>0</v>
      </c>
      <c r="Q1167" s="16" t="n">
        <v>0</v>
      </c>
      <c r="R1167" s="5" t="inlineStr">
        <is>
          <t>241-2024-01-31</t>
        </is>
      </c>
    </row>
    <row r="1168">
      <c r="A1168" s="26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44" t="n">
        <v>45351</v>
      </c>
      <c r="G1168" s="5" t="n">
        <v>2024</v>
      </c>
      <c r="H1168" s="5" t="inlineStr">
        <is>
          <t>Febrero</t>
        </is>
      </c>
      <c r="I1168" s="6" t="inlineStr">
        <is>
          <t>2024-1</t>
        </is>
      </c>
      <c r="J1168" s="5" t="n">
        <v>80</v>
      </c>
      <c r="K1168" s="10" t="n">
        <v>90.90909090909091</v>
      </c>
      <c r="L1168" s="28">
        <f>IFERROR(IF(OR(J1168=0,K1168=""),"",IF(E1168="Positivo",MIN(MAX(K1168/J1168,0),1.3),MIN(MAX(J1168/K1168,0),1.3))),"") </f>
        <v/>
      </c>
      <c r="M1168" s="28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6" t="n">
        <v>0</v>
      </c>
      <c r="Q1168" s="16" t="n">
        <v>0</v>
      </c>
      <c r="R1168" s="5" t="inlineStr">
        <is>
          <t>241-2024-02-29</t>
        </is>
      </c>
    </row>
    <row r="1169">
      <c r="A1169" s="26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44" t="n">
        <v>45382</v>
      </c>
      <c r="G1169" s="5" t="n">
        <v>2024</v>
      </c>
      <c r="H1169" s="5" t="inlineStr">
        <is>
          <t>Marzo</t>
        </is>
      </c>
      <c r="I1169" s="6" t="inlineStr">
        <is>
          <t>2024-1</t>
        </is>
      </c>
      <c r="J1169" s="5" t="n">
        <v>80</v>
      </c>
      <c r="K1169" s="10" t="n">
        <v>80</v>
      </c>
      <c r="L1169" s="28">
        <f>IFERROR(IF(OR(J1169=0,K1169=""),"",IF(E1169="Positivo",MIN(MAX(K1169/J1169,0),1.3),MIN(MAX(J1169/K1169,0),1.3))),"") </f>
        <v/>
      </c>
      <c r="M1169" s="28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 t="inlineStr">
        <is>
          <t>241-2024-03-31</t>
        </is>
      </c>
    </row>
    <row r="1170">
      <c r="A1170" s="26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44" t="n">
        <v>45412</v>
      </c>
      <c r="G1170" s="5" t="n">
        <v>2024</v>
      </c>
      <c r="H1170" s="5" t="inlineStr">
        <is>
          <t>Abril</t>
        </is>
      </c>
      <c r="I1170" s="6" t="inlineStr">
        <is>
          <t>2024-1</t>
        </is>
      </c>
      <c r="J1170" s="5" t="n">
        <v>80</v>
      </c>
      <c r="K1170" s="10" t="n">
        <v>100</v>
      </c>
      <c r="L1170" s="28">
        <f>IFERROR(IF(OR(J1170=0,K1170=""),"",IF(E1170="Positivo",MIN(MAX(K1170/J1170,0),1.3),MIN(MAX(J1170/K1170,0),1.3))),"") </f>
        <v/>
      </c>
      <c r="M1170" s="28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 t="inlineStr">
        <is>
          <t>241-2024-04-30</t>
        </is>
      </c>
    </row>
    <row r="1171">
      <c r="A1171" s="5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44" t="n">
        <v>45443</v>
      </c>
      <c r="G1171" s="5" t="n">
        <v>2024</v>
      </c>
      <c r="H1171" s="5" t="inlineStr">
        <is>
          <t>Mayo</t>
        </is>
      </c>
      <c r="I1171" s="6" t="inlineStr">
        <is>
          <t>2024-1</t>
        </is>
      </c>
      <c r="J1171" s="5" t="n">
        <v>80</v>
      </c>
      <c r="K1171" s="5" t="n">
        <v>85.71428571428571</v>
      </c>
      <c r="L1171" s="28">
        <f>IFERROR(IF(OR(J1171=0,K1171=""),"",IF(E1171="Positivo",MIN(MAX(K1171/J1171,0),1.3),MIN(MAX(J1171/K1171,0),1.3))),"") </f>
        <v/>
      </c>
      <c r="M1171" s="28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 t="inlineStr">
        <is>
          <t>241-2024-05-31</t>
        </is>
      </c>
    </row>
    <row r="1172">
      <c r="A1172" s="26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44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80</v>
      </c>
      <c r="K1172" s="10" t="n">
        <v>85.71428571428571</v>
      </c>
      <c r="L1172" s="28">
        <f>IFERROR(IF(OR(J1172=0,K1172=""),"",IF(E1172="Positivo",MIN(MAX(K1172/J1172,0),1.3),MIN(MAX(J1172/K1172,0),1.3))),"") </f>
        <v/>
      </c>
      <c r="M1172" s="28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 t="inlineStr">
        <is>
          <t>241-2024-06-30</t>
        </is>
      </c>
    </row>
    <row r="1173">
      <c r="A1173" s="26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44" t="n">
        <v>45504</v>
      </c>
      <c r="G1173" s="5" t="n">
        <v>2024</v>
      </c>
      <c r="H1173" s="5" t="inlineStr">
        <is>
          <t>Julio</t>
        </is>
      </c>
      <c r="I1173" s="6" t="inlineStr">
        <is>
          <t>2024-2</t>
        </is>
      </c>
      <c r="J1173" s="5" t="n">
        <v>80</v>
      </c>
      <c r="K1173" s="10" t="n">
        <v>85.71428571428571</v>
      </c>
      <c r="L1173" s="28">
        <f>IFERROR(IF(OR(J1173=0,K1173=""),"",IF(E1173="Positivo",MIN(MAX(K1173/J1173,0),1.3),MIN(MAX(J1173/K1173,0),1.3))),"") </f>
        <v/>
      </c>
      <c r="M1173" s="28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6" t="n">
        <v>0</v>
      </c>
      <c r="Q1173" s="16" t="n">
        <v>0</v>
      </c>
      <c r="R1173" s="5" t="inlineStr">
        <is>
          <t>241-2024-07-31</t>
        </is>
      </c>
    </row>
    <row r="1174">
      <c r="A1174" s="26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44" t="n">
        <v>45535</v>
      </c>
      <c r="G1174" s="5" t="n">
        <v>2024</v>
      </c>
      <c r="H1174" s="5" t="inlineStr">
        <is>
          <t>Agosto</t>
        </is>
      </c>
      <c r="I1174" s="6" t="inlineStr">
        <is>
          <t>2024-2</t>
        </is>
      </c>
      <c r="J1174" s="5" t="n">
        <v>80</v>
      </c>
      <c r="K1174" s="10" t="n">
        <v>80</v>
      </c>
      <c r="L1174" s="28">
        <f>IFERROR(IF(OR(J1174=0,K1174=""),"",IF(E1174="Positivo",MIN(MAX(K1174/J1174,0),1.3),MIN(MAX(J1174/K1174,0),1.3))),"") </f>
        <v/>
      </c>
      <c r="M1174" s="28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6" t="n">
        <v>0</v>
      </c>
      <c r="Q1174" s="16" t="n">
        <v>0</v>
      </c>
      <c r="R1174" s="5" t="inlineStr">
        <is>
          <t>241-2024-08-31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44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5" t="n">
        <v>80</v>
      </c>
      <c r="K1175" s="10" t="n">
        <v>84.61538461538461</v>
      </c>
      <c r="L1175" s="28">
        <f>IFERROR(IF(OR(J1175=0,K1175=""),"",IF(E1175="Positivo",MIN(MAX(K1175/J1175,0),1.3),MIN(MAX(J1175/K1175,0),1.3))),"") </f>
        <v/>
      </c>
      <c r="M1175" s="28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6" t="n">
        <v>0</v>
      </c>
      <c r="Q1175" s="16" t="n">
        <v>0</v>
      </c>
      <c r="R1175" s="5" t="inlineStr">
        <is>
          <t>241-2024-09-30</t>
        </is>
      </c>
    </row>
    <row r="1176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44" t="n">
        <v>45596</v>
      </c>
      <c r="G1176" s="5" t="n">
        <v>2024</v>
      </c>
      <c r="H1176" s="5" t="inlineStr">
        <is>
          <t>Octubre</t>
        </is>
      </c>
      <c r="I1176" s="6" t="inlineStr">
        <is>
          <t>2024-2</t>
        </is>
      </c>
      <c r="J1176" s="5" t="n">
        <v>80</v>
      </c>
      <c r="K1176" s="10" t="n">
        <v>85.71428571428571</v>
      </c>
      <c r="L1176" s="28">
        <f>IFERROR(IF(OR(J1176=0,K1176=""),"",IF(E1176="Positivo",MIN(MAX(K1176/J1176,0),1.3),MIN(MAX(J1176/K1176,0),1.3))),"") </f>
        <v/>
      </c>
      <c r="M1176" s="28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6" t="n">
        <v>0</v>
      </c>
      <c r="Q1176" s="16" t="n">
        <v>0</v>
      </c>
      <c r="R1176" s="5" t="inlineStr">
        <is>
          <t>241-2024-10-31</t>
        </is>
      </c>
    </row>
    <row r="1177">
      <c r="A1177" s="26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44" t="n">
        <v>45626</v>
      </c>
      <c r="G1177" s="5" t="n">
        <v>2024</v>
      </c>
      <c r="H1177" s="5" t="inlineStr">
        <is>
          <t>Noviembre</t>
        </is>
      </c>
      <c r="I1177" s="6" t="inlineStr">
        <is>
          <t>2024-2</t>
        </is>
      </c>
      <c r="J1177" s="5" t="n">
        <v>80</v>
      </c>
      <c r="K1177" s="10" t="n">
        <v>100</v>
      </c>
      <c r="L1177" s="28">
        <f>IFERROR(IF(OR(J1177=0,K1177=""),"",IF(E1177="Positivo",MIN(MAX(K1177/J1177,0),1.3),MIN(MAX(J1177/K1177,0),1.3))),"") </f>
        <v/>
      </c>
      <c r="M1177" s="28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 t="inlineStr">
        <is>
          <t>241-2024-11-30</t>
        </is>
      </c>
    </row>
    <row r="1178">
      <c r="A1178" s="43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44" t="n">
        <v>45657</v>
      </c>
      <c r="G1178" s="5" t="n">
        <v>2024</v>
      </c>
      <c r="H1178" s="5" t="inlineStr">
        <is>
          <t>Diciembre</t>
        </is>
      </c>
      <c r="I1178" s="6" t="inlineStr">
        <is>
          <t>2024-2</t>
        </is>
      </c>
      <c r="J1178" s="119" t="n">
        <v>80</v>
      </c>
      <c r="K1178" s="123" t="n">
        <v>100</v>
      </c>
      <c r="L1178" s="28">
        <f>IFERROR(IF(OR(J1178=0,K1178=""),"",IF(E1178="Positivo",MIN(MAX(K1178/J1178,0),1.3),MIN(MAX(J1178/K1178,0),1.3))),"") </f>
        <v/>
      </c>
      <c r="M1178" s="28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 t="inlineStr">
        <is>
          <t>241-2024-12-31</t>
        </is>
      </c>
    </row>
    <row r="1179">
      <c r="A1179" s="39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44" t="n">
        <v>45688</v>
      </c>
      <c r="G1179" s="5" t="n">
        <v>2025</v>
      </c>
      <c r="H1179" s="5" t="inlineStr">
        <is>
          <t>Enero</t>
        </is>
      </c>
      <c r="I1179" s="6" t="inlineStr">
        <is>
          <t>2025-1</t>
        </is>
      </c>
      <c r="J1179" s="119" t="n">
        <v>80</v>
      </c>
      <c r="K1179" s="123" t="n">
        <v>100</v>
      </c>
      <c r="L1179" s="28">
        <f>IFERROR(IF(OR(J1179=0,K1179=""),"",IF(E1179="Positivo",MIN(MAX(K1179/J1179,0),1.3),MIN(MAX(J1179/K1179,0),1.3))),"") </f>
        <v/>
      </c>
      <c r="M1179" s="28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 t="inlineStr">
        <is>
          <t>241-2025-01-31</t>
        </is>
      </c>
    </row>
    <row r="1180">
      <c r="A1180" s="43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44" t="n">
        <v>45716</v>
      </c>
      <c r="G1180" s="5" t="n">
        <v>2025</v>
      </c>
      <c r="H1180" s="5" t="inlineStr">
        <is>
          <t>Febrero</t>
        </is>
      </c>
      <c r="I1180" s="6" t="inlineStr">
        <is>
          <t>2025-1</t>
        </is>
      </c>
      <c r="J1180" s="119" t="n">
        <v>80</v>
      </c>
      <c r="K1180" s="123" t="n">
        <v>100</v>
      </c>
      <c r="L1180" s="28">
        <f>IFERROR(IF(OR(J1180=0,K1180=""),"",IF(E1180="Positivo",MIN(MAX(K1180/J1180,0),1.3),MIN(MAX(J1180/K1180,0),1.3))),"") </f>
        <v/>
      </c>
      <c r="M1180" s="28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 t="inlineStr">
        <is>
          <t>241-2025-02-28</t>
        </is>
      </c>
    </row>
    <row r="1181">
      <c r="A1181" s="26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44" t="n">
        <v>45747</v>
      </c>
      <c r="G1181" s="5" t="n">
        <v>2025</v>
      </c>
      <c r="H1181" s="5" t="inlineStr">
        <is>
          <t>Marzo</t>
        </is>
      </c>
      <c r="I1181" s="6" t="inlineStr">
        <is>
          <t>2025-1</t>
        </is>
      </c>
      <c r="J1181" s="119" t="n">
        <v>80</v>
      </c>
      <c r="K1181" s="123" t="n">
        <v>100</v>
      </c>
      <c r="L1181" s="28">
        <f>IFERROR(IF(OR(J1181=0,K1181=""),"",IF(E1181="Positivo",MIN(MAX(K1181/J1181,0),1.3),MIN(MAX(J1181/K1181,0),1.3))),"") </f>
        <v/>
      </c>
      <c r="M1181" s="28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 t="inlineStr">
        <is>
          <t>241-2025-03-31</t>
        </is>
      </c>
    </row>
    <row r="1182">
      <c r="A1182" s="26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43" t="n">
        <v>45777</v>
      </c>
      <c r="G1182" s="5" t="n">
        <v>2025</v>
      </c>
      <c r="H1182" s="5" t="inlineStr">
        <is>
          <t>Abril</t>
        </is>
      </c>
      <c r="I1182" s="6" t="inlineStr">
        <is>
          <t>2025-1</t>
        </is>
      </c>
      <c r="J1182" s="124" t="n">
        <v>80</v>
      </c>
      <c r="K1182" s="123" t="n">
        <v>100</v>
      </c>
      <c r="L1182" s="28">
        <f>IFERROR(IF(OR(J1182=0,K1182=""),"",IF(E1182="Positivo",MIN(MAX(K1182/J1182,0),1.3),MIN(MAX(J1182/K1182,0),1.3))),"") </f>
        <v/>
      </c>
      <c r="M1182" s="28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 t="inlineStr">
        <is>
          <t>241-2025-04-30</t>
        </is>
      </c>
    </row>
    <row r="1183">
      <c r="A1183" s="39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44" t="n">
        <v>45808</v>
      </c>
      <c r="G1183" s="5" t="n">
        <v>2025</v>
      </c>
      <c r="H1183" s="5" t="inlineStr">
        <is>
          <t>Mayo</t>
        </is>
      </c>
      <c r="I1183" s="6" t="inlineStr">
        <is>
          <t>2025-1</t>
        </is>
      </c>
      <c r="J1183" s="124" t="n">
        <v>80</v>
      </c>
      <c r="K1183" s="123" t="n">
        <v>100</v>
      </c>
      <c r="L1183" s="28">
        <f>IFERROR(IF(OR(J1183=0,K1183=""),"",IF(E1183="Positivo",MIN(MAX(K1183/J1183,0),1.3),MIN(MAX(J1183/K1183,0),1.3))),"") </f>
        <v/>
      </c>
      <c r="M1183" s="28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6" t="n">
        <v>0</v>
      </c>
      <c r="Q1183" s="16" t="n">
        <v>0</v>
      </c>
      <c r="R1183" s="5" t="inlineStr">
        <is>
          <t>241-2025-05-31</t>
        </is>
      </c>
    </row>
    <row r="1184">
      <c r="A1184" s="39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44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124" t="n">
        <v>80</v>
      </c>
      <c r="K1184" s="123" t="n">
        <v>100</v>
      </c>
      <c r="L1184" s="28">
        <f>IFERROR(IF(OR(J1184=0,K1184=""),"",IF(E1184="Positivo",MIN(MAX(K1184/J1184,0),1.3),MIN(MAX(J1184/K1184,0),1.3))),"") </f>
        <v/>
      </c>
      <c r="M1184" s="28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 t="inlineStr">
        <is>
          <t>241-2025-06-30</t>
        </is>
      </c>
    </row>
    <row r="1185">
      <c r="A1185" s="26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44" t="n">
        <v>45869</v>
      </c>
      <c r="G1185" s="5" t="n">
        <v>2025</v>
      </c>
      <c r="H1185" s="5" t="inlineStr">
        <is>
          <t>Julio</t>
        </is>
      </c>
      <c r="I1185" s="6" t="inlineStr">
        <is>
          <t>2025-2</t>
        </is>
      </c>
      <c r="J1185" s="5" t="n">
        <v>80</v>
      </c>
      <c r="K1185" s="10" t="n">
        <v>100</v>
      </c>
      <c r="L1185" s="28">
        <f>IFERROR(IF(OR(J1185=0,K1185=""),"",IF(E1185="Positivo",MIN(MAX(K1185/J1185,0),1.3),MIN(MAX(J1185/K1185,0),1.3))),"") </f>
        <v/>
      </c>
      <c r="M1185" s="28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 t="inlineStr">
        <is>
          <t>241-2025-07-31</t>
        </is>
      </c>
    </row>
    <row r="1186">
      <c r="A1186" s="43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44" t="n">
        <v>45900</v>
      </c>
      <c r="G1186" s="5" t="n">
        <v>2025</v>
      </c>
      <c r="H1186" s="5" t="inlineStr">
        <is>
          <t>Agosto</t>
        </is>
      </c>
      <c r="I1186" s="6" t="inlineStr">
        <is>
          <t>2025-2</t>
        </is>
      </c>
      <c r="J1186" s="5" t="n">
        <v>80</v>
      </c>
      <c r="K1186" s="123" t="n">
        <v>100</v>
      </c>
      <c r="L1186" s="28">
        <f>IFERROR(IF(OR(J1186=0,K1186=""),"",IF(E1186="Positivo",MIN(MAX(K1186/J1186,0),1.3),MIN(MAX(J1186/K1186,0),1.3))),"") </f>
        <v/>
      </c>
      <c r="M1186" s="28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 t="inlineStr">
        <is>
          <t>241-2025-08-31</t>
        </is>
      </c>
    </row>
    <row r="1187">
      <c r="A1187" s="39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44" t="n">
        <v>45930</v>
      </c>
      <c r="G1187" s="5" t="n">
        <v>2025</v>
      </c>
      <c r="H1187" s="5" t="inlineStr">
        <is>
          <t>Septiembre</t>
        </is>
      </c>
      <c r="I1187" s="6" t="inlineStr">
        <is>
          <t>2025-2</t>
        </is>
      </c>
      <c r="J1187" s="5" t="n">
        <v>80</v>
      </c>
      <c r="K1187" s="123" t="n">
        <v>100</v>
      </c>
      <c r="L1187" s="28">
        <f>IFERROR(IF(OR(J1187=0,K1187=""),"",IF(E1187="Positivo",MIN(MAX(K1187/J1187,0),1.3),MIN(MAX(J1187/K1187,0),1.3))),"") </f>
        <v/>
      </c>
      <c r="M1187" s="28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 t="inlineStr">
        <is>
          <t>241-2025-09-30</t>
        </is>
      </c>
    </row>
    <row r="1188">
      <c r="A1188" s="43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43" t="n">
        <v>45961</v>
      </c>
      <c r="G1188" s="5" t="n">
        <v>2025</v>
      </c>
      <c r="H1188" s="5" t="inlineStr">
        <is>
          <t>Octubre</t>
        </is>
      </c>
      <c r="I1188" s="6" t="inlineStr">
        <is>
          <t>2025-2</t>
        </is>
      </c>
      <c r="J1188" s="5" t="n">
        <v>80</v>
      </c>
      <c r="K1188" s="123" t="n">
        <v>100</v>
      </c>
      <c r="L1188" s="28">
        <f>IFERROR(IF(OR(J1188=0,K1188=""),"",IF(E1188="Positivo",MIN(MAX(K1188/J1188,0),1.3),MIN(MAX(J1188/K1188,0),1.3))),"") </f>
        <v/>
      </c>
      <c r="M1188" s="28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6" t="n">
        <v>0</v>
      </c>
      <c r="Q1188" s="16" t="n">
        <v>0</v>
      </c>
      <c r="R1188" s="5" t="inlineStr">
        <is>
          <t>241-2025-10-31</t>
        </is>
      </c>
    </row>
    <row r="1189">
      <c r="A1189" s="26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44" t="n">
        <v>45991</v>
      </c>
      <c r="G1189" s="5" t="n">
        <v>2025</v>
      </c>
      <c r="H1189" s="5" t="inlineStr">
        <is>
          <t>Noviembre</t>
        </is>
      </c>
      <c r="I1189" s="6" t="inlineStr">
        <is>
          <t>2025-2</t>
        </is>
      </c>
      <c r="J1189" s="5" t="n">
        <v>80</v>
      </c>
      <c r="K1189" s="5" t="n">
        <v>100</v>
      </c>
      <c r="L1189" s="28">
        <f>IFERROR(IF(OR(J1189=0,K1189=""),"",IF(E1189="Positivo",MIN(MAX(K1189/J1189,0),1.3),MIN(MAX(J1189/K1189,0),1.3))),"") </f>
        <v/>
      </c>
      <c r="M1189" s="28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6" t="n">
        <v>0</v>
      </c>
      <c r="Q1189" s="16" t="n">
        <v>0</v>
      </c>
      <c r="R1189" s="5" t="inlineStr">
        <is>
          <t>241-2025-11-30</t>
        </is>
      </c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44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80</v>
      </c>
      <c r="K1190" s="123" t="n">
        <v>91.67</v>
      </c>
      <c r="L1190" s="28">
        <f>IFERROR(IF(OR(J1190=0,K1190=""),"",IF(E1190="Positivo",MIN(MAX(K1190/J1190,0),1.3),MIN(MAX(J1190/K1190,0),1.3))),"") </f>
        <v/>
      </c>
      <c r="M1190" s="28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16" t="n">
        <v>0</v>
      </c>
      <c r="Q1190" s="16" t="n">
        <v>0</v>
      </c>
      <c r="R1190" s="5" t="inlineStr">
        <is>
          <t>241-2025-12-31</t>
        </is>
      </c>
    </row>
    <row r="1191">
      <c r="A1191" s="5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43" t="n">
        <v>44957</v>
      </c>
      <c r="G1191" s="5" t="n">
        <v>2023</v>
      </c>
      <c r="H1191" s="5" t="inlineStr">
        <is>
          <t>Enero</t>
        </is>
      </c>
      <c r="I1191" s="6" t="inlineStr">
        <is>
          <t>2023-1</t>
        </is>
      </c>
      <c r="J1191" s="5" t="n">
        <v>95</v>
      </c>
      <c r="K1191" s="123" t="n">
        <v>100.966183574879</v>
      </c>
      <c r="L1191" s="28">
        <f>IFERROR(IF(OR(J1191=0,K1191=""),"",IF(E1191="Positivo",MIN(MAX(K1191/J1191,0),1.3),MIN(MAX(J1191/K1191,0),1.3))),"") </f>
        <v/>
      </c>
      <c r="M1191" s="28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6" t="n">
        <v>0</v>
      </c>
      <c r="Q1191" s="16" t="n">
        <v>0</v>
      </c>
      <c r="R1191" s="5" t="inlineStr">
        <is>
          <t>242-2023-01-31</t>
        </is>
      </c>
    </row>
    <row r="1192">
      <c r="A1192" s="26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44" t="n">
        <v>44985</v>
      </c>
      <c r="G1192" s="5" t="n">
        <v>2023</v>
      </c>
      <c r="H1192" s="5" t="inlineStr">
        <is>
          <t>Febrero</t>
        </is>
      </c>
      <c r="I1192" s="6" t="inlineStr">
        <is>
          <t>2023-1</t>
        </is>
      </c>
      <c r="J1192" s="5" t="n">
        <v>95</v>
      </c>
      <c r="K1192" s="16" t="n">
        <v>88.27586206896549</v>
      </c>
      <c r="L1192" s="28">
        <f>IFERROR(IF(OR(J1192=0,K1192=""),"",IF(E1192="Positivo",MIN(MAX(K1192/J1192,0),1.3),MIN(MAX(J1192/K1192,0),1.3))),"") </f>
        <v/>
      </c>
      <c r="M1192" s="28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6" t="n">
        <v>0</v>
      </c>
      <c r="Q1192" s="16" t="n">
        <v>0</v>
      </c>
      <c r="R1192" s="5" t="inlineStr">
        <is>
          <t>242-2023-02-28</t>
        </is>
      </c>
    </row>
    <row r="1193">
      <c r="A1193" s="43" t="n">
        <v>242</v>
      </c>
      <c r="B1193" s="5" t="inlineStr">
        <is>
          <t>Cumplimiento a cronograma de proyectos 2023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44" t="n">
        <v>45016</v>
      </c>
      <c r="G1193" s="5" t="n">
        <v>2023</v>
      </c>
      <c r="H1193" s="5" t="inlineStr">
        <is>
          <t>Marzo</t>
        </is>
      </c>
      <c r="I1193" s="6" t="inlineStr">
        <is>
          <t>2023-1</t>
        </is>
      </c>
      <c r="J1193" s="3" t="n">
        <v>95</v>
      </c>
      <c r="K1193" s="123" t="n">
        <v>112.671232876712</v>
      </c>
      <c r="L1193" s="28">
        <f>IFERROR(IF(OR(J1193=0,K1193=""),"",IF(E1193="Positivo",MIN(MAX(K1193/J1193,0),1.3),MIN(MAX(J1193/K1193,0),1.3))),"") </f>
        <v/>
      </c>
      <c r="M1193" s="28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6" t="n">
        <v>0</v>
      </c>
      <c r="Q1193" s="16" t="n">
        <v>0</v>
      </c>
      <c r="R1193" s="5" t="inlineStr">
        <is>
          <t>242-2023-03-31</t>
        </is>
      </c>
    </row>
    <row r="1194">
      <c r="A1194" s="39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44" t="n">
        <v>45046</v>
      </c>
      <c r="G1194" s="5" t="n">
        <v>2023</v>
      </c>
      <c r="H1194" s="5" t="inlineStr">
        <is>
          <t>Abril</t>
        </is>
      </c>
      <c r="I1194" s="6" t="inlineStr">
        <is>
          <t>2023-1</t>
        </is>
      </c>
      <c r="J1194" s="3" t="n">
        <v>95</v>
      </c>
      <c r="K1194" s="123" t="n">
        <v>94.90445859872609</v>
      </c>
      <c r="L1194" s="28">
        <f>IFERROR(IF(OR(J1194=0,K1194=""),"",IF(E1194="Positivo",MIN(MAX(K1194/J1194,0),1.3),MIN(MAX(J1194/K1194,0),1.3))),"") </f>
        <v/>
      </c>
      <c r="M1194" s="28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16" t="n">
        <v>0</v>
      </c>
      <c r="Q1194" s="16" t="n">
        <v>0</v>
      </c>
      <c r="R1194" s="5" t="inlineStr">
        <is>
          <t>242-2023-04-30</t>
        </is>
      </c>
    </row>
    <row r="1195">
      <c r="A1195" s="43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43" t="n">
        <v>45077</v>
      </c>
      <c r="G1195" s="5" t="n">
        <v>2023</v>
      </c>
      <c r="H1195" s="5" t="inlineStr">
        <is>
          <t>Mayo</t>
        </is>
      </c>
      <c r="I1195" s="6" t="inlineStr">
        <is>
          <t>2023-1</t>
        </is>
      </c>
      <c r="J1195" s="3" t="n">
        <v>95</v>
      </c>
      <c r="K1195" s="123" t="n">
        <v>94.39102564102561</v>
      </c>
      <c r="L1195" s="28">
        <f>IFERROR(IF(OR(J1195=0,K1195=""),"",IF(E1195="Positivo",MIN(MAX(K1195/J1195,0),1.3),MIN(MAX(J1195/K1195,0),1.3))),"") </f>
        <v/>
      </c>
      <c r="M1195" s="28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6" t="n">
        <v>0</v>
      </c>
      <c r="Q1195" s="16" t="n">
        <v>0</v>
      </c>
      <c r="R1195" s="5" t="inlineStr">
        <is>
          <t>242-2023-05-31</t>
        </is>
      </c>
    </row>
    <row r="1196">
      <c r="A1196" s="26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44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3" t="n">
        <v>95</v>
      </c>
      <c r="K1196" s="10" t="n">
        <v>94.85488126649081</v>
      </c>
      <c r="L1196" s="28">
        <f>IFERROR(IF(OR(J1196=0,K1196=""),"",IF(E1196="Positivo",MIN(MAX(K1196/J1196,0),1.3),MIN(MAX(J1196/K1196,0),1.3))),"") </f>
        <v/>
      </c>
      <c r="M1196" s="28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6" t="n">
        <v>0</v>
      </c>
      <c r="Q1196" s="16" t="n">
        <v>0</v>
      </c>
      <c r="R1196" s="5" t="inlineStr">
        <is>
          <t>242-2023-06-30</t>
        </is>
      </c>
    </row>
    <row r="1197">
      <c r="A1197" s="43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44" t="n">
        <v>45138</v>
      </c>
      <c r="G1197" s="5" t="n">
        <v>2023</v>
      </c>
      <c r="H1197" s="5" t="inlineStr">
        <is>
          <t>Julio</t>
        </is>
      </c>
      <c r="I1197" s="6" t="inlineStr">
        <is>
          <t>2023-2</t>
        </is>
      </c>
      <c r="J1197" s="5" t="n">
        <v>95</v>
      </c>
      <c r="K1197" s="123" t="n">
        <v>91.89</v>
      </c>
      <c r="L1197" s="28">
        <f>IFERROR(IF(OR(J1197=0,K1197=""),"",IF(E1197="Positivo",MIN(MAX(K1197/J1197,0),1.3),MIN(MAX(J1197/K1197,0),1.3))),"") </f>
        <v/>
      </c>
      <c r="M1197" s="28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6" t="n">
        <v>0</v>
      </c>
      <c r="Q1197" s="16" t="n">
        <v>0</v>
      </c>
      <c r="R1197" s="5" t="inlineStr">
        <is>
          <t>242-2023-07-31</t>
        </is>
      </c>
    </row>
    <row r="1198">
      <c r="A1198" s="39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44" t="n">
        <v>45169</v>
      </c>
      <c r="G1198" s="5" t="n">
        <v>2023</v>
      </c>
      <c r="H1198" s="5" t="inlineStr">
        <is>
          <t>Agosto</t>
        </is>
      </c>
      <c r="I1198" s="6" t="inlineStr">
        <is>
          <t>2023-2</t>
        </is>
      </c>
      <c r="J1198" s="5" t="n">
        <v>95</v>
      </c>
      <c r="K1198" s="123" t="n">
        <v>95.48999999999999</v>
      </c>
      <c r="L1198" s="28">
        <f>IFERROR(IF(OR(J1198=0,K1198=""),"",IF(E1198="Positivo",MIN(MAX(K1198/J1198,0),1.3),MIN(MAX(J1198/K1198,0),1.3))),"") </f>
        <v/>
      </c>
      <c r="M1198" s="28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6" t="n">
        <v>0</v>
      </c>
      <c r="Q1198" s="16" t="n">
        <v>0</v>
      </c>
      <c r="R1198" s="5" t="inlineStr">
        <is>
          <t>242-2023-08-31</t>
        </is>
      </c>
    </row>
    <row r="1199">
      <c r="A1199" s="43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43" t="n">
        <v>45199</v>
      </c>
      <c r="G1199" s="5" t="n">
        <v>2023</v>
      </c>
      <c r="H1199" s="5" t="inlineStr">
        <is>
          <t>Septiembre</t>
        </is>
      </c>
      <c r="I1199" s="6" t="inlineStr">
        <is>
          <t>2023-2</t>
        </is>
      </c>
      <c r="J1199" s="5" t="n">
        <v>95</v>
      </c>
      <c r="K1199" s="123" t="n">
        <v>97.20999999999999</v>
      </c>
      <c r="L1199" s="28">
        <f>IFERROR(IF(OR(J1199=0,K1199=""),"",IF(E1199="Positivo",MIN(MAX(K1199/J1199,0),1.3),MIN(MAX(J1199/K1199,0),1.3))),"") </f>
        <v/>
      </c>
      <c r="M1199" s="28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6" t="n">
        <v>0</v>
      </c>
      <c r="Q1199" s="16" t="n">
        <v>0</v>
      </c>
      <c r="R1199" s="5" t="inlineStr">
        <is>
          <t>242-2023-09-30</t>
        </is>
      </c>
    </row>
    <row r="1200">
      <c r="A1200" s="26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44" t="n">
        <v>45230</v>
      </c>
      <c r="G1200" s="5" t="n">
        <v>2023</v>
      </c>
      <c r="H1200" s="5" t="inlineStr">
        <is>
          <t>Octubre</t>
        </is>
      </c>
      <c r="I1200" s="6" t="inlineStr">
        <is>
          <t>2023-2</t>
        </is>
      </c>
      <c r="J1200" s="5" t="n">
        <v>95</v>
      </c>
      <c r="K1200" s="10" t="n">
        <v>94.14</v>
      </c>
      <c r="L1200" s="28">
        <f>IFERROR(IF(OR(J1200=0,K1200=""),"",IF(E1200="Positivo",MIN(MAX(K1200/J1200,0),1.3),MIN(MAX(J1200/K1200,0),1.3))),"") </f>
        <v/>
      </c>
      <c r="M1200" s="28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16" t="n">
        <v>0</v>
      </c>
      <c r="Q1200" s="16" t="n">
        <v>0</v>
      </c>
      <c r="R1200" s="5" t="inlineStr">
        <is>
          <t>242-2023-10-31</t>
        </is>
      </c>
    </row>
    <row r="1201">
      <c r="A1201" s="43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44" t="n">
        <v>45260</v>
      </c>
      <c r="G1201" s="5" t="n">
        <v>2023</v>
      </c>
      <c r="H1201" s="5" t="inlineStr">
        <is>
          <t>Noviembre</t>
        </is>
      </c>
      <c r="I1201" s="6" t="inlineStr">
        <is>
          <t>2023-2</t>
        </is>
      </c>
      <c r="J1201" s="5" t="n">
        <v>95</v>
      </c>
      <c r="K1201" s="123" t="n">
        <v>92.75</v>
      </c>
      <c r="L1201" s="28">
        <f>IFERROR(IF(OR(J1201=0,K1201=""),"",IF(E1201="Positivo",MIN(MAX(K1201/J1201,0),1.3),MIN(MAX(J1201/K1201,0),1.3))),"") </f>
        <v/>
      </c>
      <c r="M1201" s="28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6" t="n">
        <v>0</v>
      </c>
      <c r="Q1201" s="16" t="n">
        <v>0</v>
      </c>
      <c r="R1201" s="5" t="inlineStr">
        <is>
          <t>242-2023-11-30</t>
        </is>
      </c>
    </row>
    <row r="1202">
      <c r="A1202" s="39" t="n">
        <v>242</v>
      </c>
      <c r="B1202" s="5" t="inlineStr">
        <is>
          <t>Cumplimiento a cronograma de proyectos 2023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44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95</v>
      </c>
      <c r="K1202" s="123" t="n">
        <v>95.36</v>
      </c>
      <c r="L1202" s="28">
        <f>IFERROR(IF(OR(J1202=0,K1202=""),"",IF(E1202="Positivo",MIN(MAX(K1202/J1202,0),1.3),MIN(MAX(J1202/K1202,0),1.3))),"") </f>
        <v/>
      </c>
      <c r="M1202" s="28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6" t="n">
        <v>0</v>
      </c>
      <c r="Q1202" s="16" t="n">
        <v>0</v>
      </c>
      <c r="R1202" s="5" t="inlineStr">
        <is>
          <t>242-2023-12-31</t>
        </is>
      </c>
    </row>
    <row r="1203">
      <c r="A1203" s="43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144" t="n">
        <v>44957</v>
      </c>
      <c r="G1203" s="5" t="n">
        <v>2023</v>
      </c>
      <c r="H1203" s="5" t="inlineStr">
        <is>
          <t>Enero</t>
        </is>
      </c>
      <c r="I1203" s="6" t="inlineStr">
        <is>
          <t>2023-1</t>
        </is>
      </c>
      <c r="J1203" s="5" t="n">
        <v>0</v>
      </c>
      <c r="K1203" s="123" t="n">
        <v>0</v>
      </c>
      <c r="L1203" s="28">
        <f>IFERROR(IF(OR(J1203=0,K1203=""),"",IF(E1203="Positivo",MIN(MAX(K1203/J1203,0),1.3),MIN(MAX(J1203/K1203,0),1.3))),"") </f>
        <v/>
      </c>
      <c r="M1203" s="28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6" t="n">
        <v>0</v>
      </c>
      <c r="Q1203" s="16" t="n">
        <v>0</v>
      </c>
      <c r="R1203" s="5" t="inlineStr">
        <is>
          <t>243-2023-01-31</t>
        </is>
      </c>
    </row>
    <row r="1204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144" t="n">
        <v>44985</v>
      </c>
      <c r="G1204" s="5" t="n">
        <v>2023</v>
      </c>
      <c r="H1204" s="5" t="inlineStr">
        <is>
          <t>Febrero</t>
        </is>
      </c>
      <c r="I1204" s="6" t="inlineStr">
        <is>
          <t>2023-1</t>
        </is>
      </c>
      <c r="J1204" s="5" t="n">
        <v>0</v>
      </c>
      <c r="K1204" s="124" t="n">
        <v>0</v>
      </c>
      <c r="L1204" s="28">
        <f>IFERROR(IF(OR(J1204=0,K1204=""),"",IF(E1204="Positivo",MIN(MAX(K1204/J1204,0),1.3),MIN(MAX(J1204/K1204,0),1.3))),"") </f>
        <v/>
      </c>
      <c r="M1204" s="28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6" t="n">
        <v>0</v>
      </c>
      <c r="Q1204" s="16" t="n">
        <v>0</v>
      </c>
      <c r="R1204" s="5" t="inlineStr">
        <is>
          <t>243-2023-02-28</t>
        </is>
      </c>
    </row>
    <row r="1205">
      <c r="A1205" s="26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144" t="n">
        <v>45016</v>
      </c>
      <c r="G1205" s="5" t="n">
        <v>2023</v>
      </c>
      <c r="H1205" s="5" t="inlineStr">
        <is>
          <t>Marzo</t>
        </is>
      </c>
      <c r="I1205" s="6" t="inlineStr">
        <is>
          <t>2023-1</t>
        </is>
      </c>
      <c r="J1205" s="119" t="n">
        <v>0</v>
      </c>
      <c r="K1205" s="123" t="n">
        <v>0</v>
      </c>
      <c r="L1205" s="28">
        <f>IFERROR(IF(OR(J1205=0,K1205=""),"",IF(E1205="Positivo",MIN(MAX(K1205/J1205,0),1.3),MIN(MAX(J1205/K1205,0),1.3))),"") </f>
        <v/>
      </c>
      <c r="M1205" s="28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16" t="n">
        <v>0</v>
      </c>
      <c r="Q1205" s="16" t="n">
        <v>0</v>
      </c>
      <c r="R1205" s="5" t="inlineStr">
        <is>
          <t>243-2023-03-31</t>
        </is>
      </c>
    </row>
    <row r="1206">
      <c r="A1206" s="26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144" t="n">
        <v>45046</v>
      </c>
      <c r="G1206" s="5" t="n">
        <v>2023</v>
      </c>
      <c r="H1206" s="5" t="inlineStr">
        <is>
          <t>Abril</t>
        </is>
      </c>
      <c r="I1206" s="6" t="inlineStr">
        <is>
          <t>2023-1</t>
        </is>
      </c>
      <c r="J1206" s="119" t="n">
        <v>0</v>
      </c>
      <c r="K1206" s="123" t="n">
        <v>0</v>
      </c>
      <c r="L1206" s="28">
        <f>IFERROR(IF(OR(J1206=0,K1206=""),"",IF(E1206="Positivo",MIN(MAX(K1206/J1206,0),1.3),MIN(MAX(J1206/K1206,0),1.3))),"") </f>
        <v/>
      </c>
      <c r="M1206" s="28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16" t="n">
        <v>0</v>
      </c>
      <c r="Q1206" s="16" t="n">
        <v>0</v>
      </c>
      <c r="R1206" s="5" t="inlineStr">
        <is>
          <t>243-2023-04-30</t>
        </is>
      </c>
    </row>
    <row r="1207">
      <c r="A1207" s="26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144" t="n">
        <v>45077</v>
      </c>
      <c r="G1207" s="5" t="n">
        <v>2023</v>
      </c>
      <c r="H1207" s="5" t="inlineStr">
        <is>
          <t>Mayo</t>
        </is>
      </c>
      <c r="I1207" s="6" t="inlineStr">
        <is>
          <t>2023-1</t>
        </is>
      </c>
      <c r="J1207" s="119" t="n">
        <v>0</v>
      </c>
      <c r="K1207" s="123" t="n">
        <v>0</v>
      </c>
      <c r="L1207" s="28">
        <f>IFERROR(IF(OR(J1207=0,K1207=""),"",IF(E1207="Positivo",MIN(MAX(K1207/J1207,0),1.3),MIN(MAX(J1207/K1207,0),1.3))),"") </f>
        <v/>
      </c>
      <c r="M1207" s="28">
        <f>IFERROR(IF(OR(J1207=0,K1207=""),"",IF(E1207="Positivo",MAX(K1207/J1207,0),MAX(J1207/K1207,0))),"") </f>
        <v/>
      </c>
      <c r="N1207" s="5" t="inlineStr">
        <is>
          <t>%</t>
        </is>
      </c>
      <c r="O1207" s="5" t="inlineStr">
        <is>
          <t>%</t>
        </is>
      </c>
      <c r="P1207" s="16" t="n">
        <v>0</v>
      </c>
      <c r="Q1207" s="16" t="n">
        <v>0</v>
      </c>
      <c r="R1207" s="5" t="inlineStr">
        <is>
          <t>243-2023-05-31</t>
        </is>
      </c>
    </row>
    <row r="1208">
      <c r="A1208" s="26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143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0</v>
      </c>
      <c r="K1208" s="123" t="n">
        <v>8.33333333333333</v>
      </c>
      <c r="L1208" s="28">
        <f>IFERROR(IF(OR(J1208=0,K1208=""),"",IF(E1208="Positivo",MIN(MAX(K1208/J1208,0),1.3),MIN(MAX(J1208/K1208,0),1.3))),"") </f>
        <v/>
      </c>
      <c r="M1208" s="28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16" t="n">
        <v>0</v>
      </c>
      <c r="Q1208" s="16" t="n">
        <v>0</v>
      </c>
      <c r="R1208" s="5" t="inlineStr">
        <is>
          <t>243-2023-06-30</t>
        </is>
      </c>
    </row>
    <row r="1209">
      <c r="A1209" s="39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144" t="n">
        <v>45138</v>
      </c>
      <c r="G1209" s="5" t="n">
        <v>2023</v>
      </c>
      <c r="H1209" s="5" t="inlineStr">
        <is>
          <t>Julio</t>
        </is>
      </c>
      <c r="I1209" s="6" t="inlineStr">
        <is>
          <t>2023-2</t>
        </is>
      </c>
      <c r="J1209" s="5" t="n">
        <v>0</v>
      </c>
      <c r="K1209" s="123" t="n">
        <v>16.666666666667</v>
      </c>
      <c r="L1209" s="28">
        <f>IFERROR(IF(OR(J1209=0,K1209=""),"",IF(E1209="Positivo",MIN(MAX(K1209/J1209,0),1.3),MIN(MAX(J1209/K1209,0),1.3))),"") </f>
        <v/>
      </c>
      <c r="M1209" s="28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16" t="n">
        <v>0</v>
      </c>
      <c r="Q1209" s="16" t="n">
        <v>0</v>
      </c>
      <c r="R1209" s="5" t="inlineStr">
        <is>
          <t>243-2023-07-31</t>
        </is>
      </c>
    </row>
    <row r="1210">
      <c r="A1210" s="26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143" t="n">
        <v>45169</v>
      </c>
      <c r="G1210" s="5" t="n">
        <v>2023</v>
      </c>
      <c r="H1210" s="5" t="inlineStr">
        <is>
          <t>Agosto</t>
        </is>
      </c>
      <c r="I1210" s="6" t="inlineStr">
        <is>
          <t>2023-2</t>
        </is>
      </c>
      <c r="J1210" s="5" t="n">
        <v>0</v>
      </c>
      <c r="K1210" s="123" t="n">
        <v>9.09</v>
      </c>
      <c r="L1210" s="28">
        <f>IFERROR(IF(OR(J1210=0,K1210=""),"",IF(E1210="Positivo",MIN(MAX(K1210/J1210,0),1.3),MIN(MAX(J1210/K1210,0),1.3))),"") </f>
        <v/>
      </c>
      <c r="M1210" s="28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6" t="n">
        <v>1</v>
      </c>
      <c r="Q1210" s="16" t="n">
        <v>1</v>
      </c>
      <c r="R1210" s="5" t="inlineStr">
        <is>
          <t>243-2023-08-31</t>
        </is>
      </c>
    </row>
    <row r="1211">
      <c r="A1211" s="39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144" t="n">
        <v>45199</v>
      </c>
      <c r="G1211" s="5" t="n">
        <v>2023</v>
      </c>
      <c r="H1211" s="5" t="inlineStr">
        <is>
          <t>Septiembre</t>
        </is>
      </c>
      <c r="I1211" s="6" t="inlineStr">
        <is>
          <t>2023-2</t>
        </is>
      </c>
      <c r="J1211" s="5" t="n">
        <v>0</v>
      </c>
      <c r="K1211" s="123" t="n">
        <v>0</v>
      </c>
      <c r="L1211" s="28">
        <f>IFERROR(IF(OR(J1211=0,K1211=""),"",IF(E1211="Positivo",MIN(MAX(K1211/J1211,0),1.3),MIN(MAX(J1211/K1211,0),1.3))),"") </f>
        <v/>
      </c>
      <c r="M1211" s="28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6" t="n">
        <v>0</v>
      </c>
      <c r="Q1211" s="16" t="n">
        <v>0</v>
      </c>
      <c r="R1211" s="5" t="inlineStr">
        <is>
          <t>243-2023-09-30</t>
        </is>
      </c>
    </row>
    <row r="1212">
      <c r="A1212" s="26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143" t="n">
        <v>45230</v>
      </c>
      <c r="G1212" s="5" t="n">
        <v>2023</v>
      </c>
      <c r="H1212" s="5" t="inlineStr">
        <is>
          <t>Octubre</t>
        </is>
      </c>
      <c r="I1212" s="6" t="inlineStr">
        <is>
          <t>2023-2</t>
        </is>
      </c>
      <c r="J1212" s="5" t="n">
        <v>0</v>
      </c>
      <c r="K1212" s="123" t="n">
        <v>11.11</v>
      </c>
      <c r="L1212" s="28">
        <f>IFERROR(IF(OR(J1212=0,K1212=""),"",IF(E1212="Positivo",MIN(MAX(K1212/J1212,0),1.3),MIN(MAX(J1212/K1212,0),1.3))),"") </f>
        <v/>
      </c>
      <c r="M1212" s="28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16" t="n">
        <v>0</v>
      </c>
      <c r="Q1212" s="16" t="n">
        <v>0</v>
      </c>
      <c r="R1212" s="5" t="inlineStr">
        <is>
          <t>243-2023-10-31</t>
        </is>
      </c>
    </row>
    <row r="1213">
      <c r="A1213" s="39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144" t="n">
        <v>45260</v>
      </c>
      <c r="G1213" s="5" t="n">
        <v>2023</v>
      </c>
      <c r="H1213" s="5" t="inlineStr">
        <is>
          <t>Noviembre</t>
        </is>
      </c>
      <c r="I1213" s="6" t="inlineStr">
        <is>
          <t>2023-2</t>
        </is>
      </c>
      <c r="J1213" s="5" t="n">
        <v>0</v>
      </c>
      <c r="K1213" s="123" t="n">
        <v>0</v>
      </c>
      <c r="L1213" s="28">
        <f>IFERROR(IF(OR(J1213=0,K1213=""),"",IF(E1213="Positivo",MIN(MAX(K1213/J1213,0),1.3),MIN(MAX(J1213/K1213,0),1.3))),"") </f>
        <v/>
      </c>
      <c r="M1213" s="28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6" t="n">
        <v>0</v>
      </c>
      <c r="Q1213" s="16" t="n">
        <v>0</v>
      </c>
      <c r="R1213" s="5" t="inlineStr">
        <is>
          <t>243-2023-11-30</t>
        </is>
      </c>
    </row>
    <row r="1214">
      <c r="A1214" s="5" t="n">
        <v>243</v>
      </c>
      <c r="B1214" s="5" t="inlineStr">
        <is>
          <t>Cumplimiento de gestión de proyectos control de cambios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Negativo</t>
        </is>
      </c>
      <c r="F1214" s="144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0</v>
      </c>
      <c r="K1214" s="5" t="n">
        <v>14.29</v>
      </c>
      <c r="L1214" s="28">
        <f>IFERROR(IF(OR(J1214=0,K1214=""),"",IF(E1214="Positivo",MIN(MAX(K1214/J1214,0),1.3),MIN(MAX(J1214/K1214,0),1.3))),"") </f>
        <v/>
      </c>
      <c r="M1214" s="28">
        <f>IFERROR(IF(OR(J1214=0,K1214=""),"",IF(E1214="Positivo",MAX(K1214/J1214,0),MAX(J1214/K1214,0))),"") </f>
        <v/>
      </c>
      <c r="N1214" s="5" t="inlineStr">
        <is>
          <t>%</t>
        </is>
      </c>
      <c r="O1214" s="5" t="inlineStr">
        <is>
          <t>%</t>
        </is>
      </c>
      <c r="P1214" s="5" t="n">
        <v>0</v>
      </c>
      <c r="Q1214" s="5" t="n">
        <v>0</v>
      </c>
      <c r="R1214" s="5" t="inlineStr">
        <is>
          <t>243-2023-12-31</t>
        </is>
      </c>
    </row>
    <row r="1215">
      <c r="A1215" s="26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144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25</v>
      </c>
      <c r="K1215" s="10" t="n">
        <v>24</v>
      </c>
      <c r="L1215" s="28">
        <f>IFERROR(IF(OR(J1215=0,K1215=""),"",IF(E1215="Positivo",MIN(MAX(K1215/J1215,0),1.3),MIN(MAX(J1215/K1215,0),1.3))),"") </f>
        <v/>
      </c>
      <c r="M1215" s="28">
        <f>IFERROR(IF(OR(J1215=0,K1215=""),"",IF(E1215="Positivo",MAX(K1215/J1215,0),MAX(J1215/K1215,0))),"") </f>
        <v/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 t="inlineStr">
        <is>
          <t>244-2023-12-31</t>
        </is>
      </c>
    </row>
    <row r="1216">
      <c r="A1216" s="26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144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25</v>
      </c>
      <c r="K1216" s="123" t="n">
        <v>25</v>
      </c>
      <c r="L1216" s="28">
        <f>IFERROR(IF(OR(J1216=0,K1216=""),"",IF(E1216="Positivo",MIN(MAX(K1216/J1216,0),1.3),MIN(MAX(J1216/K1216,0),1.3))),"") </f>
        <v/>
      </c>
      <c r="M1216" s="28">
        <f>IFERROR(IF(OR(J1216=0,K1216=""),"",IF(E1216="Positivo",MAX(K1216/J1216,0),MAX(J1216/K1216,0))),"") </f>
        <v/>
      </c>
      <c r="N1216" s="5" t="n"/>
      <c r="O1216" s="5" t="n"/>
      <c r="P1216" s="16" t="n">
        <v>0</v>
      </c>
      <c r="Q1216" s="16" t="n">
        <v>0</v>
      </c>
      <c r="R1216" s="5" t="inlineStr">
        <is>
          <t>244-2024-12-31</t>
        </is>
      </c>
    </row>
    <row r="1217">
      <c r="A1217" s="26" t="n">
        <v>244</v>
      </c>
      <c r="B1217" s="5" t="inlineStr">
        <is>
          <t>GreenMetric - Nacional</t>
        </is>
      </c>
      <c r="C1217" s="5" t="inlineStr">
        <is>
          <t>GESTIÓN AMBIENTAL</t>
        </is>
      </c>
      <c r="D1217" s="5" t="inlineStr">
        <is>
          <t>Anual</t>
        </is>
      </c>
      <c r="E1217" s="5" t="inlineStr">
        <is>
          <t>Negativo</t>
        </is>
      </c>
      <c r="F1217" s="144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25</v>
      </c>
      <c r="K1217" s="123" t="n">
        <v>13</v>
      </c>
      <c r="L1217" s="28">
        <f>IFERROR(IF(OR(J1217=0,K1217=""),"",IF(E1217="Positivo",MIN(MAX(K1217/J1217,0),1.3),MIN(MAX(J1217/K1217,0),1.3))),"") </f>
        <v/>
      </c>
      <c r="M1217" s="28">
        <f>IFERROR(IF(OR(J1217=0,K1217=""),"",IF(E1217="Positivo",MAX(K1217/J1217,0),MAX(J1217/K1217,0))),"") </f>
        <v/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 t="inlineStr">
        <is>
          <t>244-2025-12-31</t>
        </is>
      </c>
    </row>
    <row r="1218">
      <c r="A1218" s="26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144" t="n">
        <v>45107</v>
      </c>
      <c r="G1218" s="5" t="n">
        <v>2023</v>
      </c>
      <c r="H1218" s="5" t="inlineStr">
        <is>
          <t>Junio</t>
        </is>
      </c>
      <c r="I1218" s="6" t="inlineStr">
        <is>
          <t>2023-1</t>
        </is>
      </c>
      <c r="J1218" s="5" t="n">
        <v>87</v>
      </c>
      <c r="K1218" s="123" t="n">
        <v>97.84</v>
      </c>
      <c r="L1218" s="28">
        <f>IFERROR(IF(OR(J1218=0,K1218=""),"",IF(E1218="Positivo",MIN(MAX(K1218/J1218,0),1.3),MIN(MAX(J1218/K1218,0),1.3))),"") </f>
        <v/>
      </c>
      <c r="M1218" s="28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6" t="n">
        <v>0</v>
      </c>
      <c r="Q1218" s="16" t="n">
        <v>0</v>
      </c>
      <c r="R1218" s="5" t="inlineStr">
        <is>
          <t>245-2023-06-30</t>
        </is>
      </c>
    </row>
    <row r="1219">
      <c r="A1219" s="26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144" t="n">
        <v>45291</v>
      </c>
      <c r="G1219" s="5" t="n">
        <v>2023</v>
      </c>
      <c r="H1219" s="5" t="inlineStr">
        <is>
          <t>Diciembre</t>
        </is>
      </c>
      <c r="I1219" s="6" t="inlineStr">
        <is>
          <t>2023-2</t>
        </is>
      </c>
      <c r="J1219" s="5" t="n">
        <v>87</v>
      </c>
      <c r="K1219" s="10" t="n">
        <v>98.14</v>
      </c>
      <c r="L1219" s="28">
        <f>IFERROR(IF(OR(J1219=0,K1219=""),"",IF(E1219="Positivo",MIN(MAX(K1219/J1219,0),1.3),MIN(MAX(J1219/K1219,0),1.3))),"") </f>
        <v/>
      </c>
      <c r="M1219" s="28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16" t="n">
        <v>0</v>
      </c>
      <c r="Q1219" s="16" t="n">
        <v>0</v>
      </c>
      <c r="R1219" s="5" t="inlineStr">
        <is>
          <t>245-2023-12-31</t>
        </is>
      </c>
    </row>
    <row r="1220">
      <c r="A1220" s="5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144" t="n">
        <v>45473</v>
      </c>
      <c r="G1220" s="5" t="n">
        <v>2024</v>
      </c>
      <c r="H1220" s="5" t="inlineStr">
        <is>
          <t>Junio</t>
        </is>
      </c>
      <c r="I1220" s="6" t="inlineStr">
        <is>
          <t>2024-1</t>
        </is>
      </c>
      <c r="J1220" s="5" t="n">
        <v>100</v>
      </c>
      <c r="K1220" s="5" t="n">
        <v>100.15</v>
      </c>
      <c r="L1220" s="28">
        <f>IFERROR(IF(OR(J1220=0,K1220=""),"",IF(E1220="Positivo",MIN(MAX(K1220/J1220,0),1.3),MIN(MAX(J1220/K1220,0),1.3))),"") </f>
        <v/>
      </c>
      <c r="M1220" s="28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245-2024-06-30</t>
        </is>
      </c>
    </row>
    <row r="1221">
      <c r="A1221" s="26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144" t="n">
        <v>45657</v>
      </c>
      <c r="G1221" s="5" t="n">
        <v>2024</v>
      </c>
      <c r="H1221" s="5" t="inlineStr">
        <is>
          <t>Diciembre</t>
        </is>
      </c>
      <c r="I1221" s="6" t="inlineStr">
        <is>
          <t>2024-2</t>
        </is>
      </c>
      <c r="J1221" s="5" t="n">
        <v>100</v>
      </c>
      <c r="K1221" s="10" t="n">
        <v>100.22</v>
      </c>
      <c r="L1221" s="28">
        <f>IFERROR(IF(OR(J1221=0,K1221=""),"",IF(E1221="Positivo",MIN(MAX(K1221/J1221,0),1.3),MIN(MAX(J1221/K1221,0),1.3))),"") </f>
        <v/>
      </c>
      <c r="M1221" s="28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6" t="n">
        <v>0</v>
      </c>
      <c r="Q1221" s="16" t="n">
        <v>0</v>
      </c>
      <c r="R1221" s="5" t="inlineStr">
        <is>
          <t>245-2024-12-31</t>
        </is>
      </c>
    </row>
    <row r="1222">
      <c r="A1222" s="26" t="n">
        <v>245</v>
      </c>
      <c r="B1222" s="5" t="inlineStr">
        <is>
          <t>Permanencia Intersemestral</t>
        </is>
      </c>
      <c r="C1222" s="5" t="inlineStr">
        <is>
          <t>Permanencia</t>
        </is>
      </c>
      <c r="D1222" s="5" t="inlineStr">
        <is>
          <t>Semestral</t>
        </is>
      </c>
      <c r="E1222" s="5" t="inlineStr">
        <is>
          <t>Positivo</t>
        </is>
      </c>
      <c r="F1222" s="144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100</v>
      </c>
      <c r="K1222" s="10" t="n">
        <v>100.93</v>
      </c>
      <c r="L1222" s="28">
        <f>IFERROR(IF(OR(J1222=0,K1222=""),"",IF(E1222="Positivo",MIN(MAX(K1222/J1222,0),1.3),MIN(MAX(J1222/K1222,0),1.3))),"") </f>
        <v/>
      </c>
      <c r="M1222" s="28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16" t="n">
        <v>0</v>
      </c>
      <c r="Q1222" s="16" t="n">
        <v>0</v>
      </c>
      <c r="R1222" s="5" t="inlineStr">
        <is>
          <t>245-2025-06-30</t>
        </is>
      </c>
    </row>
    <row r="1223">
      <c r="A1223" s="26" t="n">
        <v>245</v>
      </c>
      <c r="B1223" s="5" t="inlineStr">
        <is>
          <t>Tasa de Permanencia Intersemestral</t>
        </is>
      </c>
      <c r="C1223" s="5" t="inlineStr">
        <is>
          <t>Permanencia</t>
        </is>
      </c>
      <c r="D1223" s="5" t="inlineStr">
        <is>
          <t>Trimestral</t>
        </is>
      </c>
      <c r="E1223" s="5" t="inlineStr">
        <is>
          <t>Positivo</t>
        </is>
      </c>
      <c r="F1223" s="143" t="n">
        <v>46022</v>
      </c>
      <c r="G1223" s="5" t="n">
        <v>2025</v>
      </c>
      <c r="H1223" s="5" t="inlineStr">
        <is>
          <t>Diciembre</t>
        </is>
      </c>
      <c r="I1223" s="6" t="inlineStr">
        <is>
          <t>2025-2</t>
        </is>
      </c>
      <c r="J1223" s="5" t="n">
        <v>100</v>
      </c>
      <c r="K1223" s="123" t="n">
        <v>100.12</v>
      </c>
      <c r="L1223" s="28">
        <f>IFERROR(IF(OR(J1223=0,K1223=""),"",IF(E1223="Positivo",MIN(MAX(K1223/J1223,0),1.3),MIN(MAX(J1223/K1223,0),1.3))),"") </f>
        <v/>
      </c>
      <c r="M1223" s="28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6" t="n">
        <v>1</v>
      </c>
      <c r="Q1223" s="16" t="n">
        <v>1</v>
      </c>
      <c r="R1223" s="5" t="inlineStr">
        <is>
          <t>245-2025-12-31</t>
        </is>
      </c>
    </row>
    <row r="1224">
      <c r="A1224" s="39" t="n">
        <v>246</v>
      </c>
      <c r="B1224" s="5" t="inlineStr">
        <is>
          <t>Satisfacción del proceso de grados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144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85</v>
      </c>
      <c r="K1224" s="123" t="n">
        <v>61.4</v>
      </c>
      <c r="L1224" s="28">
        <f>IFERROR(IF(OR(J1224=0,K1224=""),"",IF(E1224="Positivo",MIN(MAX(K1224/J1224,0),1.3),MIN(MAX(J1224/K1224,0),1.3))),"") </f>
        <v/>
      </c>
      <c r="M1224" s="28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 t="inlineStr">
        <is>
          <t>246-2023-12-31</t>
        </is>
      </c>
    </row>
    <row r="1225">
      <c r="A1225" s="5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144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5" t="n">
        <v>67.5</v>
      </c>
      <c r="K1225" s="5" t="n">
        <v>92.5</v>
      </c>
      <c r="L1225" s="28">
        <f>IFERROR(IF(OR(J1225=0,K1225=""),"",IF(E1225="Positivo",MIN(MAX(K1225/J1225,0),1.3),MIN(MAX(J1225/K1225,0),1.3))),"") </f>
        <v/>
      </c>
      <c r="M1225" s="28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246-2024-06-30</t>
        </is>
      </c>
    </row>
    <row r="1226">
      <c r="A1226" s="26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144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5" t="n">
        <v>67.5</v>
      </c>
      <c r="K1226" s="10" t="n">
        <v>94.40000000000001</v>
      </c>
      <c r="L1226" s="28">
        <f>IFERROR(IF(OR(J1226=0,K1226=""),"",IF(E1226="Positivo",MIN(MAX(K1226/J1226,0),1.3),MIN(MAX(J1226/K1226,0),1.3))),"") </f>
        <v/>
      </c>
      <c r="M1226" s="28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 t="inlineStr">
        <is>
          <t>246-2024-12-31</t>
        </is>
      </c>
    </row>
    <row r="1227">
      <c r="A1227" s="26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Semestral</t>
        </is>
      </c>
      <c r="E1227" s="5" t="inlineStr">
        <is>
          <t>Positivo</t>
        </is>
      </c>
      <c r="F1227" s="143" t="n">
        <v>45838</v>
      </c>
      <c r="G1227" s="5" t="n">
        <v>2025</v>
      </c>
      <c r="H1227" s="5" t="inlineStr">
        <is>
          <t>Junio</t>
        </is>
      </c>
      <c r="I1227" s="6" t="inlineStr">
        <is>
          <t>2025-1</t>
        </is>
      </c>
      <c r="J1227" s="5" t="n">
        <v>90</v>
      </c>
      <c r="K1227" s="123" t="n">
        <v>90.09999999999999</v>
      </c>
      <c r="L1227" s="28">
        <f>IFERROR(IF(OR(J1227=0,K1227=""),"",IF(E1227="Positivo",MIN(MAX(K1227/J1227,0),1.3),MIN(MAX(J1227/K1227,0),1.3))),"") </f>
        <v/>
      </c>
      <c r="M1227" s="28">
        <f>IFERROR(IF(OR(J1227=0,K1227=""),"",IF(E1227="Positivo",MAX(K1227/J1227,0),MAX(J1227/K1227,0))),"") </f>
        <v/>
      </c>
      <c r="N1227" s="11" t="inlineStr">
        <is>
          <t>%</t>
        </is>
      </c>
      <c r="O1227" s="11" t="inlineStr">
        <is>
          <t>%</t>
        </is>
      </c>
      <c r="P1227" s="16" t="n">
        <v>0</v>
      </c>
      <c r="Q1227" s="16" t="n">
        <v>0</v>
      </c>
      <c r="R1227" s="5" t="inlineStr">
        <is>
          <t>246-2025-06-30</t>
        </is>
      </c>
    </row>
    <row r="1228">
      <c r="A1228" s="39" t="n">
        <v>246</v>
      </c>
      <c r="B1228" s="5" t="inlineStr">
        <is>
          <t>Satisfacción del proceso de grados presencial</t>
        </is>
      </c>
      <c r="C1228" s="5" t="inlineStr">
        <is>
          <t>Registro y Control</t>
        </is>
      </c>
      <c r="D1228" s="5" t="inlineStr">
        <is>
          <t>Trimestral</t>
        </is>
      </c>
      <c r="E1228" s="5" t="inlineStr">
        <is>
          <t>Positivo</t>
        </is>
      </c>
      <c r="F1228" s="144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90</v>
      </c>
      <c r="K1228" s="123" t="n">
        <v>92.7</v>
      </c>
      <c r="L1228" s="28">
        <f>IFERROR(IF(OR(J1228=0,K1228=""),"",IF(E1228="Positivo",MIN(MAX(K1228/J1228,0),1.3),MIN(MAX(J1228/K1228,0),1.3))),"") </f>
        <v/>
      </c>
      <c r="M1228" s="28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16" t="n">
        <v>0</v>
      </c>
      <c r="Q1228" s="16" t="n">
        <v>0</v>
      </c>
      <c r="R1228" s="5" t="inlineStr">
        <is>
          <t>246-2025-12-31</t>
        </is>
      </c>
    </row>
    <row r="1229">
      <c r="A1229" s="5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144" t="n">
        <v>44957</v>
      </c>
      <c r="G1229" s="5" t="n">
        <v>2023</v>
      </c>
      <c r="H1229" s="5" t="inlineStr">
        <is>
          <t>Enero</t>
        </is>
      </c>
      <c r="I1229" s="6" t="inlineStr">
        <is>
          <t>2023-1</t>
        </is>
      </c>
      <c r="J1229" s="5" t="n"/>
      <c r="K1229" s="34" t="n">
        <v>75.64023765621801</v>
      </c>
      <c r="L1229" s="28" t="n"/>
      <c r="M1229" s="28" t="n"/>
      <c r="N1229" s="5" t="inlineStr">
        <is>
          <t>Linea Base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247-2023-01-31</t>
        </is>
      </c>
    </row>
    <row r="1230">
      <c r="A1230" s="26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144" t="n">
        <v>44985</v>
      </c>
      <c r="G1230" s="5" t="n">
        <v>2023</v>
      </c>
      <c r="H1230" s="5" t="inlineStr">
        <is>
          <t>Febrero</t>
        </is>
      </c>
      <c r="I1230" s="6" t="inlineStr">
        <is>
          <t>2023-1</t>
        </is>
      </c>
      <c r="J1230" s="5" t="n"/>
      <c r="K1230" s="10" t="n">
        <v>71.28712871287129</v>
      </c>
      <c r="L1230" s="28" t="n"/>
      <c r="M1230" s="28" t="n"/>
      <c r="N1230" s="5" t="inlineStr">
        <is>
          <t>Linea Base</t>
        </is>
      </c>
      <c r="O1230" s="5" t="inlineStr">
        <is>
          <t>%</t>
        </is>
      </c>
      <c r="P1230" s="16" t="n">
        <v>0</v>
      </c>
      <c r="Q1230" s="16" t="n">
        <v>0</v>
      </c>
      <c r="R1230" s="5" t="inlineStr">
        <is>
          <t>247-2023-02-28</t>
        </is>
      </c>
    </row>
    <row r="1231">
      <c r="A1231" s="39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144" t="n">
        <v>45016</v>
      </c>
      <c r="G1231" s="5" t="n">
        <v>2023</v>
      </c>
      <c r="H1231" s="5" t="inlineStr">
        <is>
          <t>Marzo</t>
        </is>
      </c>
      <c r="I1231" s="6" t="inlineStr">
        <is>
          <t>2023-1</t>
        </is>
      </c>
      <c r="J1231" s="5" t="n"/>
      <c r="K1231" s="123" t="n">
        <v>71.01731601731601</v>
      </c>
      <c r="L1231" s="8" t="n"/>
      <c r="M1231" s="28" t="n"/>
      <c r="N1231" s="5" t="inlineStr">
        <is>
          <t>Linea Base</t>
        </is>
      </c>
      <c r="O1231" s="5" t="inlineStr">
        <is>
          <t>%</t>
        </is>
      </c>
      <c r="P1231" s="16" t="n">
        <v>0</v>
      </c>
      <c r="Q1231" s="16" t="n">
        <v>0</v>
      </c>
      <c r="R1231" s="5" t="inlineStr">
        <is>
          <t>247-2023-03-31</t>
        </is>
      </c>
    </row>
    <row r="1232">
      <c r="A1232" s="26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144" t="n">
        <v>45046</v>
      </c>
      <c r="G1232" s="5" t="n">
        <v>2023</v>
      </c>
      <c r="H1232" s="5" t="inlineStr">
        <is>
          <t>Abril</t>
        </is>
      </c>
      <c r="I1232" s="6" t="inlineStr">
        <is>
          <t>2023-1</t>
        </is>
      </c>
      <c r="J1232" s="5" t="n"/>
      <c r="K1232" s="10" t="n">
        <v>74.075723830735</v>
      </c>
      <c r="L1232" s="28" t="n"/>
      <c r="M1232" s="28" t="n"/>
      <c r="N1232" s="5" t="inlineStr">
        <is>
          <t>Linea Base</t>
        </is>
      </c>
      <c r="O1232" s="5" t="inlineStr">
        <is>
          <t>%</t>
        </is>
      </c>
      <c r="P1232" s="16" t="n">
        <v>0</v>
      </c>
      <c r="Q1232" s="16" t="n">
        <v>0</v>
      </c>
      <c r="R1232" s="5" t="inlineStr">
        <is>
          <t>247-2023-04-30</t>
        </is>
      </c>
    </row>
    <row r="1233">
      <c r="A1233" s="26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143" t="n">
        <v>45077</v>
      </c>
      <c r="G1233" s="5" t="n">
        <v>2023</v>
      </c>
      <c r="H1233" s="5" t="inlineStr">
        <is>
          <t>Mayo</t>
        </is>
      </c>
      <c r="I1233" s="6" t="inlineStr">
        <is>
          <t>2023-1</t>
        </is>
      </c>
      <c r="J1233" s="5" t="n"/>
      <c r="K1233" s="123" t="n">
        <v>70.167903162827</v>
      </c>
      <c r="L1233" s="8" t="n"/>
      <c r="M1233" s="28" t="n"/>
      <c r="N1233" s="5" t="inlineStr">
        <is>
          <t>Linea Base</t>
        </is>
      </c>
      <c r="O1233" s="5" t="inlineStr">
        <is>
          <t>%</t>
        </is>
      </c>
      <c r="P1233" s="16" t="n">
        <v>0</v>
      </c>
      <c r="Q1233" s="16" t="n">
        <v>0</v>
      </c>
      <c r="R1233" s="5" t="inlineStr">
        <is>
          <t>247-2023-05-31</t>
        </is>
      </c>
    </row>
    <row r="1234">
      <c r="A1234" s="39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144" t="n">
        <v>45107</v>
      </c>
      <c r="G1234" s="5" t="n">
        <v>2023</v>
      </c>
      <c r="H1234" s="5" t="inlineStr">
        <is>
          <t>Junio</t>
        </is>
      </c>
      <c r="I1234" s="6" t="inlineStr">
        <is>
          <t>2023-1</t>
        </is>
      </c>
      <c r="J1234" s="5" t="n"/>
      <c r="K1234" s="123" t="n">
        <v>61.0823853843502</v>
      </c>
      <c r="L1234" s="8" t="n"/>
      <c r="M1234" s="28" t="n"/>
      <c r="N1234" s="5" t="inlineStr">
        <is>
          <t>Linea Base</t>
        </is>
      </c>
      <c r="O1234" s="5" t="inlineStr">
        <is>
          <t>%</t>
        </is>
      </c>
      <c r="P1234" s="16" t="n">
        <v>0</v>
      </c>
      <c r="Q1234" s="16" t="n">
        <v>0</v>
      </c>
      <c r="R1234" s="5" t="inlineStr">
        <is>
          <t>247-2023-06-30</t>
        </is>
      </c>
    </row>
    <row r="1235">
      <c r="A1235" s="5" t="n">
        <v>247</v>
      </c>
      <c r="B1235" s="5" t="inlineStr">
        <is>
          <t>Solicitud de certificados</t>
        </is>
      </c>
      <c r="C1235" s="5" t="inlineStr">
        <is>
          <t>Registro y Control</t>
        </is>
      </c>
      <c r="D1235" s="5" t="inlineStr">
        <is>
          <t>Mensual</t>
        </is>
      </c>
      <c r="E1235" s="5" t="inlineStr">
        <is>
          <t>Positivo</t>
        </is>
      </c>
      <c r="F1235" s="144" t="n">
        <v>45138</v>
      </c>
      <c r="G1235" s="5" t="n">
        <v>2023</v>
      </c>
      <c r="H1235" s="5" t="inlineStr">
        <is>
          <t>Julio</t>
        </is>
      </c>
      <c r="I1235" s="6" t="inlineStr">
        <is>
          <t>2023-2</t>
        </is>
      </c>
      <c r="J1235" s="5" t="n"/>
      <c r="K1235" s="5" t="n">
        <v>75.552362134004</v>
      </c>
      <c r="L1235" s="8" t="n"/>
      <c r="M1235" s="28" t="n"/>
      <c r="N1235" s="5" t="inlineStr">
        <is>
          <t>Linea Base</t>
        </is>
      </c>
      <c r="O1235" s="5" t="inlineStr">
        <is>
          <t>%</t>
        </is>
      </c>
      <c r="P1235" s="5" t="n">
        <v>0</v>
      </c>
      <c r="Q1235" s="5" t="n">
        <v>0</v>
      </c>
      <c r="R1235" s="5" t="inlineStr">
        <is>
          <t>247-2023-07-31</t>
        </is>
      </c>
    </row>
    <row r="1236">
      <c r="A1236" s="26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144" t="n">
        <v>45169</v>
      </c>
      <c r="G1236" s="5" t="n">
        <v>2023</v>
      </c>
      <c r="H1236" s="5" t="inlineStr">
        <is>
          <t>Agosto</t>
        </is>
      </c>
      <c r="I1236" s="6" t="inlineStr">
        <is>
          <t>2023-2</t>
        </is>
      </c>
      <c r="J1236" s="5" t="n"/>
      <c r="K1236" s="10" t="n">
        <v>70.64</v>
      </c>
      <c r="L1236" s="28" t="n"/>
      <c r="M1236" s="28" t="n"/>
      <c r="N1236" s="5" t="inlineStr">
        <is>
          <t>Linea Base</t>
        </is>
      </c>
      <c r="O1236" s="5" t="inlineStr">
        <is>
          <t>%</t>
        </is>
      </c>
      <c r="P1236" s="16" t="n">
        <v>0</v>
      </c>
      <c r="Q1236" s="16" t="n">
        <v>0</v>
      </c>
      <c r="R1236" s="5" t="inlineStr">
        <is>
          <t>247-2023-08-31</t>
        </is>
      </c>
    </row>
    <row r="1237">
      <c r="A1237" s="26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143" t="n">
        <v>45199</v>
      </c>
      <c r="G1237" s="5" t="n">
        <v>2023</v>
      </c>
      <c r="H1237" s="5" t="inlineStr">
        <is>
          <t>Septiembre</t>
        </is>
      </c>
      <c r="I1237" s="6" t="inlineStr">
        <is>
          <t>2023-2</t>
        </is>
      </c>
      <c r="J1237" s="5" t="n"/>
      <c r="K1237" s="123" t="n">
        <v>67.14</v>
      </c>
      <c r="L1237" s="8" t="n"/>
      <c r="M1237" s="28" t="n"/>
      <c r="N1237" s="5" t="inlineStr">
        <is>
          <t>Linea Base</t>
        </is>
      </c>
      <c r="O1237" s="5" t="inlineStr">
        <is>
          <t>%</t>
        </is>
      </c>
      <c r="P1237" s="16" t="n">
        <v>0</v>
      </c>
      <c r="Q1237" s="16" t="n">
        <v>0</v>
      </c>
      <c r="R1237" s="5" t="inlineStr">
        <is>
          <t>247-2023-09-30</t>
        </is>
      </c>
    </row>
    <row r="1238">
      <c r="A1238" s="39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144" t="n">
        <v>45230</v>
      </c>
      <c r="G1238" s="5" t="n">
        <v>2023</v>
      </c>
      <c r="H1238" s="5" t="inlineStr">
        <is>
          <t>Octubre</t>
        </is>
      </c>
      <c r="I1238" s="6" t="inlineStr">
        <is>
          <t>2023-2</t>
        </is>
      </c>
      <c r="J1238" s="5" t="n"/>
      <c r="K1238" s="123" t="n">
        <v>65.84999999999999</v>
      </c>
      <c r="L1238" s="8" t="n"/>
      <c r="M1238" s="28" t="n"/>
      <c r="N1238" s="5" t="inlineStr">
        <is>
          <t>Linea Base</t>
        </is>
      </c>
      <c r="O1238" s="5" t="inlineStr">
        <is>
          <t>%</t>
        </is>
      </c>
      <c r="P1238" s="16" t="n">
        <v>0</v>
      </c>
      <c r="Q1238" s="16" t="n">
        <v>0</v>
      </c>
      <c r="R1238" s="5" t="inlineStr">
        <is>
          <t>247-2023-10-31</t>
        </is>
      </c>
    </row>
    <row r="1239">
      <c r="A1239" s="5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144" t="n">
        <v>45260</v>
      </c>
      <c r="G1239" s="5" t="n">
        <v>2023</v>
      </c>
      <c r="H1239" s="5" t="inlineStr">
        <is>
          <t>Noviembre</t>
        </is>
      </c>
      <c r="I1239" s="6" t="inlineStr">
        <is>
          <t>2023-2</t>
        </is>
      </c>
      <c r="J1239" s="5" t="n"/>
      <c r="K1239" s="5" t="n">
        <v>65.47</v>
      </c>
      <c r="L1239" s="8" t="n"/>
      <c r="M1239" s="28" t="n"/>
      <c r="N1239" s="5" t="inlineStr">
        <is>
          <t>Linea Base</t>
        </is>
      </c>
      <c r="O1239" s="5" t="inlineStr">
        <is>
          <t>%</t>
        </is>
      </c>
      <c r="P1239" s="5" t="n">
        <v>0</v>
      </c>
      <c r="Q1239" s="5" t="n">
        <v>0</v>
      </c>
      <c r="R1239" s="5" t="inlineStr">
        <is>
          <t>247-2023-11-30</t>
        </is>
      </c>
    </row>
    <row r="1240">
      <c r="A1240" s="26" t="n">
        <v>247</v>
      </c>
      <c r="B1240" s="5" t="inlineStr">
        <is>
          <t>Solicitud de certificados</t>
        </is>
      </c>
      <c r="C1240" s="5" t="inlineStr">
        <is>
          <t>Registro y Control</t>
        </is>
      </c>
      <c r="D1240" s="5" t="inlineStr">
        <is>
          <t>Mensual</t>
        </is>
      </c>
      <c r="E1240" s="5" t="inlineStr">
        <is>
          <t>Positivo</t>
        </is>
      </c>
      <c r="F1240" s="144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/>
      <c r="K1240" s="10" t="n">
        <v>69.86</v>
      </c>
      <c r="L1240" s="8" t="n"/>
      <c r="M1240" s="28" t="n"/>
      <c r="N1240" s="5" t="inlineStr">
        <is>
          <t>Linea Base</t>
        </is>
      </c>
      <c r="O1240" s="5" t="inlineStr">
        <is>
          <t>%</t>
        </is>
      </c>
      <c r="P1240" s="16" t="n">
        <v>0</v>
      </c>
      <c r="Q1240" s="16" t="n">
        <v>0</v>
      </c>
      <c r="R1240" s="5" t="inlineStr">
        <is>
          <t>247-2023-12-31</t>
        </is>
      </c>
    </row>
    <row r="1241">
      <c r="A1241" s="39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144" t="n">
        <v>45107</v>
      </c>
      <c r="G1241" s="5" t="n">
        <v>2023</v>
      </c>
      <c r="H1241" s="5" t="inlineStr">
        <is>
          <t>Junio</t>
        </is>
      </c>
      <c r="I1241" s="6" t="inlineStr">
        <is>
          <t>2023-1</t>
        </is>
      </c>
      <c r="J1241" s="5" t="n">
        <v>27</v>
      </c>
      <c r="K1241" s="123" t="n">
        <v>27</v>
      </c>
      <c r="L1241" s="28">
        <f>IFERROR(IF(OR(J1241=0,K1241=""),"",IF(E1241="Positivo",MIN(MAX(K1241/J1241,0),1.3),MIN(MAX(J1241/K1241,0),1.3))),"") </f>
        <v/>
      </c>
      <c r="M1241" s="28">
        <f>IFERROR(IF(OR(J1241=0,K1241=""),"",IF(E1241="Positivo",MAX(K1241/J1241,0),MAX(J1241/K1241,0))),"") </f>
        <v/>
      </c>
      <c r="N1241" s="5" t="inlineStr">
        <is>
          <t>Linea Base</t>
        </is>
      </c>
      <c r="O1241" s="5" t="inlineStr">
        <is>
          <t>%</t>
        </is>
      </c>
      <c r="P1241" s="16" t="n">
        <v>0</v>
      </c>
      <c r="Q1241" s="16" t="n">
        <v>0</v>
      </c>
      <c r="R1241" s="5" t="inlineStr">
        <is>
          <t>248-2023-06-30</t>
        </is>
      </c>
    </row>
    <row r="1242">
      <c r="A1242" s="5" t="n">
        <v>248</v>
      </c>
      <c r="B1242" s="5" t="inlineStr">
        <is>
          <t>Programas con reforzamiento curricular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144" t="n">
        <v>45291</v>
      </c>
      <c r="G1242" s="5" t="n">
        <v>2023</v>
      </c>
      <c r="H1242" s="5" t="inlineStr">
        <is>
          <t>Diciembre</t>
        </is>
      </c>
      <c r="I1242" s="6" t="inlineStr">
        <is>
          <t>2023-2</t>
        </is>
      </c>
      <c r="J1242" s="5" t="n">
        <v>17</v>
      </c>
      <c r="K1242" s="5" t="n">
        <v>17</v>
      </c>
      <c r="L1242" s="28">
        <f>IFERROR(IF(OR(J1242=0,K1242=""),"",IF(E1242="Positivo",MIN(MAX(K1242/J1242,0),1.3),MIN(MAX(J1242/K1242,0),1.3))),"") </f>
        <v/>
      </c>
      <c r="M1242" s="28">
        <f>IFERROR(IF(OR(J1242=0,K1242=""),"",IF(E1242="Positivo",MAX(K1242/J1242,0),MAX(J1242/K1242,0))),"") </f>
        <v/>
      </c>
      <c r="N1242" s="5" t="inlineStr">
        <is>
          <t>Linea Base</t>
        </is>
      </c>
      <c r="O1242" s="5" t="inlineStr">
        <is>
          <t>%</t>
        </is>
      </c>
      <c r="P1242" s="5" t="n">
        <v>0</v>
      </c>
      <c r="Q1242" s="5" t="n">
        <v>0</v>
      </c>
      <c r="R1242" s="5" t="inlineStr">
        <is>
          <t>248-2023-12-31</t>
        </is>
      </c>
    </row>
    <row r="1243">
      <c r="A1243" s="26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143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72</v>
      </c>
      <c r="K1243" s="123" t="n">
        <v>72</v>
      </c>
      <c r="L1243" s="28">
        <f>IFERROR(IF(OR(J1243=0,K1243=""),"",IF(E1243="Positivo",MIN(MAX(K1243/J1243,0),1.3),MIN(MAX(J1243/K1243,0),1.3))),"") </f>
        <v/>
      </c>
      <c r="M1243" s="28">
        <f>IFERROR(IF(OR(J1243=0,K1243=""),"",IF(E1243="Positivo",MAX(K1243/J1243,0),MAX(J1243/K1243,0))),"") </f>
        <v/>
      </c>
      <c r="N1243" s="5" t="inlineStr">
        <is>
          <t>Linea Base</t>
        </is>
      </c>
      <c r="O1243" s="5" t="inlineStr">
        <is>
          <t>%</t>
        </is>
      </c>
      <c r="P1243" s="16" t="n">
        <v>0</v>
      </c>
      <c r="Q1243" s="16" t="n">
        <v>0</v>
      </c>
      <c r="R1243" s="5" t="inlineStr">
        <is>
          <t>249-2023-06-30</t>
        </is>
      </c>
    </row>
    <row r="1244">
      <c r="A1244" s="39" t="n">
        <v>249</v>
      </c>
      <c r="B1244" s="5" t="inlineStr">
        <is>
          <t>Programas con matriz de resultado de aprendizaje</t>
        </is>
      </c>
      <c r="C1244" s="5" t="inlineStr">
        <is>
          <t>Gestión, Evaluación e Innovación Curricular</t>
        </is>
      </c>
      <c r="D1244" s="5" t="inlineStr">
        <is>
          <t>Semestral</t>
        </is>
      </c>
      <c r="E1244" s="5" t="inlineStr">
        <is>
          <t>Positivo</t>
        </is>
      </c>
      <c r="F1244" s="144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26</v>
      </c>
      <c r="K1244" s="123" t="n">
        <v>26</v>
      </c>
      <c r="L1244" s="28">
        <f>IFERROR(IF(OR(J1244=0,K1244=""),"",IF(E1244="Positivo",MIN(MAX(K1244/J1244,0),1.3),MIN(MAX(J1244/K1244,0),1.3))),"") </f>
        <v/>
      </c>
      <c r="M1244" s="28">
        <f>IFERROR(IF(OR(J1244=0,K1244=""),"",IF(E1244="Positivo",MAX(K1244/J1244,0),MAX(J1244/K1244,0))),"") </f>
        <v/>
      </c>
      <c r="N1244" s="5" t="inlineStr">
        <is>
          <t>Linea Base</t>
        </is>
      </c>
      <c r="O1244" s="5" t="inlineStr">
        <is>
          <t>%</t>
        </is>
      </c>
      <c r="P1244" s="16" t="n">
        <v>0</v>
      </c>
      <c r="Q1244" s="16" t="n">
        <v>0</v>
      </c>
      <c r="R1244" s="5" t="inlineStr">
        <is>
          <t>249-2023-12-31</t>
        </is>
      </c>
    </row>
    <row r="1245">
      <c r="A1245" s="5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144" t="n">
        <v>45107</v>
      </c>
      <c r="G1245" s="5" t="n">
        <v>2023</v>
      </c>
      <c r="H1245" s="5" t="inlineStr">
        <is>
          <t>Junio</t>
        </is>
      </c>
      <c r="I1245" s="6" t="inlineStr">
        <is>
          <t>2023-1</t>
        </is>
      </c>
      <c r="J1245" s="5" t="n">
        <v>100</v>
      </c>
      <c r="K1245" s="5" t="n">
        <v>93.87755102040816</v>
      </c>
      <c r="L1245" s="28">
        <f>IFERROR(IF(OR(J1245=0,K1245=""),"",IF(E1245="Positivo",MIN(MAX(K1245/J1245,0),1.3),MIN(MAX(J1245/K1245,0),1.3))),"") </f>
        <v/>
      </c>
      <c r="M1245" s="28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251-2023-06-30</t>
        </is>
      </c>
    </row>
    <row r="1246">
      <c r="A1246" s="26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144" t="n">
        <v>45199</v>
      </c>
      <c r="G1246" s="5" t="n">
        <v>2023</v>
      </c>
      <c r="H1246" s="5" t="inlineStr">
        <is>
          <t>Septiembre</t>
        </is>
      </c>
      <c r="I1246" s="6" t="inlineStr">
        <is>
          <t>2023-2</t>
        </is>
      </c>
      <c r="J1246" s="5" t="n">
        <v>100</v>
      </c>
      <c r="K1246" s="10" t="n">
        <v>100</v>
      </c>
      <c r="L1246" s="28">
        <f>IFERROR(IF(OR(J1246=0,K1246=""),"",IF(E1246="Positivo",MIN(MAX(K1246/J1246,0),1.3),MIN(MAX(J1246/K1246,0),1.3))),"") </f>
        <v/>
      </c>
      <c r="M1246" s="28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6" t="n">
        <v>0</v>
      </c>
      <c r="Q1246" s="16" t="n">
        <v>0</v>
      </c>
      <c r="R1246" s="5" t="inlineStr">
        <is>
          <t>251-2023-09-30</t>
        </is>
      </c>
    </row>
    <row r="1247">
      <c r="A1247" s="26" t="n">
        <v>251</v>
      </c>
      <c r="B1247" s="5" t="inlineStr">
        <is>
          <t>Subprocesos Con CMI Estructurado</t>
        </is>
      </c>
      <c r="C1247" s="5" t="inlineStr">
        <is>
          <t>Desempeño Institucional</t>
        </is>
      </c>
      <c r="D1247" s="5" t="inlineStr">
        <is>
          <t>Trimestral</t>
        </is>
      </c>
      <c r="E1247" s="5" t="inlineStr">
        <is>
          <t>Positivo</t>
        </is>
      </c>
      <c r="F1247" s="143" t="n">
        <v>45291</v>
      </c>
      <c r="G1247" s="5" t="n">
        <v>2023</v>
      </c>
      <c r="H1247" s="5" t="inlineStr">
        <is>
          <t>Diciembre</t>
        </is>
      </c>
      <c r="I1247" s="6" t="inlineStr">
        <is>
          <t>2023-2</t>
        </is>
      </c>
      <c r="J1247" s="5" t="n">
        <v>100</v>
      </c>
      <c r="K1247" s="123" t="n">
        <v>100</v>
      </c>
      <c r="L1247" s="28">
        <f>IFERROR(IF(OR(J1247=0,K1247=""),"",IF(E1247="Positivo",MIN(MAX(K1247/J1247,0),1.3),MIN(MAX(J1247/K1247,0),1.3))),"") </f>
        <v/>
      </c>
      <c r="M1247" s="28">
        <f>IFERROR(IF(OR(J1247=0,K1247=""),"",IF(E1247="Positivo",MAX(K1247/J1247,0),MAX(J1247/K1247,0))),"") </f>
        <v/>
      </c>
      <c r="N1247" s="11" t="inlineStr">
        <is>
          <t>%</t>
        </is>
      </c>
      <c r="O1247" s="5" t="inlineStr">
        <is>
          <t>%</t>
        </is>
      </c>
      <c r="P1247" s="16" t="n">
        <v>0</v>
      </c>
      <c r="Q1247" s="16" t="n">
        <v>0</v>
      </c>
      <c r="R1247" s="5" t="inlineStr">
        <is>
          <t>251-2023-12-31</t>
        </is>
      </c>
    </row>
    <row r="1248">
      <c r="A1248" s="39" t="n">
        <v>251</v>
      </c>
      <c r="B1248" s="5" t="inlineStr">
        <is>
          <t>Subprocesos Con indicadores definidos</t>
        </is>
      </c>
      <c r="C1248" s="5" t="inlineStr">
        <is>
          <t>Desempeño Institucional</t>
        </is>
      </c>
      <c r="D1248" s="5" t="inlineStr">
        <is>
          <t>Semestral</t>
        </is>
      </c>
      <c r="E1248" s="5" t="inlineStr">
        <is>
          <t>Positivo</t>
        </is>
      </c>
      <c r="F1248" s="144" t="n">
        <v>45382</v>
      </c>
      <c r="G1248" s="5" t="n">
        <v>2024</v>
      </c>
      <c r="H1248" s="5" t="inlineStr">
        <is>
          <t>Marzo</t>
        </is>
      </c>
      <c r="I1248" s="6" t="inlineStr">
        <is>
          <t>2024-1</t>
        </is>
      </c>
      <c r="J1248" s="5" t="n">
        <v>100</v>
      </c>
      <c r="K1248" s="123" t="n">
        <v>0</v>
      </c>
      <c r="L1248" s="28">
        <f>IFERROR(IF(OR(J1248=0,K1248=""),"",IF(E1248="Positivo",MIN(MAX(K1248/J1248,0),1.3),MIN(MAX(J1248/K1248,0),1.3))),"") </f>
        <v/>
      </c>
      <c r="M1248" s="28">
        <f>IFERROR(IF(OR(J1248=0,K1248=""),"",IF(E1248="Positivo",MAX(K1248/J1248,0),MAX(J1248/K1248,0))),"") </f>
        <v/>
      </c>
      <c r="N1248" s="5" t="inlineStr">
        <is>
          <t>%</t>
        </is>
      </c>
      <c r="O1248" s="5" t="inlineStr">
        <is>
          <t>%</t>
        </is>
      </c>
      <c r="P1248" s="16" t="n">
        <v>0</v>
      </c>
      <c r="Q1248" s="16" t="n">
        <v>0</v>
      </c>
      <c r="R1248" s="5" t="inlineStr">
        <is>
          <t>251-2024-03-31</t>
        </is>
      </c>
    </row>
    <row r="1249">
      <c r="A1249" s="5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144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5" t="n">
        <v>92.45283018867924</v>
      </c>
      <c r="L1249" s="28">
        <f>IFERROR(IF(OR(J1249=0,K1249=""),"",IF(E1249="Positivo",MIN(MAX(K1249/J1249,0),1.3),MIN(MAX(J1249/K1249,0),1.3))),"") </f>
        <v/>
      </c>
      <c r="M1249" s="28">
        <f>IFERROR(IF(OR(J1249=0,K1249=""),"",IF(E1249="Positivo",MAX(K1249/J1249,0),MAX(J1249/K1249,0))),"") </f>
        <v/>
      </c>
      <c r="N1249" s="5" t="inlineStr">
        <is>
          <t>%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251-2024-06-30</t>
        </is>
      </c>
    </row>
    <row r="1250">
      <c r="A1250" s="26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44" t="n">
        <v>45565</v>
      </c>
      <c r="G1250" s="5" t="n">
        <v>2024</v>
      </c>
      <c r="H1250" s="5" t="inlineStr">
        <is>
          <t>Septiembre</t>
        </is>
      </c>
      <c r="I1250" s="6" t="inlineStr">
        <is>
          <t>2024-2</t>
        </is>
      </c>
      <c r="J1250" s="5" t="n">
        <v>100</v>
      </c>
      <c r="K1250" s="10" t="n">
        <v>96.22641509433964</v>
      </c>
      <c r="L1250" s="28">
        <f>IFERROR(IF(OR(J1250=0,K1250=""),"",IF(E1250="Positivo",MIN(MAX(K1250/J1250,0),1.3),MIN(MAX(J1250/K1250,0),1.3))),"") </f>
        <v/>
      </c>
      <c r="M1250" s="28">
        <f>IFERROR(IF(OR(J1250=0,K1250=""),"",IF(E1250="Positivo",MAX(K1250/J1250,0),MAX(J1250/K1250,0))),"") </f>
        <v/>
      </c>
      <c r="N1250" s="5" t="inlineStr">
        <is>
          <t>%</t>
        </is>
      </c>
      <c r="O1250" s="5" t="inlineStr">
        <is>
          <t>%</t>
        </is>
      </c>
      <c r="P1250" s="16" t="n">
        <v>0</v>
      </c>
      <c r="Q1250" s="16" t="n">
        <v>0</v>
      </c>
      <c r="R1250" s="5" t="inlineStr">
        <is>
          <t>251-2024-09-30</t>
        </is>
      </c>
    </row>
    <row r="1251">
      <c r="A1251" s="26" t="n">
        <v>251</v>
      </c>
      <c r="B1251" s="5" t="inlineStr">
        <is>
          <t>Subprocesos Con CMI Estructurado</t>
        </is>
      </c>
      <c r="C1251" s="5" t="inlineStr">
        <is>
          <t>Desempeño Institucional</t>
        </is>
      </c>
      <c r="D1251" s="5" t="inlineStr">
        <is>
          <t>Trimestral</t>
        </is>
      </c>
      <c r="E1251" s="5" t="inlineStr">
        <is>
          <t>Positivo</t>
        </is>
      </c>
      <c r="F1251" s="143" t="n">
        <v>45657</v>
      </c>
      <c r="G1251" s="5" t="n">
        <v>2024</v>
      </c>
      <c r="H1251" s="5" t="inlineStr">
        <is>
          <t>Diciembre</t>
        </is>
      </c>
      <c r="I1251" s="6" t="inlineStr">
        <is>
          <t>2024-2</t>
        </is>
      </c>
      <c r="J1251" s="5" t="n">
        <v>100</v>
      </c>
      <c r="K1251" s="123" t="n">
        <v>96.22641509433964</v>
      </c>
      <c r="L1251" s="28">
        <f>IFERROR(IF(OR(J1251=0,K1251=""),"",IF(E1251="Positivo",MIN(MAX(K1251/J1251,0),1.3),MIN(MAX(J1251/K1251,0),1.3))),"") </f>
        <v/>
      </c>
      <c r="M1251" s="28">
        <f>IFERROR(IF(OR(J1251=0,K1251=""),"",IF(E1251="Positivo",MAX(K1251/J1251,0),MAX(J1251/K1251,0))),"") </f>
        <v/>
      </c>
      <c r="N1251" s="5" t="inlineStr">
        <is>
          <t>%</t>
        </is>
      </c>
      <c r="O1251" s="5" t="inlineStr">
        <is>
          <t>%</t>
        </is>
      </c>
      <c r="P1251" s="16" t="n">
        <v>0</v>
      </c>
      <c r="Q1251" s="16" t="n">
        <v>0</v>
      </c>
      <c r="R1251" s="5" t="inlineStr">
        <is>
          <t>251-2024-12-31</t>
        </is>
      </c>
    </row>
    <row r="1252">
      <c r="A1252" s="5" t="n">
        <v>251</v>
      </c>
      <c r="B1252" s="5" t="inlineStr">
        <is>
          <t>Subprocesos Con indicadores definidos</t>
        </is>
      </c>
      <c r="C1252" s="5" t="inlineStr">
        <is>
          <t>Desempeño Institucional</t>
        </is>
      </c>
      <c r="D1252" s="5" t="inlineStr">
        <is>
          <t>Semestral</t>
        </is>
      </c>
      <c r="E1252" s="5" t="inlineStr">
        <is>
          <t>Positivo</t>
        </is>
      </c>
      <c r="F1252" s="144" t="n">
        <v>45747</v>
      </c>
      <c r="G1252" s="5" t="n">
        <v>2025</v>
      </c>
      <c r="H1252" s="5" t="inlineStr">
        <is>
          <t>Marzo</t>
        </is>
      </c>
      <c r="I1252" s="6" t="inlineStr">
        <is>
          <t>2025-1</t>
        </is>
      </c>
      <c r="J1252" s="5" t="n">
        <v>100</v>
      </c>
      <c r="K1252" s="123" t="n">
        <v>0</v>
      </c>
      <c r="L1252" s="28">
        <f>IFERROR(IF(OR(J1252=0,K1252=""),"",IF(E1252="Positivo",MIN(MAX(K1252/J1252,0),1.3),MIN(MAX(J1252/K1252,0),1.3))),"") </f>
        <v/>
      </c>
      <c r="M1252" s="28">
        <f>IFERROR(IF(OR(J1252=0,K1252=""),"",IF(E1252="Positivo",MAX(K1252/J1252,0),MAX(J1252/K1252,0))),"") </f>
        <v/>
      </c>
      <c r="N1252" s="5" t="inlineStr">
        <is>
          <t>%</t>
        </is>
      </c>
      <c r="O1252" s="5" t="inlineStr">
        <is>
          <t>%</t>
        </is>
      </c>
      <c r="P1252" s="16" t="n">
        <v>0</v>
      </c>
      <c r="Q1252" s="16" t="n">
        <v>0</v>
      </c>
      <c r="R1252" s="5" t="inlineStr">
        <is>
          <t>251-2025-03-31</t>
        </is>
      </c>
    </row>
    <row r="1253">
      <c r="A1253" s="5" t="n">
        <v>251</v>
      </c>
      <c r="B1253" s="5" t="inlineStr">
        <is>
          <t>Subprocesos Con CMI Estructurado</t>
        </is>
      </c>
      <c r="C1253" s="5" t="inlineStr">
        <is>
          <t>Desempeño Institucional</t>
        </is>
      </c>
      <c r="D1253" s="5" t="inlineStr">
        <is>
          <t>Trimestral</t>
        </is>
      </c>
      <c r="E1253" s="5" t="inlineStr">
        <is>
          <t>Positivo</t>
        </is>
      </c>
      <c r="F1253" s="144" t="n">
        <v>45838</v>
      </c>
      <c r="G1253" s="5" t="n">
        <v>2025</v>
      </c>
      <c r="H1253" s="5" t="inlineStr">
        <is>
          <t>Junio</t>
        </is>
      </c>
      <c r="I1253" s="6" t="inlineStr">
        <is>
          <t>2025-1</t>
        </is>
      </c>
      <c r="J1253" s="5" t="n">
        <v>100</v>
      </c>
      <c r="K1253" s="5" t="n">
        <v>82.34999999999999</v>
      </c>
      <c r="L1253" s="28">
        <f>IFERROR(IF(OR(J1253=0,K1253=""),"",IF(E1253="Positivo",MIN(MAX(K1253/J1253,0),1.3),MIN(MAX(J1253/K1253,0),1.3))),"") </f>
        <v/>
      </c>
      <c r="M1253" s="28">
        <f>IFERROR(IF(OR(J1253=0,K1253=""),"",IF(E1253="Positivo",MAX(K1253/J1253,0),MAX(J1253/K1253,0))),"") </f>
        <v/>
      </c>
      <c r="N1253" s="5" t="inlineStr">
        <is>
          <t>%</t>
        </is>
      </c>
      <c r="O1253" s="5" t="inlineStr">
        <is>
          <t>%</t>
        </is>
      </c>
      <c r="P1253" s="5" t="n">
        <v>0</v>
      </c>
      <c r="Q1253" s="5" t="n">
        <v>0</v>
      </c>
      <c r="R1253" s="5" t="inlineStr">
        <is>
          <t>251-2025-06-30</t>
        </is>
      </c>
    </row>
    <row r="1254">
      <c r="A1254" s="26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44" t="n">
        <v>45930</v>
      </c>
      <c r="G1254" s="5" t="n">
        <v>2025</v>
      </c>
      <c r="H1254" s="5" t="inlineStr">
        <is>
          <t>Septiembre</t>
        </is>
      </c>
      <c r="I1254" s="6" t="inlineStr">
        <is>
          <t>2025-2</t>
        </is>
      </c>
      <c r="J1254" s="5" t="n">
        <v>100</v>
      </c>
      <c r="K1254" s="10" t="n">
        <v>96.08</v>
      </c>
      <c r="L1254" s="28">
        <f>IFERROR(IF(OR(J1254=0,K1254=""),"",IF(E1254="Positivo",MIN(MAX(K1254/J1254,0),1.3),MIN(MAX(J1254/K1254,0),1.3))),"") </f>
        <v/>
      </c>
      <c r="M1254" s="28">
        <f>IFERROR(IF(OR(J1254=0,K1254=""),"",IF(E1254="Positivo",MAX(K1254/J1254,0),MAX(J1254/K1254,0))),"") </f>
        <v/>
      </c>
      <c r="N1254" s="5" t="inlineStr">
        <is>
          <t>%</t>
        </is>
      </c>
      <c r="O1254" s="5" t="inlineStr">
        <is>
          <t>%</t>
        </is>
      </c>
      <c r="P1254" s="16" t="n">
        <v>0</v>
      </c>
      <c r="Q1254" s="16" t="n">
        <v>0</v>
      </c>
      <c r="R1254" s="5" t="inlineStr">
        <is>
          <t>251-2025-09-30</t>
        </is>
      </c>
    </row>
    <row r="1255">
      <c r="A1255" s="96" t="n">
        <v>251</v>
      </c>
      <c r="B1255" s="57" t="inlineStr">
        <is>
          <t>Subprocesos Con indicadores definidos</t>
        </is>
      </c>
      <c r="C1255" s="57" t="inlineStr">
        <is>
          <t>Desempeño Institucional</t>
        </is>
      </c>
      <c r="D1255" s="57" t="inlineStr">
        <is>
          <t>Semestral</t>
        </is>
      </c>
      <c r="E1255" s="57" t="inlineStr">
        <is>
          <t>Positivo</t>
        </is>
      </c>
      <c r="F1255" s="147" t="n">
        <v>46022</v>
      </c>
      <c r="G1255" s="57" t="n">
        <v>2025</v>
      </c>
      <c r="H1255" s="57" t="inlineStr">
        <is>
          <t>Diciembre</t>
        </is>
      </c>
      <c r="I1255" s="94" t="inlineStr">
        <is>
          <t>2025-2</t>
        </is>
      </c>
      <c r="J1255" s="57" t="n">
        <v>100</v>
      </c>
      <c r="K1255" s="130" t="n">
        <v>100</v>
      </c>
      <c r="L1255" s="28">
        <f>IFERROR(IF(OR(J1255=0,K1255=""),"",IF(E1255="Positivo",MIN(MAX(K1255/J1255,0),1.3),MIN(MAX(J1255/K1255,0),1.3))),"") </f>
        <v/>
      </c>
      <c r="M1255" s="93">
        <f>IFERROR(IF(OR(J1255=0,K1255=""),"",IF(E1255="Positivo",MAX(K1255/J1255,0),MAX(J1255/K1255,0))),"") </f>
        <v/>
      </c>
      <c r="N1255" s="57" t="inlineStr">
        <is>
          <t>%</t>
        </is>
      </c>
      <c r="O1255" s="57" t="inlineStr">
        <is>
          <t>%</t>
        </is>
      </c>
      <c r="P1255" s="95" t="n">
        <v>0</v>
      </c>
      <c r="Q1255" s="95" t="n">
        <v>0</v>
      </c>
      <c r="R1255" s="57" t="inlineStr">
        <is>
          <t>251-2025-12-31</t>
        </is>
      </c>
    </row>
    <row r="1256">
      <c r="A1256" s="5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44" t="n">
        <v>45107</v>
      </c>
      <c r="G1256" s="5" t="n">
        <v>2023</v>
      </c>
      <c r="H1256" s="5" t="inlineStr">
        <is>
          <t>Junio</t>
        </is>
      </c>
      <c r="I1256" s="6" t="inlineStr">
        <is>
          <t>2023-1</t>
        </is>
      </c>
      <c r="J1256" s="5" t="n">
        <v>68</v>
      </c>
      <c r="K1256" s="123" t="n">
        <v>98.81</v>
      </c>
      <c r="L1256" s="28">
        <f>IFERROR(IF(OR(J1256=0,K1256=""),"",IF(E1256="Positivo",MIN(MAX(K1256/J1256,0),1.3),MIN(MAX(J1256/K1256,0),1.3))),"") </f>
        <v/>
      </c>
      <c r="M1256" s="93">
        <f>IFERROR(IF(OR(J1256=0,K1256=""),"",IF(E1256="Positivo",MAX(K1256/J1256,0),MAX(J1256/K1256,0))),"") </f>
        <v/>
      </c>
      <c r="N1256" s="5" t="inlineStr">
        <is>
          <t>%</t>
        </is>
      </c>
      <c r="O1256" s="5" t="inlineStr">
        <is>
          <t>%</t>
        </is>
      </c>
      <c r="P1256" s="16" t="n">
        <v>0</v>
      </c>
      <c r="Q1256" s="16" t="n">
        <v>0</v>
      </c>
      <c r="R1256" s="5" t="inlineStr">
        <is>
          <t>252-2023-06-30</t>
        </is>
      </c>
    </row>
    <row r="1257">
      <c r="A1257" s="5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44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68</v>
      </c>
      <c r="K1257" s="5" t="n">
        <v>109.91</v>
      </c>
      <c r="L1257" s="28">
        <f>IFERROR(IF(OR(J1257=0,K1257=""),"",IF(E1257="Positivo",MIN(MAX(K1257/J1257,0),1.3),MIN(MAX(J1257/K1257,0),1.3))),"") </f>
        <v/>
      </c>
      <c r="M1257" s="93">
        <f>IFERROR(IF(OR(J1257=0,K1257=""),"",IF(E1257="Positivo",MAX(K1257/J1257,0),MAX(J1257/K1257,0))),"") </f>
        <v/>
      </c>
      <c r="N1257" s="5" t="inlineStr">
        <is>
          <t>%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252-2023-12-31</t>
        </is>
      </c>
    </row>
    <row r="1258">
      <c r="A1258" s="26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44" t="n">
        <v>45473</v>
      </c>
      <c r="G1258" s="5" t="n">
        <v>2024</v>
      </c>
      <c r="H1258" s="5" t="inlineStr">
        <is>
          <t>Junio</t>
        </is>
      </c>
      <c r="I1258" s="6" t="inlineStr">
        <is>
          <t>2024-1</t>
        </is>
      </c>
      <c r="J1258" s="5" t="n">
        <v>68.5</v>
      </c>
      <c r="K1258" s="10" t="n">
        <v>104.47</v>
      </c>
      <c r="L1258" s="28">
        <f>IFERROR(IF(OR(J1258=0,K1258=""),"",IF(E1258="Positivo",MIN(MAX(K1258/J1258,0),1.3),MIN(MAX(J1258/K1258,0),1.3))),"") </f>
        <v/>
      </c>
      <c r="M1258" s="93">
        <f>IFERROR(IF(OR(J1258=0,K1258=""),"",IF(E1258="Positivo",MAX(K1258/J1258,0),MAX(J1258/K1258,0))),"") </f>
        <v/>
      </c>
      <c r="N1258" s="5" t="inlineStr">
        <is>
          <t>%</t>
        </is>
      </c>
      <c r="O1258" s="5" t="inlineStr">
        <is>
          <t>%</t>
        </is>
      </c>
      <c r="P1258" s="16" t="n">
        <v>2</v>
      </c>
      <c r="Q1258" s="16" t="n">
        <v>2</v>
      </c>
      <c r="R1258" s="5" t="inlineStr">
        <is>
          <t>252-2024-06-30</t>
        </is>
      </c>
    </row>
    <row r="1259">
      <c r="A1259" s="26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143" t="n">
        <v>45657</v>
      </c>
      <c r="G1259" s="5" t="n">
        <v>2024</v>
      </c>
      <c r="H1259" s="5" t="inlineStr">
        <is>
          <t>Diciembre</t>
        </is>
      </c>
      <c r="I1259" s="6" t="inlineStr">
        <is>
          <t>2024-2</t>
        </is>
      </c>
      <c r="J1259" s="5" t="n">
        <v>72.90000000000001</v>
      </c>
      <c r="K1259" s="123" t="n">
        <v>99.48999999999999</v>
      </c>
      <c r="L1259" s="28">
        <f>IFERROR(IF(OR(J1259=0,K1259=""),"",IF(E1259="Positivo",MIN(MAX(K1259/J1259,0),1.3),MIN(MAX(J1259/K1259,0),1.3))),"") </f>
        <v/>
      </c>
      <c r="M1259" s="28">
        <f>IFERROR(IF(OR(J1259=0,K1259=""),"",IF(E1259="Positivo",MAX(K1259/J1259,0),MAX(J1259/K1259,0))),"") </f>
        <v/>
      </c>
      <c r="N1259" s="5" t="inlineStr">
        <is>
          <t>%</t>
        </is>
      </c>
      <c r="O1259" s="5" t="inlineStr">
        <is>
          <t>%</t>
        </is>
      </c>
      <c r="P1259" s="16" t="n">
        <v>2</v>
      </c>
      <c r="Q1259" s="16" t="n">
        <v>2</v>
      </c>
      <c r="R1259" s="5" t="inlineStr">
        <is>
          <t>252-2024-12-31</t>
        </is>
      </c>
    </row>
    <row r="1260">
      <c r="A1260" s="39" t="n">
        <v>252</v>
      </c>
      <c r="B1260" s="5" t="inlineStr">
        <is>
          <t>Permanencia intersemestral ingresantes</t>
        </is>
      </c>
      <c r="C1260" s="5" t="inlineStr">
        <is>
          <t>Permanencia</t>
        </is>
      </c>
      <c r="D1260" s="5" t="inlineStr">
        <is>
          <t>Semestral</t>
        </is>
      </c>
      <c r="E1260" s="5" t="inlineStr">
        <is>
          <t>Positivo</t>
        </is>
      </c>
      <c r="F1260" s="144" t="n">
        <v>45838</v>
      </c>
      <c r="G1260" s="5" t="n">
        <v>2025</v>
      </c>
      <c r="H1260" s="5" t="inlineStr">
        <is>
          <t>Junio</t>
        </is>
      </c>
      <c r="I1260" s="6" t="inlineStr">
        <is>
          <t>2025-1</t>
        </is>
      </c>
      <c r="J1260" s="5" t="n">
        <v>100</v>
      </c>
      <c r="K1260" s="123" t="n">
        <v>99.58</v>
      </c>
      <c r="L1260" s="28">
        <f>IFERROR(IF(OR(J1260=0,K1260=""),"",IF(E1260="Positivo",MIN(MAX(K1260/J1260,0),1.3),MIN(MAX(J1260/K1260,0),1.3))),"") </f>
        <v/>
      </c>
      <c r="M1260" s="28">
        <f>IFERROR(IF(OR(J1260=0,K1260=""),"",IF(E1260="Positivo",MAX(K1260/J1260,0),MAX(J1260/K1260,0))),"") </f>
        <v/>
      </c>
      <c r="N1260" s="5" t="inlineStr">
        <is>
          <t>%</t>
        </is>
      </c>
      <c r="O1260" s="5" t="inlineStr">
        <is>
          <t>%</t>
        </is>
      </c>
      <c r="P1260" s="16" t="n">
        <v>2</v>
      </c>
      <c r="Q1260" s="16" t="n">
        <v>2</v>
      </c>
      <c r="R1260" s="5" t="inlineStr">
        <is>
          <t>252-2025-06-30</t>
        </is>
      </c>
    </row>
    <row r="1261">
      <c r="A1261" s="5" t="n">
        <v>252</v>
      </c>
      <c r="B1261" s="5" t="inlineStr">
        <is>
          <t>Tasa de Permanencia Intersemestral de Estudiantes Ingresantes</t>
        </is>
      </c>
      <c r="C1261" s="5" t="inlineStr">
        <is>
          <t>Permanencia</t>
        </is>
      </c>
      <c r="D1261" s="5" t="inlineStr">
        <is>
          <t>Trimestral</t>
        </is>
      </c>
      <c r="E1261" s="5" t="inlineStr">
        <is>
          <t>Positivo</t>
        </is>
      </c>
      <c r="F1261" s="144" t="n">
        <v>46022</v>
      </c>
      <c r="G1261" s="5" t="n">
        <v>2025</v>
      </c>
      <c r="H1261" s="5" t="inlineStr">
        <is>
          <t>Diciembre</t>
        </is>
      </c>
      <c r="I1261" s="6" t="inlineStr">
        <is>
          <t>2025-2</t>
        </is>
      </c>
      <c r="J1261" s="5" t="n">
        <v>100</v>
      </c>
      <c r="K1261" s="5" t="n">
        <v>104.31</v>
      </c>
      <c r="L1261" s="28">
        <f>IFERROR(IF(OR(J1261=0,K1261=""),"",IF(E1261="Positivo",MIN(MAX(K1261/J1261,0),1.3),MIN(MAX(J1261/K1261,0),1.3))),"") </f>
        <v/>
      </c>
      <c r="M1261" s="28">
        <f>IFERROR(IF(OR(J1261=0,K1261=""),"",IF(E1261="Positivo",MAX(K1261/J1261,0),MAX(J1261/K1261,0))),"") </f>
        <v/>
      </c>
      <c r="N1261" s="5" t="inlineStr">
        <is>
          <t>%</t>
        </is>
      </c>
      <c r="O1261" s="5" t="inlineStr">
        <is>
          <t>%</t>
        </is>
      </c>
      <c r="P1261" s="5" t="n">
        <v>1</v>
      </c>
      <c r="Q1261" s="5" t="n">
        <v>1</v>
      </c>
      <c r="R1261" s="5" t="inlineStr">
        <is>
          <t>252-2025-12-31</t>
        </is>
      </c>
    </row>
    <row r="1262">
      <c r="A1262" s="26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144" t="n">
        <v>45046</v>
      </c>
      <c r="G1262" s="5" t="n">
        <v>2023</v>
      </c>
      <c r="H1262" s="5" t="inlineStr">
        <is>
          <t>Abril</t>
        </is>
      </c>
      <c r="I1262" s="6" t="inlineStr">
        <is>
          <t>2023-1</t>
        </is>
      </c>
      <c r="J1262" s="5" t="n">
        <v>8</v>
      </c>
      <c r="K1262" s="10" t="n">
        <v>8</v>
      </c>
      <c r="L1262" s="28">
        <f>IFERROR(IF(OR(J1262=0,K1262=""),"",IF(E1262="Positivo",MIN(MAX(K1262/J1262,0),1.3),MIN(MAX(J1262/K1262,0),1.3))),"") </f>
        <v/>
      </c>
      <c r="M1262" s="28">
        <f>IFERROR(IF(OR(J1262=0,K1262=""),"",IF(E1262="Positivo",MAX(K1262/J1262,0),MAX(J1262/K1262,0))),"") </f>
        <v/>
      </c>
      <c r="N1262" s="5" t="inlineStr">
        <is>
          <t>N/A</t>
        </is>
      </c>
      <c r="O1262" s="5" t="inlineStr">
        <is>
          <t>N/A</t>
        </is>
      </c>
      <c r="P1262" s="16" t="n">
        <v>0</v>
      </c>
      <c r="Q1262" s="16" t="n">
        <v>0</v>
      </c>
      <c r="R1262" s="5" t="inlineStr">
        <is>
          <t>253-2023-04-30</t>
        </is>
      </c>
    </row>
    <row r="1263">
      <c r="A1263" s="39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144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8</v>
      </c>
      <c r="K1263" s="123" t="n">
        <v>4.5</v>
      </c>
      <c r="L1263" s="28">
        <f>IFERROR(IF(OR(J1263=0,K1263=""),"",IF(E1263="Positivo",MIN(MAX(K1263/J1263,0),1.3),MIN(MAX(J1263/K1263,0),1.3))),"") </f>
        <v/>
      </c>
      <c r="M1263" s="28">
        <f>IFERROR(IF(OR(J1263=0,K1263=""),"",IF(E1263="Positivo",MAX(K1263/J1263,0),MAX(J1263/K1263,0))),"") </f>
        <v/>
      </c>
      <c r="N1263" s="5" t="inlineStr">
        <is>
          <t>N/A</t>
        </is>
      </c>
      <c r="O1263" s="5" t="inlineStr">
        <is>
          <t>N/A</t>
        </is>
      </c>
      <c r="P1263" s="16" t="n">
        <v>1</v>
      </c>
      <c r="Q1263" s="16" t="n">
        <v>1</v>
      </c>
      <c r="R1263" s="5" t="inlineStr">
        <is>
          <t>253-2023-06-30</t>
        </is>
      </c>
    </row>
    <row r="1264">
      <c r="A1264" s="26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144" t="n">
        <v>45169</v>
      </c>
      <c r="G1264" s="5" t="n">
        <v>2023</v>
      </c>
      <c r="H1264" s="5" t="inlineStr">
        <is>
          <t>Agosto</t>
        </is>
      </c>
      <c r="I1264" s="6" t="inlineStr">
        <is>
          <t>2023-2</t>
        </is>
      </c>
      <c r="J1264" s="5" t="n">
        <v>8</v>
      </c>
      <c r="K1264" s="10" t="n">
        <v>4.5</v>
      </c>
      <c r="L1264" s="28">
        <f>IFERROR(IF(OR(J1264=0,K1264=""),"",IF(E1264="Positivo",MIN(MAX(K1264/J1264,0),1.3),MIN(MAX(J1264/K1264,0),1.3))),"") </f>
        <v/>
      </c>
      <c r="M1264" s="28">
        <f>IFERROR(IF(OR(J1264=0,K1264=""),"",IF(E1264="Positivo",MAX(K1264/J1264,0),MAX(J1264/K1264,0))),"") </f>
        <v/>
      </c>
      <c r="N1264" s="5" t="inlineStr">
        <is>
          <t>N/A</t>
        </is>
      </c>
      <c r="O1264" s="5" t="inlineStr">
        <is>
          <t>N/A</t>
        </is>
      </c>
      <c r="P1264" s="16" t="n">
        <v>1</v>
      </c>
      <c r="Q1264" s="16" t="n">
        <v>1</v>
      </c>
      <c r="R1264" s="5" t="inlineStr">
        <is>
          <t>253-2023-08-31</t>
        </is>
      </c>
    </row>
    <row r="1265">
      <c r="A1265" s="26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143" t="n">
        <v>45230</v>
      </c>
      <c r="G1265" s="5" t="n">
        <v>2023</v>
      </c>
      <c r="H1265" s="5" t="inlineStr">
        <is>
          <t>Octubre</t>
        </is>
      </c>
      <c r="I1265" s="6" t="inlineStr">
        <is>
          <t>2023-2</t>
        </is>
      </c>
      <c r="J1265" s="5" t="n">
        <v>8</v>
      </c>
      <c r="K1265" s="123" t="n">
        <v>5.8</v>
      </c>
      <c r="L1265" s="28">
        <f>IFERROR(IF(OR(J1265=0,K1265=""),"",IF(E1265="Positivo",MIN(MAX(K1265/J1265,0),1.3),MIN(MAX(J1265/K1265,0),1.3))),"") </f>
        <v/>
      </c>
      <c r="M1265" s="28">
        <f>IFERROR(IF(OR(J1265=0,K1265=""),"",IF(E1265="Positivo",MAX(K1265/J1265,0),MAX(J1265/K1265,0))),"") </f>
        <v/>
      </c>
      <c r="N1265" s="5" t="inlineStr">
        <is>
          <t>N/A</t>
        </is>
      </c>
      <c r="O1265" s="5" t="inlineStr">
        <is>
          <t>N/A</t>
        </is>
      </c>
      <c r="P1265" s="16" t="n">
        <v>1</v>
      </c>
      <c r="Q1265" s="16" t="n">
        <v>1</v>
      </c>
      <c r="R1265" s="5" t="inlineStr">
        <is>
          <t>253-2023-10-31</t>
        </is>
      </c>
    </row>
    <row r="1266">
      <c r="A1266" s="39" t="n">
        <v>253</v>
      </c>
      <c r="B1266" s="5" t="inlineStr">
        <is>
          <t>Oportunidad en la entrega de informes de auditoria</t>
        </is>
      </c>
      <c r="C1266" s="5" t="inlineStr">
        <is>
          <t>AUDITORÍA INTERNA</t>
        </is>
      </c>
      <c r="D1266" s="5" t="inlineStr">
        <is>
          <t>Bimestral</t>
        </is>
      </c>
      <c r="E1266" s="5" t="inlineStr">
        <is>
          <t>Negativo</t>
        </is>
      </c>
      <c r="F1266" s="144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</v>
      </c>
      <c r="K1266" s="123" t="n">
        <v>5</v>
      </c>
      <c r="L1266" s="28">
        <f>IFERROR(IF(OR(J1266=0,K1266=""),"",IF(E1266="Positivo",MIN(MAX(K1266/J1266,0),1.3),MIN(MAX(J1266/K1266,0),1.3))),"") </f>
        <v/>
      </c>
      <c r="M1266" s="28">
        <f>IFERROR(IF(OR(J1266=0,K1266=""),"",IF(E1266="Positivo",MAX(K1266/J1266,0),MAX(J1266/K1266,0))),"") </f>
        <v/>
      </c>
      <c r="N1266" s="5" t="inlineStr">
        <is>
          <t>N/A</t>
        </is>
      </c>
      <c r="O1266" s="5" t="inlineStr">
        <is>
          <t>N/A</t>
        </is>
      </c>
      <c r="P1266" s="16" t="n">
        <v>0</v>
      </c>
      <c r="Q1266" s="16" t="n">
        <v>0</v>
      </c>
      <c r="R1266" s="5" t="inlineStr">
        <is>
          <t>253-2023-12-31</t>
        </is>
      </c>
    </row>
    <row r="1267">
      <c r="A1267" s="5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Semestral</t>
        </is>
      </c>
      <c r="E1267" s="5" t="inlineStr">
        <is>
          <t>Positivo</t>
        </is>
      </c>
      <c r="F1267" s="144" t="n">
        <v>45016</v>
      </c>
      <c r="G1267" s="5" t="n">
        <v>2023</v>
      </c>
      <c r="H1267" s="5" t="inlineStr">
        <is>
          <t>Marzo</t>
        </is>
      </c>
      <c r="I1267" s="6" t="inlineStr">
        <is>
          <t>2023-1</t>
        </is>
      </c>
      <c r="J1267" s="5" t="n">
        <v>55</v>
      </c>
      <c r="K1267" s="5" t="n">
        <v>100</v>
      </c>
      <c r="L1267" s="28">
        <f>IFERROR(IF(OR(J1267=0,K1267=""),"",IF(E1267="Positivo",MIN(MAX(K1267/J1267,0),1.3),MIN(MAX(J1267/K1267,0),1.3))),"") </f>
        <v/>
      </c>
      <c r="M1267" s="28">
        <f>IFERROR(IF(OR(J1267=0,K1267=""),"",IF(E1267="Positivo",MAX(K1267/J1267,0),MAX(J1267/K1267,0))),"") </f>
        <v/>
      </c>
      <c r="N1267" s="5" t="inlineStr">
        <is>
          <t>ENT</t>
        </is>
      </c>
      <c r="O1267" s="5" t="inlineStr">
        <is>
          <t>ENT</t>
        </is>
      </c>
      <c r="P1267" s="5" t="n">
        <v>0</v>
      </c>
      <c r="Q1267" s="5" t="n">
        <v>0</v>
      </c>
      <c r="R1267" s="5" t="inlineStr">
        <is>
          <t>254-2023-03-31</t>
        </is>
      </c>
    </row>
    <row r="1268">
      <c r="A1268" s="26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Trianual</t>
        </is>
      </c>
      <c r="E1268" s="5" t="inlineStr">
        <is>
          <t>Positivo</t>
        </is>
      </c>
      <c r="F1268" s="144" t="n">
        <v>45107</v>
      </c>
      <c r="G1268" s="5" t="n">
        <v>2023</v>
      </c>
      <c r="H1268" s="5" t="inlineStr">
        <is>
          <t>Junio</t>
        </is>
      </c>
      <c r="I1268" s="6" t="inlineStr">
        <is>
          <t>2023-1</t>
        </is>
      </c>
      <c r="J1268" s="5" t="n">
        <v>100</v>
      </c>
      <c r="K1268" s="10" t="n">
        <v>100</v>
      </c>
      <c r="L1268" s="28">
        <f>IFERROR(IF(OR(J1268=0,K1268=""),"",IF(E1268="Positivo",MIN(MAX(K1268/J1268,0),1.3),MIN(MAX(J1268/K1268,0),1.3))),"") </f>
        <v/>
      </c>
      <c r="M1268" s="28">
        <f>IFERROR(IF(OR(J1268=0,K1268=""),"",IF(E1268="Positivo",MAX(K1268/J1268,0),MAX(J1268/K1268,0))),"") </f>
        <v/>
      </c>
      <c r="N1268" s="5" t="inlineStr">
        <is>
          <t>%</t>
        </is>
      </c>
      <c r="O1268" s="5" t="inlineStr">
        <is>
          <t>%</t>
        </is>
      </c>
      <c r="P1268" s="16" t="n">
        <v>0</v>
      </c>
      <c r="Q1268" s="16" t="n">
        <v>0</v>
      </c>
      <c r="R1268" s="5" t="inlineStr">
        <is>
          <t>254-2023-06-30</t>
        </is>
      </c>
    </row>
    <row r="1269">
      <c r="A1269" s="26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143" t="n">
        <v>45199</v>
      </c>
      <c r="G1269" s="5" t="n">
        <v>2023</v>
      </c>
      <c r="H1269" s="5" t="inlineStr">
        <is>
          <t>Septiembre</t>
        </is>
      </c>
      <c r="I1269" s="6" t="inlineStr">
        <is>
          <t>2023-2</t>
        </is>
      </c>
      <c r="J1269" s="34" t="n">
        <v>100</v>
      </c>
      <c r="K1269" s="123" t="n">
        <v>98.181818181818</v>
      </c>
      <c r="L1269" s="28">
        <f>IFERROR(IF(OR(J1269=0,K1269=""),"",IF(E1269="Positivo",MIN(MAX(K1269/J1269,0),1.3),MIN(MAX(J1269/K1269,0),1.3))),"") </f>
        <v/>
      </c>
      <c r="M1269" s="28">
        <f>IFERROR(IF(OR(J1269=0,K1269=""),"",IF(E1269="Positivo",MAX(K1269/J1269,0),MAX(J1269/K1269,0))),"") </f>
        <v/>
      </c>
      <c r="N1269" s="11" t="inlineStr">
        <is>
          <t>%</t>
        </is>
      </c>
      <c r="O1269" s="5" t="inlineStr">
        <is>
          <t>%</t>
        </is>
      </c>
      <c r="P1269" s="16" t="n">
        <v>0</v>
      </c>
      <c r="Q1269" s="16" t="n">
        <v>0</v>
      </c>
      <c r="R1269" s="5" t="inlineStr">
        <is>
          <t>254-2023-09-30</t>
        </is>
      </c>
    </row>
    <row r="1270">
      <c r="A1270" s="39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144" t="n">
        <v>45291</v>
      </c>
      <c r="G1270" s="5" t="n">
        <v>2023</v>
      </c>
      <c r="H1270" s="5" t="inlineStr">
        <is>
          <t>Diciembre</t>
        </is>
      </c>
      <c r="I1270" s="6" t="inlineStr">
        <is>
          <t>2023-2</t>
        </is>
      </c>
      <c r="J1270" s="5" t="n">
        <v>100</v>
      </c>
      <c r="K1270" s="123" t="n">
        <v>100</v>
      </c>
      <c r="L1270" s="28">
        <f>IFERROR(IF(OR(J1270=0,K1270=""),"",IF(E1270="Positivo",MIN(MAX(K1270/J1270,0),1.3),MIN(MAX(J1270/K1270,0),1.3))),"") </f>
        <v/>
      </c>
      <c r="M1270" s="28">
        <f>IFERROR(IF(OR(J1270=0,K1270=""),"",IF(E1270="Positivo",MAX(K1270/J1270,0),MAX(J1270/K1270,0))),"") </f>
        <v/>
      </c>
      <c r="N1270" s="5" t="inlineStr">
        <is>
          <t>%</t>
        </is>
      </c>
      <c r="O1270" s="5" t="inlineStr">
        <is>
          <t>%</t>
        </is>
      </c>
      <c r="P1270" s="16" t="n">
        <v>0</v>
      </c>
      <c r="Q1270" s="16" t="n">
        <v>0</v>
      </c>
      <c r="R1270" s="5" t="inlineStr">
        <is>
          <t>254-2023-12-31</t>
        </is>
      </c>
    </row>
    <row r="1271">
      <c r="A1271" s="5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148" t="n">
        <v>45382</v>
      </c>
      <c r="G1271" s="5" t="n">
        <v>2024</v>
      </c>
      <c r="H1271" s="5" t="inlineStr">
        <is>
          <t>Marzo</t>
        </is>
      </c>
      <c r="I1271" s="6" t="inlineStr">
        <is>
          <t>2024-1</t>
        </is>
      </c>
      <c r="J1271" s="5" t="n">
        <v>100</v>
      </c>
      <c r="K1271" s="5" t="n">
        <v>100</v>
      </c>
      <c r="L1271" s="28">
        <f>IFERROR(IF(OR(J1271=0,K1271=""),"",IF(E1271="Positivo",MIN(MAX(K1271/J1271,0),1.3),MIN(MAX(J1271/K1271,0),1.3))),"") </f>
        <v/>
      </c>
      <c r="M1271" s="28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5" t="n">
        <v>0</v>
      </c>
      <c r="Q1271" s="5" t="n">
        <v>0</v>
      </c>
      <c r="R1271" s="5" t="inlineStr">
        <is>
          <t>254-2024-03-31</t>
        </is>
      </c>
    </row>
    <row r="1272">
      <c r="A1272" s="26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148" t="n">
        <v>45473</v>
      </c>
      <c r="G1272" s="5" t="n">
        <v>2024</v>
      </c>
      <c r="H1272" s="5" t="inlineStr">
        <is>
          <t>Junio</t>
        </is>
      </c>
      <c r="I1272" s="6" t="inlineStr">
        <is>
          <t>2024-1</t>
        </is>
      </c>
      <c r="J1272" s="5" t="n">
        <v>100</v>
      </c>
      <c r="K1272" s="10" t="n">
        <v>100</v>
      </c>
      <c r="L1272" s="28">
        <f>IFERROR(IF(OR(J1272=0,K1272=""),"",IF(E1272="Positivo",MIN(MAX(K1272/J1272,0),1.3),MIN(MAX(J1272/K1272,0),1.3))),"") </f>
        <v/>
      </c>
      <c r="M1272" s="28">
        <f>IFERROR(IF(OR(J1272=0,K1272=""),"",IF(E1272="Positivo",MAX(K1272/J1272,0),MAX(J1272/K1272,0))),"") </f>
        <v/>
      </c>
      <c r="N1272" s="5" t="inlineStr">
        <is>
          <t>%</t>
        </is>
      </c>
      <c r="O1272" s="5" t="inlineStr">
        <is>
          <t>%</t>
        </is>
      </c>
      <c r="P1272" s="16" t="n">
        <v>0</v>
      </c>
      <c r="Q1272" s="16" t="n">
        <v>0</v>
      </c>
      <c r="R1272" s="5" t="inlineStr">
        <is>
          <t>254-2024-06-30</t>
        </is>
      </c>
    </row>
    <row r="1273">
      <c r="A1273" s="26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149" t="n">
        <v>45565</v>
      </c>
      <c r="G1273" s="5" t="n">
        <v>2024</v>
      </c>
      <c r="H1273" s="5" t="inlineStr">
        <is>
          <t>Septiembre</t>
        </is>
      </c>
      <c r="I1273" s="6" t="inlineStr">
        <is>
          <t>2024-2</t>
        </is>
      </c>
      <c r="J1273" s="5" t="n">
        <v>100</v>
      </c>
      <c r="K1273" s="123" t="n">
        <v>100</v>
      </c>
      <c r="L1273" s="28">
        <f>IFERROR(IF(OR(J1273=0,K1273=""),"",IF(E1273="Positivo",MIN(MAX(K1273/J1273,0),1.3),MIN(MAX(J1273/K1273,0),1.3))),"") </f>
        <v/>
      </c>
      <c r="M1273" s="28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16" t="n">
        <v>0</v>
      </c>
      <c r="Q1273" s="16" t="n">
        <v>0</v>
      </c>
      <c r="R1273" s="5" t="inlineStr">
        <is>
          <t>254-2024-09-30</t>
        </is>
      </c>
    </row>
    <row r="1274">
      <c r="A1274" s="39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148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100</v>
      </c>
      <c r="K1274" s="123" t="n">
        <v>100</v>
      </c>
      <c r="L1274" s="28">
        <f>IFERROR(IF(OR(J1274=0,K1274=""),"",IF(E1274="Positivo",MIN(MAX(K1274/J1274,0),1.3),MIN(MAX(J1274/K1274,0),1.3))),"") </f>
        <v/>
      </c>
      <c r="M1274" s="28">
        <f>IFERROR(IF(OR(J1274=0,K1274=""),"",IF(E1274="Positivo",MAX(K1274/J1274,0),MAX(J1274/K1274,0))),"") </f>
        <v/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 t="inlineStr">
        <is>
          <t>254-2024-12-31</t>
        </is>
      </c>
    </row>
    <row r="1275">
      <c r="A1275" s="5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Trimestral</t>
        </is>
      </c>
      <c r="E1275" s="5" t="inlineStr">
        <is>
          <t>Positivo</t>
        </is>
      </c>
      <c r="F1275" s="148" t="n">
        <v>45747</v>
      </c>
      <c r="G1275" s="5" t="n">
        <v>2025</v>
      </c>
      <c r="H1275" s="5" t="inlineStr">
        <is>
          <t>Marzo</t>
        </is>
      </c>
      <c r="I1275" s="6" t="inlineStr">
        <is>
          <t>2025-1</t>
        </is>
      </c>
      <c r="J1275" s="5" t="n">
        <v>100</v>
      </c>
      <c r="K1275" s="5" t="n">
        <v>100</v>
      </c>
      <c r="L1275" s="28">
        <f>IFERROR(IF(OR(J1275=0,K1275=""),"",IF(E1275="Positivo",MIN(MAX(K1275/J1275,0),1.3),MIN(MAX(J1275/K1275,0),1.3))),"") </f>
        <v/>
      </c>
      <c r="M1275" s="28">
        <f>IFERROR(IF(OR(J1275=0,K1275=""),"",IF(E1275="Positivo",MAX(K1275/J1275,0),MAX(J1275/K1275,0))),"") </f>
        <v/>
      </c>
      <c r="N1275" s="5" t="inlineStr">
        <is>
          <t>%</t>
        </is>
      </c>
      <c r="O1275" s="5" t="inlineStr">
        <is>
          <t>%</t>
        </is>
      </c>
      <c r="P1275" s="5" t="n">
        <v>0</v>
      </c>
      <c r="Q1275" s="5" t="n">
        <v>0</v>
      </c>
      <c r="R1275" s="5" t="inlineStr">
        <is>
          <t>254-2025-03-31</t>
        </is>
      </c>
    </row>
    <row r="1276">
      <c r="A1276" s="26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Trimestral</t>
        </is>
      </c>
      <c r="E1276" s="5" t="inlineStr">
        <is>
          <t>Positivo</t>
        </is>
      </c>
      <c r="F1276" s="148" t="n">
        <v>45838</v>
      </c>
      <c r="G1276" s="5" t="n">
        <v>2025</v>
      </c>
      <c r="H1276" s="5" t="inlineStr">
        <is>
          <t>Junio</t>
        </is>
      </c>
      <c r="I1276" s="6" t="inlineStr">
        <is>
          <t>2025-1</t>
        </is>
      </c>
      <c r="J1276" s="5" t="n">
        <v>100</v>
      </c>
      <c r="K1276" s="10" t="n">
        <v>100</v>
      </c>
      <c r="L1276" s="28">
        <f>IFERROR(IF(OR(J1276=0,K1276=""),"",IF(E1276="Positivo",MIN(MAX(K1276/J1276,0),1.3),MIN(MAX(J1276/K1276,0),1.3))),"") </f>
        <v/>
      </c>
      <c r="M1276" s="28">
        <f>IFERROR(IF(OR(J1276=0,K1276=""),"",IF(E1276="Positivo",MAX(K1276/J1276,0),MAX(J1276/K1276,0))),"") </f>
        <v/>
      </c>
      <c r="N1276" s="5" t="inlineStr">
        <is>
          <t>%</t>
        </is>
      </c>
      <c r="O1276" s="5" t="inlineStr">
        <is>
          <t>%</t>
        </is>
      </c>
      <c r="P1276" s="16" t="n">
        <v>0</v>
      </c>
      <c r="Q1276" s="16" t="n">
        <v>0</v>
      </c>
      <c r="R1276" s="5" t="inlineStr">
        <is>
          <t>254-2025-06-30</t>
        </is>
      </c>
    </row>
    <row r="1277">
      <c r="A1277" s="39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148" t="n">
        <v>45930</v>
      </c>
      <c r="G1277" s="5" t="n">
        <v>2025</v>
      </c>
      <c r="H1277" s="5" t="inlineStr">
        <is>
          <t>Septiembre</t>
        </is>
      </c>
      <c r="I1277" s="6" t="inlineStr">
        <is>
          <t>2025-2</t>
        </is>
      </c>
      <c r="J1277" s="5" t="n">
        <v>100</v>
      </c>
      <c r="K1277" s="123" t="n">
        <v>100</v>
      </c>
      <c r="L1277" s="28">
        <f>IFERROR(IF(OR(J1277=0,K1277=""),"",IF(E1277="Positivo",MIN(MAX(K1277/J1277,0),1.3),MIN(MAX(J1277/K1277,0),1.3))),"") </f>
        <v/>
      </c>
      <c r="M1277" s="28">
        <f>IFERROR(IF(OR(J1277=0,K1277=""),"",IF(E1277="Positivo",MAX(K1277/J1277,0),MAX(J1277/K1277,0))),"") </f>
        <v/>
      </c>
      <c r="N1277" s="5" t="inlineStr">
        <is>
          <t>ENT</t>
        </is>
      </c>
      <c r="O1277" s="5" t="inlineStr">
        <is>
          <t>ENT</t>
        </is>
      </c>
      <c r="P1277" s="16" t="n">
        <v>0</v>
      </c>
      <c r="Q1277" s="16" t="n">
        <v>0</v>
      </c>
      <c r="R1277" s="5" t="inlineStr">
        <is>
          <t>254-2025-09-30</t>
        </is>
      </c>
    </row>
    <row r="1278">
      <c r="A1278" s="5" t="n">
        <v>254</v>
      </c>
      <c r="B1278" s="5" t="inlineStr">
        <is>
          <t>Áreas con reportes de plan de retos</t>
        </is>
      </c>
      <c r="C1278" s="5" t="inlineStr">
        <is>
          <t>Planeación Estratégica</t>
        </is>
      </c>
      <c r="D1278" s="5" t="inlineStr">
        <is>
          <t>Semestral</t>
        </is>
      </c>
      <c r="E1278" s="5" t="inlineStr">
        <is>
          <t>Positivo</t>
        </is>
      </c>
      <c r="F1278" s="148" t="n">
        <v>46022</v>
      </c>
      <c r="G1278" s="5" t="n">
        <v>2025</v>
      </c>
      <c r="H1278" s="5" t="inlineStr">
        <is>
          <t>Diciembre</t>
        </is>
      </c>
      <c r="I1278" s="6" t="inlineStr">
        <is>
          <t>2025-2</t>
        </is>
      </c>
      <c r="J1278" s="5" t="n">
        <v>100</v>
      </c>
      <c r="K1278" s="5" t="n">
        <v>100</v>
      </c>
      <c r="L1278" s="28">
        <f>IFERROR(IF(OR(J1278=0,K1278=""),"",IF(E1278="Positivo",MIN(MAX(K1278/J1278,0),1.3),MIN(MAX(J1278/K1278,0),1.3))),"") </f>
        <v/>
      </c>
      <c r="M1278" s="28">
        <f>IFERROR(IF(OR(J1278=0,K1278=""),"",IF(E1278="Positivo",MAX(K1278/J1278,0),MAX(J1278/K1278,0))),"") </f>
        <v/>
      </c>
      <c r="N1278" s="5" t="inlineStr">
        <is>
          <t>ENT</t>
        </is>
      </c>
      <c r="O1278" s="5" t="inlineStr">
        <is>
          <t>ENT</t>
        </is>
      </c>
      <c r="P1278" s="5" t="n">
        <v>0</v>
      </c>
      <c r="Q1278" s="5" t="n">
        <v>0</v>
      </c>
      <c r="R1278" s="5" t="inlineStr">
        <is>
          <t>254-2025-12-31</t>
        </is>
      </c>
    </row>
    <row r="1279">
      <c r="A1279" s="39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148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100</v>
      </c>
      <c r="K1279" s="123" t="n">
        <v>18</v>
      </c>
      <c r="L1279" s="28">
        <f>IFERROR(IF(OR(J1279=0,K1279=""),"",IF(E1279="Positivo",MIN(MAX(K1279/J1279,0),1.3),MIN(MAX(J1279/K1279,0),1.3))),"") </f>
        <v/>
      </c>
      <c r="M1279" s="28">
        <f>IFERROR(IF(OR(J1279=0,K1279=""),"",IF(E1279="Positivo",MAX(K1279/J1279,0),MAX(J1279/K1279,0))),"") </f>
        <v/>
      </c>
      <c r="N1279" s="5" t="inlineStr">
        <is>
          <t>%</t>
        </is>
      </c>
      <c r="O1279" s="5" t="inlineStr">
        <is>
          <t>%</t>
        </is>
      </c>
      <c r="P1279" s="16" t="n">
        <v>0</v>
      </c>
      <c r="Q1279" s="16" t="n">
        <v>0</v>
      </c>
      <c r="R1279" s="5" t="inlineStr">
        <is>
          <t>255-2023-12-31</t>
        </is>
      </c>
    </row>
    <row r="1280">
      <c r="A1280" s="39" t="n">
        <v>255</v>
      </c>
      <c r="B1280" s="5" t="inlineStr">
        <is>
          <t>Informe anual de variación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144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100</v>
      </c>
      <c r="K1280" s="123" t="n">
        <v>15</v>
      </c>
      <c r="L1280" s="28">
        <f>IFERROR(IF(OR(J1280=0,K1280=""),"",IF(E1280="Positivo",MIN(MAX(K1280/J1280,0),1.3),MIN(MAX(J1280/K1280,0),1.3))),"") </f>
        <v/>
      </c>
      <c r="M1280" s="28">
        <f>IFERROR(IF(OR(J1280=0,K1280=""),"",IF(E1280="Positivo",MAX(K1280/J1280,0),MAX(J1280/K1280,0))),"") </f>
        <v/>
      </c>
      <c r="N1280" s="5" t="n"/>
      <c r="O1280" s="5" t="n"/>
      <c r="P1280" s="16" t="n">
        <v>0</v>
      </c>
      <c r="Q1280" s="16" t="n">
        <v>0</v>
      </c>
      <c r="R1280" s="5" t="inlineStr">
        <is>
          <t>255-2024-12-31</t>
        </is>
      </c>
    </row>
    <row r="1281">
      <c r="A1281" s="26" t="n">
        <v>255</v>
      </c>
      <c r="B1281" s="5" t="inlineStr">
        <is>
          <t>Informe anual de índice H</t>
        </is>
      </c>
      <c r="C1281" s="5" t="inlineStr">
        <is>
          <t>Editorial y Publicaciones</t>
        </is>
      </c>
      <c r="D1281" s="5" t="inlineStr">
        <is>
          <t>Anual</t>
        </is>
      </c>
      <c r="E1281" s="5" t="inlineStr">
        <is>
          <t>Positivo</t>
        </is>
      </c>
      <c r="F1281" s="144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/>
      <c r="K1281" s="10" t="n">
        <v>17.5</v>
      </c>
      <c r="L1281" s="28" t="n"/>
      <c r="M1281" s="28" t="n"/>
      <c r="N1281" s="5" t="inlineStr">
        <is>
          <t>ENT</t>
        </is>
      </c>
      <c r="O1281" s="5" t="inlineStr">
        <is>
          <t>ENT</t>
        </is>
      </c>
      <c r="P1281" s="16" t="n">
        <v>0</v>
      </c>
      <c r="Q1281" s="16" t="n">
        <v>0</v>
      </c>
      <c r="R1281" s="5" t="inlineStr">
        <is>
          <t>255-2025-12-31</t>
        </is>
      </c>
    </row>
    <row r="1282">
      <c r="A1282" s="43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144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100</v>
      </c>
      <c r="K1282" s="123" t="n">
        <v>123.52941176471</v>
      </c>
      <c r="L1282" s="28">
        <f>IFERROR(IF(OR(J1282=0,K1282=""),"",IF(E1282="Positivo",MIN(MAX(K1282/J1282,0),1.3),MIN(MAX(J1282/K1282,0),1.3))),"") </f>
        <v/>
      </c>
      <c r="M1282" s="28">
        <f>IFERROR(IF(OR(J1282=0,K1282=""),"",IF(E1282="Positivo",MAX(K1282/J1282,0),MAX(J1282/K1282,0))),"") </f>
        <v/>
      </c>
      <c r="N1282" s="5" t="inlineStr">
        <is>
          <t>ENT</t>
        </is>
      </c>
      <c r="O1282" s="5" t="inlineStr">
        <is>
          <t>ENT</t>
        </is>
      </c>
      <c r="P1282" s="16" t="n">
        <v>0</v>
      </c>
      <c r="Q1282" s="16" t="n">
        <v>0</v>
      </c>
      <c r="R1282" s="5" t="inlineStr">
        <is>
          <t>256-2023-06-30</t>
        </is>
      </c>
    </row>
    <row r="1283">
      <c r="A1283" s="39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144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100</v>
      </c>
      <c r="K1283" s="123" t="n">
        <v>123.53</v>
      </c>
      <c r="L1283" s="28">
        <f>IFERROR(IF(OR(J1283=0,K1283=""),"",IF(E1283="Positivo",MIN(MAX(K1283/J1283,0),1.3),MIN(MAX(J1283/K1283,0),1.3))),"") </f>
        <v/>
      </c>
      <c r="M1283" s="28">
        <f>IFERROR(IF(OR(J1283=0,K1283=""),"",IF(E1283="Positivo",MAX(K1283/J1283,0),MAX(J1283/K1283,0))),"") </f>
        <v/>
      </c>
      <c r="N1283" s="5" t="inlineStr">
        <is>
          <t>ENT</t>
        </is>
      </c>
      <c r="O1283" s="5" t="inlineStr">
        <is>
          <t>ENT</t>
        </is>
      </c>
      <c r="P1283" s="16" t="n">
        <v>0</v>
      </c>
      <c r="Q1283" s="16" t="n">
        <v>0</v>
      </c>
      <c r="R1283" s="5" t="inlineStr">
        <is>
          <t>256-2023-12-31</t>
        </is>
      </c>
    </row>
    <row r="1284">
      <c r="A1284" s="26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144" t="n">
        <v>45473</v>
      </c>
      <c r="G1284" s="5" t="n">
        <v>2024</v>
      </c>
      <c r="H1284" s="5" t="inlineStr">
        <is>
          <t>Junio</t>
        </is>
      </c>
      <c r="I1284" s="6" t="inlineStr">
        <is>
          <t>2024-1</t>
        </is>
      </c>
      <c r="J1284" s="5" t="n">
        <v>100</v>
      </c>
      <c r="K1284" s="10" t="n">
        <v>117.65</v>
      </c>
      <c r="L1284" s="28">
        <f>IFERROR(IF(OR(J1284=0,K1284=""),"",IF(E1284="Positivo",MIN(MAX(K1284/J1284,0),1.3),MIN(MAX(J1284/K1284,0),1.3))),"") </f>
        <v/>
      </c>
      <c r="M1284" s="28">
        <f>IFERROR(IF(OR(J1284=0,K1284=""),"",IF(E1284="Positivo",MAX(K1284/J1284,0),MAX(J1284/K1284,0))),"") </f>
        <v/>
      </c>
      <c r="N1284" s="5" t="inlineStr">
        <is>
          <t>ENT</t>
        </is>
      </c>
      <c r="O1284" s="5" t="inlineStr">
        <is>
          <t>ENT</t>
        </is>
      </c>
      <c r="P1284" s="16" t="n">
        <v>0</v>
      </c>
      <c r="Q1284" s="16" t="n">
        <v>0</v>
      </c>
      <c r="R1284" s="5" t="inlineStr">
        <is>
          <t>256-2024-06-30</t>
        </is>
      </c>
    </row>
    <row r="1285">
      <c r="A1285" s="5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144" t="n">
        <v>45657</v>
      </c>
      <c r="G1285" s="5" t="n">
        <v>2024</v>
      </c>
      <c r="H1285" s="5" t="inlineStr">
        <is>
          <t>Diciembre</t>
        </is>
      </c>
      <c r="I1285" s="6" t="inlineStr">
        <is>
          <t>2024-2</t>
        </is>
      </c>
      <c r="J1285" s="5" t="n">
        <v>100</v>
      </c>
      <c r="K1285" s="5" t="n">
        <v>152.94</v>
      </c>
      <c r="L1285" s="28">
        <f>IFERROR(IF(OR(J1285=0,K1285=""),"",IF(E1285="Positivo",MIN(MAX(K1285/J1285,0),1.3),MIN(MAX(J1285/K1285,0),1.3))),"") </f>
        <v/>
      </c>
      <c r="M1285" s="28">
        <f>IFERROR(IF(OR(J1285=0,K1285=""),"",IF(E1285="Positivo",MAX(K1285/J1285,0),MAX(J1285/K1285,0))),"") </f>
        <v/>
      </c>
      <c r="N1285" s="5" t="inlineStr">
        <is>
          <t>ENT</t>
        </is>
      </c>
      <c r="O1285" s="5" t="inlineStr">
        <is>
          <t>ENT</t>
        </is>
      </c>
      <c r="P1285" s="5" t="n">
        <v>0</v>
      </c>
      <c r="Q1285" s="5" t="n">
        <v>0</v>
      </c>
      <c r="R1285" s="5" t="inlineStr">
        <is>
          <t>256-2024-12-31</t>
        </is>
      </c>
    </row>
    <row r="1286">
      <c r="A1286" s="26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Semestral</t>
        </is>
      </c>
      <c r="E1286" s="5" t="inlineStr">
        <is>
          <t>Positivo</t>
        </is>
      </c>
      <c r="F1286" s="144" t="n">
        <v>45838</v>
      </c>
      <c r="G1286" s="5" t="n">
        <v>2025</v>
      </c>
      <c r="H1286" s="5" t="inlineStr">
        <is>
          <t>Junio</t>
        </is>
      </c>
      <c r="I1286" s="6" t="inlineStr">
        <is>
          <t>2025-1</t>
        </is>
      </c>
      <c r="J1286" s="5" t="n">
        <v>100</v>
      </c>
      <c r="K1286" s="10" t="n">
        <v>100</v>
      </c>
      <c r="L1286" s="28">
        <f>IFERROR(IF(OR(J1286=0,K1286=""),"",IF(E1286="Positivo",MIN(MAX(K1286/J1286,0),1.3),MIN(MAX(J1286/K1286,0),1.3))),"") </f>
        <v/>
      </c>
      <c r="M1286" s="28">
        <f>IFERROR(IF(OR(J1286=0,K1286=""),"",IF(E1286="Positivo",MAX(K1286/J1286,0),MAX(J1286/K1286,0))),"") </f>
        <v/>
      </c>
      <c r="N1286" s="5" t="inlineStr">
        <is>
          <t>ENT</t>
        </is>
      </c>
      <c r="O1286" s="5" t="inlineStr">
        <is>
          <t>ENT</t>
        </is>
      </c>
      <c r="P1286" s="16" t="n">
        <v>0</v>
      </c>
      <c r="Q1286" s="16" t="n">
        <v>0</v>
      </c>
      <c r="R1286" s="5" t="inlineStr">
        <is>
          <t>256-2025-06-30</t>
        </is>
      </c>
    </row>
    <row r="1287">
      <c r="A1287" s="26" t="n">
        <v>256</v>
      </c>
      <c r="B1287" s="5" t="inlineStr">
        <is>
          <t>Publicaciones editadas por la editorial</t>
        </is>
      </c>
      <c r="C1287" s="5" t="inlineStr">
        <is>
          <t>Editorial y Publicaciones</t>
        </is>
      </c>
      <c r="D1287" s="5" t="inlineStr">
        <is>
          <t>Trimestral</t>
        </is>
      </c>
      <c r="E1287" s="5" t="inlineStr">
        <is>
          <t>Positivo</t>
        </is>
      </c>
      <c r="F1287" s="144" t="n">
        <v>46022</v>
      </c>
      <c r="G1287" s="5" t="n">
        <v>2025</v>
      </c>
      <c r="H1287" s="5" t="inlineStr">
        <is>
          <t>Diciembre</t>
        </is>
      </c>
      <c r="I1287" s="6" t="inlineStr">
        <is>
          <t>2025-2</t>
        </is>
      </c>
      <c r="J1287" s="5" t="n">
        <v>100</v>
      </c>
      <c r="K1287" s="10" t="n">
        <v>170.59</v>
      </c>
      <c r="L1287" s="28">
        <f>IFERROR(IF(OR(J1287=0,K1287=""),"",IF(E1287="Positivo",MIN(MAX(K1287/J1287,0),1.3),MIN(MAX(J1287/K1287,0),1.3))),"") </f>
        <v/>
      </c>
      <c r="M1287" s="28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16" t="n">
        <v>0</v>
      </c>
      <c r="Q1287" s="16" t="n">
        <v>0</v>
      </c>
      <c r="R1287" s="5" t="inlineStr">
        <is>
          <t>256-2025-12-31</t>
        </is>
      </c>
    </row>
    <row r="1288">
      <c r="A1288" s="43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144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18</v>
      </c>
      <c r="K1288" s="123" t="n">
        <v>15</v>
      </c>
      <c r="L1288" s="28">
        <f>IFERROR(IF(OR(J1288=0,K1288=""),"",IF(E1288="Positivo",MIN(MAX(K1288/J1288,0),1.3),MIN(MAX(J1288/K1288,0),1.3))),"") </f>
        <v/>
      </c>
      <c r="M1288" s="28">
        <f>IFERROR(IF(OR(J1288=0,K1288=""),"",IF(E1288="Positivo",MAX(K1288/J1288,0),MAX(J1288/K1288,0))),"") </f>
        <v/>
      </c>
      <c r="N1288" s="5" t="inlineStr">
        <is>
          <t>ENT</t>
        </is>
      </c>
      <c r="O1288" s="5" t="inlineStr">
        <is>
          <t>ENT</t>
        </is>
      </c>
      <c r="P1288" s="16" t="n">
        <v>0</v>
      </c>
      <c r="Q1288" s="16" t="n">
        <v>0</v>
      </c>
      <c r="R1288" s="5" t="inlineStr">
        <is>
          <t>257-2023-06-30</t>
        </is>
      </c>
    </row>
    <row r="1289">
      <c r="A1289" s="39" t="n">
        <v>257</v>
      </c>
      <c r="B1289" s="5" t="inlineStr">
        <is>
          <t>N de publicaciones aprobadas en convocatorias</t>
        </is>
      </c>
      <c r="C1289" s="5" t="inlineStr">
        <is>
          <t>Editorial y Publicaciones</t>
        </is>
      </c>
      <c r="D1289" s="5" t="inlineStr">
        <is>
          <t>Semestral</t>
        </is>
      </c>
      <c r="E1289" s="5" t="inlineStr">
        <is>
          <t>Positivo</t>
        </is>
      </c>
      <c r="F1289" s="144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24</v>
      </c>
      <c r="K1289" s="123" t="n">
        <v>24</v>
      </c>
      <c r="L1289" s="28">
        <f>IFERROR(IF(OR(J1289=0,K1289=""),"",IF(E1289="Positivo",MIN(MAX(K1289/J1289,0),1.3),MIN(MAX(J1289/K1289,0),1.3))),"") </f>
        <v/>
      </c>
      <c r="M1289" s="28">
        <f>IFERROR(IF(OR(J1289=0,K1289=""),"",IF(E1289="Positivo",MAX(K1289/J1289,0),MAX(J1289/K1289,0))),"") </f>
        <v/>
      </c>
      <c r="N1289" s="5" t="inlineStr">
        <is>
          <t>ENT</t>
        </is>
      </c>
      <c r="O1289" s="5" t="inlineStr">
        <is>
          <t>ENT</t>
        </is>
      </c>
      <c r="P1289" s="16" t="n">
        <v>0</v>
      </c>
      <c r="Q1289" s="16" t="n">
        <v>0</v>
      </c>
      <c r="R1289" s="5" t="inlineStr">
        <is>
          <t>257-2023-12-31</t>
        </is>
      </c>
    </row>
    <row r="1290">
      <c r="A1290" s="39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144" t="n">
        <v>45107</v>
      </c>
      <c r="G1290" s="5" t="n">
        <v>2023</v>
      </c>
      <c r="H1290" s="5" t="inlineStr">
        <is>
          <t>Junio</t>
        </is>
      </c>
      <c r="I1290" s="6" t="inlineStr">
        <is>
          <t>2023-1</t>
        </is>
      </c>
      <c r="J1290" s="5" t="n">
        <v>100</v>
      </c>
      <c r="K1290" s="123" t="n">
        <v>60.526315789474</v>
      </c>
      <c r="L1290" s="28">
        <f>IFERROR(IF(OR(J1290=0,K1290=""),"",IF(E1290="Positivo",MIN(MAX(K1290/J1290,0),1.3),MIN(MAX(J1290/K1290,0),1.3))),"") </f>
        <v/>
      </c>
      <c r="M1290" s="28">
        <f>IFERROR(IF(OR(J1290=0,K1290=""),"",IF(E1290="Positivo",MAX(K1290/J1290,0),MAX(J1290/K1290,0))),"") </f>
        <v/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 t="inlineStr">
        <is>
          <t>259-2023-06-30</t>
        </is>
      </c>
    </row>
    <row r="1291">
      <c r="A1291" s="26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44" t="n">
        <v>45199</v>
      </c>
      <c r="G1291" s="5" t="n">
        <v>2023</v>
      </c>
      <c r="H1291" s="5" t="inlineStr">
        <is>
          <t>Septiembre</t>
        </is>
      </c>
      <c r="I1291" s="6" t="inlineStr">
        <is>
          <t>2023-2</t>
        </is>
      </c>
      <c r="J1291" s="5" t="n">
        <v>100</v>
      </c>
      <c r="K1291" s="10" t="n">
        <v>68.75</v>
      </c>
      <c r="L1291" s="28">
        <f>IFERROR(IF(OR(J1291=0,K1291=""),"",IF(E1291="Positivo",MIN(MAX(K1291/J1291,0),1.3),MIN(MAX(J1291/K1291,0),1.3))),"") </f>
        <v/>
      </c>
      <c r="M1291" s="28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16" t="n">
        <v>0</v>
      </c>
      <c r="Q1291" s="16" t="n">
        <v>0</v>
      </c>
      <c r="R1291" s="5" t="inlineStr">
        <is>
          <t>259-2023-09-30</t>
        </is>
      </c>
    </row>
    <row r="1292">
      <c r="A1292" s="39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44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90</v>
      </c>
      <c r="K1292" s="123" t="n">
        <v>34.69</v>
      </c>
      <c r="L1292" s="28">
        <f>IFERROR(IF(OR(J1292=0,K1292=""),"",IF(E1292="Positivo",MIN(MAX(K1292/J1292,0),1.3),MIN(MAX(J1292/K1292,0),1.3))),"") </f>
        <v/>
      </c>
      <c r="M1292" s="28">
        <f>IFERROR(IF(OR(J1292=0,K1292=""),"",IF(E1292="Positivo",MAX(K1292/J1292,0),MAX(J1292/K1292,0))),"") </f>
        <v/>
      </c>
      <c r="N1292" s="5" t="inlineStr">
        <is>
          <t>%</t>
        </is>
      </c>
      <c r="O1292" s="5" t="inlineStr">
        <is>
          <t>%</t>
        </is>
      </c>
      <c r="P1292" s="16" t="n">
        <v>0</v>
      </c>
      <c r="Q1292" s="16" t="n">
        <v>0</v>
      </c>
      <c r="R1292" s="5" t="inlineStr">
        <is>
          <t>259-2024-06-30</t>
        </is>
      </c>
    </row>
    <row r="1293">
      <c r="A1293" s="26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44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90</v>
      </c>
      <c r="K1293" s="10" t="n">
        <v>83.33</v>
      </c>
      <c r="L1293" s="28">
        <f>IFERROR(IF(OR(J1293=0,K1293=""),"",IF(E1293="Positivo",MIN(MAX(K1293/J1293,0),1.3),MIN(MAX(J1293/K1293,0),1.3))),"") </f>
        <v/>
      </c>
      <c r="M1293" s="28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6" t="n">
        <v>0</v>
      </c>
      <c r="Q1293" s="16" t="n">
        <v>0</v>
      </c>
      <c r="R1293" s="5" t="inlineStr">
        <is>
          <t>259-2024-09-30</t>
        </is>
      </c>
    </row>
    <row r="1294">
      <c r="A1294" s="26" t="n">
        <v>259</v>
      </c>
      <c r="B1294" s="5" t="inlineStr">
        <is>
          <t>Subprocesos con indicadores reportados oportunamente</t>
        </is>
      </c>
      <c r="C1294" s="5" t="inlineStr">
        <is>
          <t>Desempeño Institucional</t>
        </is>
      </c>
      <c r="D1294" s="5" t="inlineStr">
        <is>
          <t>Trimestral</t>
        </is>
      </c>
      <c r="E1294" s="5" t="inlineStr">
        <is>
          <t>Positivo</t>
        </is>
      </c>
      <c r="F1294" s="144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90</v>
      </c>
      <c r="K1294" s="123" t="n">
        <v>78.43000000000001</v>
      </c>
      <c r="L1294" s="28">
        <f>IFERROR(IF(OR(J1294=0,K1294=""),"",IF(E1294="Positivo",MIN(MAX(K1294/J1294,0),1.3),MIN(MAX(J1294/K1294,0),1.3))),"") </f>
        <v/>
      </c>
      <c r="M1294" s="28">
        <f>IFERROR(IF(OR(J1294=0,K1294=""),"",IF(E1294="Positivo",MAX(K1294/J1294,0),MAX(J1294/K1294,0))),"") </f>
        <v/>
      </c>
      <c r="N1294" s="5" t="inlineStr">
        <is>
          <t>%</t>
        </is>
      </c>
      <c r="O1294" s="5" t="inlineStr">
        <is>
          <t>%</t>
        </is>
      </c>
      <c r="P1294" s="16" t="n">
        <v>0</v>
      </c>
      <c r="Q1294" s="16" t="n">
        <v>0</v>
      </c>
      <c r="R1294" s="5" t="inlineStr">
        <is>
          <t>259-2024-12-31</t>
        </is>
      </c>
    </row>
    <row r="1295">
      <c r="A1295" s="26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144" t="n">
        <v>45107</v>
      </c>
      <c r="G1295" s="5" t="n">
        <v>2023</v>
      </c>
      <c r="H1295" s="5" t="inlineStr">
        <is>
          <t>Junio</t>
        </is>
      </c>
      <c r="I1295" s="6" t="inlineStr">
        <is>
          <t>2023-1</t>
        </is>
      </c>
      <c r="J1295" s="5" t="n">
        <v>3</v>
      </c>
      <c r="K1295" s="123" t="n">
        <v>2.8</v>
      </c>
      <c r="L1295" s="28">
        <f>IFERROR(IF(OR(J1295=0,K1295=""),"",IF(E1295="Positivo",MIN(MAX(K1295/J1295,0),1.3),MIN(MAX(J1295/K1295,0),1.3))),"") </f>
        <v/>
      </c>
      <c r="M1295" s="28">
        <f>IFERROR(IF(OR(J1295=0,K1295=""),"",IF(E1295="Positivo",MAX(K1295/J1295,0),MAX(J1295/K1295,0))),"") </f>
        <v/>
      </c>
      <c r="N1295" s="5" t="inlineStr">
        <is>
          <t>DEC</t>
        </is>
      </c>
      <c r="O1295" s="5" t="inlineStr">
        <is>
          <t>DEC</t>
        </is>
      </c>
      <c r="P1295" s="16" t="n">
        <v>0</v>
      </c>
      <c r="Q1295" s="16" t="n">
        <v>1</v>
      </c>
      <c r="R1295" s="5" t="inlineStr">
        <is>
          <t>260-2023-06-30</t>
        </is>
      </c>
    </row>
    <row r="1296">
      <c r="A1296" s="26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144" t="n">
        <v>45291</v>
      </c>
      <c r="G1296" s="5" t="n">
        <v>2023</v>
      </c>
      <c r="H1296" s="5" t="inlineStr">
        <is>
          <t>Diciembre</t>
        </is>
      </c>
      <c r="I1296" s="6" t="inlineStr">
        <is>
          <t>2023-2</t>
        </is>
      </c>
      <c r="J1296" s="5" t="n">
        <v>3</v>
      </c>
      <c r="K1296" s="123" t="n">
        <v>2.9</v>
      </c>
      <c r="L1296" s="28">
        <f>IFERROR(IF(OR(J1296=0,K1296=""),"",IF(E1296="Positivo",MIN(MAX(K1296/J1296,0),1.3),MIN(MAX(J1296/K1296,0),1.3))),"") </f>
        <v/>
      </c>
      <c r="M1296" s="28">
        <f>IFERROR(IF(OR(J1296=0,K1296=""),"",IF(E1296="Positivo",MAX(K1296/J1296,0),MAX(J1296/K1296,0))),"") </f>
        <v/>
      </c>
      <c r="N1296" s="5" t="inlineStr">
        <is>
          <t>DEC</t>
        </is>
      </c>
      <c r="O1296" s="5" t="inlineStr">
        <is>
          <t>DEC</t>
        </is>
      </c>
      <c r="P1296" s="16" t="n">
        <v>0</v>
      </c>
      <c r="Q1296" s="16" t="n">
        <v>1</v>
      </c>
      <c r="R1296" s="5" t="inlineStr">
        <is>
          <t>260-2023-12-31</t>
        </is>
      </c>
    </row>
    <row r="1297">
      <c r="A1297" s="26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144" t="n">
        <v>45473</v>
      </c>
      <c r="G1297" s="5" t="n">
        <v>2024</v>
      </c>
      <c r="H1297" s="5" t="inlineStr">
        <is>
          <t>Junio</t>
        </is>
      </c>
      <c r="I1297" s="6" t="inlineStr">
        <is>
          <t>2024-1</t>
        </is>
      </c>
      <c r="J1297" s="5" t="n">
        <v>2.8</v>
      </c>
      <c r="K1297" s="10" t="n">
        <v>2.51</v>
      </c>
      <c r="L1297" s="28">
        <f>IFERROR(IF(OR(J1297=0,K1297=""),"",IF(E1297="Positivo",MIN(MAX(K1297/J1297,0),1.3),MIN(MAX(J1297/K1297,0),1.3))),"") </f>
        <v/>
      </c>
      <c r="M1297" s="28">
        <f>IFERROR(IF(OR(J1297=0,K1297=""),"",IF(E1297="Positivo",MAX(K1297/J1297,0),MAX(J1297/K1297,0))),"") </f>
        <v/>
      </c>
      <c r="N1297" s="5" t="inlineStr">
        <is>
          <t>DEC</t>
        </is>
      </c>
      <c r="O1297" s="5" t="inlineStr">
        <is>
          <t>DEC</t>
        </is>
      </c>
      <c r="P1297" s="16" t="n">
        <v>1</v>
      </c>
      <c r="Q1297" s="16" t="n">
        <v>1</v>
      </c>
      <c r="R1297" s="5" t="inlineStr">
        <is>
          <t>260-2024-06-30</t>
        </is>
      </c>
    </row>
    <row r="1298">
      <c r="A1298" s="5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144" t="n">
        <v>45657</v>
      </c>
      <c r="G1298" s="5" t="n">
        <v>2024</v>
      </c>
      <c r="H1298" s="5" t="inlineStr">
        <is>
          <t>Diciembre</t>
        </is>
      </c>
      <c r="I1298" s="6" t="inlineStr">
        <is>
          <t>2024-2</t>
        </is>
      </c>
      <c r="J1298" s="5" t="n">
        <v>2.8</v>
      </c>
      <c r="K1298" s="5" t="n">
        <v>2.1</v>
      </c>
      <c r="L1298" s="28">
        <f>IFERROR(IF(OR(J1298=0,K1298=""),"",IF(E1298="Positivo",MIN(MAX(K1298/J1298,0),1.3),MIN(MAX(J1298/K1298,0),1.3))),"") </f>
        <v/>
      </c>
      <c r="M1298" s="28">
        <f>IFERROR(IF(OR(J1298=0,K1298=""),"",IF(E1298="Positivo",MAX(K1298/J1298,0),MAX(J1298/K1298,0))),"") </f>
        <v/>
      </c>
      <c r="N1298" s="5" t="inlineStr">
        <is>
          <t>DEC</t>
        </is>
      </c>
      <c r="O1298" s="5" t="inlineStr">
        <is>
          <t>DEC</t>
        </is>
      </c>
      <c r="P1298" s="5" t="n">
        <v>1</v>
      </c>
      <c r="Q1298" s="5" t="n">
        <v>1</v>
      </c>
      <c r="R1298" s="5" t="inlineStr">
        <is>
          <t>260-2024-12-31</t>
        </is>
      </c>
    </row>
    <row r="1299">
      <c r="A1299" s="26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Semestral</t>
        </is>
      </c>
      <c r="E1299" s="5" t="inlineStr">
        <is>
          <t>Negativo</t>
        </is>
      </c>
      <c r="F1299" s="144" t="n">
        <v>45838</v>
      </c>
      <c r="G1299" s="5" t="n">
        <v>2025</v>
      </c>
      <c r="H1299" s="5" t="inlineStr">
        <is>
          <t>Junio</t>
        </is>
      </c>
      <c r="I1299" s="6" t="inlineStr">
        <is>
          <t>2025-1</t>
        </is>
      </c>
      <c r="J1299" s="5" t="n">
        <v>2.2</v>
      </c>
      <c r="K1299" s="10" t="n">
        <v>1.9</v>
      </c>
      <c r="L1299" s="28">
        <f>IFERROR(IF(OR(J1299=0,K1299=""),"",IF(E1299="Positivo",MIN(MAX(K1299/J1299,0),1.3),MIN(MAX(J1299/K1299,0),1.3))),"") </f>
        <v/>
      </c>
      <c r="M1299" s="28">
        <f>IFERROR(IF(OR(J1299=0,K1299=""),"",IF(E1299="Positivo",MAX(K1299/J1299,0),MAX(J1299/K1299,0))),"") </f>
        <v/>
      </c>
      <c r="N1299" s="5" t="inlineStr">
        <is>
          <t>DEC</t>
        </is>
      </c>
      <c r="O1299" s="5" t="inlineStr">
        <is>
          <t>DEC</t>
        </is>
      </c>
      <c r="P1299" s="16" t="n">
        <v>1</v>
      </c>
      <c r="Q1299" s="16" t="n">
        <v>1</v>
      </c>
      <c r="R1299" s="5" t="inlineStr">
        <is>
          <t>260-2025-06-30</t>
        </is>
      </c>
    </row>
    <row r="1300">
      <c r="A1300" s="26" t="n">
        <v>260</v>
      </c>
      <c r="B1300" s="5" t="inlineStr">
        <is>
          <t>CES- Costumer Effort Score del proceso de Rematrícula</t>
        </is>
      </c>
      <c r="C1300" s="5" t="inlineStr">
        <is>
          <t>Rematrícula</t>
        </is>
      </c>
      <c r="D1300" s="5" t="inlineStr">
        <is>
          <t>Trimestral</t>
        </is>
      </c>
      <c r="E1300" s="5" t="inlineStr">
        <is>
          <t>Negativo</t>
        </is>
      </c>
      <c r="F1300" s="144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2.1</v>
      </c>
      <c r="K1300" s="10" t="n">
        <v>1.9</v>
      </c>
      <c r="L1300" s="28">
        <f>IFERROR(IF(OR(J1300=0,K1300=""),"",IF(E1300="Positivo",MIN(MAX(K1300/J1300,0),1.3),MIN(MAX(J1300/K1300,0),1.3))),"") </f>
        <v/>
      </c>
      <c r="M1300" s="28">
        <f>IFERROR(IF(OR(J1300=0,K1300=""),"",IF(E1300="Positivo",MAX(K1300/J1300,0),MAX(J1300/K1300,0))),"") </f>
        <v/>
      </c>
      <c r="N1300" s="5" t="inlineStr">
        <is>
          <t>DEC</t>
        </is>
      </c>
      <c r="O1300" s="5" t="inlineStr">
        <is>
          <t>DEC</t>
        </is>
      </c>
      <c r="P1300" s="16" t="n">
        <v>1</v>
      </c>
      <c r="Q1300" s="16" t="n">
        <v>1</v>
      </c>
      <c r="R1300" s="5" t="inlineStr">
        <is>
          <t>260-2025-12-31</t>
        </is>
      </c>
    </row>
    <row r="1301">
      <c r="A1301" s="26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144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3</v>
      </c>
      <c r="K1301" s="123" t="n">
        <v>1.98</v>
      </c>
      <c r="L1301" s="28">
        <f>IFERROR(IF(OR(J1301=0,K1301=""),"",IF(E1301="Positivo",MIN(MAX(K1301/J1301,0),1.3),MIN(MAX(J1301/K1301,0),1.3))),"") </f>
        <v/>
      </c>
      <c r="M1301" s="28">
        <f>IFERROR(IF(OR(J1301=0,K1301=""),"",IF(E1301="Positivo",MAX(K1301/J1301,0),MAX(J1301/K1301,0))),"") </f>
        <v/>
      </c>
      <c r="N1301" s="5" t="inlineStr">
        <is>
          <t>DEC</t>
        </is>
      </c>
      <c r="O1301" s="5" t="inlineStr">
        <is>
          <t>DEC</t>
        </is>
      </c>
      <c r="P1301" s="16" t="n">
        <v>2</v>
      </c>
      <c r="Q1301" s="16" t="n">
        <v>2</v>
      </c>
      <c r="R1301" s="5" t="inlineStr">
        <is>
          <t>261-2023-06-30</t>
        </is>
      </c>
    </row>
    <row r="1302">
      <c r="A1302" s="26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144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3</v>
      </c>
      <c r="K1302" s="123" t="n">
        <v>2.06</v>
      </c>
      <c r="L1302" s="28">
        <f>IFERROR(IF(OR(J1302=0,K1302=""),"",IF(E1302="Positivo",MIN(MAX(K1302/J1302,0),1.3),MIN(MAX(J1302/K1302,0),1.3))),"") </f>
        <v/>
      </c>
      <c r="M1302" s="28">
        <f>IFERROR(IF(OR(J1302=0,K1302=""),"",IF(E1302="Positivo",MAX(K1302/J1302,0),MAX(J1302/K1302,0))),"") </f>
        <v/>
      </c>
      <c r="N1302" s="5" t="inlineStr">
        <is>
          <t>DEC</t>
        </is>
      </c>
      <c r="O1302" s="5" t="inlineStr">
        <is>
          <t>DEC</t>
        </is>
      </c>
      <c r="P1302" s="16" t="n">
        <v>0</v>
      </c>
      <c r="Q1302" s="16" t="n">
        <v>0</v>
      </c>
      <c r="R1302" s="5" t="inlineStr">
        <is>
          <t>261-2023-12-31</t>
        </is>
      </c>
    </row>
    <row r="1303">
      <c r="A1303" s="26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144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3</v>
      </c>
      <c r="K1303" s="123" t="n">
        <v>2.2</v>
      </c>
      <c r="L1303" s="28">
        <f>IFERROR(IF(OR(J1303=0,K1303=""),"",IF(E1303="Positivo",MIN(MAX(K1303/J1303,0),1.3),MIN(MAX(J1303/K1303,0),1.3))),"") </f>
        <v/>
      </c>
      <c r="M1303" s="28">
        <f>IFERROR(IF(OR(J1303=0,K1303=""),"",IF(E1303="Positivo",MAX(K1303/J1303,0),MAX(J1303/K1303,0))),"") </f>
        <v/>
      </c>
      <c r="N1303" s="5" t="inlineStr">
        <is>
          <t>DEC</t>
        </is>
      </c>
      <c r="O1303" s="5" t="inlineStr">
        <is>
          <t>DEC</t>
        </is>
      </c>
      <c r="P1303" s="16" t="n">
        <v>1</v>
      </c>
      <c r="Q1303" s="16" t="n">
        <v>1</v>
      </c>
      <c r="R1303" s="5" t="inlineStr">
        <is>
          <t>261-2024-06-30</t>
        </is>
      </c>
    </row>
    <row r="1304">
      <c r="A1304" s="26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144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3</v>
      </c>
      <c r="K1304" s="10" t="n">
        <v>2.2</v>
      </c>
      <c r="L1304" s="28">
        <f>IFERROR(IF(OR(J1304=0,K1304=""),"",IF(E1304="Positivo",MIN(MAX(K1304/J1304,0),1.3),MIN(MAX(J1304/K1304,0),1.3))),"") </f>
        <v/>
      </c>
      <c r="M1304" s="28">
        <f>IFERROR(IF(OR(J1304=0,K1304=""),"",IF(E1304="Positivo",MAX(K1304/J1304,0),MAX(J1304/K1304,0))),"") </f>
        <v/>
      </c>
      <c r="N1304" s="5" t="inlineStr">
        <is>
          <t>DEC</t>
        </is>
      </c>
      <c r="O1304" s="5" t="inlineStr">
        <is>
          <t>DEC</t>
        </is>
      </c>
      <c r="P1304" s="16" t="n">
        <v>1</v>
      </c>
      <c r="Q1304" s="16" t="n">
        <v>1</v>
      </c>
      <c r="R1304" s="5" t="inlineStr">
        <is>
          <t>261-2024-12-31</t>
        </is>
      </c>
    </row>
    <row r="1305">
      <c r="A1305" s="5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Semestral</t>
        </is>
      </c>
      <c r="E1305" s="5" t="inlineStr">
        <is>
          <t>Negativo</t>
        </is>
      </c>
      <c r="F1305" s="144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3</v>
      </c>
      <c r="K1305" s="5" t="n">
        <v>2.3</v>
      </c>
      <c r="L1305" s="28">
        <f>IFERROR(IF(OR(J1305=0,K1305=""),"",IF(E1305="Positivo",MIN(MAX(K1305/J1305,0),1.3),MIN(MAX(J1305/K1305,0),1.3))),"") </f>
        <v/>
      </c>
      <c r="M1305" s="28">
        <f>IFERROR(IF(OR(J1305=0,K1305=""),"",IF(E1305="Positivo",MAX(K1305/J1305,0),MAX(J1305/K1305,0))),"") </f>
        <v/>
      </c>
      <c r="N1305" s="5" t="inlineStr">
        <is>
          <t>DEC</t>
        </is>
      </c>
      <c r="O1305" s="5" t="inlineStr">
        <is>
          <t>DEC</t>
        </is>
      </c>
      <c r="P1305" s="5" t="n">
        <v>1</v>
      </c>
      <c r="Q1305" s="5" t="n">
        <v>1</v>
      </c>
      <c r="R1305" s="5" t="inlineStr">
        <is>
          <t>261-2025-06-30</t>
        </is>
      </c>
    </row>
    <row r="1306">
      <c r="A1306" s="26" t="n">
        <v>261</v>
      </c>
      <c r="B1306" s="5" t="inlineStr">
        <is>
          <t>CES- Costumer Effort Score del proceso de Saber Pro</t>
        </is>
      </c>
      <c r="C1306" s="5" t="inlineStr">
        <is>
          <t>Servicio</t>
        </is>
      </c>
      <c r="D1306" s="5" t="inlineStr">
        <is>
          <t>Trimestral</t>
        </is>
      </c>
      <c r="E1306" s="5" t="inlineStr">
        <is>
          <t>Negativo</t>
        </is>
      </c>
      <c r="F1306" s="144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3</v>
      </c>
      <c r="K1306" s="10" t="n">
        <v>2.1</v>
      </c>
      <c r="L1306" s="28">
        <f>IFERROR(IF(OR(J1306=0,K1306=""),"",IF(E1306="Positivo",MIN(MAX(K1306/J1306,0),1.3),MIN(MAX(J1306/K1306,0),1.3))),"") </f>
        <v/>
      </c>
      <c r="M1306" s="28">
        <f>IFERROR(IF(OR(J1306=0,K1306=""),"",IF(E1306="Positivo",MAX(K1306/J1306,0),MAX(J1306/K1306,0))),"") </f>
        <v/>
      </c>
      <c r="N1306" s="5" t="inlineStr">
        <is>
          <t>ENT</t>
        </is>
      </c>
      <c r="O1306" s="5" t="inlineStr">
        <is>
          <t>DEC</t>
        </is>
      </c>
      <c r="P1306" s="16" t="n">
        <v>1</v>
      </c>
      <c r="Q1306" s="16" t="n">
        <v>1</v>
      </c>
      <c r="R1306" s="5" t="inlineStr">
        <is>
          <t>261-2025-12-31</t>
        </is>
      </c>
    </row>
    <row r="1307">
      <c r="A1307" s="26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144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20</v>
      </c>
      <c r="K1307" s="10" t="n">
        <v>0</v>
      </c>
      <c r="L1307" s="28">
        <f>IFERROR(IF(OR(J1307=0,K1307=""),"",IF(E1307="Positivo",MIN(MAX(K1307/J1307,0),1.3),MIN(MAX(J1307/K1307,0),1.3))),"") </f>
        <v/>
      </c>
      <c r="M1307" s="28">
        <f>IFERROR(IF(OR(J1307=0,K1307=""),"",IF(E1307="Positivo",MAX(K1307/J1307,0),MAX(J1307/K1307,0))),"") </f>
        <v/>
      </c>
      <c r="N1307" s="5" t="inlineStr">
        <is>
          <t>%</t>
        </is>
      </c>
      <c r="O1307" s="5" t="inlineStr">
        <is>
          <t>%</t>
        </is>
      </c>
      <c r="P1307" s="16" t="n">
        <v>0</v>
      </c>
      <c r="Q1307" s="16" t="n">
        <v>0</v>
      </c>
      <c r="R1307" s="5" t="inlineStr">
        <is>
          <t>262-2023-06-30</t>
        </is>
      </c>
    </row>
    <row r="1308">
      <c r="A1308" s="26" t="n">
        <v>262</v>
      </c>
      <c r="B1308" s="5" t="inlineStr">
        <is>
          <t>Evitar erogación de dinero por multas asociadas en contra del POLI por los procesos en curso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144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20</v>
      </c>
      <c r="K1308" s="123" t="n">
        <v>11.11</v>
      </c>
      <c r="L1308" s="28">
        <f>IFERROR(IF(OR(J1308=0,K1308=""),"",IF(E1308="Positivo",MIN(MAX(K1308/J1308,0),1.3),MIN(MAX(J1308/K1308,0),1.3))),"") </f>
        <v/>
      </c>
      <c r="M1308" s="28">
        <f>IFERROR(IF(OR(J1308=0,K1308=""),"",IF(E1308="Positivo",MAX(K1308/J1308,0),MAX(J1308/K1308,0))),"") </f>
        <v/>
      </c>
      <c r="N1308" s="5" t="inlineStr">
        <is>
          <t>%</t>
        </is>
      </c>
      <c r="O1308" s="5" t="inlineStr">
        <is>
          <t>%</t>
        </is>
      </c>
      <c r="P1308" s="16" t="n">
        <v>0</v>
      </c>
      <c r="Q1308" s="16" t="n">
        <v>0</v>
      </c>
      <c r="R1308" s="5" t="inlineStr">
        <is>
          <t>262-2023-12-31</t>
        </is>
      </c>
    </row>
    <row r="1309">
      <c r="A1309" s="26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144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20</v>
      </c>
      <c r="K1309" s="123" t="n">
        <v>0</v>
      </c>
      <c r="L1309" s="28">
        <f>IFERROR(IF(OR(J1309=0,K1309=""),"",IF(E1309="Positivo",MIN(MAX(K1309/J1309,0),1.3),MIN(MAX(J1309/K1309,0),1.3))),"") </f>
        <v/>
      </c>
      <c r="M1309" s="28">
        <f>IFERROR(IF(OR(J1309=0,K1309=""),"",IF(E1309="Positivo",MAX(K1309/J1309,0),MAX(J1309/K1309,0))),"") </f>
        <v/>
      </c>
      <c r="N1309" s="5" t="inlineStr">
        <is>
          <t>%</t>
        </is>
      </c>
      <c r="O1309" s="5" t="inlineStr">
        <is>
          <t>%</t>
        </is>
      </c>
      <c r="P1309" s="16" t="n">
        <v>0</v>
      </c>
      <c r="Q1309" s="16" t="n">
        <v>0</v>
      </c>
      <c r="R1309" s="5" t="inlineStr">
        <is>
          <t>262-2024-06-30</t>
        </is>
      </c>
    </row>
    <row r="1310">
      <c r="A1310" s="26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144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20</v>
      </c>
      <c r="K1310" s="123" t="n">
        <v>0</v>
      </c>
      <c r="L1310" s="28">
        <f>IFERROR(IF(OR(J1310=0,K1310=""),"",IF(E1310="Positivo",MIN(MAX(K1310/J1310,0),1.3),MIN(MAX(J1310/K1310,0),1.3))),"") </f>
        <v/>
      </c>
      <c r="M1310" s="28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 t="inlineStr">
        <is>
          <t>262-2024-12-31</t>
        </is>
      </c>
    </row>
    <row r="1311">
      <c r="A1311" s="26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Semestral</t>
        </is>
      </c>
      <c r="E1311" s="5" t="inlineStr">
        <is>
          <t>Negativo</t>
        </is>
      </c>
      <c r="F1311" s="144" t="n">
        <v>45838</v>
      </c>
      <c r="G1311" s="5" t="n">
        <v>2025</v>
      </c>
      <c r="H1311" s="5" t="inlineStr">
        <is>
          <t>Junio</t>
        </is>
      </c>
      <c r="I1311" s="6" t="inlineStr">
        <is>
          <t>2025-1</t>
        </is>
      </c>
      <c r="J1311" s="5" t="n">
        <v>10</v>
      </c>
      <c r="K1311" s="10" t="n">
        <v>0</v>
      </c>
      <c r="L1311" s="28">
        <f>IFERROR(IF(OR(J1311=0,K1311=""),"",IF(E1311="Positivo",MIN(MAX(K1311/J1311,0),1.3),MIN(MAX(J1311/K1311,0),1.3))),"") </f>
        <v/>
      </c>
      <c r="M1311" s="28">
        <f>IFERROR(IF(OR(J1311=0,K1311=""),"",IF(E1311="Positivo",MAX(K1311/J1311,0),MAX(J1311/K1311,0))),"") </f>
        <v/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 t="inlineStr">
        <is>
          <t>262-2025-06-30</t>
        </is>
      </c>
    </row>
    <row r="1312">
      <c r="A1312" s="5" t="n">
        <v>262</v>
      </c>
      <c r="B1312" s="5" t="inlineStr">
        <is>
          <t>Reducción de número de sentencias condenatorias en contra del Poli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Negativo</t>
        </is>
      </c>
      <c r="F1312" s="144" t="n">
        <v>46022</v>
      </c>
      <c r="G1312" s="5" t="n">
        <v>2025</v>
      </c>
      <c r="H1312" s="5" t="inlineStr">
        <is>
          <t>Diciembre</t>
        </is>
      </c>
      <c r="I1312" s="6" t="inlineStr">
        <is>
          <t>2025-2</t>
        </is>
      </c>
      <c r="J1312" s="5" t="n">
        <v>10</v>
      </c>
      <c r="K1312" s="5" t="n">
        <v>0</v>
      </c>
      <c r="L1312" s="28">
        <f>IFERROR(IF(OR(J1312=0,K1312=""),"",IF(E1312="Positivo",MIN(MAX(K1312/J1312,0),1.3),MIN(MAX(J1312/K1312,0),1.3))),"") </f>
        <v/>
      </c>
      <c r="M1312" s="28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5" t="n">
        <v>0</v>
      </c>
      <c r="Q1312" s="5" t="n">
        <v>0</v>
      </c>
      <c r="R1312" s="5" t="inlineStr">
        <is>
          <t>262-2025-12-31</t>
        </is>
      </c>
    </row>
    <row r="1313">
      <c r="A1313" s="26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144" t="n">
        <v>45016</v>
      </c>
      <c r="G1313" s="5" t="n">
        <v>2023</v>
      </c>
      <c r="H1313" s="5" t="inlineStr">
        <is>
          <t>Marzo</t>
        </is>
      </c>
      <c r="I1313" s="6" t="inlineStr">
        <is>
          <t>2023-1</t>
        </is>
      </c>
      <c r="J1313" s="5" t="n">
        <v>100</v>
      </c>
      <c r="K1313" s="10" t="n">
        <v>100</v>
      </c>
      <c r="L1313" s="28">
        <f>IFERROR(IF(OR(J1313=0,K1313=""),"",IF(E1313="Positivo",MIN(MAX(K1313/J1313,0),1.3),MIN(MAX(J1313/K1313,0),1.3))),"") </f>
        <v/>
      </c>
      <c r="M1313" s="28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 t="inlineStr">
        <is>
          <t>263-2023-03-31</t>
        </is>
      </c>
    </row>
    <row r="1314">
      <c r="A1314" s="26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144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100</v>
      </c>
      <c r="K1314" s="10" t="n">
        <v>100</v>
      </c>
      <c r="L1314" s="28">
        <f>IFERROR(IF(OR(J1314=0,K1314=""),"",IF(E1314="Positivo",MIN(MAX(K1314/J1314,0),1.3),MIN(MAX(J1314/K1314,0),1.3))),"") </f>
        <v/>
      </c>
      <c r="M1314" s="28">
        <f>IFERROR(IF(OR(J1314=0,K1314=""),"",IF(E1314="Positivo",MAX(K1314/J1314,0),MAX(J1314/K1314,0))),"") </f>
        <v/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 t="inlineStr">
        <is>
          <t>263-2023-06-30</t>
        </is>
      </c>
    </row>
    <row r="1315">
      <c r="A1315" s="26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144" t="n">
        <v>45199</v>
      </c>
      <c r="G1315" s="5" t="n">
        <v>2023</v>
      </c>
      <c r="H1315" s="5" t="inlineStr">
        <is>
          <t>Septiembre</t>
        </is>
      </c>
      <c r="I1315" s="6" t="inlineStr">
        <is>
          <t>2023-2</t>
        </is>
      </c>
      <c r="J1315" s="5" t="n">
        <v>100</v>
      </c>
      <c r="K1315" s="123" t="n">
        <v>100</v>
      </c>
      <c r="L1315" s="28">
        <f>IFERROR(IF(OR(J1315=0,K1315=""),"",IF(E1315="Positivo",MIN(MAX(K1315/J1315,0),1.3),MIN(MAX(J1315/K1315,0),1.3))),"") </f>
        <v/>
      </c>
      <c r="M1315" s="28">
        <f>IFERROR(IF(OR(J1315=0,K1315=""),"",IF(E1315="Positivo",MAX(K1315/J1315,0),MAX(J1315/K1315,0))),"") </f>
        <v/>
      </c>
      <c r="N1315" s="5" t="inlineStr">
        <is>
          <t>%</t>
        </is>
      </c>
      <c r="O1315" s="5" t="inlineStr">
        <is>
          <t>%</t>
        </is>
      </c>
      <c r="P1315" s="16" t="n">
        <v>0</v>
      </c>
      <c r="Q1315" s="16" t="n">
        <v>0</v>
      </c>
      <c r="R1315" s="5" t="inlineStr">
        <is>
          <t>263-2023-09-30</t>
        </is>
      </c>
    </row>
    <row r="1316">
      <c r="A1316" s="26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144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100</v>
      </c>
      <c r="K1316" s="123" t="n">
        <v>100</v>
      </c>
      <c r="L1316" s="28">
        <f>IFERROR(IF(OR(J1316=0,K1316=""),"",IF(E1316="Positivo",MIN(MAX(K1316/J1316,0),1.3),MIN(MAX(J1316/K1316,0),1.3))),"") </f>
        <v/>
      </c>
      <c r="M1316" s="28">
        <f>IFERROR(IF(OR(J1316=0,K1316=""),"",IF(E1316="Positivo",MAX(K1316/J1316,0),MAX(J1316/K1316,0))),"") </f>
        <v/>
      </c>
      <c r="N1316" s="5" t="inlineStr">
        <is>
          <t>%</t>
        </is>
      </c>
      <c r="O1316" s="5" t="inlineStr">
        <is>
          <t>%</t>
        </is>
      </c>
      <c r="P1316" s="16" t="n">
        <v>0</v>
      </c>
      <c r="Q1316" s="16" t="n">
        <v>0</v>
      </c>
      <c r="R1316" s="5" t="inlineStr">
        <is>
          <t>263-2023-12-31</t>
        </is>
      </c>
    </row>
    <row r="1317">
      <c r="A1317" s="26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144" t="n">
        <v>45382</v>
      </c>
      <c r="G1317" s="5" t="n">
        <v>2024</v>
      </c>
      <c r="H1317" s="5" t="inlineStr">
        <is>
          <t>Marzo</t>
        </is>
      </c>
      <c r="I1317" s="6" t="inlineStr">
        <is>
          <t>2024-1</t>
        </is>
      </c>
      <c r="J1317" s="5" t="n">
        <v>100</v>
      </c>
      <c r="K1317" s="123" t="n">
        <v>100</v>
      </c>
      <c r="L1317" s="28">
        <f>IFERROR(IF(OR(J1317=0,K1317=""),"",IF(E1317="Positivo",MIN(MAX(K1317/J1317,0),1.3),MIN(MAX(J1317/K1317,0),1.3))),"") </f>
        <v/>
      </c>
      <c r="M1317" s="28">
        <f>IFERROR(IF(OR(J1317=0,K1317=""),"",IF(E1317="Positivo",MAX(K1317/J1317,0),MAX(J1317/K1317,0))),"") </f>
        <v/>
      </c>
      <c r="N1317" s="5" t="inlineStr">
        <is>
          <t>%</t>
        </is>
      </c>
      <c r="O1317" s="5" t="inlineStr">
        <is>
          <t>%</t>
        </is>
      </c>
      <c r="P1317" s="16" t="n">
        <v>0</v>
      </c>
      <c r="Q1317" s="16" t="n">
        <v>0</v>
      </c>
      <c r="R1317" s="5" t="inlineStr">
        <is>
          <t>263-2024-03-31</t>
        </is>
      </c>
    </row>
    <row r="1318">
      <c r="A1318" s="26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144" t="n">
        <v>45473</v>
      </c>
      <c r="G1318" s="5" t="n">
        <v>2024</v>
      </c>
      <c r="H1318" s="5" t="inlineStr">
        <is>
          <t>Junio</t>
        </is>
      </c>
      <c r="I1318" s="6" t="inlineStr">
        <is>
          <t>2024-1</t>
        </is>
      </c>
      <c r="J1318" s="5" t="n">
        <v>100</v>
      </c>
      <c r="K1318" s="10" t="n">
        <v>100</v>
      </c>
      <c r="L1318" s="28">
        <f>IFERROR(IF(OR(J1318=0,K1318=""),"",IF(E1318="Positivo",MIN(MAX(K1318/J1318,0),1.3),MIN(MAX(J1318/K1318,0),1.3))),"") </f>
        <v/>
      </c>
      <c r="M1318" s="28">
        <f>IFERROR(IF(OR(J1318=0,K1318=""),"",IF(E1318="Positivo",MAX(K1318/J1318,0),MAX(J1318/K1318,0))),"") </f>
        <v/>
      </c>
      <c r="N1318" s="5" t="inlineStr">
        <is>
          <t>%</t>
        </is>
      </c>
      <c r="O1318" s="5" t="inlineStr">
        <is>
          <t>%</t>
        </is>
      </c>
      <c r="P1318" s="16" t="n">
        <v>0</v>
      </c>
      <c r="Q1318" s="16" t="n">
        <v>0</v>
      </c>
      <c r="R1318" s="5" t="inlineStr">
        <is>
          <t>263-2024-06-30</t>
        </is>
      </c>
    </row>
    <row r="1319">
      <c r="A1319" s="5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144" t="n">
        <v>45565</v>
      </c>
      <c r="G1319" s="5" t="n">
        <v>2024</v>
      </c>
      <c r="H1319" s="5" t="inlineStr">
        <is>
          <t>Septiembre</t>
        </is>
      </c>
      <c r="I1319" s="6" t="inlineStr">
        <is>
          <t>2024-2</t>
        </is>
      </c>
      <c r="J1319" s="5" t="n">
        <v>100</v>
      </c>
      <c r="K1319" s="5" t="n">
        <v>100</v>
      </c>
      <c r="L1319" s="28">
        <f>IFERROR(IF(OR(J1319=0,K1319=""),"",IF(E1319="Positivo",MIN(MAX(K1319/J1319,0),1.3),MIN(MAX(J1319/K1319,0),1.3))),"") </f>
        <v/>
      </c>
      <c r="M1319" s="28">
        <f>IFERROR(IF(OR(J1319=0,K1319=""),"",IF(E1319="Positivo",MAX(K1319/J1319,0),MAX(J1319/K1319,0))),"") </f>
        <v/>
      </c>
      <c r="N1319" s="5" t="inlineStr">
        <is>
          <t>%</t>
        </is>
      </c>
      <c r="O1319" s="5" t="inlineStr">
        <is>
          <t>%</t>
        </is>
      </c>
      <c r="P1319" s="5" t="n">
        <v>0</v>
      </c>
      <c r="Q1319" s="5" t="n">
        <v>0</v>
      </c>
      <c r="R1319" s="5" t="inlineStr">
        <is>
          <t>263-2024-09-30</t>
        </is>
      </c>
    </row>
    <row r="1320">
      <c r="A1320" s="26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144" t="n">
        <v>45657</v>
      </c>
      <c r="G1320" s="5" t="n">
        <v>2024</v>
      </c>
      <c r="H1320" s="5" t="inlineStr">
        <is>
          <t>Diciembre</t>
        </is>
      </c>
      <c r="I1320" s="6" t="inlineStr">
        <is>
          <t>2024-2</t>
        </is>
      </c>
      <c r="J1320" s="5" t="n">
        <v>100</v>
      </c>
      <c r="K1320" s="10" t="n">
        <v>100</v>
      </c>
      <c r="L1320" s="28">
        <f>IFERROR(IF(OR(J1320=0,K1320=""),"",IF(E1320="Positivo",MIN(MAX(K1320/J1320,0),1.3),MIN(MAX(J1320/K1320,0),1.3))),"") </f>
        <v/>
      </c>
      <c r="M1320" s="28">
        <f>IFERROR(IF(OR(J1320=0,K1320=""),"",IF(E1320="Positivo",MAX(K1320/J1320,0),MAX(J1320/K1320,0))),"") </f>
        <v/>
      </c>
      <c r="N1320" s="5" t="inlineStr">
        <is>
          <t>%</t>
        </is>
      </c>
      <c r="O1320" s="5" t="inlineStr">
        <is>
          <t>%</t>
        </is>
      </c>
      <c r="P1320" s="16" t="n">
        <v>0</v>
      </c>
      <c r="Q1320" s="16" t="n">
        <v>0</v>
      </c>
      <c r="R1320" s="5" t="inlineStr">
        <is>
          <t>263-2024-12-31</t>
        </is>
      </c>
    </row>
    <row r="1321">
      <c r="A1321" s="26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Trimestral</t>
        </is>
      </c>
      <c r="E1321" s="5" t="inlineStr">
        <is>
          <t>Positivo</t>
        </is>
      </c>
      <c r="F1321" s="144" t="n">
        <v>45747</v>
      </c>
      <c r="G1321" s="5" t="n">
        <v>2025</v>
      </c>
      <c r="H1321" s="5" t="inlineStr">
        <is>
          <t>Marzo</t>
        </is>
      </c>
      <c r="I1321" s="6" t="inlineStr">
        <is>
          <t>2025-1</t>
        </is>
      </c>
      <c r="J1321" s="5" t="n">
        <v>100</v>
      </c>
      <c r="K1321" s="10" t="n">
        <v>100</v>
      </c>
      <c r="L1321" s="28">
        <f>IFERROR(IF(OR(J1321=0,K1321=""),"",IF(E1321="Positivo",MIN(MAX(K1321/J1321,0),1.3),MIN(MAX(J1321/K1321,0),1.3))),"") </f>
        <v/>
      </c>
      <c r="M1321" s="28">
        <f>IFERROR(IF(OR(J1321=0,K1321=""),"",IF(E1321="Positivo",MAX(K1321/J1321,0),MAX(J1321/K1321,0))),"") </f>
        <v/>
      </c>
      <c r="N1321" s="5" t="inlineStr">
        <is>
          <t>%</t>
        </is>
      </c>
      <c r="O1321" s="5" t="inlineStr">
        <is>
          <t>%</t>
        </is>
      </c>
      <c r="P1321" s="16" t="n">
        <v>0</v>
      </c>
      <c r="Q1321" s="16" t="n">
        <v>0</v>
      </c>
      <c r="R1321" s="5" t="inlineStr">
        <is>
          <t>263-2025-03-31</t>
        </is>
      </c>
    </row>
    <row r="1322">
      <c r="A1322" s="26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Trimestral</t>
        </is>
      </c>
      <c r="E1322" s="5" t="inlineStr">
        <is>
          <t>Positivo</t>
        </is>
      </c>
      <c r="F1322" s="144" t="n">
        <v>45838</v>
      </c>
      <c r="G1322" s="5" t="n">
        <v>2025</v>
      </c>
      <c r="H1322" s="5" t="inlineStr">
        <is>
          <t>Junio</t>
        </is>
      </c>
      <c r="I1322" s="6" t="inlineStr">
        <is>
          <t>2025-1</t>
        </is>
      </c>
      <c r="J1322" s="5" t="n">
        <v>100</v>
      </c>
      <c r="K1322" s="123" t="n">
        <v>100</v>
      </c>
      <c r="L1322" s="28">
        <f>IFERROR(IF(OR(J1322=0,K1322=""),"",IF(E1322="Positivo",MIN(MAX(K1322/J1322,0),1.3),MIN(MAX(J1322/K1322,0),1.3))),"") </f>
        <v/>
      </c>
      <c r="M1322" s="28">
        <f>IFERROR(IF(OR(J1322=0,K1322=""),"",IF(E1322="Positivo",MAX(K1322/J1322,0),MAX(J1322/K1322,0))),"") </f>
        <v/>
      </c>
      <c r="N1322" s="5" t="inlineStr">
        <is>
          <t>%</t>
        </is>
      </c>
      <c r="O1322" s="5" t="inlineStr">
        <is>
          <t>%</t>
        </is>
      </c>
      <c r="P1322" s="16" t="n">
        <v>0</v>
      </c>
      <c r="Q1322" s="16" t="n">
        <v>0</v>
      </c>
      <c r="R1322" s="5" t="inlineStr">
        <is>
          <t>263-2025-06-30</t>
        </is>
      </c>
    </row>
    <row r="1323">
      <c r="A1323" s="26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144" t="n">
        <v>45930</v>
      </c>
      <c r="G1323" s="5" t="n">
        <v>2025</v>
      </c>
      <c r="H1323" s="5" t="inlineStr">
        <is>
          <t>Septiembre</t>
        </is>
      </c>
      <c r="I1323" s="6" t="inlineStr">
        <is>
          <t>2025-2</t>
        </is>
      </c>
      <c r="J1323" s="5" t="n">
        <v>100</v>
      </c>
      <c r="K1323" s="123" t="n">
        <v>100</v>
      </c>
      <c r="L1323" s="28">
        <f>IFERROR(IF(OR(J1323=0,K1323=""),"",IF(E1323="Positivo",MIN(MAX(K1323/J1323,0),1.3),MIN(MAX(J1323/K1323,0),1.3))),"") </f>
        <v/>
      </c>
      <c r="M1323" s="28">
        <f>IFERROR(IF(OR(J1323=0,K1323=""),"",IF(E1323="Positivo",MAX(K1323/J1323,0),MAX(J1323/K1323,0))),"") </f>
        <v/>
      </c>
      <c r="N1323" s="5" t="inlineStr">
        <is>
          <t>%</t>
        </is>
      </c>
      <c r="O1323" s="5" t="inlineStr">
        <is>
          <t>%</t>
        </is>
      </c>
      <c r="P1323" s="16" t="n">
        <v>0</v>
      </c>
      <c r="Q1323" s="16" t="n">
        <v>0</v>
      </c>
      <c r="R1323" s="5" t="inlineStr">
        <is>
          <t>263-2025-09-30</t>
        </is>
      </c>
    </row>
    <row r="1324">
      <c r="A1324" s="26" t="n">
        <v>263</v>
      </c>
      <c r="B1324" s="5" t="inlineStr">
        <is>
          <t>Oportunidad de respuesta de PQRS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144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>
        <v>100</v>
      </c>
      <c r="K1324" s="123" t="n">
        <v>100</v>
      </c>
      <c r="L1324" s="28">
        <f>IFERROR(IF(OR(J1324=0,K1324=""),"",IF(E1324="Positivo",MIN(MAX(K1324/J1324,0),1.3),MIN(MAX(J1324/K1324,0),1.3))),"") </f>
        <v/>
      </c>
      <c r="M1324" s="28">
        <f>IFERROR(IF(OR(J1324=0,K1324=""),"",IF(E1324="Positivo",MAX(K1324/J1324,0),MAX(J1324/K1324,0))),"") </f>
        <v/>
      </c>
      <c r="N1324" s="5" t="inlineStr">
        <is>
          <t>%</t>
        </is>
      </c>
      <c r="O1324" s="5" t="inlineStr">
        <is>
          <t>%</t>
        </is>
      </c>
      <c r="P1324" s="16" t="n">
        <v>0</v>
      </c>
      <c r="Q1324" s="16" t="n">
        <v>0</v>
      </c>
      <c r="R1324" s="5" t="inlineStr">
        <is>
          <t>263-2025-12-31</t>
        </is>
      </c>
    </row>
    <row r="1325">
      <c r="A1325" s="26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144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10" t="n">
        <v>100</v>
      </c>
      <c r="L1325" s="28">
        <f>IFERROR(IF(OR(J1325=0,K1325=""),"",IF(E1325="Positivo",MIN(MAX(K1325/J1325,0),1.3),MIN(MAX(J1325/K1325,0),1.3))),"") </f>
        <v/>
      </c>
      <c r="M1325" s="28">
        <f>IFERROR(IF(OR(J1325=0,K1325=""),"",IF(E1325="Positivo",MAX(K1325/J1325,0),MAX(J1325/K1325,0))),"") </f>
        <v/>
      </c>
      <c r="N1325" s="5" t="inlineStr">
        <is>
          <t>%</t>
        </is>
      </c>
      <c r="O1325" s="5" t="inlineStr">
        <is>
          <t>%</t>
        </is>
      </c>
      <c r="P1325" s="16" t="n">
        <v>0</v>
      </c>
      <c r="Q1325" s="16" t="n">
        <v>0</v>
      </c>
      <c r="R1325" s="5" t="inlineStr">
        <is>
          <t>264-2023-06-30</t>
        </is>
      </c>
    </row>
    <row r="1326">
      <c r="A1326" s="5" t="n">
        <v>264</v>
      </c>
      <c r="B1326" s="5" t="inlineStr">
        <is>
          <t>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144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5" t="n">
        <v>100</v>
      </c>
      <c r="L1326" s="28">
        <f>IFERROR(IF(OR(J1326=0,K1326=""),"",IF(E1326="Positivo",MIN(MAX(K1326/J1326,0),1.3),MIN(MAX(J1326/K1326,0),1.3))),"") </f>
        <v/>
      </c>
      <c r="M1326" s="28">
        <f>IFERROR(IF(OR(J1326=0,K1326=""),"",IF(E1326="Positivo",MAX(K1326/J1326,0),MAX(J1326/K1326,0))),"") </f>
        <v/>
      </c>
      <c r="N1326" s="5" t="inlineStr">
        <is>
          <t>%</t>
        </is>
      </c>
      <c r="O1326" s="5" t="inlineStr">
        <is>
          <t>%</t>
        </is>
      </c>
      <c r="P1326" s="5" t="n">
        <v>0</v>
      </c>
      <c r="Q1326" s="5" t="n">
        <v>0</v>
      </c>
      <c r="R1326" s="5" t="inlineStr">
        <is>
          <t>264-2023-12-31</t>
        </is>
      </c>
    </row>
    <row r="1327">
      <c r="A1327" s="26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144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10" t="n">
        <v>100</v>
      </c>
      <c r="L1327" s="28">
        <f>IFERROR(IF(OR(J1327=0,K1327=""),"",IF(E1327="Positivo",MIN(MAX(K1327/J1327,0),1.3),MIN(MAX(J1327/K1327,0),1.3))),"") </f>
        <v/>
      </c>
      <c r="M1327" s="28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0</v>
      </c>
      <c r="R1327" s="5" t="inlineStr">
        <is>
          <t>264-2024-06-30</t>
        </is>
      </c>
    </row>
    <row r="1328">
      <c r="A1328" s="26" t="n">
        <v>264</v>
      </c>
      <c r="B1328" s="5" t="inlineStr">
        <is>
          <t>Eficiencia Emisión De Conceptos Jurídicos (Educación)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144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100</v>
      </c>
      <c r="L1328" s="28">
        <f>IFERROR(IF(OR(J1328=0,K1328=""),"",IF(E1328="Positivo",MIN(MAX(K1328/J1328,0),1.3),MIN(MAX(J1328/K1328,0),1.3))),"") </f>
        <v/>
      </c>
      <c r="M1328" s="28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0</v>
      </c>
      <c r="R1328" s="5" t="inlineStr">
        <is>
          <t>264-2024-12-31</t>
        </is>
      </c>
    </row>
    <row r="1329">
      <c r="A1329" s="26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144" t="n">
        <v>45107</v>
      </c>
      <c r="G1329" s="5" t="n">
        <v>2023</v>
      </c>
      <c r="H1329" s="5" t="inlineStr">
        <is>
          <t>Junio</t>
        </is>
      </c>
      <c r="I1329" s="6" t="inlineStr">
        <is>
          <t>2023-1</t>
        </is>
      </c>
      <c r="J1329" s="5" t="n">
        <v>100</v>
      </c>
      <c r="K1329" s="123" t="n">
        <v>80</v>
      </c>
      <c r="L1329" s="28">
        <f>IFERROR(IF(OR(J1329=0,K1329=""),"",IF(E1329="Positivo",MIN(MAX(K1329/J1329,0),1.3),MIN(MAX(J1329/K1329,0),1.3))),"") </f>
        <v/>
      </c>
      <c r="M1329" s="28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0</v>
      </c>
      <c r="R1329" s="5" t="inlineStr">
        <is>
          <t>265-2023-06-30</t>
        </is>
      </c>
    </row>
    <row r="1330">
      <c r="A1330" s="26" t="n">
        <v>265</v>
      </c>
      <c r="B1330" s="5" t="inlineStr">
        <is>
          <t>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144" t="n">
        <v>45291</v>
      </c>
      <c r="G1330" s="5" t="n">
        <v>2023</v>
      </c>
      <c r="H1330" s="5" t="inlineStr">
        <is>
          <t>Diciembre</t>
        </is>
      </c>
      <c r="I1330" s="6" t="inlineStr">
        <is>
          <t>2023-2</t>
        </is>
      </c>
      <c r="J1330" s="5" t="n">
        <v>100</v>
      </c>
      <c r="K1330" s="123" t="n">
        <v>97.13</v>
      </c>
      <c r="L1330" s="28">
        <f>IFERROR(IF(OR(J1330=0,K1330=""),"",IF(E1330="Positivo",MIN(MAX(K1330/J1330,0),1.3),MIN(MAX(J1330/K1330,0),1.3))),"") </f>
        <v/>
      </c>
      <c r="M1330" s="28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0</v>
      </c>
      <c r="R1330" s="5" t="inlineStr">
        <is>
          <t>265-2023-12-31</t>
        </is>
      </c>
    </row>
    <row r="1331">
      <c r="A1331" s="26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144" t="n">
        <v>45473</v>
      </c>
      <c r="G1331" s="5" t="n">
        <v>2024</v>
      </c>
      <c r="H1331" s="5" t="inlineStr">
        <is>
          <t>Junio</t>
        </is>
      </c>
      <c r="I1331" s="6" t="inlineStr">
        <is>
          <t>2024-1</t>
        </is>
      </c>
      <c r="J1331" s="5" t="n">
        <v>95</v>
      </c>
      <c r="K1331" s="123" t="n">
        <v>100</v>
      </c>
      <c r="L1331" s="28">
        <f>IFERROR(IF(OR(J1331=0,K1331=""),"",IF(E1331="Positivo",MIN(MAX(K1331/J1331,0),1.3),MIN(MAX(J1331/K1331,0),1.3))),"") </f>
        <v/>
      </c>
      <c r="M1331" s="28">
        <f>IFERROR(IF(OR(J1331=0,K1331=""),"",IF(E1331="Positivo",MAX(K1331/J1331,0),MAX(J1331/K1331,0))),"") </f>
        <v/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16" t="n">
        <v>0</v>
      </c>
      <c r="R1331" s="5" t="inlineStr">
        <is>
          <t>265-2024-06-30</t>
        </is>
      </c>
    </row>
    <row r="1332">
      <c r="A1332" s="26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144" t="n">
        <v>45657</v>
      </c>
      <c r="G1332" s="5" t="n">
        <v>2024</v>
      </c>
      <c r="H1332" s="5" t="inlineStr">
        <is>
          <t>Diciembre</t>
        </is>
      </c>
      <c r="I1332" s="6" t="inlineStr">
        <is>
          <t>2024-2</t>
        </is>
      </c>
      <c r="J1332" s="5" t="n">
        <v>95</v>
      </c>
      <c r="K1332" s="123" t="n">
        <v>100</v>
      </c>
      <c r="L1332" s="28">
        <f>IFERROR(IF(OR(J1332=0,K1332=""),"",IF(E1332="Positivo",MIN(MAX(K1332/J1332,0),1.3),MIN(MAX(J1332/K1332,0),1.3))),"") </f>
        <v/>
      </c>
      <c r="M1332" s="28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16" t="n">
        <v>0</v>
      </c>
      <c r="Q1332" s="16" t="n">
        <v>0</v>
      </c>
      <c r="R1332" s="5" t="inlineStr">
        <is>
          <t>265-2024-12-31</t>
        </is>
      </c>
    </row>
    <row r="1333">
      <c r="A1333" s="26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144" t="n">
        <v>45838</v>
      </c>
      <c r="G1333" s="5" t="n">
        <v>2025</v>
      </c>
      <c r="H1333" s="5" t="inlineStr">
        <is>
          <t>Junio</t>
        </is>
      </c>
      <c r="I1333" s="6" t="inlineStr">
        <is>
          <t>2025-1</t>
        </is>
      </c>
      <c r="J1333" s="5" t="n">
        <v>95</v>
      </c>
      <c r="K1333" s="123" t="n">
        <v>100</v>
      </c>
      <c r="L1333" s="28">
        <f>IFERROR(IF(OR(J1333=0,K1333=""),"",IF(E1333="Positivo",MIN(MAX(K1333/J1333,0),1.3),MIN(MAX(J1333/K1333,0),1.3))),"") </f>
        <v/>
      </c>
      <c r="M1333" s="28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0</v>
      </c>
      <c r="R1333" s="5" t="inlineStr">
        <is>
          <t>265-2025-06-30</t>
        </is>
      </c>
    </row>
    <row r="1334">
      <c r="A1334" s="26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144" t="n">
        <v>45930</v>
      </c>
      <c r="G1334" s="5" t="n">
        <v>2025</v>
      </c>
      <c r="H1334" s="5" t="inlineStr">
        <is>
          <t>Septiembre</t>
        </is>
      </c>
      <c r="I1334" s="6" t="inlineStr">
        <is>
          <t>2025-2</t>
        </is>
      </c>
      <c r="J1334" s="5" t="n">
        <v>95</v>
      </c>
      <c r="K1334" s="123" t="n">
        <v>100</v>
      </c>
      <c r="L1334" s="28">
        <f>IFERROR(IF(OR(J1334=0,K1334=""),"",IF(E1334="Positivo",MIN(MAX(K1334/J1334,0),1.3),MIN(MAX(J1334/K1334,0),1.3))),"") </f>
        <v/>
      </c>
      <c r="M1334" s="28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16" t="n">
        <v>0</v>
      </c>
      <c r="Q1334" s="16" t="n">
        <v>0</v>
      </c>
      <c r="R1334" s="5" t="inlineStr">
        <is>
          <t>265-2025-09-30</t>
        </is>
      </c>
    </row>
    <row r="1335">
      <c r="A1335" s="5" t="n">
        <v>265</v>
      </c>
      <c r="B1335" s="5" t="inlineStr">
        <is>
          <t>Eficiencia Emisión De Conceptos Jurídicos (Jurídicos)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144" t="n">
        <v>46022</v>
      </c>
      <c r="G1335" s="5" t="n">
        <v>2025</v>
      </c>
      <c r="H1335" s="5" t="inlineStr">
        <is>
          <t>Diciembre</t>
        </is>
      </c>
      <c r="I1335" s="6" t="inlineStr">
        <is>
          <t>2025-2</t>
        </is>
      </c>
      <c r="J1335" s="5" t="n">
        <v>95</v>
      </c>
      <c r="K1335" s="5" t="n">
        <v>100</v>
      </c>
      <c r="L1335" s="28">
        <f>IFERROR(IF(OR(J1335=0,K1335=""),"",IF(E1335="Positivo",MIN(MAX(K1335/J1335,0),1.3),MIN(MAX(J1335/K1335,0),1.3))),"") </f>
        <v/>
      </c>
      <c r="M1335" s="28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265-2025-12-31</t>
        </is>
      </c>
    </row>
    <row r="1336">
      <c r="A1336" s="26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144" t="n">
        <v>45107</v>
      </c>
      <c r="G1336" s="5" t="n">
        <v>2023</v>
      </c>
      <c r="H1336" s="5" t="inlineStr">
        <is>
          <t>Junio</t>
        </is>
      </c>
      <c r="I1336" s="6" t="inlineStr">
        <is>
          <t>2023-1</t>
        </is>
      </c>
      <c r="J1336" s="5" t="n">
        <v>95</v>
      </c>
      <c r="K1336" s="10" t="n">
        <v>89.907038512616</v>
      </c>
      <c r="L1336" s="28">
        <f>IFERROR(IF(OR(J1336=0,K1336=""),"",IF(E1336="Positivo",MIN(MAX(K1336/J1336,0),1.3),MIN(MAX(J1336/K1336,0),1.3))),"") </f>
        <v/>
      </c>
      <c r="M1336" s="28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6" t="n">
        <v>0</v>
      </c>
      <c r="Q1336" s="16" t="n">
        <v>0</v>
      </c>
      <c r="R1336" s="5" t="inlineStr">
        <is>
          <t>266-2023-06-30</t>
        </is>
      </c>
    </row>
    <row r="1337">
      <c r="A1337" s="26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144" t="n">
        <v>45291</v>
      </c>
      <c r="G1337" s="5" t="n">
        <v>2023</v>
      </c>
      <c r="H1337" s="5" t="inlineStr">
        <is>
          <t>Diciembre</t>
        </is>
      </c>
      <c r="I1337" s="6" t="inlineStr">
        <is>
          <t>2023-2</t>
        </is>
      </c>
      <c r="J1337" s="5" t="n">
        <v>95</v>
      </c>
      <c r="K1337" s="10" t="n">
        <v>97.06999999999999</v>
      </c>
      <c r="L1337" s="28">
        <f>IFERROR(IF(OR(J1337=0,K1337=""),"",IF(E1337="Positivo",MIN(MAX(K1337/J1337,0),1.3),MIN(MAX(J1337/K1337,0),1.3))),"") </f>
        <v/>
      </c>
      <c r="M1337" s="28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6" t="n">
        <v>0</v>
      </c>
      <c r="Q1337" s="16" t="n">
        <v>0</v>
      </c>
      <c r="R1337" s="5" t="inlineStr">
        <is>
          <t>266-2023-12-31</t>
        </is>
      </c>
    </row>
    <row r="1338">
      <c r="A1338" s="26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143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95</v>
      </c>
      <c r="K1338" s="123" t="n">
        <v>95.02</v>
      </c>
      <c r="L1338" s="28">
        <f>IFERROR(IF(OR(J1338=0,K1338=""),"",IF(E1338="Positivo",MIN(MAX(K1338/J1338,0),1.3),MIN(MAX(J1338/K1338,0),1.3))),"") </f>
        <v/>
      </c>
      <c r="M1338" s="28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6" t="n">
        <v>0</v>
      </c>
      <c r="Q1338" s="16" t="n">
        <v>0</v>
      </c>
      <c r="R1338" s="5" t="inlineStr">
        <is>
          <t>266-2024-06-30</t>
        </is>
      </c>
    </row>
    <row r="1339">
      <c r="A1339" s="39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144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95</v>
      </c>
      <c r="K1339" s="123" t="n">
        <v>81.93000000000001</v>
      </c>
      <c r="L1339" s="28">
        <f>IFERROR(IF(OR(J1339=0,K1339=""),"",IF(E1339="Positivo",MIN(MAX(K1339/J1339,0),1.3),MIN(MAX(J1339/K1339,0),1.3))),"") </f>
        <v/>
      </c>
      <c r="M1339" s="28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16" t="n">
        <v>0</v>
      </c>
      <c r="Q1339" s="16" t="n">
        <v>0</v>
      </c>
      <c r="R1339" s="5" t="inlineStr">
        <is>
          <t>266-2024-12-31</t>
        </is>
      </c>
    </row>
    <row r="1340">
      <c r="A1340" s="26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143" t="n">
        <v>45838</v>
      </c>
      <c r="G1340" s="5" t="n">
        <v>2025</v>
      </c>
      <c r="H1340" s="5" t="inlineStr">
        <is>
          <t>Junio</t>
        </is>
      </c>
      <c r="I1340" s="6" t="inlineStr">
        <is>
          <t>2025-1</t>
        </is>
      </c>
      <c r="J1340" s="5" t="n">
        <v>95</v>
      </c>
      <c r="K1340" s="123" t="n">
        <v>53.15</v>
      </c>
      <c r="L1340" s="28">
        <f>IFERROR(IF(OR(J1340=0,K1340=""),"",IF(E1340="Positivo",MIN(MAX(K1340/J1340,0),1.3),MIN(MAX(J1340/K1340,0),1.3))),"") </f>
        <v/>
      </c>
      <c r="M1340" s="28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6" t="n">
        <v>0</v>
      </c>
      <c r="Q1340" s="16" t="n">
        <v>0</v>
      </c>
      <c r="R1340" s="5" t="inlineStr">
        <is>
          <t>266-2025-06-30</t>
        </is>
      </c>
    </row>
    <row r="1341">
      <c r="A1341" s="26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144" t="n">
        <v>45930</v>
      </c>
      <c r="G1341" s="5" t="n">
        <v>2025</v>
      </c>
      <c r="H1341" s="5" t="inlineStr">
        <is>
          <t>Septiembre</t>
        </is>
      </c>
      <c r="I1341" s="6" t="inlineStr">
        <is>
          <t>2025-2</t>
        </is>
      </c>
      <c r="J1341" s="5" t="n">
        <v>95</v>
      </c>
      <c r="K1341" s="10" t="n">
        <v>80</v>
      </c>
      <c r="L1341" s="28">
        <f>IFERROR(IF(OR(J1341=0,K1341=""),"",IF(E1341="Positivo",MIN(MAX(K1341/J1341,0),1.3),MIN(MAX(J1341/K1341,0),1.3))),"") </f>
        <v/>
      </c>
      <c r="M1341" s="28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6" t="n">
        <v>0</v>
      </c>
      <c r="Q1341" s="16" t="n">
        <v>0</v>
      </c>
      <c r="R1341" s="5" t="inlineStr">
        <is>
          <t>266-2025-09-30</t>
        </is>
      </c>
    </row>
    <row r="1342">
      <c r="A1342" s="26" t="n">
        <v>266</v>
      </c>
      <c r="B1342" s="5" t="inlineStr">
        <is>
          <t>Oportunidad en la elaboración de contratos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43" t="n">
        <v>46022</v>
      </c>
      <c r="G1342" s="5" t="n">
        <v>2025</v>
      </c>
      <c r="H1342" s="5" t="inlineStr">
        <is>
          <t>Diciembre</t>
        </is>
      </c>
      <c r="I1342" s="6" t="inlineStr">
        <is>
          <t>2025-2</t>
        </is>
      </c>
      <c r="J1342" s="11" t="n">
        <v>95</v>
      </c>
      <c r="K1342" s="123" t="n">
        <v>96.2</v>
      </c>
      <c r="L1342" s="28">
        <f>IFERROR(IF(OR(J1342=0,K1342=""),"",IF(E1342="Positivo",MIN(MAX(K1342/J1342,0),1.3),MIN(MAX(J1342/K1342,0),1.3))),"") </f>
        <v/>
      </c>
      <c r="M1342" s="28">
        <f>IFERROR(IF(OR(J1342=0,K1342=""),"",IF(E1342="Positivo",MAX(K1342/J1342,0),MAX(J1342/K1342,0))),"") </f>
        <v/>
      </c>
      <c r="N1342" s="11" t="inlineStr">
        <is>
          <t>%</t>
        </is>
      </c>
      <c r="O1342" s="11" t="inlineStr">
        <is>
          <t>%</t>
        </is>
      </c>
      <c r="P1342" s="16" t="n">
        <v>0</v>
      </c>
      <c r="Q1342" s="16" t="n">
        <v>0</v>
      </c>
      <c r="R1342" s="5" t="inlineStr">
        <is>
          <t>266-2025-12-31</t>
        </is>
      </c>
    </row>
    <row r="1343">
      <c r="A1343" s="39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144" t="n">
        <v>45107</v>
      </c>
      <c r="G1343" s="5" t="n">
        <v>2023</v>
      </c>
      <c r="H1343" s="5" t="inlineStr">
        <is>
          <t>Junio</t>
        </is>
      </c>
      <c r="I1343" s="6" t="inlineStr">
        <is>
          <t>2023-1</t>
        </is>
      </c>
      <c r="J1343" s="5" t="n">
        <v>0</v>
      </c>
      <c r="K1343" s="123" t="n">
        <v>661</v>
      </c>
      <c r="L1343" s="28">
        <f>IFERROR(IF(OR(J1343=0,K1343=""),"",IF(E1343="Positivo",MIN(MAX(K1343/J1343,0),1.3),MIN(MAX(J1343/K1343,0),1.3))),"") </f>
        <v/>
      </c>
      <c r="M1343" s="28">
        <f>IFERROR(IF(OR(J1343=0,K1343=""),"",IF(E1343="Positivo",MAX(K1343/J1343,0),MAX(J1343/K1343,0))),"") </f>
        <v/>
      </c>
      <c r="N1343" s="11" t="n"/>
      <c r="O1343" s="11" t="inlineStr">
        <is>
          <t>ENT</t>
        </is>
      </c>
      <c r="P1343" s="16" t="n">
        <v>0</v>
      </c>
      <c r="Q1343" s="16" t="n">
        <v>0</v>
      </c>
      <c r="R1343" s="5" t="inlineStr">
        <is>
          <t>268-2023-06-30</t>
        </is>
      </c>
    </row>
    <row r="1344">
      <c r="A1344" s="39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144" t="n">
        <v>45291</v>
      </c>
      <c r="G1344" s="5" t="n">
        <v>2023</v>
      </c>
      <c r="H1344" s="5" t="inlineStr">
        <is>
          <t>Diciembre</t>
        </is>
      </c>
      <c r="I1344" s="6" t="inlineStr">
        <is>
          <t>2023-2</t>
        </is>
      </c>
      <c r="J1344" s="5" t="n">
        <v>0</v>
      </c>
      <c r="K1344" s="123" t="n">
        <v>727</v>
      </c>
      <c r="L1344" s="28">
        <f>IFERROR(IF(OR(J1344=0,K1344=""),"",IF(E1344="Positivo",MIN(MAX(K1344/J1344,0),1.3),MIN(MAX(J1344/K1344,0),1.3))),"") </f>
        <v/>
      </c>
      <c r="M1344" s="28">
        <f>IFERROR(IF(OR(J1344=0,K1344=""),"",IF(E1344="Positivo",MAX(K1344/J1344,0),MAX(J1344/K1344,0))),"") </f>
        <v/>
      </c>
      <c r="N1344" s="11" t="n"/>
      <c r="O1344" s="11" t="inlineStr">
        <is>
          <t>ENT</t>
        </is>
      </c>
      <c r="P1344" s="16" t="n">
        <v>0</v>
      </c>
      <c r="Q1344" s="16" t="n">
        <v>0</v>
      </c>
      <c r="R1344" s="5" t="inlineStr">
        <is>
          <t>268-2023-12-31</t>
        </is>
      </c>
    </row>
    <row r="1345">
      <c r="A1345" s="26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144" t="n">
        <v>45473</v>
      </c>
      <c r="G1345" s="5" t="n">
        <v>2024</v>
      </c>
      <c r="H1345" s="5" t="inlineStr">
        <is>
          <t>Junio</t>
        </is>
      </c>
      <c r="I1345" s="6" t="inlineStr">
        <is>
          <t>2024-1</t>
        </is>
      </c>
      <c r="J1345" s="5" t="n">
        <v>0</v>
      </c>
      <c r="K1345" s="10" t="n">
        <v>743</v>
      </c>
      <c r="L1345" s="28">
        <f>IFERROR(IF(OR(J1345=0,K1345=""),"",IF(E1345="Positivo",MIN(MAX(K1345/J1345,0),1.3),MIN(MAX(J1345/K1345,0),1.3))),"") </f>
        <v/>
      </c>
      <c r="M1345" s="28">
        <f>IFERROR(IF(OR(J1345=0,K1345=""),"",IF(E1345="Positivo",MAX(K1345/J1345,0),MAX(J1345/K1345,0))),"") </f>
        <v/>
      </c>
      <c r="N1345" s="5" t="n"/>
      <c r="O1345" s="5" t="inlineStr">
        <is>
          <t>ENT</t>
        </is>
      </c>
      <c r="P1345" s="16" t="n">
        <v>0</v>
      </c>
      <c r="Q1345" s="16" t="n">
        <v>0</v>
      </c>
      <c r="R1345" s="5" t="inlineStr">
        <is>
          <t>268-2024-06-30</t>
        </is>
      </c>
    </row>
    <row r="1346">
      <c r="A1346" s="39" t="n">
        <v>268</v>
      </c>
      <c r="B1346" s="5" t="inlineStr">
        <is>
          <t>Cantidad de usuarios</t>
        </is>
      </c>
      <c r="C1346" s="5" t="inlineStr">
        <is>
          <t>Centro de Medios Audiovisuales</t>
        </is>
      </c>
      <c r="D1346" s="5" t="inlineStr">
        <is>
          <t>Semestral</t>
        </is>
      </c>
      <c r="E1346" s="5" t="inlineStr">
        <is>
          <t>Positivo</t>
        </is>
      </c>
      <c r="F1346" s="144" t="n">
        <v>45657</v>
      </c>
      <c r="G1346" s="5" t="n">
        <v>2024</v>
      </c>
      <c r="H1346" s="5" t="inlineStr">
        <is>
          <t>Diciembre</t>
        </is>
      </c>
      <c r="I1346" s="6" t="inlineStr">
        <is>
          <t>2024-2</t>
        </is>
      </c>
      <c r="J1346" s="5" t="n">
        <v>0</v>
      </c>
      <c r="K1346" s="123" t="n">
        <v>732</v>
      </c>
      <c r="L1346" s="28">
        <f>IFERROR(IF(OR(J1346=0,K1346=""),"",IF(E1346="Positivo",MIN(MAX(K1346/J1346,0),1.3),MIN(MAX(J1346/K1346,0),1.3))),"") </f>
        <v/>
      </c>
      <c r="M1346" s="28">
        <f>IFERROR(IF(OR(J1346=0,K1346=""),"",IF(E1346="Positivo",MAX(K1346/J1346,0),MAX(J1346/K1346,0))),"") </f>
        <v/>
      </c>
      <c r="N1346" s="5" t="n"/>
      <c r="O1346" s="5" t="inlineStr">
        <is>
          <t>ENT</t>
        </is>
      </c>
      <c r="P1346" s="16" t="n">
        <v>0</v>
      </c>
      <c r="Q1346" s="16" t="n">
        <v>0</v>
      </c>
      <c r="R1346" s="5" t="inlineStr">
        <is>
          <t>268-2024-12-31</t>
        </is>
      </c>
    </row>
    <row r="1347">
      <c r="A1347" s="26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144" t="n">
        <v>45838</v>
      </c>
      <c r="G1347" s="5" t="n">
        <v>2025</v>
      </c>
      <c r="H1347" s="5" t="inlineStr">
        <is>
          <t>Junio</t>
        </is>
      </c>
      <c r="I1347" s="6" t="inlineStr">
        <is>
          <t>2025-1</t>
        </is>
      </c>
      <c r="J1347" s="5" t="n"/>
      <c r="K1347" s="10" t="n">
        <v>765</v>
      </c>
      <c r="L1347" s="28" t="n"/>
      <c r="M1347" s="28" t="n"/>
      <c r="N1347" s="5" t="inlineStr">
        <is>
          <t>%</t>
        </is>
      </c>
      <c r="O1347" s="5" t="inlineStr">
        <is>
          <t>ENT</t>
        </is>
      </c>
      <c r="P1347" s="16" t="n">
        <v>0</v>
      </c>
      <c r="Q1347" s="16" t="n">
        <v>0</v>
      </c>
      <c r="R1347" s="5" t="inlineStr">
        <is>
          <t>268-2025-06-30</t>
        </is>
      </c>
      <c r="S1347" t="inlineStr">
        <is>
          <t>Metrica</t>
        </is>
      </c>
    </row>
    <row r="1348">
      <c r="A1348" s="39" t="n">
        <v>268</v>
      </c>
      <c r="B1348" s="5" t="inlineStr">
        <is>
          <t>Cantidad de usuarios - (Metrica)</t>
        </is>
      </c>
      <c r="C1348" s="5" t="inlineStr">
        <is>
          <t>Centro de Medios Audiovisuales</t>
        </is>
      </c>
      <c r="D1348" s="5" t="inlineStr">
        <is>
          <t>Trimestral</t>
        </is>
      </c>
      <c r="E1348" s="5" t="inlineStr">
        <is>
          <t>Positivo</t>
        </is>
      </c>
      <c r="F1348" s="144" t="n">
        <v>46022</v>
      </c>
      <c r="G1348" s="5" t="n">
        <v>2025</v>
      </c>
      <c r="H1348" s="5" t="inlineStr">
        <is>
          <t>Diciembre</t>
        </is>
      </c>
      <c r="I1348" s="6" t="inlineStr">
        <is>
          <t>2025-2</t>
        </is>
      </c>
      <c r="J1348" s="5" t="n"/>
      <c r="K1348" s="123" t="n">
        <v>877</v>
      </c>
      <c r="L1348" s="28" t="n"/>
      <c r="M1348" s="28" t="n"/>
      <c r="N1348" s="5" t="inlineStr">
        <is>
          <t>%</t>
        </is>
      </c>
      <c r="O1348" s="5" t="inlineStr">
        <is>
          <t>ENT</t>
        </is>
      </c>
      <c r="P1348" s="16" t="n">
        <v>0</v>
      </c>
      <c r="Q1348" s="16" t="n">
        <v>0</v>
      </c>
      <c r="R1348" s="5" t="inlineStr">
        <is>
          <t>268-2025-12-31</t>
        </is>
      </c>
      <c r="S1348" t="inlineStr">
        <is>
          <t>Metrica</t>
        </is>
      </c>
    </row>
    <row r="1349">
      <c r="A1349" s="26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144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/>
      <c r="K1349" s="10" t="n">
        <v>0.4</v>
      </c>
      <c r="L1349" s="28" t="n"/>
      <c r="M1349" s="28" t="n"/>
      <c r="N1349" s="5" t="n"/>
      <c r="O1349" s="5" t="inlineStr">
        <is>
          <t>DEC</t>
        </is>
      </c>
      <c r="P1349" s="16" t="n">
        <v>2</v>
      </c>
      <c r="Q1349" s="16" t="n">
        <v>2</v>
      </c>
      <c r="R1349" s="5" t="inlineStr">
        <is>
          <t>269-2023-06-30</t>
        </is>
      </c>
    </row>
    <row r="1350">
      <c r="A1350" s="39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144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/>
      <c r="K1350" s="123" t="n">
        <v>1.276978417266187</v>
      </c>
      <c r="L1350" s="8" t="n"/>
      <c r="M1350" s="28" t="n"/>
      <c r="N1350" s="5" t="n"/>
      <c r="O1350" s="5" t="inlineStr">
        <is>
          <t>DEC</t>
        </is>
      </c>
      <c r="P1350" s="16" t="n">
        <v>0</v>
      </c>
      <c r="Q1350" s="16" t="n">
        <v>0</v>
      </c>
      <c r="R1350" s="5" t="inlineStr">
        <is>
          <t>269-2023-12-31</t>
        </is>
      </c>
    </row>
    <row r="1351">
      <c r="A1351" s="5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144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/>
      <c r="K1351" s="5" t="n">
        <v>3</v>
      </c>
      <c r="L1351" s="28" t="n"/>
      <c r="M1351" s="28" t="n"/>
      <c r="N1351" s="5" t="n"/>
      <c r="O1351" s="5" t="inlineStr">
        <is>
          <t>DEC</t>
        </is>
      </c>
      <c r="P1351" s="5" t="n">
        <v>2</v>
      </c>
      <c r="Q1351" s="5" t="n">
        <v>2</v>
      </c>
      <c r="R1351" s="5" t="inlineStr">
        <is>
          <t>269-2024-06-30</t>
        </is>
      </c>
    </row>
    <row r="1352">
      <c r="A1352" s="26" t="n">
        <v>269</v>
      </c>
      <c r="B1352" s="5" t="inlineStr">
        <is>
          <t>N de personas promedio por evento</t>
        </is>
      </c>
      <c r="C1352" s="5" t="inlineStr">
        <is>
          <t>Centro de Medios Audiovisuales</t>
        </is>
      </c>
      <c r="D1352" s="5" t="inlineStr">
        <is>
          <t>Semestral</t>
        </is>
      </c>
      <c r="E1352" s="5" t="inlineStr">
        <is>
          <t>Positivo</t>
        </is>
      </c>
      <c r="F1352" s="144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/>
      <c r="K1352" s="10" t="n">
        <v>1.28</v>
      </c>
      <c r="L1352" s="28" t="n"/>
      <c r="M1352" s="28" t="n"/>
      <c r="N1352" s="5" t="n"/>
      <c r="O1352" s="5" t="inlineStr">
        <is>
          <t>DEC</t>
        </is>
      </c>
      <c r="P1352" s="16" t="n">
        <v>2</v>
      </c>
      <c r="Q1352" s="16" t="n">
        <v>2</v>
      </c>
      <c r="R1352" s="5" t="inlineStr">
        <is>
          <t>269-2024-12-31</t>
        </is>
      </c>
    </row>
    <row r="1353">
      <c r="A1353" s="26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143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368</v>
      </c>
      <c r="K1353" s="123" t="n">
        <v>1.83</v>
      </c>
      <c r="L1353" s="8" t="n"/>
      <c r="M1353" s="28" t="n"/>
      <c r="N1353" s="5" t="inlineStr">
        <is>
          <t>DEC</t>
        </is>
      </c>
      <c r="O1353" s="5" t="inlineStr">
        <is>
          <t>DEC</t>
        </is>
      </c>
      <c r="P1353" s="16" t="n">
        <v>2</v>
      </c>
      <c r="Q1353" s="16" t="n">
        <v>2</v>
      </c>
      <c r="R1353" s="5" t="inlineStr">
        <is>
          <t>269-2025-06-30</t>
        </is>
      </c>
      <c r="S1353" t="inlineStr">
        <is>
          <t>Metrica</t>
        </is>
      </c>
    </row>
    <row r="1354">
      <c r="A1354" s="39" t="n">
        <v>269</v>
      </c>
      <c r="B1354" s="5" t="inlineStr">
        <is>
          <t>N de personas promedio por evento - (Metrica)</t>
        </is>
      </c>
      <c r="C1354" s="5" t="inlineStr">
        <is>
          <t>Centro de Medios Audiovisuales</t>
        </is>
      </c>
      <c r="D1354" s="5" t="inlineStr">
        <is>
          <t>Trimestral</t>
        </is>
      </c>
      <c r="E1354" s="5" t="inlineStr">
        <is>
          <t>Positivo</t>
        </is>
      </c>
      <c r="F1354" s="144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545</v>
      </c>
      <c r="K1354" s="123" t="n">
        <v>1.65</v>
      </c>
      <c r="L1354" s="8" t="n"/>
      <c r="M1354" s="28" t="n"/>
      <c r="N1354" s="5" t="inlineStr">
        <is>
          <t>DEC</t>
        </is>
      </c>
      <c r="O1354" s="5" t="inlineStr">
        <is>
          <t>DEC</t>
        </is>
      </c>
      <c r="P1354" s="16" t="n">
        <v>2</v>
      </c>
      <c r="Q1354" s="16" t="n">
        <v>2</v>
      </c>
      <c r="R1354" s="5" t="inlineStr">
        <is>
          <t>269-2025-12-31</t>
        </is>
      </c>
      <c r="S1354" t="inlineStr">
        <is>
          <t>Metrica</t>
        </is>
      </c>
    </row>
    <row r="1355">
      <c r="A1355" s="5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144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0</v>
      </c>
      <c r="K1355" s="5" t="n">
        <v>6.55</v>
      </c>
      <c r="L1355" s="28">
        <f>IFERROR(IF(OR(J1355=0,K1355=""),"",IF(E1355="Positivo",MIN(MAX(K1355/J1355,0),1.3),MIN(MAX(J1355/K1355,0),1.3))),"") </f>
        <v/>
      </c>
      <c r="M1355" s="28">
        <f>IFERROR(IF(OR(J1355=0,K1355=""),"",IF(E1355="Positivo",MAX(K1355/J1355,0),MAX(J1355/K1355,0))),"") </f>
        <v/>
      </c>
      <c r="N1355" s="5" t="inlineStr">
        <is>
          <t>DEC</t>
        </is>
      </c>
      <c r="O1355" s="5" t="inlineStr">
        <is>
          <t>DEC</t>
        </is>
      </c>
      <c r="P1355" s="5" t="n">
        <v>0</v>
      </c>
      <c r="Q1355" s="5" t="n">
        <v>0</v>
      </c>
      <c r="R1355" s="5" t="inlineStr">
        <is>
          <t>270-2023-06-30</t>
        </is>
      </c>
    </row>
    <row r="1356">
      <c r="A1356" s="26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144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0</v>
      </c>
      <c r="K1356" s="10" t="n">
        <v>3.83</v>
      </c>
      <c r="L1356" s="28">
        <f>IFERROR(IF(OR(J1356=0,K1356=""),"",IF(E1356="Positivo",MIN(MAX(K1356/J1356,0),1.3),MIN(MAX(J1356/K1356,0),1.3))),"") </f>
        <v/>
      </c>
      <c r="M1356" s="28">
        <f>IFERROR(IF(OR(J1356=0,K1356=""),"",IF(E1356="Positivo",MAX(K1356/J1356,0),MAX(J1356/K1356,0))),"") </f>
        <v/>
      </c>
      <c r="N1356" s="5" t="inlineStr">
        <is>
          <t>DEC</t>
        </is>
      </c>
      <c r="O1356" s="5" t="inlineStr">
        <is>
          <t>DEC</t>
        </is>
      </c>
      <c r="P1356" s="16" t="n">
        <v>0</v>
      </c>
      <c r="Q1356" s="16" t="n">
        <v>0</v>
      </c>
      <c r="R1356" s="5" t="inlineStr">
        <is>
          <t>270-2023-12-31</t>
        </is>
      </c>
    </row>
    <row r="1357">
      <c r="A1357" s="26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143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0</v>
      </c>
      <c r="K1357" s="124" t="n">
        <v>4.88</v>
      </c>
      <c r="L1357" s="28">
        <f>IFERROR(IF(OR(J1357=0,K1357=""),"",IF(E1357="Positivo",MIN(MAX(K1357/J1357,0),1.3),MIN(MAX(J1357/K1357,0),1.3))),"") </f>
        <v/>
      </c>
      <c r="M1357" s="28">
        <f>IFERROR(IF(OR(J1357=0,K1357=""),"",IF(E1357="Positivo",MAX(K1357/J1357,0),MAX(J1357/K1357,0))),"") </f>
        <v/>
      </c>
      <c r="N1357" s="5" t="n">
        <v>0</v>
      </c>
      <c r="O1357" s="5" t="inlineStr">
        <is>
          <t>ENT</t>
        </is>
      </c>
      <c r="P1357" s="16" t="n">
        <v>1</v>
      </c>
      <c r="Q1357" s="16" t="n">
        <v>1</v>
      </c>
      <c r="R1357" s="5" t="inlineStr">
        <is>
          <t>270-2024-06-30</t>
        </is>
      </c>
    </row>
    <row r="1358">
      <c r="A1358" s="39" t="n">
        <v>270</v>
      </c>
      <c r="B1358" s="5" t="inlineStr">
        <is>
          <t>N de horas promedio por evento</t>
        </is>
      </c>
      <c r="C1358" s="5" t="inlineStr">
        <is>
          <t>Centro de Medios Audiovisuales</t>
        </is>
      </c>
      <c r="D1358" s="5" t="inlineStr">
        <is>
          <t>Semestral</t>
        </is>
      </c>
      <c r="E1358" s="5" t="inlineStr">
        <is>
          <t>Positivo</t>
        </is>
      </c>
      <c r="F1358" s="144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0</v>
      </c>
      <c r="K1358" s="123" t="n">
        <v>4.57</v>
      </c>
      <c r="L1358" s="28">
        <f>IFERROR(IF(OR(J1358=0,K1358=""),"",IF(E1358="Positivo",MIN(MAX(K1358/J1358,0),1.3),MIN(MAX(J1358/K1358,0),1.3))),"") </f>
        <v/>
      </c>
      <c r="M1358" s="28">
        <f>IFERROR(IF(OR(J1358=0,K1358=""),"",IF(E1358="Positivo",MAX(K1358/J1358,0),MAX(J1358/K1358,0))),"") </f>
        <v/>
      </c>
      <c r="N1358" s="5" t="n">
        <v>0</v>
      </c>
      <c r="O1358" s="5" t="inlineStr">
        <is>
          <t>ENT</t>
        </is>
      </c>
      <c r="P1358" s="16" t="n">
        <v>1</v>
      </c>
      <c r="Q1358" s="16" t="n">
        <v>1</v>
      </c>
      <c r="R1358" s="5" t="inlineStr">
        <is>
          <t>270-2024-12-31</t>
        </is>
      </c>
    </row>
    <row r="1359">
      <c r="A1359" s="5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144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368</v>
      </c>
      <c r="K1359" s="5" t="n">
        <v>4.17</v>
      </c>
      <c r="L1359" s="8" t="n"/>
      <c r="M1359" s="8" t="n"/>
      <c r="N1359" s="5" t="inlineStr">
        <is>
          <t>DEC</t>
        </is>
      </c>
      <c r="O1359" s="5" t="inlineStr">
        <is>
          <t>ENT</t>
        </is>
      </c>
      <c r="P1359" s="5" t="n">
        <v>0</v>
      </c>
      <c r="Q1359" s="5" t="n">
        <v>0</v>
      </c>
      <c r="R1359" s="5" t="inlineStr">
        <is>
          <t>270-2025-06-30</t>
        </is>
      </c>
      <c r="S1359" t="inlineStr">
        <is>
          <t>Metrica</t>
        </is>
      </c>
    </row>
    <row r="1360">
      <c r="A1360" s="26" t="n">
        <v>270</v>
      </c>
      <c r="B1360" s="5" t="inlineStr">
        <is>
          <t>N de horas promedio por evento - (Metrica)</t>
        </is>
      </c>
      <c r="C1360" s="5" t="inlineStr">
        <is>
          <t>Centro de Medios Audiovisuales</t>
        </is>
      </c>
      <c r="D1360" s="5" t="inlineStr">
        <is>
          <t>Trimestral</t>
        </is>
      </c>
      <c r="E1360" s="5" t="inlineStr">
        <is>
          <t>Positivo</t>
        </is>
      </c>
      <c r="F1360" s="144" t="n">
        <v>46022</v>
      </c>
      <c r="G1360" s="5" t="n">
        <v>2025</v>
      </c>
      <c r="H1360" s="5" t="inlineStr">
        <is>
          <t>Diciembre</t>
        </is>
      </c>
      <c r="I1360" s="6" t="inlineStr">
        <is>
          <t>2025-2</t>
        </is>
      </c>
      <c r="J1360" s="5" t="n">
        <v>545</v>
      </c>
      <c r="K1360" s="10" t="n">
        <v>4.3</v>
      </c>
      <c r="L1360" s="8" t="n"/>
      <c r="M1360" s="8" t="n"/>
      <c r="N1360" s="5" t="inlineStr">
        <is>
          <t>DEC</t>
        </is>
      </c>
      <c r="O1360" s="5" t="inlineStr">
        <is>
          <t>ENT</t>
        </is>
      </c>
      <c r="P1360" s="16" t="n">
        <v>0</v>
      </c>
      <c r="Q1360" s="16" t="n">
        <v>0</v>
      </c>
      <c r="R1360" s="5" t="inlineStr">
        <is>
          <t>270-2025-12-31</t>
        </is>
      </c>
      <c r="S1360" t="inlineStr">
        <is>
          <t>Metrica</t>
        </is>
      </c>
    </row>
    <row r="1361">
      <c r="A1361" s="26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143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0</v>
      </c>
      <c r="K1361" s="123" t="n">
        <v>63.29113924050633</v>
      </c>
      <c r="L1361" s="28">
        <f>IFERROR(IF(OR(J1361=0,K1361=""),"",IF(E1361="Positivo",MIN(MAX(K1361/J1361,0),1.3),MIN(MAX(J1361/K1361,0),1.3))),"") </f>
        <v/>
      </c>
      <c r="M1361" s="28">
        <f>IFERROR(IF(OR(J1361=0,K1361=""),"",IF(E1361="Positivo",MAX(K1361/J1361,0),MAX(J1361/K1361,0))),"") </f>
        <v/>
      </c>
      <c r="N1361" s="5" t="n">
        <v>0</v>
      </c>
      <c r="O1361" s="5" t="inlineStr">
        <is>
          <t>ENT</t>
        </is>
      </c>
      <c r="P1361" s="16" t="n">
        <v>0</v>
      </c>
      <c r="Q1361" s="16" t="n">
        <v>0</v>
      </c>
      <c r="R1361" s="5" t="inlineStr">
        <is>
          <t>271-2023-06-30</t>
        </is>
      </c>
    </row>
    <row r="1362">
      <c r="A1362" s="39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44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5" t="n">
        <v>0</v>
      </c>
      <c r="K1362" s="123" t="n">
        <v>16.17233646643447</v>
      </c>
      <c r="L1362" s="28">
        <f>IFERROR(IF(OR(J1362=0,K1362=""),"",IF(E1362="Positivo",MIN(MAX(K1362/J1362,0),1.3),MIN(MAX(J1362/K1362,0),1.3))),"") </f>
        <v/>
      </c>
      <c r="M1362" s="28">
        <f>IFERROR(IF(OR(J1362=0,K1362=""),"",IF(E1362="Positivo",MAX(K1362/J1362,0),MAX(J1362/K1362,0))),"") </f>
        <v/>
      </c>
      <c r="N1362" s="5" t="n">
        <v>0</v>
      </c>
      <c r="O1362" s="5" t="inlineStr">
        <is>
          <t>ENT</t>
        </is>
      </c>
      <c r="P1362" s="16" t="n">
        <v>0</v>
      </c>
      <c r="Q1362" s="16" t="n">
        <v>0</v>
      </c>
      <c r="R1362" s="5" t="inlineStr">
        <is>
          <t>271-2023-12-31</t>
        </is>
      </c>
    </row>
    <row r="1363">
      <c r="A1363" s="5" t="n">
        <v>271</v>
      </c>
      <c r="B1363" s="5" t="inlineStr">
        <is>
          <t>N de horas por solicitud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44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0</v>
      </c>
      <c r="K1363" s="5" t="n">
        <v>19.39471652327377</v>
      </c>
      <c r="L1363" s="28">
        <f>IFERROR(IF(OR(J1363=0,K1363=""),"",IF(E1363="Positivo",MIN(MAX(K1363/J1363,0),1.3),MIN(MAX(J1363/K1363,0),1.3))),"") </f>
        <v/>
      </c>
      <c r="M1363" s="28">
        <f>IFERROR(IF(OR(J1363=0,K1363=""),"",IF(E1363="Positivo",MAX(K1363/J1363,0),MAX(J1363/K1363,0))),"") </f>
        <v/>
      </c>
      <c r="N1363" s="5" t="n">
        <v>0</v>
      </c>
      <c r="O1363" s="5" t="inlineStr">
        <is>
          <t>ENT</t>
        </is>
      </c>
      <c r="P1363" s="5" t="n">
        <v>1</v>
      </c>
      <c r="Q1363" s="5" t="n">
        <v>1</v>
      </c>
      <c r="R1363" s="5" t="inlineStr">
        <is>
          <t>271-2024-06-30</t>
        </is>
      </c>
    </row>
    <row r="1364">
      <c r="A1364" s="26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144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18811</v>
      </c>
      <c r="K1364" s="10" t="n">
        <v>16.86</v>
      </c>
      <c r="L1364" s="8" t="n"/>
      <c r="M1364" s="8" t="n"/>
      <c r="N1364" s="5" t="n">
        <v>0</v>
      </c>
      <c r="O1364" s="5" t="inlineStr">
        <is>
          <t>ENT</t>
        </is>
      </c>
      <c r="P1364" s="16" t="n">
        <v>0</v>
      </c>
      <c r="Q1364" s="16" t="n">
        <v>0</v>
      </c>
      <c r="R1364" s="5" t="inlineStr">
        <is>
          <t>271-2024-12-31</t>
        </is>
      </c>
      <c r="S1364" t="inlineStr">
        <is>
          <t>Metrica</t>
        </is>
      </c>
    </row>
    <row r="1365">
      <c r="A1365" s="26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143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21346</v>
      </c>
      <c r="K1365" s="124" t="n">
        <v>23.85</v>
      </c>
      <c r="L1365" s="8" t="n"/>
      <c r="M1365" s="8" t="n"/>
      <c r="N1365" s="5" t="n">
        <v>0</v>
      </c>
      <c r="O1365" s="5" t="inlineStr">
        <is>
          <t>ENT</t>
        </is>
      </c>
      <c r="P1365" s="16" t="n">
        <v>0</v>
      </c>
      <c r="Q1365" s="16" t="n">
        <v>0</v>
      </c>
      <c r="R1365" s="5" t="inlineStr">
        <is>
          <t>271-2025-06-30</t>
        </is>
      </c>
      <c r="S1365" t="inlineStr">
        <is>
          <t>Metrica</t>
        </is>
      </c>
    </row>
    <row r="1366">
      <c r="A1366" s="39" t="n">
        <v>271</v>
      </c>
      <c r="B1366" s="5" t="inlineStr">
        <is>
          <t>N de horas por solicitud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44" t="n">
        <v>46022</v>
      </c>
      <c r="G1366" s="5" t="n">
        <v>2025</v>
      </c>
      <c r="H1366" s="5" t="inlineStr">
        <is>
          <t>Diciembre</t>
        </is>
      </c>
      <c r="I1366" s="6" t="inlineStr">
        <is>
          <t>2025-2</t>
        </is>
      </c>
      <c r="J1366" s="5" t="n">
        <v>30907</v>
      </c>
      <c r="K1366" s="124" t="n">
        <v>19.93</v>
      </c>
      <c r="L1366" s="8" t="n"/>
      <c r="M1366" s="8" t="n"/>
      <c r="N1366" s="5" t="n">
        <v>0</v>
      </c>
      <c r="O1366" s="5" t="inlineStr">
        <is>
          <t>ENT</t>
        </is>
      </c>
      <c r="P1366" s="16" t="n">
        <v>0</v>
      </c>
      <c r="Q1366" s="16" t="n">
        <v>0</v>
      </c>
      <c r="R1366" s="5" t="inlineStr">
        <is>
          <t>271-2025-12-31</t>
        </is>
      </c>
      <c r="S1366" t="inlineStr">
        <is>
          <t>Metrica</t>
        </is>
      </c>
    </row>
    <row r="1367">
      <c r="A1367" s="5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144" t="n">
        <v>45291</v>
      </c>
      <c r="G1367" s="5" t="n">
        <v>2023</v>
      </c>
      <c r="H1367" s="5" t="inlineStr">
        <is>
          <t>Diciembre</t>
        </is>
      </c>
      <c r="I1367" s="6" t="inlineStr">
        <is>
          <t>2023-2</t>
        </is>
      </c>
      <c r="J1367" s="5" t="n">
        <v>0</v>
      </c>
      <c r="K1367" s="5" t="n">
        <v>0</v>
      </c>
      <c r="L1367" s="28">
        <f>IFERROR(IF(OR(J1367=0,K1367=""),"",IF(E1367="Positivo",MIN(MAX(K1367/J1367,0),1.3),MIN(MAX(J1367/K1367,0),1.3))),"") </f>
        <v/>
      </c>
      <c r="M1367" s="28">
        <f>IFERROR(IF(OR(J1367=0,K1367=""),"",IF(E1367="Positivo",MAX(K1367/J1367,0),MAX(J1367/K1367,0))),"") </f>
        <v/>
      </c>
      <c r="N1367" s="5" t="n">
        <v>0</v>
      </c>
      <c r="O1367" s="5" t="inlineStr">
        <is>
          <t>ENT</t>
        </is>
      </c>
      <c r="P1367" s="5" t="n">
        <v>0</v>
      </c>
      <c r="Q1367" s="5" t="n">
        <v>0</v>
      </c>
      <c r="R1367" s="5" t="inlineStr">
        <is>
          <t>272-2023-12-31</t>
        </is>
      </c>
    </row>
    <row r="1368">
      <c r="A1368" s="26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144" t="n">
        <v>45657</v>
      </c>
      <c r="G1368" s="5" t="n">
        <v>2024</v>
      </c>
      <c r="H1368" s="5" t="inlineStr">
        <is>
          <t>Diciembre</t>
        </is>
      </c>
      <c r="I1368" s="6" t="inlineStr">
        <is>
          <t>2024-2</t>
        </is>
      </c>
      <c r="J1368" s="5" t="n">
        <v>0</v>
      </c>
      <c r="K1368" s="10" t="n">
        <v>0</v>
      </c>
      <c r="L1368" s="28">
        <f>IFERROR(IF(OR(J1368=0,K1368=""),"",IF(E1368="Positivo",MIN(MAX(K1368/J1368,0),1.3),MIN(MAX(J1368/K1368,0),1.3))),"") </f>
        <v/>
      </c>
      <c r="M1368" s="28">
        <f>IFERROR(IF(OR(J1368=0,K1368=""),"",IF(E1368="Positivo",MAX(K1368/J1368,0),MAX(J1368/K1368,0))),"") </f>
        <v/>
      </c>
      <c r="N1368" s="5" t="n"/>
      <c r="O1368" s="5" t="n"/>
      <c r="P1368" s="16" t="n">
        <v>0</v>
      </c>
      <c r="Q1368" s="16" t="n">
        <v>0</v>
      </c>
      <c r="R1368" s="5" t="inlineStr">
        <is>
          <t>272-2024-12-31</t>
        </is>
      </c>
    </row>
    <row r="1369">
      <c r="A1369" s="26" t="n">
        <v>272</v>
      </c>
      <c r="B1369" s="5" t="inlineStr">
        <is>
          <t>Proporción de accidentes de trabajo mortales</t>
        </is>
      </c>
      <c r="C1369" s="5" t="inlineStr">
        <is>
          <t>GESTIÓN DE SEGURIDAD Y SALUD EN EL TRABAJO</t>
        </is>
      </c>
      <c r="D1369" s="5" t="inlineStr">
        <is>
          <t>Anual</t>
        </is>
      </c>
      <c r="E1369" s="5" t="inlineStr">
        <is>
          <t>Negativo</t>
        </is>
      </c>
      <c r="F1369" s="143" t="n">
        <v>46022</v>
      </c>
      <c r="G1369" s="5" t="n">
        <v>2025</v>
      </c>
      <c r="H1369" s="5" t="inlineStr">
        <is>
          <t>Diciembre</t>
        </is>
      </c>
      <c r="I1369" s="6" t="inlineStr">
        <is>
          <t>2025-2</t>
        </is>
      </c>
      <c r="J1369" s="123" t="n">
        <v>0</v>
      </c>
      <c r="K1369" s="123" t="n">
        <v>0</v>
      </c>
      <c r="L1369" s="28">
        <f>IFERROR(IF(OR(J1369=0,K1369=""),"",IF(E1369="Positivo",MIN(MAX(K1369/J1369,0),1.3),MIN(MAX(J1369/K1369,0),1.3))),"") </f>
        <v/>
      </c>
      <c r="M1369" s="28">
        <f>IFERROR(IF(OR(J1369=0,K1369=""),"",IF(E1369="Positivo",MAX(K1369/J1369,0),MAX(J1369/K1369,0))),"") </f>
        <v/>
      </c>
      <c r="N1369" s="5" t="n">
        <v>0</v>
      </c>
      <c r="O1369" s="5" t="inlineStr">
        <is>
          <t>ENT</t>
        </is>
      </c>
      <c r="P1369" s="16" t="n">
        <v>0</v>
      </c>
      <c r="Q1369" s="16" t="n">
        <v>0</v>
      </c>
      <c r="R1369" s="5" t="inlineStr">
        <is>
          <t>272-2025-12-31</t>
        </is>
      </c>
    </row>
    <row r="1370">
      <c r="A1370" s="39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144" t="n">
        <v>45107</v>
      </c>
      <c r="G1370" s="5" t="n">
        <v>2023</v>
      </c>
      <c r="H1370" s="5" t="inlineStr">
        <is>
          <t>Junio</t>
        </is>
      </c>
      <c r="I1370" s="6" t="inlineStr">
        <is>
          <t>2023-1</t>
        </is>
      </c>
      <c r="J1370" s="123" t="n">
        <v>100</v>
      </c>
      <c r="K1370" s="123" t="n">
        <v>100</v>
      </c>
      <c r="L1370" s="28">
        <f>IFERROR(IF(OR(J1370=0,K1370=""),"",IF(E1370="Positivo",MIN(MAX(K1370/J1370,0),1.3),MIN(MAX(J1370/K1370,0),1.3))),"") </f>
        <v/>
      </c>
      <c r="M1370" s="28">
        <f>IFERROR(IF(OR(J1370=0,K1370=""),"",IF(E1370="Positivo",MAX(K1370/J1370,0),MAX(J1370/K1370,0))),"") </f>
        <v/>
      </c>
      <c r="N1370" s="5" t="inlineStr">
        <is>
          <t>ENT</t>
        </is>
      </c>
      <c r="O1370" s="5" t="inlineStr">
        <is>
          <t>ENT</t>
        </is>
      </c>
      <c r="P1370" s="16" t="n">
        <v>0</v>
      </c>
      <c r="Q1370" s="16" t="n">
        <v>0</v>
      </c>
      <c r="R1370" s="5" t="inlineStr">
        <is>
          <t>273-2023-06-30</t>
        </is>
      </c>
    </row>
    <row r="1371">
      <c r="A1371" s="39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144" t="n">
        <v>45291</v>
      </c>
      <c r="G1371" s="5" t="n">
        <v>2023</v>
      </c>
      <c r="H1371" s="5" t="inlineStr">
        <is>
          <t>Diciembre</t>
        </is>
      </c>
      <c r="I1371" s="6" t="inlineStr">
        <is>
          <t>2023-2</t>
        </is>
      </c>
      <c r="J1371" s="123" t="n">
        <v>100</v>
      </c>
      <c r="K1371" s="124" t="n">
        <v>100</v>
      </c>
      <c r="L1371" s="28">
        <f>IFERROR(IF(OR(J1371=0,K1371=""),"",IF(E1371="Positivo",MIN(MAX(K1371/J1371,0),1.3),MIN(MAX(J1371/K1371,0),1.3))),"") </f>
        <v/>
      </c>
      <c r="M1371" s="28">
        <f>IFERROR(IF(OR(J1371=0,K1371=""),"",IF(E1371="Positivo",MAX(K1371/J1371,0),MAX(J1371/K1371,0))),"") </f>
        <v/>
      </c>
      <c r="N1371" s="5" t="inlineStr">
        <is>
          <t>ENT</t>
        </is>
      </c>
      <c r="O1371" s="5" t="inlineStr">
        <is>
          <t>ENT</t>
        </is>
      </c>
      <c r="P1371" s="16" t="n">
        <v>0</v>
      </c>
      <c r="Q1371" s="16" t="n">
        <v>0</v>
      </c>
      <c r="R1371" s="5" t="inlineStr">
        <is>
          <t>273-2023-12-31</t>
        </is>
      </c>
    </row>
    <row r="1372">
      <c r="A1372" s="26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144" t="n">
        <v>45473</v>
      </c>
      <c r="G1372" s="5" t="n">
        <v>2024</v>
      </c>
      <c r="H1372" s="5" t="inlineStr">
        <is>
          <t>Junio</t>
        </is>
      </c>
      <c r="I1372" s="6" t="inlineStr">
        <is>
          <t>2024-1</t>
        </is>
      </c>
      <c r="J1372" s="5" t="n">
        <v>100</v>
      </c>
      <c r="K1372" s="10" t="n">
        <v>100</v>
      </c>
      <c r="L1372" s="28">
        <f>IFERROR(IF(OR(J1372=0,K1372=""),"",IF(E1372="Positivo",MIN(MAX(K1372/J1372,0),1.3),MIN(MAX(J1372/K1372,0),1.3))),"") </f>
        <v/>
      </c>
      <c r="M1372" s="28">
        <f>IFERROR(IF(OR(J1372=0,K1372=""),"",IF(E1372="Positivo",MAX(K1372/J1372,0),MAX(J1372/K1372,0))),"") </f>
        <v/>
      </c>
      <c r="N1372" s="5" t="inlineStr">
        <is>
          <t>ENT</t>
        </is>
      </c>
      <c r="O1372" s="5" t="inlineStr">
        <is>
          <t>ENT</t>
        </is>
      </c>
      <c r="P1372" s="16" t="n">
        <v>0</v>
      </c>
      <c r="Q1372" s="16" t="n">
        <v>0</v>
      </c>
      <c r="R1372" s="5" t="inlineStr">
        <is>
          <t>273-2024-06-30</t>
        </is>
      </c>
    </row>
    <row r="1373">
      <c r="A1373" s="26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144" t="n">
        <v>45657</v>
      </c>
      <c r="G1373" s="5" t="n">
        <v>2024</v>
      </c>
      <c r="H1373" s="5" t="inlineStr">
        <is>
          <t>Diciembre</t>
        </is>
      </c>
      <c r="I1373" s="6" t="inlineStr">
        <is>
          <t>2024-2</t>
        </is>
      </c>
      <c r="J1373" s="5" t="n">
        <v>100</v>
      </c>
      <c r="K1373" s="123" t="n">
        <v>100</v>
      </c>
      <c r="L1373" s="28">
        <f>IFERROR(IF(OR(J1373=0,K1373=""),"",IF(E1373="Positivo",MIN(MAX(K1373/J1373,0),1.3),MIN(MAX(J1373/K1373,0),1.3))),"") </f>
        <v/>
      </c>
      <c r="M1373" s="28">
        <f>IFERROR(IF(OR(J1373=0,K1373=""),"",IF(E1373="Positivo",MAX(K1373/J1373,0),MAX(J1373/K1373,0))),"") </f>
        <v/>
      </c>
      <c r="N1373" s="5" t="inlineStr">
        <is>
          <t>ENT</t>
        </is>
      </c>
      <c r="O1373" s="5" t="inlineStr">
        <is>
          <t>ENT</t>
        </is>
      </c>
      <c r="P1373" s="16" t="n">
        <v>0</v>
      </c>
      <c r="Q1373" s="16" t="n">
        <v>0</v>
      </c>
      <c r="R1373" s="5" t="inlineStr">
        <is>
          <t>273-2024-12-31</t>
        </is>
      </c>
    </row>
    <row r="1374">
      <c r="A1374" s="39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Semestral</t>
        </is>
      </c>
      <c r="E1374" s="5" t="inlineStr">
        <is>
          <t>Positivo</t>
        </is>
      </c>
      <c r="F1374" s="144" t="n">
        <v>45838</v>
      </c>
      <c r="G1374" s="5" t="n">
        <v>2025</v>
      </c>
      <c r="H1374" s="5" t="inlineStr">
        <is>
          <t>Junio</t>
        </is>
      </c>
      <c r="I1374" s="6" t="inlineStr">
        <is>
          <t>2025-1</t>
        </is>
      </c>
      <c r="J1374" s="5" t="n">
        <v>100</v>
      </c>
      <c r="K1374" s="123" t="n">
        <v>150</v>
      </c>
      <c r="L1374" s="28">
        <f>IFERROR(IF(OR(J1374=0,K1374=""),"",IF(E1374="Positivo",MIN(MAX(K1374/J1374,0),1.3),MIN(MAX(J1374/K1374,0),1.3))),"") </f>
        <v/>
      </c>
      <c r="M1374" s="28">
        <f>IFERROR(IF(OR(J1374=0,K1374=""),"",IF(E1374="Positivo",MAX(K1374/J1374,0),MAX(J1374/K1374,0))),"") </f>
        <v/>
      </c>
      <c r="N1374" s="5" t="inlineStr">
        <is>
          <t>ENT</t>
        </is>
      </c>
      <c r="O1374" s="5" t="inlineStr">
        <is>
          <t>ENT</t>
        </is>
      </c>
      <c r="P1374" s="16" t="n">
        <v>0</v>
      </c>
      <c r="Q1374" s="16" t="n">
        <v>0</v>
      </c>
      <c r="R1374" s="5" t="inlineStr">
        <is>
          <t>273-2025-06-30</t>
        </is>
      </c>
    </row>
    <row r="1375">
      <c r="A1375" s="26" t="n">
        <v>273</v>
      </c>
      <c r="B1375" s="5" t="inlineStr">
        <is>
          <t>Número de programas con condiciones iniciales elaboradas y analizadas institucionalmente</t>
        </is>
      </c>
      <c r="C1375" s="5" t="inlineStr">
        <is>
          <t>Autoevaluación de programas académicos</t>
        </is>
      </c>
      <c r="D1375" s="5" t="inlineStr">
        <is>
          <t>Trimestral</t>
        </is>
      </c>
      <c r="E1375" s="5" t="inlineStr">
        <is>
          <t>Positivo</t>
        </is>
      </c>
      <c r="F1375" s="144" t="n">
        <v>46022</v>
      </c>
      <c r="G1375" s="5" t="n">
        <v>2025</v>
      </c>
      <c r="H1375" s="5" t="inlineStr">
        <is>
          <t>Diciembre</t>
        </is>
      </c>
      <c r="I1375" s="6" t="inlineStr">
        <is>
          <t>2025-2</t>
        </is>
      </c>
      <c r="J1375" s="5" t="n">
        <v>100</v>
      </c>
      <c r="K1375" s="10" t="n">
        <v>100</v>
      </c>
      <c r="L1375" s="28">
        <f>IFERROR(IF(OR(J1375=0,K1375=""),"",IF(E1375="Positivo",MIN(MAX(K1375/J1375,0),1.3),MIN(MAX(J1375/K1375,0),1.3))),"") </f>
        <v/>
      </c>
      <c r="M1375" s="28">
        <f>IFERROR(IF(OR(J1375=0,K1375=""),"",IF(E1375="Positivo",MAX(K1375/J1375,0),MAX(J1375/K1375,0))),"") </f>
        <v/>
      </c>
      <c r="N1375" s="5" t="inlineStr">
        <is>
          <t>ENT</t>
        </is>
      </c>
      <c r="O1375" s="5" t="inlineStr">
        <is>
          <t>ENT</t>
        </is>
      </c>
      <c r="P1375" s="16" t="n">
        <v>0</v>
      </c>
      <c r="Q1375" s="16" t="n">
        <v>0</v>
      </c>
      <c r="R1375" s="5" t="inlineStr">
        <is>
          <t>273-2025-12-31</t>
        </is>
      </c>
    </row>
    <row r="1376">
      <c r="A1376" s="5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144" t="n">
        <v>45107</v>
      </c>
      <c r="G1376" s="5" t="n">
        <v>2023</v>
      </c>
      <c r="H1376" s="5" t="inlineStr">
        <is>
          <t>Junio</t>
        </is>
      </c>
      <c r="I1376" s="6" t="inlineStr">
        <is>
          <t>2023-1</t>
        </is>
      </c>
      <c r="J1376" s="5" t="n">
        <v>100</v>
      </c>
      <c r="K1376" s="5" t="n">
        <v>97.85502035108701</v>
      </c>
      <c r="L1376" s="28">
        <f>IFERROR(IF(OR(J1376=0,K1376=""),"",IF(E1376="Positivo",MIN(MAX(K1376/J1376,0),1.3),MIN(MAX(J1376/K1376,0),1.3))),"") </f>
        <v/>
      </c>
      <c r="M1376" s="28">
        <f>IFERROR(IF(OR(J1376=0,K1376=""),"",IF(E1376="Positivo",MAX(K1376/J1376,0),MAX(J1376/K1376,0))),"") </f>
        <v/>
      </c>
      <c r="N1376" s="5" t="inlineStr">
        <is>
          <t>ENT</t>
        </is>
      </c>
      <c r="O1376" s="5" t="inlineStr">
        <is>
          <t>ENT</t>
        </is>
      </c>
      <c r="P1376" s="5" t="n">
        <v>0</v>
      </c>
      <c r="Q1376" s="5" t="n">
        <v>0</v>
      </c>
      <c r="R1376" s="5" t="inlineStr">
        <is>
          <t>274-2023-06-30</t>
        </is>
      </c>
    </row>
    <row r="1377">
      <c r="A1377" s="26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144" t="n">
        <v>45291</v>
      </c>
      <c r="G1377" s="5" t="n">
        <v>2023</v>
      </c>
      <c r="H1377" s="5" t="inlineStr">
        <is>
          <t>Diciembre</t>
        </is>
      </c>
      <c r="I1377" s="6" t="inlineStr">
        <is>
          <t>2023-2</t>
        </is>
      </c>
      <c r="J1377" s="5" t="n">
        <v>100</v>
      </c>
      <c r="K1377" s="10" t="n">
        <v>97.50550081316401</v>
      </c>
      <c r="L1377" s="28">
        <f>IFERROR(IF(OR(J1377=0,K1377=""),"",IF(E1377="Positivo",MIN(MAX(K1377/J1377,0),1.3),MIN(MAX(J1377/K1377,0),1.3))),"") </f>
        <v/>
      </c>
      <c r="M1377" s="28">
        <f>IFERROR(IF(OR(J1377=0,K1377=""),"",IF(E1377="Positivo",MAX(K1377/J1377,0),MAX(J1377/K1377,0))),"") </f>
        <v/>
      </c>
      <c r="N1377" s="5" t="inlineStr">
        <is>
          <t>ENT</t>
        </is>
      </c>
      <c r="O1377" s="5" t="inlineStr">
        <is>
          <t>ENT</t>
        </is>
      </c>
      <c r="P1377" s="16" t="n">
        <v>0</v>
      </c>
      <c r="Q1377" s="16" t="n">
        <v>0</v>
      </c>
      <c r="R1377" s="5" t="inlineStr">
        <is>
          <t>274-2023-12-31</t>
        </is>
      </c>
    </row>
    <row r="1378">
      <c r="A1378" s="26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144" t="n">
        <v>45473</v>
      </c>
      <c r="G1378" s="5" t="n">
        <v>2024</v>
      </c>
      <c r="H1378" s="5" t="inlineStr">
        <is>
          <t>Junio</t>
        </is>
      </c>
      <c r="I1378" s="6" t="inlineStr">
        <is>
          <t>2024-1</t>
        </is>
      </c>
      <c r="J1378" s="5" t="n">
        <v>100</v>
      </c>
      <c r="K1378" s="10" t="n">
        <v>102.33930181631</v>
      </c>
      <c r="L1378" s="28">
        <f>IFERROR(IF(OR(J1378=0,K1378=""),"",IF(E1378="Positivo",MIN(MAX(K1378/J1378,0),1.3),MIN(MAX(J1378/K1378,0),1.3))),"") </f>
        <v/>
      </c>
      <c r="M1378" s="28">
        <f>IFERROR(IF(OR(J1378=0,K1378=""),"",IF(E1378="Positivo",MAX(K1378/J1378,0),MAX(J1378/K1378,0))),"") </f>
        <v/>
      </c>
      <c r="N1378" s="5" t="inlineStr">
        <is>
          <t>ENT</t>
        </is>
      </c>
      <c r="O1378" s="5" t="inlineStr">
        <is>
          <t>ENT</t>
        </is>
      </c>
      <c r="P1378" s="16" t="n">
        <v>0</v>
      </c>
      <c r="Q1378" s="16" t="n">
        <v>0</v>
      </c>
      <c r="R1378" s="5" t="inlineStr">
        <is>
          <t>274-2024-06-30</t>
        </is>
      </c>
    </row>
    <row r="1379">
      <c r="A1379" s="43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144" t="n">
        <v>45657</v>
      </c>
      <c r="G1379" s="5" t="n">
        <v>2024</v>
      </c>
      <c r="H1379" s="5" t="inlineStr">
        <is>
          <t>Diciembre</t>
        </is>
      </c>
      <c r="I1379" s="6" t="inlineStr">
        <is>
          <t>2024-2</t>
        </is>
      </c>
      <c r="J1379" s="5" t="n">
        <v>100</v>
      </c>
      <c r="K1379" s="123" t="n">
        <v>101.6087500306545</v>
      </c>
      <c r="L1379" s="28">
        <f>IFERROR(IF(OR(J1379=0,K1379=""),"",IF(E1379="Positivo",MIN(MAX(K1379/J1379,0),1.3),MIN(MAX(J1379/K1379,0),1.3))),"") </f>
        <v/>
      </c>
      <c r="M1379" s="28">
        <f>IFERROR(IF(OR(J1379=0,K1379=""),"",IF(E1379="Positivo",MAX(K1379/J1379,0),MAX(J1379/K1379,0))),"") </f>
        <v/>
      </c>
      <c r="N1379" s="5" t="inlineStr">
        <is>
          <t>ENT</t>
        </is>
      </c>
      <c r="O1379" s="5" t="inlineStr">
        <is>
          <t>ENT</t>
        </is>
      </c>
      <c r="P1379" s="16" t="n">
        <v>0</v>
      </c>
      <c r="Q1379" s="16" t="n">
        <v>0</v>
      </c>
      <c r="R1379" s="5" t="inlineStr">
        <is>
          <t>274-2024-12-31</t>
        </is>
      </c>
    </row>
    <row r="1380">
      <c r="A1380" s="39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Semestral</t>
        </is>
      </c>
      <c r="E1380" s="5" t="inlineStr">
        <is>
          <t>Positivo</t>
        </is>
      </c>
      <c r="F1380" s="144" t="n">
        <v>45838</v>
      </c>
      <c r="G1380" s="5" t="n">
        <v>2025</v>
      </c>
      <c r="H1380" s="5" t="inlineStr">
        <is>
          <t>Junio</t>
        </is>
      </c>
      <c r="I1380" s="6" t="inlineStr">
        <is>
          <t>2025-1</t>
        </is>
      </c>
      <c r="J1380" s="5" t="n">
        <v>100</v>
      </c>
      <c r="K1380" s="123" t="n">
        <v>105.8</v>
      </c>
      <c r="L1380" s="28">
        <f>IFERROR(IF(OR(J1380=0,K1380=""),"",IF(E1380="Positivo",MIN(MAX(K1380/J1380,0),1.3),MIN(MAX(J1380/K1380,0),1.3))),"") </f>
        <v/>
      </c>
      <c r="M1380" s="28">
        <f>IFERROR(IF(OR(J1380=0,K1380=""),"",IF(E1380="Positivo",MAX(K1380/J1380,0),MAX(J1380/K1380,0))),"") </f>
        <v/>
      </c>
      <c r="N1380" s="5" t="inlineStr">
        <is>
          <t>ENT</t>
        </is>
      </c>
      <c r="O1380" s="5" t="inlineStr">
        <is>
          <t>ENT</t>
        </is>
      </c>
      <c r="P1380" s="16" t="n">
        <v>0</v>
      </c>
      <c r="Q1380" s="16" t="n">
        <v>0</v>
      </c>
      <c r="R1380" s="5" t="inlineStr">
        <is>
          <t>274-2025-06-30</t>
        </is>
      </c>
    </row>
    <row r="1381">
      <c r="A1381" s="26" t="n">
        <v>274</v>
      </c>
      <c r="B1381" s="5" t="inlineStr">
        <is>
          <t>Cumplimiento total estudiantes antiguos</t>
        </is>
      </c>
      <c r="C1381" s="5" t="inlineStr">
        <is>
          <t>Rematrícula</t>
        </is>
      </c>
      <c r="D1381" s="5" t="inlineStr">
        <is>
          <t>Trimestral</t>
        </is>
      </c>
      <c r="E1381" s="5" t="inlineStr">
        <is>
          <t>Positivo</t>
        </is>
      </c>
      <c r="F1381" s="144" t="n">
        <v>46022</v>
      </c>
      <c r="G1381" s="5" t="n">
        <v>2025</v>
      </c>
      <c r="H1381" s="5" t="inlineStr">
        <is>
          <t>Diciembre</t>
        </is>
      </c>
      <c r="I1381" s="6" t="inlineStr">
        <is>
          <t>2025-2</t>
        </is>
      </c>
      <c r="J1381" s="5" t="n">
        <v>100</v>
      </c>
      <c r="K1381" s="10" t="n">
        <v>102.03</v>
      </c>
      <c r="L1381" s="28">
        <f>IFERROR(IF(OR(J1381=0,K1381=""),"",IF(E1381="Positivo",MIN(MAX(K1381/J1381,0),1.3),MIN(MAX(J1381/K1381,0),1.3))),"") </f>
        <v/>
      </c>
      <c r="M1381" s="28">
        <f>IFERROR(IF(OR(J1381=0,K1381=""),"",IF(E1381="Positivo",MAX(K1381/J1381,0),MAX(J1381/K1381,0))),"") </f>
        <v/>
      </c>
      <c r="N1381" s="5" t="inlineStr">
        <is>
          <t>ENT</t>
        </is>
      </c>
      <c r="O1381" s="5" t="inlineStr">
        <is>
          <t>ENT</t>
        </is>
      </c>
      <c r="P1381" s="16" t="n">
        <v>0</v>
      </c>
      <c r="Q1381" s="16" t="n">
        <v>0</v>
      </c>
      <c r="R1381" s="5" t="inlineStr">
        <is>
          <t>274-2025-12-31</t>
        </is>
      </c>
    </row>
    <row r="1382">
      <c r="A1382" s="5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144" t="n">
        <v>45016</v>
      </c>
      <c r="G1382" s="5" t="n">
        <v>2023</v>
      </c>
      <c r="H1382" s="5" t="inlineStr">
        <is>
          <t>Marzo</t>
        </is>
      </c>
      <c r="I1382" s="6" t="inlineStr">
        <is>
          <t>2023-1</t>
        </is>
      </c>
      <c r="J1382" s="5" t="n">
        <v>80</v>
      </c>
      <c r="K1382" s="5" t="n"/>
      <c r="L1382" s="28" t="n"/>
      <c r="M1382" s="28" t="n"/>
      <c r="N1382" s="5" t="inlineStr">
        <is>
          <t>%</t>
        </is>
      </c>
      <c r="O1382" s="5" t="inlineStr">
        <is>
          <t>No Aplica</t>
        </is>
      </c>
      <c r="P1382" s="5" t="n">
        <v>0</v>
      </c>
      <c r="Q1382" s="5" t="n">
        <v>0</v>
      </c>
      <c r="R1382" s="5" t="inlineStr">
        <is>
          <t>275-2023-03-31</t>
        </is>
      </c>
      <c r="S1382" t="inlineStr">
        <is>
          <t>No Aplica</t>
        </is>
      </c>
    </row>
    <row r="1383">
      <c r="A1383" s="26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144" t="n">
        <v>45107</v>
      </c>
      <c r="G1383" s="5" t="n">
        <v>2023</v>
      </c>
      <c r="H1383" s="5" t="inlineStr">
        <is>
          <t>Junio</t>
        </is>
      </c>
      <c r="I1383" s="6" t="inlineStr">
        <is>
          <t>2023-1</t>
        </is>
      </c>
      <c r="J1383" s="5" t="n">
        <v>80</v>
      </c>
      <c r="K1383" s="10" t="n"/>
      <c r="L1383" s="28" t="n"/>
      <c r="M1383" s="28" t="n"/>
      <c r="N1383" s="5" t="inlineStr">
        <is>
          <t>%</t>
        </is>
      </c>
      <c r="O1383" s="5" t="inlineStr">
        <is>
          <t>No Aplica</t>
        </is>
      </c>
      <c r="P1383" s="16" t="n">
        <v>0</v>
      </c>
      <c r="Q1383" s="16" t="n">
        <v>0</v>
      </c>
      <c r="R1383" s="5" t="inlineStr">
        <is>
          <t>275-2023-06-30</t>
        </is>
      </c>
      <c r="S1383" t="inlineStr">
        <is>
          <t>No Aplica</t>
        </is>
      </c>
    </row>
    <row r="1384">
      <c r="A1384" s="26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144" t="n">
        <v>45199</v>
      </c>
      <c r="G1384" s="5" t="n">
        <v>2023</v>
      </c>
      <c r="H1384" s="5" t="inlineStr">
        <is>
          <t>Septiembre</t>
        </is>
      </c>
      <c r="I1384" s="6" t="inlineStr">
        <is>
          <t>2023-2</t>
        </is>
      </c>
      <c r="J1384" s="5" t="n">
        <v>80</v>
      </c>
      <c r="K1384" s="10" t="n"/>
      <c r="L1384" s="28" t="n"/>
      <c r="M1384" s="28" t="n"/>
      <c r="N1384" s="5" t="inlineStr">
        <is>
          <t>%</t>
        </is>
      </c>
      <c r="O1384" s="5" t="inlineStr">
        <is>
          <t>No Aplica</t>
        </is>
      </c>
      <c r="P1384" s="16" t="n">
        <v>0</v>
      </c>
      <c r="Q1384" s="16" t="n">
        <v>0</v>
      </c>
      <c r="R1384" s="5" t="inlineStr">
        <is>
          <t>275-2023-09-30</t>
        </is>
      </c>
      <c r="S1384" t="inlineStr">
        <is>
          <t>No Aplica</t>
        </is>
      </c>
    </row>
    <row r="1385">
      <c r="A1385" s="26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Trimestral</t>
        </is>
      </c>
      <c r="E1385" s="5" t="inlineStr">
        <is>
          <t>Positivo</t>
        </is>
      </c>
      <c r="F1385" s="144" t="n">
        <v>45291</v>
      </c>
      <c r="G1385" s="5" t="n">
        <v>2023</v>
      </c>
      <c r="H1385" s="5" t="inlineStr">
        <is>
          <t>Diciembre</t>
        </is>
      </c>
      <c r="I1385" s="6" t="inlineStr">
        <is>
          <t>2023-2</t>
        </is>
      </c>
      <c r="J1385" s="5" t="n">
        <v>80</v>
      </c>
      <c r="K1385" s="124" t="n">
        <v>0</v>
      </c>
      <c r="L1385" s="28">
        <f>IFERROR(IF(OR(J1385=0,K1385=""),"",IF(E1385="Positivo",MIN(MAX(K1385/J1385,0),1.3),MIN(MAX(J1385/K1385,0),1.3))),"") </f>
        <v/>
      </c>
      <c r="M1385" s="28">
        <f>IFERROR(IF(OR(J1385=0,K1385=""),"",IF(E1385="Positivo",MAX(K1385/J1385,0),MAX(J1385/K1385,0))),"") </f>
        <v/>
      </c>
      <c r="N1385" s="5" t="inlineStr">
        <is>
          <t>%</t>
        </is>
      </c>
      <c r="O1385" s="5" t="inlineStr">
        <is>
          <t>%</t>
        </is>
      </c>
      <c r="P1385" s="16" t="n">
        <v>0</v>
      </c>
      <c r="Q1385" s="16" t="n">
        <v>0</v>
      </c>
      <c r="R1385" s="5" t="inlineStr">
        <is>
          <t>275-2023-12-31</t>
        </is>
      </c>
    </row>
    <row r="1386">
      <c r="A1386" s="39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144" t="n">
        <v>45473</v>
      </c>
      <c r="G1386" s="5" t="n">
        <v>2024</v>
      </c>
      <c r="H1386" s="5" t="inlineStr">
        <is>
          <t>Junio</t>
        </is>
      </c>
      <c r="I1386" s="6" t="inlineStr">
        <is>
          <t>2024-1</t>
        </is>
      </c>
      <c r="J1386" s="5" t="n">
        <v>80</v>
      </c>
      <c r="K1386" s="124" t="n">
        <v>103.75</v>
      </c>
      <c r="L1386" s="28">
        <f>IFERROR(IF(OR(J1386=0,K1386=""),"",IF(E1386="Positivo",MIN(MAX(K1386/J1386,0),1.3),MIN(MAX(J1386/K1386,0),1.3))),"") </f>
        <v/>
      </c>
      <c r="M1386" s="28">
        <f>IFERROR(IF(OR(J1386=0,K1386=""),"",IF(E1386="Positivo",MAX(K1386/J1386,0),MAX(J1386/K1386,0))),"") </f>
        <v/>
      </c>
      <c r="N1386" s="5" t="inlineStr">
        <is>
          <t>%</t>
        </is>
      </c>
      <c r="O1386" s="5" t="inlineStr">
        <is>
          <t>%</t>
        </is>
      </c>
      <c r="P1386" s="16" t="n">
        <v>0</v>
      </c>
      <c r="Q1386" s="16" t="n">
        <v>0</v>
      </c>
      <c r="R1386" s="5" t="inlineStr">
        <is>
          <t>275-2024-06-30</t>
        </is>
      </c>
    </row>
    <row r="1387">
      <c r="A1387" s="5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144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80</v>
      </c>
      <c r="K1387" s="5" t="n">
        <v>109.58</v>
      </c>
      <c r="L1387" s="28">
        <f>IFERROR(IF(OR(J1387=0,K1387=""),"",IF(E1387="Positivo",MIN(MAX(K1387/J1387,0),1.3),MIN(MAX(J1387/K1387,0),1.3))),"") </f>
        <v/>
      </c>
      <c r="M1387" s="28">
        <f>IFERROR(IF(OR(J1387=0,K1387=""),"",IF(E1387="Positivo",MAX(K1387/J1387,0),MAX(J1387/K1387,0))),"") </f>
        <v/>
      </c>
      <c r="N1387" s="5" t="inlineStr">
        <is>
          <t>%</t>
        </is>
      </c>
      <c r="O1387" s="5" t="inlineStr">
        <is>
          <t>%</t>
        </is>
      </c>
      <c r="P1387" s="5" t="n">
        <v>0</v>
      </c>
      <c r="Q1387" s="5" t="n">
        <v>0</v>
      </c>
      <c r="R1387" s="5" t="inlineStr">
        <is>
          <t>275-2024-12-31</t>
        </is>
      </c>
    </row>
    <row r="1388">
      <c r="A1388" s="26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Semestral</t>
        </is>
      </c>
      <c r="E1388" s="5" t="inlineStr">
        <is>
          <t>Positivo</t>
        </is>
      </c>
      <c r="F1388" s="144" t="n">
        <v>45838</v>
      </c>
      <c r="G1388" s="5" t="n">
        <v>2025</v>
      </c>
      <c r="H1388" s="5" t="inlineStr">
        <is>
          <t>Junio</t>
        </is>
      </c>
      <c r="I1388" s="6" t="inlineStr">
        <is>
          <t>2025-1</t>
        </is>
      </c>
      <c r="J1388" s="5" t="n">
        <v>80</v>
      </c>
      <c r="K1388" s="10" t="n">
        <v>90</v>
      </c>
      <c r="L1388" s="28">
        <f>IFERROR(IF(OR(J1388=0,K1388=""),"",IF(E1388="Positivo",MIN(MAX(K1388/J1388,0),1.3),MIN(MAX(J1388/K1388,0),1.3))),"") </f>
        <v/>
      </c>
      <c r="M1388" s="28">
        <f>IFERROR(IF(OR(J1388=0,K1388=""),"",IF(E1388="Positivo",MAX(K1388/J1388,0),MAX(J1388/K1388,0))),"") </f>
        <v/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 t="inlineStr">
        <is>
          <t>275-2025-06-30</t>
        </is>
      </c>
    </row>
    <row r="1389">
      <c r="A1389" s="39" t="n">
        <v>275</v>
      </c>
      <c r="B1389" s="5" t="inlineStr">
        <is>
          <t>Satisfacción Institucional por grupo de interes</t>
        </is>
      </c>
      <c r="C1389" s="5" t="inlineStr">
        <is>
          <t>EXPERIENCIA INSTITUCIONAL</t>
        </is>
      </c>
      <c r="D1389" s="5" t="inlineStr">
        <is>
          <t>Trimestral</t>
        </is>
      </c>
      <c r="E1389" s="5" t="inlineStr">
        <is>
          <t>Positivo</t>
        </is>
      </c>
      <c r="F1389" s="144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80</v>
      </c>
      <c r="K1389" s="123" t="n">
        <v>91.67</v>
      </c>
      <c r="L1389" s="28">
        <f>IFERROR(IF(OR(J1389=0,K1389=""),"",IF(E1389="Positivo",MIN(MAX(K1389/J1389,0),1.3),MIN(MAX(J1389/K1389,0),1.3))),"") </f>
        <v/>
      </c>
      <c r="M1389" s="28">
        <f>IFERROR(IF(OR(J1389=0,K1389=""),"",IF(E1389="Positivo",MAX(K1389/J1389,0),MAX(J1389/K1389,0))),"") </f>
        <v/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 t="inlineStr">
        <is>
          <t>275-2025-12-31</t>
        </is>
      </c>
    </row>
    <row r="1390">
      <c r="A1390" s="39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144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85</v>
      </c>
      <c r="K1390" s="123" t="n">
        <v>89.98999999999999</v>
      </c>
      <c r="L1390" s="28">
        <f>IFERROR(IF(OR(J1390=0,K1390=""),"",IF(E1390="Positivo",MIN(MAX(K1390/J1390,0),1.3),MIN(MAX(J1390/K1390,0),1.3))),"") </f>
        <v/>
      </c>
      <c r="M1390" s="28">
        <f>IFERROR(IF(OR(J1390=0,K1390=""),"",IF(E1390="Positivo",MAX(K1390/J1390,0),MAX(J1390/K1390,0))),"") </f>
        <v/>
      </c>
      <c r="N1390" s="5" t="n"/>
      <c r="O1390" s="5" t="n"/>
      <c r="P1390" s="16" t="n">
        <v>0</v>
      </c>
      <c r="Q1390" s="16" t="n">
        <v>0</v>
      </c>
      <c r="R1390" s="5" t="inlineStr">
        <is>
          <t>276-2023-06-30</t>
        </is>
      </c>
    </row>
    <row r="1391">
      <c r="A1391" s="39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144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85</v>
      </c>
      <c r="K1391" s="123" t="n">
        <v>84.5</v>
      </c>
      <c r="L1391" s="28">
        <f>IFERROR(IF(OR(J1391=0,K1391=""),"",IF(E1391="Positivo",MIN(MAX(K1391/J1391,0),1.3),MIN(MAX(J1391/K1391,0),1.3))),"") </f>
        <v/>
      </c>
      <c r="M1391" s="28">
        <f>IFERROR(IF(OR(J1391=0,K1391=""),"",IF(E1391="Positivo",MAX(K1391/J1391,0),MAX(J1391/K1391,0))),"") </f>
        <v/>
      </c>
      <c r="N1391" s="5" t="n"/>
      <c r="O1391" s="5" t="n"/>
      <c r="P1391" s="16" t="n">
        <v>1</v>
      </c>
      <c r="Q1391" s="16" t="n">
        <v>1</v>
      </c>
      <c r="R1391" s="5" t="inlineStr">
        <is>
          <t>276-2023-12-31</t>
        </is>
      </c>
    </row>
    <row r="1392">
      <c r="A1392" s="39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144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75</v>
      </c>
      <c r="K1392" s="123" t="n">
        <v>83.65000000000001</v>
      </c>
      <c r="L1392" s="28">
        <f>IFERROR(IF(OR(J1392=0,K1392=""),"",IF(E1392="Positivo",MIN(MAX(K1392/J1392,0),1.3),MIN(MAX(J1392/K1392,0),1.3))),"") </f>
        <v/>
      </c>
      <c r="M1392" s="28">
        <f>IFERROR(IF(OR(J1392=0,K1392=""),"",IF(E1392="Positivo",MAX(K1392/J1392,0),MAX(J1392/K1392,0))),"") </f>
        <v/>
      </c>
      <c r="N1392" s="5" t="inlineStr">
        <is>
          <t>DEC</t>
        </is>
      </c>
      <c r="O1392" s="5" t="inlineStr">
        <is>
          <t>DEC</t>
        </is>
      </c>
      <c r="P1392" s="16" t="n">
        <v>0</v>
      </c>
      <c r="Q1392" s="16" t="n">
        <v>0</v>
      </c>
      <c r="R1392" s="5" t="inlineStr">
        <is>
          <t>276-2024-06-30</t>
        </is>
      </c>
    </row>
    <row r="1393">
      <c r="A1393" s="26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144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75</v>
      </c>
      <c r="K1393" s="10" t="n">
        <v>82.68000000000001</v>
      </c>
      <c r="L1393" s="28">
        <f>IFERROR(IF(OR(J1393=0,K1393=""),"",IF(E1393="Positivo",MIN(MAX(K1393/J1393,0),1.3),MIN(MAX(J1393/K1393,0),1.3))),"") </f>
        <v/>
      </c>
      <c r="M1393" s="28">
        <f>IFERROR(IF(OR(J1393=0,K1393=""),"",IF(E1393="Positivo",MAX(K1393/J1393,0),MAX(J1393/K1393,0))),"") </f>
        <v/>
      </c>
      <c r="N1393" s="5" t="inlineStr">
        <is>
          <t>DEC</t>
        </is>
      </c>
      <c r="O1393" s="5" t="inlineStr">
        <is>
          <t>DEC</t>
        </is>
      </c>
      <c r="P1393" s="16" t="n">
        <v>0</v>
      </c>
      <c r="Q1393" s="16" t="n">
        <v>0</v>
      </c>
      <c r="R1393" s="5" t="inlineStr">
        <is>
          <t>276-2024-12-31</t>
        </is>
      </c>
    </row>
    <row r="1394">
      <c r="A1394" s="26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Semestral</t>
        </is>
      </c>
      <c r="E1394" s="5" t="inlineStr">
        <is>
          <t>Negativo</t>
        </is>
      </c>
      <c r="F1394" s="144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81</v>
      </c>
      <c r="K1394" s="10" t="n">
        <v>84.18000000000001</v>
      </c>
      <c r="L1394" s="28">
        <f>IFERROR(IF(OR(J1394=0,K1394=""),"",IF(E1394="Positivo",MIN(MAX(K1394/J1394,0),1.3),MIN(MAX(J1394/K1394,0),1.3))),"") </f>
        <v/>
      </c>
      <c r="M1394" s="28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DEC</t>
        </is>
      </c>
      <c r="P1394" s="16" t="n">
        <v>0</v>
      </c>
      <c r="Q1394" s="16" t="n">
        <v>1</v>
      </c>
      <c r="R1394" s="5" t="inlineStr">
        <is>
          <t>276-2025-06-30</t>
        </is>
      </c>
    </row>
    <row r="1395">
      <c r="A1395" s="26" t="n">
        <v>276</v>
      </c>
      <c r="B1395" s="5" t="inlineStr">
        <is>
          <t>Relación Estudiante-Docente Tiempo completo</t>
        </is>
      </c>
      <c r="C1395" s="5" t="inlineStr">
        <is>
          <t>Gestión Docente</t>
        </is>
      </c>
      <c r="D1395" s="5" t="inlineStr">
        <is>
          <t>Trimestral</t>
        </is>
      </c>
      <c r="E1395" s="5" t="inlineStr">
        <is>
          <t>Negativo</t>
        </is>
      </c>
      <c r="F1395" s="144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81</v>
      </c>
      <c r="K1395" s="10" t="n">
        <v>82.81</v>
      </c>
      <c r="L1395" s="28">
        <f>IFERROR(IF(OR(J1395=0,K1395=""),"",IF(E1395="Positivo",MIN(MAX(K1395/J1395,0),1.3),MIN(MAX(J1395/K1395,0),1.3))),"") </f>
        <v/>
      </c>
      <c r="M1395" s="28">
        <f>IFERROR(IF(OR(J1395=0,K1395=""),"",IF(E1395="Positivo",MAX(K1395/J1395,0),MAX(J1395/K1395,0))),"") </f>
        <v/>
      </c>
      <c r="N1395" s="5" t="inlineStr">
        <is>
          <t>ENT</t>
        </is>
      </c>
      <c r="O1395" s="5" t="inlineStr">
        <is>
          <t>DEC</t>
        </is>
      </c>
      <c r="P1395" s="16" t="n">
        <v>0</v>
      </c>
      <c r="Q1395" s="16" t="n">
        <v>1</v>
      </c>
      <c r="R1395" s="5" t="inlineStr">
        <is>
          <t>276-2025-12-31</t>
        </is>
      </c>
    </row>
    <row r="1396">
      <c r="A1396" s="26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144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85</v>
      </c>
      <c r="K1396" s="10" t="n">
        <v>76.48</v>
      </c>
      <c r="L1396" s="28">
        <f>IFERROR(IF(OR(J1396=0,K1396=""),"",IF(E1396="Positivo",MIN(MAX(K1396/J1396,0),1.3),MIN(MAX(J1396/K1396,0),1.3))),"") </f>
        <v/>
      </c>
      <c r="M1396" s="28">
        <f>IFERROR(IF(OR(J1396=0,K1396=""),"",IF(E1396="Positivo",MAX(K1396/J1396,0),MAX(J1396/K1396,0))),"") </f>
        <v/>
      </c>
      <c r="N1396" s="5" t="inlineStr">
        <is>
          <t>DEC</t>
        </is>
      </c>
      <c r="O1396" s="5" t="inlineStr">
        <is>
          <t>DEC</t>
        </is>
      </c>
      <c r="P1396" s="16" t="n">
        <v>0</v>
      </c>
      <c r="Q1396" s="16" t="n">
        <v>0</v>
      </c>
      <c r="R1396" s="5" t="inlineStr">
        <is>
          <t>277-2023-06-30</t>
        </is>
      </c>
    </row>
    <row r="1397">
      <c r="A1397" s="26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144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85</v>
      </c>
      <c r="K1397" s="10" t="n">
        <v>73.29000000000001</v>
      </c>
      <c r="L1397" s="28">
        <f>IFERROR(IF(OR(J1397=0,K1397=""),"",IF(E1397="Positivo",MIN(MAX(K1397/J1397,0),1.3),MIN(MAX(J1397/K1397,0),1.3))),"") </f>
        <v/>
      </c>
      <c r="M1397" s="28">
        <f>IFERROR(IF(OR(J1397=0,K1397=""),"",IF(E1397="Positivo",MAX(K1397/J1397,0),MAX(J1397/K1397,0))),"") </f>
        <v/>
      </c>
      <c r="N1397" s="5" t="inlineStr">
        <is>
          <t>DEC</t>
        </is>
      </c>
      <c r="O1397" s="5" t="inlineStr">
        <is>
          <t>DEC</t>
        </is>
      </c>
      <c r="P1397" s="16" t="n">
        <v>0</v>
      </c>
      <c r="Q1397" s="16" t="n">
        <v>0</v>
      </c>
      <c r="R1397" s="5" t="inlineStr">
        <is>
          <t>277-2023-12-31</t>
        </is>
      </c>
    </row>
    <row r="1398">
      <c r="A1398" s="5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144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73</v>
      </c>
      <c r="K1398" s="5" t="n">
        <v>71.18000000000001</v>
      </c>
      <c r="L1398" s="28">
        <f>IFERROR(IF(OR(J1398=0,K1398=""),"",IF(E1398="Positivo",MIN(MAX(K1398/J1398,0),1.3),MIN(MAX(J1398/K1398,0),1.3))),"") </f>
        <v/>
      </c>
      <c r="M1398" s="28">
        <f>IFERROR(IF(OR(J1398=0,K1398=""),"",IF(E1398="Positivo",MAX(K1398/J1398,0),MAX(J1398/K1398,0))),"") </f>
        <v/>
      </c>
      <c r="N1398" s="5" t="inlineStr">
        <is>
          <t>DEC</t>
        </is>
      </c>
      <c r="O1398" s="5" t="inlineStr">
        <is>
          <t>DEC</t>
        </is>
      </c>
      <c r="P1398" s="16" t="n">
        <v>0</v>
      </c>
      <c r="Q1398" s="16" t="n">
        <v>0</v>
      </c>
      <c r="R1398" s="5" t="inlineStr">
        <is>
          <t>277-2024-06-30</t>
        </is>
      </c>
    </row>
    <row r="1399">
      <c r="A1399" s="26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144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73</v>
      </c>
      <c r="K1399" s="10" t="n">
        <v>71.23999999999999</v>
      </c>
      <c r="L1399" s="28">
        <f>IFERROR(IF(OR(J1399=0,K1399=""),"",IF(E1399="Positivo",MIN(MAX(K1399/J1399,0),1.3),MIN(MAX(J1399/K1399,0),1.3))),"") </f>
        <v/>
      </c>
      <c r="M1399" s="28">
        <f>IFERROR(IF(OR(J1399=0,K1399=""),"",IF(E1399="Positivo",MAX(K1399/J1399,0),MAX(J1399/K1399,0))),"") </f>
        <v/>
      </c>
      <c r="N1399" s="5" t="inlineStr">
        <is>
          <t>DEC</t>
        </is>
      </c>
      <c r="O1399" s="5" t="inlineStr">
        <is>
          <t>DEC</t>
        </is>
      </c>
      <c r="P1399" s="16" t="n">
        <v>0</v>
      </c>
      <c r="Q1399" s="16" t="n">
        <v>0</v>
      </c>
      <c r="R1399" s="5" t="inlineStr">
        <is>
          <t>277-2024-12-31</t>
        </is>
      </c>
    </row>
    <row r="1400">
      <c r="A1400" s="26" t="n">
        <v>277</v>
      </c>
      <c r="B1400" s="5" t="inlineStr">
        <is>
          <t>Relación estudiante docente Tiempo Completo Equivalente</t>
        </is>
      </c>
      <c r="C1400" s="5" t="inlineStr">
        <is>
          <t>Gestión Docente</t>
        </is>
      </c>
      <c r="D1400" s="5" t="inlineStr">
        <is>
          <t>Semestral</t>
        </is>
      </c>
      <c r="E1400" s="5" t="inlineStr">
        <is>
          <t>Negativo</t>
        </is>
      </c>
      <c r="F1400" s="144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71</v>
      </c>
      <c r="K1400" s="10" t="n">
        <v>69.39</v>
      </c>
      <c r="L1400" s="28">
        <f>IFERROR(IF(OR(J1400=0,K1400=""),"",IF(E1400="Positivo",MIN(MAX(K1400/J1400,0),1.3),MIN(MAX(J1400/K1400,0),1.3))),"") </f>
        <v/>
      </c>
      <c r="M1400" s="28">
        <f>IFERROR(IF(OR(J1400=0,K1400=""),"",IF(E1400="Positivo",MAX(K1400/J1400,0),MAX(J1400/K1400,0))),"") </f>
        <v/>
      </c>
      <c r="N1400" s="5" t="inlineStr">
        <is>
          <t>DEC</t>
        </is>
      </c>
      <c r="O1400" s="5" t="inlineStr">
        <is>
          <t>DEC</t>
        </is>
      </c>
      <c r="P1400" s="16" t="n">
        <v>0</v>
      </c>
      <c r="Q1400" s="16" t="n">
        <v>0</v>
      </c>
      <c r="R1400" s="5" t="inlineStr">
        <is>
          <t>277-2025-06-30</t>
        </is>
      </c>
    </row>
    <row r="1401">
      <c r="A1401" s="26" t="n">
        <v>277</v>
      </c>
      <c r="B1401" s="5" t="inlineStr">
        <is>
          <t>Relación estudiante docente TCE (Tiempo Completo Equivalente)</t>
        </is>
      </c>
      <c r="C1401" s="5" t="inlineStr">
        <is>
          <t>Gestión Docente</t>
        </is>
      </c>
      <c r="D1401" s="5" t="inlineStr">
        <is>
          <t>Trimestral</t>
        </is>
      </c>
      <c r="E1401" s="5" t="inlineStr">
        <is>
          <t>Negativo</t>
        </is>
      </c>
      <c r="F1401" s="144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71</v>
      </c>
      <c r="K1401" s="10" t="n">
        <v>68.40000000000001</v>
      </c>
      <c r="L1401" s="28">
        <f>IFERROR(IF(OR(J1401=0,K1401=""),"",IF(E1401="Positivo",MIN(MAX(K1401/J1401,0),1.3),MIN(MAX(J1401/K1401,0),1.3))),"") </f>
        <v/>
      </c>
      <c r="M1401" s="28">
        <f>IFERROR(IF(OR(J1401=0,K1401=""),"",IF(E1401="Positivo",MAX(K1401/J1401,0),MAX(J1401/K1401,0))),"") </f>
        <v/>
      </c>
      <c r="N1401" s="5" t="inlineStr">
        <is>
          <t>ENT</t>
        </is>
      </c>
      <c r="O1401" s="5" t="inlineStr">
        <is>
          <t>DEC</t>
        </is>
      </c>
      <c r="P1401" s="16" t="n">
        <v>1</v>
      </c>
      <c r="Q1401" s="16" t="n">
        <v>1</v>
      </c>
      <c r="R1401" s="5" t="inlineStr">
        <is>
          <t>277-2025-12-31</t>
        </is>
      </c>
    </row>
    <row r="1402">
      <c r="A1402" s="26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144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/>
      <c r="K1402" s="10" t="n">
        <v>1015</v>
      </c>
      <c r="L1402" s="28" t="n"/>
      <c r="M1402" s="8" t="n"/>
      <c r="N1402" s="5" t="inlineStr">
        <is>
          <t>DEC</t>
        </is>
      </c>
      <c r="O1402" s="5" t="inlineStr">
        <is>
          <t>DEC</t>
        </is>
      </c>
      <c r="P1402" s="16" t="n">
        <v>0</v>
      </c>
      <c r="Q1402" s="16" t="n">
        <v>0</v>
      </c>
      <c r="R1402" s="5" t="inlineStr">
        <is>
          <t>278-2023-06-30</t>
        </is>
      </c>
    </row>
    <row r="1403">
      <c r="A1403" s="26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144" t="n">
        <v>45291</v>
      </c>
      <c r="G1403" s="5" t="n">
        <v>2023</v>
      </c>
      <c r="H1403" s="5" t="inlineStr">
        <is>
          <t>Diciembre</t>
        </is>
      </c>
      <c r="I1403" s="6" t="inlineStr">
        <is>
          <t>2023-2</t>
        </is>
      </c>
      <c r="J1403" s="5" t="n">
        <v>0</v>
      </c>
      <c r="K1403" s="10" t="n">
        <v>1017</v>
      </c>
      <c r="L1403" s="28">
        <f>IFERROR(IF(OR(J1403=0,K1403=""),"",IF(E1403="Positivo",MIN(MAX(K1403/J1403,0),1.3),MIN(MAX(J1403/K1403,0),1.3))),"") </f>
        <v/>
      </c>
      <c r="M1403" s="28">
        <f>IFERROR(IF(OR(J1403=0,K1403=""),"",IF(E1403="Positivo",MAX(K1403/J1403,0),MAX(J1403/K1403,0))),"") </f>
        <v/>
      </c>
      <c r="N1403" s="5" t="inlineStr">
        <is>
          <t>DEC</t>
        </is>
      </c>
      <c r="O1403" s="5" t="inlineStr">
        <is>
          <t>DEC</t>
        </is>
      </c>
      <c r="P1403" s="16" t="n">
        <v>0</v>
      </c>
      <c r="Q1403" s="16" t="n">
        <v>0</v>
      </c>
      <c r="R1403" s="5" t="inlineStr">
        <is>
          <t>278-2023-12-31</t>
        </is>
      </c>
    </row>
    <row r="1404">
      <c r="A1404" s="26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144" t="n">
        <v>45473</v>
      </c>
      <c r="G1404" s="5" t="n">
        <v>2024</v>
      </c>
      <c r="H1404" s="5" t="inlineStr">
        <is>
          <t>Junio</t>
        </is>
      </c>
      <c r="I1404" s="6" t="inlineStr">
        <is>
          <t>2024-1</t>
        </is>
      </c>
      <c r="J1404" s="5" t="n">
        <v>0</v>
      </c>
      <c r="K1404" s="10" t="n">
        <v>1080</v>
      </c>
      <c r="L1404" s="28">
        <f>IFERROR(IF(OR(J1404=0,K1404=""),"",IF(E1404="Positivo",MIN(MAX(K1404/J1404,0),1.3),MIN(MAX(J1404/K1404,0),1.3))),"") </f>
        <v/>
      </c>
      <c r="M1404" s="28">
        <f>IFERROR(IF(OR(J1404=0,K1404=""),"",IF(E1404="Positivo",MAX(K1404/J1404,0),MAX(J1404/K1404,0))),"") </f>
        <v/>
      </c>
      <c r="N1404" s="5" t="n">
        <v>0</v>
      </c>
      <c r="O1404" s="5" t="inlineStr">
        <is>
          <t>ENT</t>
        </is>
      </c>
      <c r="P1404" s="16" t="n">
        <v>0</v>
      </c>
      <c r="Q1404" s="16" t="n">
        <v>0</v>
      </c>
      <c r="R1404" s="5" t="inlineStr">
        <is>
          <t>278-2024-06-30</t>
        </is>
      </c>
    </row>
    <row r="1405">
      <c r="A1405" s="5" t="n">
        <v>278</v>
      </c>
      <c r="B1405" s="5" t="inlineStr">
        <is>
          <t>Docentes contratados</t>
        </is>
      </c>
      <c r="C1405" s="5" t="inlineStr">
        <is>
          <t>Gestión Docente</t>
        </is>
      </c>
      <c r="D1405" s="5" t="inlineStr">
        <is>
          <t>Semestral</t>
        </is>
      </c>
      <c r="E1405" s="5" t="inlineStr">
        <is>
          <t>Positivo</t>
        </is>
      </c>
      <c r="F1405" s="144" t="n">
        <v>45657</v>
      </c>
      <c r="G1405" s="5" t="n">
        <v>2024</v>
      </c>
      <c r="H1405" s="5" t="inlineStr">
        <is>
          <t>Diciembre</t>
        </is>
      </c>
      <c r="I1405" s="6" t="inlineStr">
        <is>
          <t>2024-2</t>
        </is>
      </c>
      <c r="J1405" s="5" t="n">
        <v>0</v>
      </c>
      <c r="K1405" s="5" t="n">
        <v>1018</v>
      </c>
      <c r="L1405" s="28">
        <f>IFERROR(IF(OR(J1405=0,K1405=""),"",IF(E1405="Positivo",MIN(MAX(K1405/J1405,0),1.3),MIN(MAX(J1405/K1405,0),1.3))),"") </f>
        <v/>
      </c>
      <c r="M1405" s="28">
        <f>IFERROR(IF(OR(J1405=0,K1405=""),"",IF(E1405="Positivo",MAX(K1405/J1405,0),MAX(J1405/K1405,0))),"") </f>
        <v/>
      </c>
      <c r="N1405" s="5" t="n">
        <v>0</v>
      </c>
      <c r="O1405" s="5" t="inlineStr">
        <is>
          <t>ENT</t>
        </is>
      </c>
      <c r="P1405" s="5" t="n">
        <v>0</v>
      </c>
      <c r="Q1405" s="5" t="n">
        <v>0</v>
      </c>
      <c r="R1405" s="5" t="inlineStr">
        <is>
          <t>278-2024-12-31</t>
        </is>
      </c>
    </row>
    <row r="1406">
      <c r="A1406" s="26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144" t="n">
        <v>45838</v>
      </c>
      <c r="G1406" s="5" t="n">
        <v>2025</v>
      </c>
      <c r="H1406" s="5" t="inlineStr">
        <is>
          <t>Junio</t>
        </is>
      </c>
      <c r="I1406" s="6" t="inlineStr">
        <is>
          <t>2025-1</t>
        </is>
      </c>
      <c r="J1406" s="5" t="n"/>
      <c r="K1406" s="10" t="n">
        <v>1099</v>
      </c>
      <c r="L1406" s="28" t="n"/>
      <c r="M1406" s="28" t="n"/>
      <c r="N1406" s="5" t="inlineStr">
        <is>
          <t>Metrica</t>
        </is>
      </c>
      <c r="O1406" s="5" t="inlineStr">
        <is>
          <t>Metrica</t>
        </is>
      </c>
      <c r="P1406" s="16" t="n">
        <v>0</v>
      </c>
      <c r="Q1406" s="16" t="n">
        <v>0</v>
      </c>
      <c r="R1406" s="5" t="inlineStr">
        <is>
          <t>278-2025-06-30</t>
        </is>
      </c>
      <c r="S1406" t="inlineStr">
        <is>
          <t>Metrica</t>
        </is>
      </c>
    </row>
    <row r="1407">
      <c r="A1407" s="39" t="n">
        <v>278</v>
      </c>
      <c r="B1407" s="5" t="inlineStr">
        <is>
          <t>Docentes contratados - Metrica</t>
        </is>
      </c>
      <c r="C1407" s="5" t="inlineStr">
        <is>
          <t>Gestión Docente</t>
        </is>
      </c>
      <c r="D1407" s="5" t="inlineStr">
        <is>
          <t>Trimestral</t>
        </is>
      </c>
      <c r="E1407" s="5" t="inlineStr">
        <is>
          <t>Positivo</t>
        </is>
      </c>
      <c r="F1407" s="144" t="n">
        <v>46022</v>
      </c>
      <c r="G1407" s="5" t="n">
        <v>2025</v>
      </c>
      <c r="H1407" s="5" t="inlineStr">
        <is>
          <t>Diciembre</t>
        </is>
      </c>
      <c r="I1407" s="6" t="inlineStr">
        <is>
          <t>2025-2</t>
        </is>
      </c>
      <c r="J1407" s="5" t="n"/>
      <c r="K1407" s="124" t="n">
        <v>1071</v>
      </c>
      <c r="L1407" s="28" t="n"/>
      <c r="M1407" s="8" t="n"/>
      <c r="N1407" s="5" t="inlineStr">
        <is>
          <t>Metrica</t>
        </is>
      </c>
      <c r="O1407" s="5" t="inlineStr">
        <is>
          <t>Metrica</t>
        </is>
      </c>
      <c r="P1407" s="16" t="n">
        <v>0</v>
      </c>
      <c r="Q1407" s="16" t="n">
        <v>0</v>
      </c>
      <c r="R1407" s="5" t="inlineStr">
        <is>
          <t>278-2025-12-31</t>
        </is>
      </c>
      <c r="S1407" t="inlineStr">
        <is>
          <t>Metrica</t>
        </is>
      </c>
    </row>
    <row r="1408">
      <c r="A1408" s="39" t="n">
        <v>279</v>
      </c>
      <c r="B1408" s="5" t="inlineStr">
        <is>
          <t>Docentes tiempo completo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144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124" t="n">
        <v>572</v>
      </c>
      <c r="L1408" s="28" t="n"/>
      <c r="M1408" s="8" t="n"/>
      <c r="N1408" s="5" t="n"/>
      <c r="O1408" s="5" t="n"/>
      <c r="P1408" s="16" t="n">
        <v>0</v>
      </c>
      <c r="Q1408" s="16" t="n">
        <v>0</v>
      </c>
      <c r="R1408" s="5" t="inlineStr">
        <is>
          <t>279-2023-06-30</t>
        </is>
      </c>
    </row>
    <row r="1409">
      <c r="A1409" s="39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144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/>
      <c r="K1409" s="124" t="n">
        <v>203</v>
      </c>
      <c r="L1409" s="28" t="n"/>
      <c r="M1409" s="8" t="n"/>
      <c r="N1409" s="5" t="n"/>
      <c r="O1409" s="5" t="n"/>
      <c r="P1409" s="16" t="n">
        <v>0</v>
      </c>
      <c r="Q1409" s="16" t="n">
        <v>0</v>
      </c>
      <c r="R1409" s="5" t="inlineStr">
        <is>
          <t>280-2023-06-30</t>
        </is>
      </c>
    </row>
    <row r="1410">
      <c r="A1410" s="39" t="n">
        <v>280</v>
      </c>
      <c r="B1410" s="5" t="inlineStr">
        <is>
          <t>Docentes medio tiempo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144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0</v>
      </c>
      <c r="K1410" s="124" t="n">
        <v>186</v>
      </c>
      <c r="L1410" s="28">
        <f>IFERROR(IF(OR(J1410=0,K1410=""),"",IF(E1410="Positivo",MIN(MAX(K1410/J1410,0),1.3),MIN(MAX(J1410/K1410,0),1.3))),"") </f>
        <v/>
      </c>
      <c r="M1410" s="28">
        <f>IFERROR(IF(OR(J1410=0,K1410=""),"",IF(E1410="Positivo",MAX(K1410/J1410,0),MAX(J1410/K1410,0))),"") </f>
        <v/>
      </c>
      <c r="N1410" s="5" t="n"/>
      <c r="O1410" s="5" t="n"/>
      <c r="P1410" s="16" t="n">
        <v>0</v>
      </c>
      <c r="Q1410" s="16" t="n">
        <v>0</v>
      </c>
      <c r="R1410" s="5" t="inlineStr">
        <is>
          <t>280-2023-12-31</t>
        </is>
      </c>
    </row>
    <row r="1411">
      <c r="A1411" s="39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144" t="n">
        <v>45107</v>
      </c>
      <c r="G1411" s="5" t="n">
        <v>2023</v>
      </c>
      <c r="H1411" s="5" t="inlineStr">
        <is>
          <t>Junio</t>
        </is>
      </c>
      <c r="I1411" s="6" t="inlineStr">
        <is>
          <t>2023-1</t>
        </is>
      </c>
      <c r="J1411" s="5" t="n"/>
      <c r="K1411" s="124" t="n">
        <v>240</v>
      </c>
      <c r="L1411" s="28" t="n"/>
      <c r="M1411" s="8" t="n"/>
      <c r="N1411" s="5" t="n"/>
      <c r="O1411" s="5" t="n"/>
      <c r="P1411" s="16" t="n">
        <v>0</v>
      </c>
      <c r="Q1411" s="16" t="n">
        <v>0</v>
      </c>
      <c r="R1411" s="5" t="inlineStr">
        <is>
          <t>281-2023-06-30</t>
        </is>
      </c>
    </row>
    <row r="1412">
      <c r="A1412" s="39" t="n">
        <v>281</v>
      </c>
      <c r="B1412" s="5" t="inlineStr">
        <is>
          <t>Docentes cátedra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144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/>
      <c r="K1412" s="124" t="n">
        <v>223</v>
      </c>
      <c r="L1412" s="28" t="n"/>
      <c r="M1412" s="8" t="n"/>
      <c r="N1412" s="5" t="n"/>
      <c r="O1412" s="5" t="n"/>
      <c r="P1412" s="16" t="n">
        <v>0</v>
      </c>
      <c r="Q1412" s="16" t="n">
        <v>0</v>
      </c>
      <c r="R1412" s="5" t="inlineStr">
        <is>
          <t>281-2023-12-31</t>
        </is>
      </c>
    </row>
    <row r="1413">
      <c r="A1413" s="26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144" t="n">
        <v>45107</v>
      </c>
      <c r="G1413" s="5" t="n">
        <v>2023</v>
      </c>
      <c r="H1413" s="5" t="inlineStr">
        <is>
          <t>Junio</t>
        </is>
      </c>
      <c r="I1413" s="6" t="inlineStr">
        <is>
          <t>2023-1</t>
        </is>
      </c>
      <c r="J1413" s="5" t="n">
        <v>96</v>
      </c>
      <c r="K1413" s="10" t="n">
        <v>97.02</v>
      </c>
      <c r="L1413" s="28">
        <f>IFERROR(IF(OR(J1413=0,K1413=""),"",IF(E1413="Positivo",MIN(MAX(K1413/J1413,0),1.3),MIN(MAX(J1413/K1413,0),1.3))),"") </f>
        <v/>
      </c>
      <c r="M1413" s="28">
        <f>IFERROR(IF(OR(J1413=0,K1413=""),"",IF(E1413="Positivo",MAX(K1413/J1413,0),MAX(J1413/K1413,0))),"") </f>
        <v/>
      </c>
      <c r="N1413" s="5" t="inlineStr">
        <is>
          <t>%</t>
        </is>
      </c>
      <c r="O1413" s="5" t="inlineStr">
        <is>
          <t>%</t>
        </is>
      </c>
      <c r="P1413" s="16" t="n">
        <v>0</v>
      </c>
      <c r="Q1413" s="16" t="n">
        <v>0</v>
      </c>
      <c r="R1413" s="5" t="inlineStr">
        <is>
          <t>282-2023-06-30</t>
        </is>
      </c>
    </row>
    <row r="1414">
      <c r="A1414" s="26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144" t="n">
        <v>45291</v>
      </c>
      <c r="G1414" s="5" t="n">
        <v>2023</v>
      </c>
      <c r="H1414" s="5" t="inlineStr">
        <is>
          <t>Diciembre</t>
        </is>
      </c>
      <c r="I1414" s="6" t="inlineStr">
        <is>
          <t>2023-2</t>
        </is>
      </c>
      <c r="J1414" s="5" t="n">
        <v>96</v>
      </c>
      <c r="K1414" s="10" t="n">
        <v>97.34</v>
      </c>
      <c r="L1414" s="28">
        <f>IFERROR(IF(OR(J1414=0,K1414=""),"",IF(E1414="Positivo",MIN(MAX(K1414/J1414,0),1.3),MIN(MAX(J1414/K1414,0),1.3))),"") </f>
        <v/>
      </c>
      <c r="M1414" s="28">
        <f>IFERROR(IF(OR(J1414=0,K1414=""),"",IF(E1414="Positivo",MAX(K1414/J1414,0),MAX(J1414/K1414,0))),"") </f>
        <v/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 t="inlineStr">
        <is>
          <t>282-2023-12-31</t>
        </is>
      </c>
    </row>
    <row r="1415">
      <c r="A1415" s="26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144" t="n">
        <v>45473</v>
      </c>
      <c r="G1415" s="5" t="n">
        <v>2024</v>
      </c>
      <c r="H1415" s="5" t="inlineStr">
        <is>
          <t>Junio</t>
        </is>
      </c>
      <c r="I1415" s="6" t="inlineStr">
        <is>
          <t>2024-1</t>
        </is>
      </c>
      <c r="J1415" s="5" t="n">
        <v>97</v>
      </c>
      <c r="K1415" s="10" t="n">
        <v>97.02</v>
      </c>
      <c r="L1415" s="28">
        <f>IFERROR(IF(OR(J1415=0,K1415=""),"",IF(E1415="Positivo",MIN(MAX(K1415/J1415,0),1.3),MIN(MAX(J1415/K1415,0),1.3))),"") </f>
        <v/>
      </c>
      <c r="M1415" s="28">
        <f>IFERROR(IF(OR(J1415=0,K1415=""),"",IF(E1415="Positivo",MAX(K1415/J1415,0),MAX(J1415/K1415,0))),"") </f>
        <v/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 t="inlineStr">
        <is>
          <t>282-2024-06-30</t>
        </is>
      </c>
    </row>
    <row r="1416">
      <c r="A1416" s="26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144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97</v>
      </c>
      <c r="K1416" s="10" t="n">
        <v>96.84</v>
      </c>
      <c r="L1416" s="28">
        <f>IFERROR(IF(OR(J1416=0,K1416=""),"",IF(E1416="Positivo",MIN(MAX(K1416/J1416,0),1.3),MIN(MAX(J1416/K1416,0),1.3))),"") </f>
        <v/>
      </c>
      <c r="M1416" s="28">
        <f>IFERROR(IF(OR(J1416=0,K1416=""),"",IF(E1416="Positivo",MAX(K1416/J1416,0),MAX(J1416/K1416,0))),"") </f>
        <v/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 t="inlineStr">
        <is>
          <t>282-2024-12-31</t>
        </is>
      </c>
    </row>
    <row r="1417">
      <c r="A1417" s="26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Positivo</t>
        </is>
      </c>
      <c r="F1417" s="144" t="n">
        <v>45838</v>
      </c>
      <c r="G1417" s="5" t="n">
        <v>2025</v>
      </c>
      <c r="H1417" s="5" t="inlineStr">
        <is>
          <t>Junio</t>
        </is>
      </c>
      <c r="I1417" s="6" t="inlineStr">
        <is>
          <t>2025-1</t>
        </is>
      </c>
      <c r="J1417" s="5" t="n">
        <v>97</v>
      </c>
      <c r="K1417" s="10" t="n">
        <v>97.41</v>
      </c>
      <c r="L1417" s="28">
        <f>IFERROR(IF(OR(J1417=0,K1417=""),"",IF(E1417="Positivo",MIN(MAX(K1417/J1417,0),1.3),MIN(MAX(J1417/K1417,0),1.3))),"") </f>
        <v/>
      </c>
      <c r="M1417" s="28">
        <f>IFERROR(IF(OR(J1417=0,K1417=""),"",IF(E1417="Positivo",MAX(K1417/J1417,0),MAX(J1417/K1417,0))),"") </f>
        <v/>
      </c>
      <c r="N1417" s="5" t="inlineStr">
        <is>
          <t>%</t>
        </is>
      </c>
      <c r="O1417" s="5" t="inlineStr">
        <is>
          <t>%</t>
        </is>
      </c>
      <c r="P1417" s="16" t="n">
        <v>0</v>
      </c>
      <c r="Q1417" s="16" t="n">
        <v>0</v>
      </c>
      <c r="R1417" s="5" t="inlineStr">
        <is>
          <t>282-2025-06-30</t>
        </is>
      </c>
    </row>
    <row r="1418">
      <c r="A1418" s="5" t="n">
        <v>282</v>
      </c>
      <c r="B1418" s="5" t="inlineStr">
        <is>
          <t>Docentes evaluados</t>
        </is>
      </c>
      <c r="C1418" s="5" t="inlineStr">
        <is>
          <t>Gestión Docente</t>
        </is>
      </c>
      <c r="D1418" s="5" t="inlineStr">
        <is>
          <t>Trimestral</t>
        </is>
      </c>
      <c r="E1418" s="5" t="inlineStr">
        <is>
          <t>Positivo</t>
        </is>
      </c>
      <c r="F1418" s="144" t="n">
        <v>46022</v>
      </c>
      <c r="G1418" s="5" t="n">
        <v>2025</v>
      </c>
      <c r="H1418" s="5" t="inlineStr">
        <is>
          <t>Diciembre</t>
        </is>
      </c>
      <c r="I1418" s="6" t="inlineStr">
        <is>
          <t>2025-2</t>
        </is>
      </c>
      <c r="J1418" s="5" t="n">
        <v>97</v>
      </c>
      <c r="K1418" s="5" t="n">
        <v>97.56</v>
      </c>
      <c r="L1418" s="28">
        <f>IFERROR(IF(OR(J1418=0,K1418=""),"",IF(E1418="Positivo",MIN(MAX(K1418/J1418,0),1.3),MIN(MAX(J1418/K1418,0),1.3))),"") </f>
        <v/>
      </c>
      <c r="M1418" s="28">
        <f>IFERROR(IF(OR(J1418=0,K1418=""),"",IF(E1418="Positivo",MAX(K1418/J1418,0),MAX(J1418/K1418,0))),"") </f>
        <v/>
      </c>
      <c r="N1418" s="5" t="inlineStr">
        <is>
          <t>%</t>
        </is>
      </c>
      <c r="O1418" s="5" t="inlineStr">
        <is>
          <t>%</t>
        </is>
      </c>
      <c r="P1418" s="16" t="n">
        <v>0</v>
      </c>
      <c r="Q1418" s="16" t="n">
        <v>0</v>
      </c>
      <c r="R1418" s="5" t="inlineStr">
        <is>
          <t>282-2025-12-31</t>
        </is>
      </c>
    </row>
    <row r="1419">
      <c r="A1419" s="26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144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4.5</v>
      </c>
      <c r="K1419" s="10" t="n">
        <v>4.6</v>
      </c>
      <c r="L1419" s="28">
        <f>IFERROR(IF(OR(J1419=0,K1419=""),"",IF(E1419="Positivo",MIN(MAX(K1419/J1419,0),1.3),MIN(MAX(J1419/K1419,0),1.3))),"") </f>
        <v/>
      </c>
      <c r="M1419" s="28">
        <f>IFERROR(IF(OR(J1419=0,K1419=""),"",IF(E1419="Positivo",MAX(K1419/J1419,0),MAX(J1419/K1419,0))),"") </f>
        <v/>
      </c>
      <c r="N1419" s="5" t="inlineStr">
        <is>
          <t>%</t>
        </is>
      </c>
      <c r="O1419" s="5" t="inlineStr">
        <is>
          <t>%</t>
        </is>
      </c>
      <c r="P1419" s="16" t="n">
        <v>2</v>
      </c>
      <c r="Q1419" s="16" t="n">
        <v>2</v>
      </c>
      <c r="R1419" s="5" t="inlineStr">
        <is>
          <t>283-2023-06-30</t>
        </is>
      </c>
    </row>
    <row r="1420">
      <c r="A1420" s="26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144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4.5</v>
      </c>
      <c r="K1420" s="10" t="n">
        <v>4.55</v>
      </c>
      <c r="L1420" s="28">
        <f>IFERROR(IF(OR(J1420=0,K1420=""),"",IF(E1420="Positivo",MIN(MAX(K1420/J1420,0),1.3),MIN(MAX(J1420/K1420,0),1.3))),"") </f>
        <v/>
      </c>
      <c r="M1420" s="28">
        <f>IFERROR(IF(OR(J1420=0,K1420=""),"",IF(E1420="Positivo",MAX(K1420/J1420,0),MAX(J1420/K1420,0))),"") </f>
        <v/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 t="inlineStr">
        <is>
          <t>283-2023-12-31</t>
        </is>
      </c>
    </row>
    <row r="1421">
      <c r="A1421" s="26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44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4.5</v>
      </c>
      <c r="K1421" s="10" t="n">
        <v>4.57</v>
      </c>
      <c r="L1421" s="28">
        <f>IFERROR(IF(OR(J1421=0,K1421=""),"",IF(E1421="Positivo",MIN(MAX(K1421/J1421,0),1.3),MIN(MAX(J1421/K1421,0),1.3))),"") </f>
        <v/>
      </c>
      <c r="M1421" s="28">
        <f>IFERROR(IF(OR(J1421=0,K1421=""),"",IF(E1421="Positivo",MAX(K1421/J1421,0),MAX(J1421/K1421,0))),"") </f>
        <v/>
      </c>
      <c r="N1421" s="5" t="inlineStr">
        <is>
          <t>DEC</t>
        </is>
      </c>
      <c r="O1421" s="5" t="inlineStr">
        <is>
          <t>DEC</t>
        </is>
      </c>
      <c r="P1421" s="16" t="n">
        <v>2</v>
      </c>
      <c r="Q1421" s="16" t="n">
        <v>2</v>
      </c>
      <c r="R1421" s="5" t="inlineStr">
        <is>
          <t>283-2024-06-30</t>
        </is>
      </c>
    </row>
    <row r="1422">
      <c r="A1422" s="26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44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4.5</v>
      </c>
      <c r="K1422" s="10" t="n">
        <v>4.64</v>
      </c>
      <c r="L1422" s="28">
        <f>IFERROR(IF(OR(J1422=0,K1422=""),"",IF(E1422="Positivo",MIN(MAX(K1422/J1422,0),1.3),MIN(MAX(J1422/K1422,0),1.3))),"") </f>
        <v/>
      </c>
      <c r="M1422" s="28">
        <f>IFERROR(IF(OR(J1422=0,K1422=""),"",IF(E1422="Positivo",MAX(K1422/J1422,0),MAX(J1422/K1422,0))),"") </f>
        <v/>
      </c>
      <c r="N1422" s="5" t="inlineStr">
        <is>
          <t>DEC</t>
        </is>
      </c>
      <c r="O1422" s="5" t="inlineStr">
        <is>
          <t>DEC</t>
        </is>
      </c>
      <c r="P1422" s="16" t="n">
        <v>2</v>
      </c>
      <c r="Q1422" s="16" t="n">
        <v>2</v>
      </c>
      <c r="R1422" s="5" t="inlineStr">
        <is>
          <t>283-2024-12-31</t>
        </is>
      </c>
    </row>
    <row r="1423">
      <c r="A1423" s="26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44" t="n">
        <v>45838</v>
      </c>
      <c r="G1423" s="5" t="n">
        <v>2025</v>
      </c>
      <c r="H1423" s="5" t="inlineStr">
        <is>
          <t>Junio</t>
        </is>
      </c>
      <c r="I1423" s="6" t="inlineStr">
        <is>
          <t>2025-1</t>
        </is>
      </c>
      <c r="J1423" s="5" t="n">
        <v>4.6</v>
      </c>
      <c r="K1423" s="10" t="n">
        <v>4.66</v>
      </c>
      <c r="L1423" s="28">
        <f>IFERROR(IF(OR(J1423=0,K1423=""),"",IF(E1423="Positivo",MIN(MAX(K1423/J1423,0),1.3),MIN(MAX(J1423/K1423,0),1.3))),"") </f>
        <v/>
      </c>
      <c r="M1423" s="28">
        <f>IFERROR(IF(OR(J1423=0,K1423=""),"",IF(E1423="Positivo",MAX(K1423/J1423,0),MAX(J1423/K1423,0))),"") </f>
        <v/>
      </c>
      <c r="N1423" s="5" t="inlineStr">
        <is>
          <t>DEC</t>
        </is>
      </c>
      <c r="O1423" s="5" t="inlineStr">
        <is>
          <t>DEC</t>
        </is>
      </c>
      <c r="P1423" s="16" t="n">
        <v>1</v>
      </c>
      <c r="Q1423" s="16" t="n">
        <v>2</v>
      </c>
      <c r="R1423" s="5" t="inlineStr">
        <is>
          <t>283-2025-06-30</t>
        </is>
      </c>
    </row>
    <row r="1424">
      <c r="A1424" s="26" t="n">
        <v>283</v>
      </c>
      <c r="B1424" s="5" t="inlineStr">
        <is>
          <t>Resultado evaluación docente</t>
        </is>
      </c>
      <c r="C1424" s="5" t="inlineStr">
        <is>
          <t>Gestión Docente</t>
        </is>
      </c>
      <c r="D1424" s="5" t="inlineStr">
        <is>
          <t>Trimestral</t>
        </is>
      </c>
      <c r="E1424" s="5" t="inlineStr">
        <is>
          <t>Positivo</t>
        </is>
      </c>
      <c r="F1424" s="144" t="n">
        <v>46022</v>
      </c>
      <c r="G1424" s="5" t="n">
        <v>2025</v>
      </c>
      <c r="H1424" s="5" t="inlineStr">
        <is>
          <t>Diciembre</t>
        </is>
      </c>
      <c r="I1424" s="6" t="inlineStr">
        <is>
          <t>2025-2</t>
        </is>
      </c>
      <c r="J1424" s="5" t="n">
        <v>4.6</v>
      </c>
      <c r="K1424" s="10" t="n">
        <v>4.67</v>
      </c>
      <c r="L1424" s="28">
        <f>IFERROR(IF(OR(J1424=0,K1424=""),"",IF(E1424="Positivo",MIN(MAX(K1424/J1424,0),1.3),MIN(MAX(J1424/K1424,0),1.3))),"") </f>
        <v/>
      </c>
      <c r="M1424" s="28">
        <f>IFERROR(IF(OR(J1424=0,K1424=""),"",IF(E1424="Positivo",MAX(K1424/J1424,0),MAX(J1424/K1424,0))),"") </f>
        <v/>
      </c>
      <c r="N1424" s="5" t="inlineStr">
        <is>
          <t>DEC</t>
        </is>
      </c>
      <c r="O1424" s="5" t="inlineStr">
        <is>
          <t>DEC</t>
        </is>
      </c>
      <c r="P1424" s="16" t="n">
        <v>1</v>
      </c>
      <c r="Q1424" s="16" t="n">
        <v>2</v>
      </c>
      <c r="R1424" s="5" t="inlineStr">
        <is>
          <t>283-2025-12-31</t>
        </is>
      </c>
    </row>
    <row r="1425">
      <c r="A1425" s="26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44" t="n">
        <v>45107</v>
      </c>
      <c r="G1425" s="5" t="n">
        <v>2023</v>
      </c>
      <c r="H1425" s="5" t="inlineStr">
        <is>
          <t>Junio</t>
        </is>
      </c>
      <c r="I1425" s="6" t="inlineStr">
        <is>
          <t>2023-1</t>
        </is>
      </c>
      <c r="J1425" s="5" t="n"/>
      <c r="K1425" s="123" t="n">
        <v>15047</v>
      </c>
      <c r="L1425" s="28" t="n"/>
      <c r="M1425" s="28" t="n"/>
      <c r="N1425" s="5" t="inlineStr">
        <is>
          <t>DEC</t>
        </is>
      </c>
      <c r="O1425" s="5" t="inlineStr">
        <is>
          <t>DEC</t>
        </is>
      </c>
      <c r="P1425" s="16" t="n">
        <v>0</v>
      </c>
      <c r="Q1425" s="16" t="n">
        <v>0</v>
      </c>
      <c r="R1425" s="5" t="inlineStr">
        <is>
          <t>284-2023-06-30</t>
        </is>
      </c>
    </row>
    <row r="1426">
      <c r="A1426" s="5" t="n">
        <v>284</v>
      </c>
      <c r="B1426" s="5" t="inlineStr">
        <is>
          <t>Número Horas semanales docentes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144" t="n">
        <v>45291</v>
      </c>
      <c r="G1426" s="5" t="n">
        <v>2023</v>
      </c>
      <c r="H1426" s="5" t="inlineStr">
        <is>
          <t>Diciembre</t>
        </is>
      </c>
      <c r="I1426" s="6" t="inlineStr">
        <is>
          <t>2023-2</t>
        </is>
      </c>
      <c r="J1426" s="5" t="n"/>
      <c r="K1426" s="5" t="n">
        <v>16281</v>
      </c>
      <c r="L1426" s="28" t="n"/>
      <c r="M1426" s="28" t="n"/>
      <c r="N1426" s="5" t="inlineStr">
        <is>
          <t>DEC</t>
        </is>
      </c>
      <c r="O1426" s="5" t="inlineStr">
        <is>
          <t>DEC</t>
        </is>
      </c>
      <c r="P1426" s="5" t="n">
        <v>0</v>
      </c>
      <c r="Q1426" s="5" t="n">
        <v>0</v>
      </c>
      <c r="R1426" s="5" t="inlineStr">
        <is>
          <t>284-2023-12-31</t>
        </is>
      </c>
    </row>
    <row r="1427">
      <c r="A1427" s="26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44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10" t="n">
        <v>100</v>
      </c>
      <c r="L1427" s="28">
        <f>IFERROR(IF(OR(J1427=0,K1427=""),"",IF(E1427="Positivo",MIN(MAX(K1427/J1427,0),1.3),MIN(MAX(J1427/K1427,0),1.3))),"") </f>
        <v/>
      </c>
      <c r="M1427" s="28">
        <f>IFERROR(IF(OR(J1427=0,K1427=""),"",IF(E1427="Positivo",MAX(K1427/J1427,0),MAX(J1427/K1427,0))),"") </f>
        <v/>
      </c>
      <c r="N1427" s="5" t="inlineStr">
        <is>
          <t>%</t>
        </is>
      </c>
      <c r="O1427" s="5" t="inlineStr">
        <is>
          <t>%</t>
        </is>
      </c>
      <c r="P1427" s="16" t="n">
        <v>0</v>
      </c>
      <c r="Q1427" s="16" t="n">
        <v>0</v>
      </c>
      <c r="R1427" s="5" t="inlineStr">
        <is>
          <t>285-2023-06-30</t>
        </is>
      </c>
    </row>
    <row r="1428">
      <c r="A1428" s="39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44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23" t="n">
        <v>100</v>
      </c>
      <c r="L1428" s="28">
        <f>IFERROR(IF(OR(J1428=0,K1428=""),"",IF(E1428="Positivo",MIN(MAX(K1428/J1428,0),1.3),MIN(MAX(J1428/K1428,0),1.3))),"") </f>
        <v/>
      </c>
      <c r="M1428" s="28">
        <f>IFERROR(IF(OR(J1428=0,K1428=""),"",IF(E1428="Positivo",MAX(K1428/J1428,0),MAX(J1428/K1428,0))),"") </f>
        <v/>
      </c>
      <c r="N1428" s="5" t="inlineStr">
        <is>
          <t>%</t>
        </is>
      </c>
      <c r="O1428" s="5" t="inlineStr">
        <is>
          <t>%</t>
        </is>
      </c>
      <c r="P1428" s="16" t="n">
        <v>0</v>
      </c>
      <c r="Q1428" s="16" t="n">
        <v>0</v>
      </c>
      <c r="R1428" s="5" t="inlineStr">
        <is>
          <t>285-2023-12-31</t>
        </is>
      </c>
    </row>
    <row r="1429">
      <c r="A1429" s="39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44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123" t="n">
        <v>100</v>
      </c>
      <c r="L1429" s="28">
        <f>IFERROR(IF(OR(J1429=0,K1429=""),"",IF(E1429="Positivo",MIN(MAX(K1429/J1429,0),1.3),MIN(MAX(J1429/K1429,0),1.3))),"") </f>
        <v/>
      </c>
      <c r="M1429" s="28">
        <f>IFERROR(IF(OR(J1429=0,K1429=""),"",IF(E1429="Positivo",MAX(K1429/J1429,0),MAX(J1429/K1429,0))),"") </f>
        <v/>
      </c>
      <c r="N1429" s="5" t="inlineStr">
        <is>
          <t>%</t>
        </is>
      </c>
      <c r="O1429" s="5" t="inlineStr">
        <is>
          <t>%</t>
        </is>
      </c>
      <c r="P1429" s="16" t="n">
        <v>0</v>
      </c>
      <c r="Q1429" s="16" t="n">
        <v>0</v>
      </c>
      <c r="R1429" s="5" t="inlineStr">
        <is>
          <t>285-2024-06-30</t>
        </is>
      </c>
    </row>
    <row r="1430">
      <c r="A1430" s="5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44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5" t="n">
        <v>100</v>
      </c>
      <c r="L1430" s="28">
        <f>IFERROR(IF(OR(J1430=0,K1430=""),"",IF(E1430="Positivo",MIN(MAX(K1430/J1430,0),1.3),MIN(MAX(J1430/K1430,0),1.3))),"") </f>
        <v/>
      </c>
      <c r="M1430" s="28">
        <f>IFERROR(IF(OR(J1430=0,K1430=""),"",IF(E1430="Positivo",MAX(K1430/J1430,0),MAX(J1430/K1430,0))),"") </f>
        <v/>
      </c>
      <c r="N1430" s="5" t="inlineStr">
        <is>
          <t>%</t>
        </is>
      </c>
      <c r="O1430" s="5" t="inlineStr">
        <is>
          <t>%</t>
        </is>
      </c>
      <c r="P1430" s="16" t="n">
        <v>0</v>
      </c>
      <c r="Q1430" s="5" t="n">
        <v>0</v>
      </c>
      <c r="R1430" s="5" t="inlineStr">
        <is>
          <t>285-2024-12-31</t>
        </is>
      </c>
    </row>
    <row r="1431">
      <c r="A1431" s="26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44" t="n">
        <v>45838</v>
      </c>
      <c r="G1431" s="5" t="n">
        <v>2025</v>
      </c>
      <c r="H1431" s="5" t="inlineStr">
        <is>
          <t>Junio</t>
        </is>
      </c>
      <c r="I1431" s="6" t="inlineStr">
        <is>
          <t>2025-1</t>
        </is>
      </c>
      <c r="J1431" s="5" t="n">
        <v>100</v>
      </c>
      <c r="K1431" s="10" t="n">
        <v>100</v>
      </c>
      <c r="L1431" s="28">
        <f>IFERROR(IF(OR(J1431=0,K1431=""),"",IF(E1431="Positivo",MIN(MAX(K1431/J1431,0),1.3),MIN(MAX(J1431/K1431,0),1.3))),"") </f>
        <v/>
      </c>
      <c r="M1431" s="28">
        <f>IFERROR(IF(OR(J1431=0,K1431=""),"",IF(E1431="Positivo",MAX(K1431/J1431,0),MAX(J1431/K1431,0))),"") </f>
        <v/>
      </c>
      <c r="N1431" s="5" t="inlineStr">
        <is>
          <t>%</t>
        </is>
      </c>
      <c r="O1431" s="5" t="inlineStr">
        <is>
          <t>%</t>
        </is>
      </c>
      <c r="P1431" s="16" t="n">
        <v>0</v>
      </c>
      <c r="Q1431" s="16" t="n">
        <v>0</v>
      </c>
      <c r="R1431" s="5" t="inlineStr">
        <is>
          <t>285-2025-06-30</t>
        </is>
      </c>
    </row>
    <row r="1432">
      <c r="A1432" s="39" t="n">
        <v>285</v>
      </c>
      <c r="B1432" s="5" t="inlineStr">
        <is>
          <t>Docentes con plan de trabajo asignado</t>
        </is>
      </c>
      <c r="C1432" s="5" t="inlineStr">
        <is>
          <t>Gestión Docente</t>
        </is>
      </c>
      <c r="D1432" s="5" t="inlineStr">
        <is>
          <t>Trimestral</t>
        </is>
      </c>
      <c r="E1432" s="5" t="inlineStr">
        <is>
          <t>Positivo</t>
        </is>
      </c>
      <c r="F1432" s="144" t="n">
        <v>46022</v>
      </c>
      <c r="G1432" s="5" t="n">
        <v>2025</v>
      </c>
      <c r="H1432" s="5" t="inlineStr">
        <is>
          <t>Diciembre</t>
        </is>
      </c>
      <c r="I1432" s="6" t="inlineStr">
        <is>
          <t>2025-2</t>
        </is>
      </c>
      <c r="J1432" s="5" t="n">
        <v>100</v>
      </c>
      <c r="K1432" s="123" t="n">
        <v>100</v>
      </c>
      <c r="L1432" s="28">
        <f>IFERROR(IF(OR(J1432=0,K1432=""),"",IF(E1432="Positivo",MIN(MAX(K1432/J1432,0),1.3),MIN(MAX(J1432/K1432,0),1.3))),"") </f>
        <v/>
      </c>
      <c r="M1432" s="28">
        <f>IFERROR(IF(OR(J1432=0,K1432=""),"",IF(E1432="Positivo",MAX(K1432/J1432,0),MAX(J1432/K1432,0))),"") </f>
        <v/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 t="inlineStr">
        <is>
          <t>285-2025-12-31</t>
        </is>
      </c>
    </row>
    <row r="1433">
      <c r="A1433" s="5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44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/>
      <c r="K1433" s="5" t="n">
        <v>1015</v>
      </c>
      <c r="L1433" s="28" t="n"/>
      <c r="M1433" s="28" t="n"/>
      <c r="N1433" s="5" t="inlineStr">
        <is>
          <t>%</t>
        </is>
      </c>
      <c r="O1433" s="5" t="inlineStr">
        <is>
          <t>%</t>
        </is>
      </c>
      <c r="P1433" s="16" t="n">
        <v>0</v>
      </c>
      <c r="Q1433" s="5" t="n">
        <v>0</v>
      </c>
      <c r="R1433" s="5" t="inlineStr">
        <is>
          <t>286-2023-06-30</t>
        </is>
      </c>
    </row>
    <row r="1434">
      <c r="A1434" s="26" t="n">
        <v>286</v>
      </c>
      <c r="B1434" s="5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44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/>
      <c r="K1434" s="10" t="n">
        <v>1017</v>
      </c>
      <c r="L1434" s="28" t="n"/>
      <c r="M1434" s="28" t="n"/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 t="inlineStr">
        <is>
          <t>286-2023-12-31</t>
        </is>
      </c>
    </row>
    <row r="1435">
      <c r="A1435" s="26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44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0</v>
      </c>
      <c r="K1435" s="10" t="n">
        <v>1080</v>
      </c>
      <c r="L1435" s="28">
        <f>IFERROR(IF(OR(J1435=0,K1435=""),"",IF(E1435="Positivo",MIN(MAX(K1435/J1435,0),1.3),MIN(MAX(J1435/K1435,0),1.3))),"") </f>
        <v/>
      </c>
      <c r="M1435" s="28">
        <f>IFERROR(IF(OR(J1435=0,K1435=""),"",IF(E1435="Positivo",MAX(K1435/J1435,0),MAX(J1435/K1435,0))),"") </f>
        <v/>
      </c>
      <c r="N1435" s="5" t="n">
        <v>0</v>
      </c>
      <c r="O1435" s="11" t="inlineStr">
        <is>
          <t>ENT</t>
        </is>
      </c>
      <c r="P1435" s="16" t="n">
        <v>0</v>
      </c>
      <c r="Q1435" s="16" t="n">
        <v>0</v>
      </c>
      <c r="R1435" s="5" t="inlineStr">
        <is>
          <t>286-2024-06-30</t>
        </is>
      </c>
    </row>
    <row r="1436">
      <c r="A1436" s="26" t="n">
        <v>286</v>
      </c>
      <c r="B1436" s="5" t="inlineStr">
        <is>
          <t>Total docentes por nivel de estudios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44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0</v>
      </c>
      <c r="K1436" s="10" t="n">
        <v>1018</v>
      </c>
      <c r="L1436" s="28">
        <f>IFERROR(IF(OR(J1436=0,K1436=""),"",IF(E1436="Positivo",MIN(MAX(K1436/J1436,0),1.3),MIN(MAX(J1436/K1436,0),1.3))),"") </f>
        <v/>
      </c>
      <c r="M1436" s="28">
        <f>IFERROR(IF(OR(J1436=0,K1436=""),"",IF(E1436="Positivo",MAX(K1436/J1436,0),MAX(J1436/K1436,0))),"") </f>
        <v/>
      </c>
      <c r="N1436" s="5" t="n">
        <v>0</v>
      </c>
      <c r="O1436" s="11" t="inlineStr">
        <is>
          <t>ENT</t>
        </is>
      </c>
      <c r="P1436" s="16" t="n">
        <v>0</v>
      </c>
      <c r="Q1436" s="16" t="n">
        <v>0</v>
      </c>
      <c r="R1436" s="5" t="inlineStr">
        <is>
          <t>286-2024-12-31</t>
        </is>
      </c>
    </row>
    <row r="1437">
      <c r="A1437" s="26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44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/>
      <c r="K1437" s="10" t="n">
        <v>1099</v>
      </c>
      <c r="L1437" s="28" t="n"/>
      <c r="M1437" s="28" t="n"/>
      <c r="N1437" s="5" t="inlineStr">
        <is>
          <t>Metrica</t>
        </is>
      </c>
      <c r="O1437" s="11" t="inlineStr">
        <is>
          <t>Metrica</t>
        </is>
      </c>
      <c r="P1437" s="16" t="n">
        <v>0</v>
      </c>
      <c r="Q1437" s="16" t="n">
        <v>0</v>
      </c>
      <c r="R1437" s="5" t="inlineStr">
        <is>
          <t>286-2025-06-30</t>
        </is>
      </c>
      <c r="S1437" t="inlineStr">
        <is>
          <t>Metrica</t>
        </is>
      </c>
    </row>
    <row r="1438">
      <c r="A1438" s="26" t="n">
        <v>286</v>
      </c>
      <c r="B1438" s="5" t="inlineStr">
        <is>
          <t>Total docentes por nivel de estudios - Metrica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44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/>
      <c r="K1438" s="10" t="n">
        <v>1071</v>
      </c>
      <c r="L1438" s="28" t="n"/>
      <c r="M1438" s="28" t="n"/>
      <c r="N1438" s="5" t="inlineStr">
        <is>
          <t>Metrica</t>
        </is>
      </c>
      <c r="O1438" s="11" t="inlineStr">
        <is>
          <t>Metrica</t>
        </is>
      </c>
      <c r="P1438" s="16" t="n">
        <v>0</v>
      </c>
      <c r="Q1438" s="16" t="n">
        <v>0</v>
      </c>
      <c r="R1438" s="5" t="inlineStr">
        <is>
          <t>286-2025-12-31</t>
        </is>
      </c>
      <c r="S1438" t="inlineStr">
        <is>
          <t>Metrica</t>
        </is>
      </c>
    </row>
    <row r="1439">
      <c r="A1439" s="26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44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85</v>
      </c>
      <c r="K1439" s="10" t="n">
        <v>112.5</v>
      </c>
      <c r="L1439" s="28">
        <f>IFERROR(IF(OR(J1439=0,K1439=""),"",IF(E1439="Positivo",MIN(MAX(K1439/J1439,0),1.3),MIN(MAX(J1439/K1439,0),1.3))),"") </f>
        <v/>
      </c>
      <c r="M1439" s="28">
        <f>IFERROR(IF(OR(J1439=0,K1439=""),"",IF(E1439="Positivo",MAX(K1439/J1439,0),MAX(J1439/K1439,0))),"") </f>
        <v/>
      </c>
      <c r="N1439" s="5" t="n">
        <v>0</v>
      </c>
      <c r="O1439" s="11" t="inlineStr">
        <is>
          <t>ENT</t>
        </is>
      </c>
      <c r="P1439" s="16" t="n">
        <v>0</v>
      </c>
      <c r="Q1439" s="16" t="n">
        <v>0</v>
      </c>
      <c r="R1439" s="5" t="inlineStr">
        <is>
          <t>288-2023-06-30</t>
        </is>
      </c>
    </row>
    <row r="1440">
      <c r="A1440" s="5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44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85</v>
      </c>
      <c r="K1440" s="5" t="n">
        <v>112.5</v>
      </c>
      <c r="L1440" s="28">
        <f>IFERROR(IF(OR(J1440=0,K1440=""),"",IF(E1440="Positivo",MIN(MAX(K1440/J1440,0),1.3),MIN(MAX(J1440/K1440,0),1.3))),"") </f>
        <v/>
      </c>
      <c r="M1440" s="28">
        <f>IFERROR(IF(OR(J1440=0,K1440=""),"",IF(E1440="Positivo",MAX(K1440/J1440,0),MAX(J1440/K1440,0))),"") </f>
        <v/>
      </c>
      <c r="N1440" s="5" t="n">
        <v>0</v>
      </c>
      <c r="O1440" s="11" t="inlineStr">
        <is>
          <t>ENT</t>
        </is>
      </c>
      <c r="P1440" s="5" t="n">
        <v>0</v>
      </c>
      <c r="Q1440" s="5" t="n">
        <v>0</v>
      </c>
      <c r="R1440" s="5" t="inlineStr">
        <is>
          <t>288-2023-12-31</t>
        </is>
      </c>
    </row>
    <row r="1441">
      <c r="A1441" s="26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44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85</v>
      </c>
      <c r="K1441" s="10" t="n">
        <v>185.71428571429</v>
      </c>
      <c r="L1441" s="28">
        <f>IFERROR(IF(OR(J1441=0,K1441=""),"",IF(E1441="Positivo",MIN(MAX(K1441/J1441,0),1.3),MIN(MAX(J1441/K1441,0),1.3))),"") </f>
        <v/>
      </c>
      <c r="M1441" s="28">
        <f>IFERROR(IF(OR(J1441=0,K1441=""),"",IF(E1441="Positivo",MAX(K1441/J1441,0),MAX(J1441/K1441,0))),"") </f>
        <v/>
      </c>
      <c r="N1441" s="5" t="inlineStr">
        <is>
          <t>ENT</t>
        </is>
      </c>
      <c r="O1441" s="11" t="inlineStr">
        <is>
          <t>ENT</t>
        </is>
      </c>
      <c r="P1441" s="16" t="n">
        <v>0</v>
      </c>
      <c r="Q1441" s="16" t="n">
        <v>0</v>
      </c>
      <c r="R1441" s="5" t="inlineStr">
        <is>
          <t>288-2024-06-30</t>
        </is>
      </c>
    </row>
    <row r="1442">
      <c r="A1442" s="26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144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85</v>
      </c>
      <c r="K1442" s="10" t="n">
        <v>0</v>
      </c>
      <c r="L1442" s="28">
        <f>IFERROR(IF(OR(J1442=0,K1442=""),"",IF(E1442="Positivo",MIN(MAX(K1442/J1442,0),1.3),MIN(MAX(J1442/K1442,0),1.3))),"") </f>
        <v/>
      </c>
      <c r="M1442" s="28">
        <f>IFERROR(IF(OR(J1442=0,K1442=""),"",IF(E1442="Positivo",MAX(K1442/J1442,0),MAX(J1442/K1442,0))),"") </f>
        <v/>
      </c>
      <c r="N1442" s="5" t="inlineStr">
        <is>
          <t>ENT</t>
        </is>
      </c>
      <c r="O1442" s="11" t="inlineStr">
        <is>
          <t>ENT</t>
        </is>
      </c>
      <c r="P1442" s="16" t="n">
        <v>0</v>
      </c>
      <c r="Q1442" s="16" t="n">
        <v>0</v>
      </c>
      <c r="R1442" s="5" t="inlineStr">
        <is>
          <t>288-2024-12-31</t>
        </is>
      </c>
    </row>
    <row r="1443">
      <c r="A1443" s="26" t="n">
        <v>288</v>
      </c>
      <c r="B1443" s="5" t="inlineStr">
        <is>
          <t>Número docentes escalafonados presentados en convocatoria</t>
        </is>
      </c>
      <c r="C1443" s="5" t="inlineStr">
        <is>
          <t>Gestión Docente</t>
        </is>
      </c>
      <c r="D1443" s="5" t="inlineStr">
        <is>
          <t>Anual</t>
        </is>
      </c>
      <c r="E1443" s="5" t="inlineStr">
        <is>
          <t>Positivo</t>
        </is>
      </c>
      <c r="F1443" s="144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100</v>
      </c>
      <c r="K1443" s="10" t="n">
        <v>100</v>
      </c>
      <c r="L1443" s="28">
        <f>IFERROR(IF(OR(J1443=0,K1443=""),"",IF(E1443="Positivo",MIN(MAX(K1443/J1443,0),1.3),MIN(MAX(J1443/K1443,0),1.3))),"") </f>
        <v/>
      </c>
      <c r="M1443" s="28">
        <f>IFERROR(IF(OR(J1443=0,K1443=""),"",IF(E1443="Positivo",MAX(K1443/J1443,0),MAX(J1443/K1443,0))),"") </f>
        <v/>
      </c>
      <c r="N1443" s="5" t="inlineStr">
        <is>
          <t>ENT</t>
        </is>
      </c>
      <c r="O1443" s="11" t="inlineStr">
        <is>
          <t>ENT</t>
        </is>
      </c>
      <c r="P1443" s="16" t="n">
        <v>0</v>
      </c>
      <c r="Q1443" s="16" t="n">
        <v>0</v>
      </c>
      <c r="R1443" s="5" t="inlineStr">
        <is>
          <t>288-2025-06-30</t>
        </is>
      </c>
    </row>
    <row r="1444">
      <c r="A1444" s="26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144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>
        <v>95</v>
      </c>
      <c r="K1444" s="10" t="n">
        <v>85.71428571428601</v>
      </c>
      <c r="L1444" s="28">
        <f>IFERROR(IF(OR(J1444=0,K1444=""),"",IF(E1444="Positivo",MIN(MAX(K1444/J1444,0),1.3),MIN(MAX(J1444/K1444,0),1.3))),"") </f>
        <v/>
      </c>
      <c r="M1444" s="28">
        <f>IFERROR(IF(OR(J1444=0,K1444=""),"",IF(E1444="Positivo",MAX(K1444/J1444,0),MAX(J1444/K1444,0))),"") </f>
        <v/>
      </c>
      <c r="N1444" s="5" t="inlineStr">
        <is>
          <t>%</t>
        </is>
      </c>
      <c r="O1444" s="11" t="inlineStr">
        <is>
          <t>%</t>
        </is>
      </c>
      <c r="P1444" s="16" t="n">
        <v>1</v>
      </c>
      <c r="Q1444" s="16" t="n">
        <v>1</v>
      </c>
      <c r="R1444" s="5" t="inlineStr">
        <is>
          <t>289-2023-06-30</t>
        </is>
      </c>
    </row>
    <row r="1445">
      <c r="A1445" s="26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144" t="n">
        <v>45199</v>
      </c>
      <c r="G1445" s="5" t="n">
        <v>2023</v>
      </c>
      <c r="H1445" s="5" t="inlineStr">
        <is>
          <t>Septiembre</t>
        </is>
      </c>
      <c r="I1445" s="6" t="inlineStr">
        <is>
          <t>2023-2</t>
        </is>
      </c>
      <c r="J1445" s="5" t="n">
        <v>95</v>
      </c>
      <c r="K1445" s="10" t="n">
        <v>87.5</v>
      </c>
      <c r="L1445" s="28">
        <f>IFERROR(IF(OR(J1445=0,K1445=""),"",IF(E1445="Positivo",MIN(MAX(K1445/J1445,0),1.3),MIN(MAX(J1445/K1445,0),1.3))),"") </f>
        <v/>
      </c>
      <c r="M1445" s="28">
        <f>IFERROR(IF(OR(J1445=0,K1445=""),"",IF(E1445="Positivo",MAX(K1445/J1445,0),MAX(J1445/K1445,0))),"") </f>
        <v/>
      </c>
      <c r="N1445" s="5" t="inlineStr">
        <is>
          <t>%</t>
        </is>
      </c>
      <c r="O1445" s="11" t="inlineStr">
        <is>
          <t>%</t>
        </is>
      </c>
      <c r="P1445" s="16" t="n">
        <v>1</v>
      </c>
      <c r="Q1445" s="16" t="n">
        <v>1</v>
      </c>
      <c r="R1445" s="5" t="inlineStr">
        <is>
          <t>289-2023-09-30</t>
        </is>
      </c>
    </row>
    <row r="1446">
      <c r="A1446" s="26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144" t="n">
        <v>45473</v>
      </c>
      <c r="G1446" s="5" t="n">
        <v>2024</v>
      </c>
      <c r="H1446" s="5" t="inlineStr">
        <is>
          <t>Junio</t>
        </is>
      </c>
      <c r="I1446" s="6" t="inlineStr">
        <is>
          <t>2024-1</t>
        </is>
      </c>
      <c r="J1446" s="5" t="n">
        <v>95</v>
      </c>
      <c r="K1446" s="10" t="n">
        <v>100</v>
      </c>
      <c r="L1446" s="28">
        <f>IFERROR(IF(OR(J1446=0,K1446=""),"",IF(E1446="Positivo",MIN(MAX(K1446/J1446,0),1.3),MIN(MAX(J1446/K1446,0),1.3))),"") </f>
        <v/>
      </c>
      <c r="M1446" s="28">
        <f>IFERROR(IF(OR(J1446=0,K1446=""),"",IF(E1446="Positivo",MAX(K1446/J1446,0),MAX(J1446/K1446,0))),"") </f>
        <v/>
      </c>
      <c r="N1446" s="5" t="inlineStr">
        <is>
          <t>%</t>
        </is>
      </c>
      <c r="O1446" s="11" t="inlineStr">
        <is>
          <t>%</t>
        </is>
      </c>
      <c r="P1446" s="16" t="n">
        <v>0</v>
      </c>
      <c r="Q1446" s="16" t="n">
        <v>0</v>
      </c>
      <c r="R1446" s="5" t="inlineStr">
        <is>
          <t>289-2024-06-30</t>
        </is>
      </c>
    </row>
    <row r="1447">
      <c r="A1447" s="5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144" t="n">
        <v>45565</v>
      </c>
      <c r="G1447" s="5" t="n">
        <v>2024</v>
      </c>
      <c r="H1447" s="5" t="inlineStr">
        <is>
          <t>Septiembre</t>
        </is>
      </c>
      <c r="I1447" s="6" t="inlineStr">
        <is>
          <t>2024-2</t>
        </is>
      </c>
      <c r="J1447" s="5" t="n">
        <v>95</v>
      </c>
      <c r="K1447" s="5" t="n">
        <v>80</v>
      </c>
      <c r="L1447" s="28">
        <f>IFERROR(IF(OR(J1447=0,K1447=""),"",IF(E1447="Positivo",MIN(MAX(K1447/J1447,0),1.3),MIN(MAX(J1447/K1447,0),1.3))),"") </f>
        <v/>
      </c>
      <c r="M1447" s="28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289-2024-09-30</t>
        </is>
      </c>
    </row>
    <row r="1448">
      <c r="A1448" s="26" t="n">
        <v>289</v>
      </c>
      <c r="B1448" s="5" t="inlineStr">
        <is>
          <t>Cumplimiento plan de comunicaciones SGC</t>
        </is>
      </c>
      <c r="C1448" s="5" t="inlineStr">
        <is>
          <t>Gestión de calidad</t>
        </is>
      </c>
      <c r="D1448" s="5" t="inlineStr">
        <is>
          <t>Trimestral</t>
        </is>
      </c>
      <c r="E1448" s="5" t="inlineStr">
        <is>
          <t>Positivo</t>
        </is>
      </c>
      <c r="F1448" s="144" t="n">
        <v>45657</v>
      </c>
      <c r="G1448" s="5" t="n">
        <v>2024</v>
      </c>
      <c r="H1448" s="5" t="inlineStr">
        <is>
          <t>Diciembre</t>
        </is>
      </c>
      <c r="I1448" s="6" t="inlineStr">
        <is>
          <t>2024-2</t>
        </is>
      </c>
      <c r="J1448" s="5" t="n">
        <v>95</v>
      </c>
      <c r="K1448" s="10" t="n">
        <v>100</v>
      </c>
      <c r="L1448" s="28">
        <f>IFERROR(IF(OR(J1448=0,K1448=""),"",IF(E1448="Positivo",MIN(MAX(K1448/J1448,0),1.3),MIN(MAX(J1448/K1448,0),1.3))),"") </f>
        <v/>
      </c>
      <c r="M1448" s="28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6" t="n">
        <v>0</v>
      </c>
      <c r="Q1448" s="16" t="n">
        <v>0</v>
      </c>
      <c r="R1448" s="5" t="inlineStr">
        <is>
          <t>289-2024-12-31</t>
        </is>
      </c>
    </row>
    <row r="1449">
      <c r="A1449" s="5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144" t="n">
        <v>45107</v>
      </c>
      <c r="G1449" s="5" t="n">
        <v>2023</v>
      </c>
      <c r="H1449" s="5" t="inlineStr">
        <is>
          <t>Junio</t>
        </is>
      </c>
      <c r="I1449" s="6" t="inlineStr">
        <is>
          <t>2023-1</t>
        </is>
      </c>
      <c r="J1449" s="5" t="n">
        <v>90</v>
      </c>
      <c r="K1449" s="5" t="n">
        <v>100</v>
      </c>
      <c r="L1449" s="28">
        <f>IFERROR(IF(OR(J1449=0,K1449=""),"",IF(E1449="Positivo",MIN(MAX(K1449/J1449,0),1.3),MIN(MAX(J1449/K1449,0),1.3))),"") </f>
        <v/>
      </c>
      <c r="M1449" s="28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290-2023-06-30</t>
        </is>
      </c>
    </row>
    <row r="1450">
      <c r="A1450" s="26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144" t="n">
        <v>45168</v>
      </c>
      <c r="G1450" s="5" t="n">
        <v>2023</v>
      </c>
      <c r="H1450" s="5" t="inlineStr">
        <is>
          <t>Agosto</t>
        </is>
      </c>
      <c r="I1450" s="6" t="inlineStr">
        <is>
          <t>2023-2</t>
        </is>
      </c>
      <c r="J1450" s="5" t="n">
        <v>90</v>
      </c>
      <c r="K1450" s="10" t="n">
        <v>81.81999999999999</v>
      </c>
      <c r="L1450" s="28">
        <f>IFERROR(IF(OR(J1450=0,K1450=""),"",IF(E1450="Positivo",MIN(MAX(K1450/J1450,0),1.3),MIN(MAX(J1450/K1450,0),1.3))),"") </f>
        <v/>
      </c>
      <c r="M1450" s="28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6" t="n">
        <v>0</v>
      </c>
      <c r="Q1450" s="16" t="n">
        <v>0</v>
      </c>
      <c r="R1450" s="5" t="inlineStr">
        <is>
          <t>290-2023-08-30</t>
        </is>
      </c>
    </row>
    <row r="1451">
      <c r="A1451" s="26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144" t="n">
        <v>45230</v>
      </c>
      <c r="G1451" s="5" t="n">
        <v>2023</v>
      </c>
      <c r="H1451" s="5" t="inlineStr">
        <is>
          <t>Octubre</t>
        </is>
      </c>
      <c r="I1451" s="6" t="inlineStr">
        <is>
          <t>2023-2</t>
        </is>
      </c>
      <c r="J1451" s="5" t="n">
        <v>90</v>
      </c>
      <c r="K1451" s="10" t="n">
        <v>90.91</v>
      </c>
      <c r="L1451" s="28">
        <f>IFERROR(IF(OR(J1451=0,K1451=""),"",IF(E1451="Positivo",MIN(MAX(K1451/J1451,0),1.3),MIN(MAX(J1451/K1451,0),1.3))),"") </f>
        <v/>
      </c>
      <c r="M1451" s="28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6" t="n">
        <v>0</v>
      </c>
      <c r="Q1451" s="16" t="n">
        <v>0</v>
      </c>
      <c r="R1451" s="5" t="inlineStr">
        <is>
          <t>290-2023-10-31</t>
        </is>
      </c>
    </row>
    <row r="1452">
      <c r="A1452" s="5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144" t="n">
        <v>45291</v>
      </c>
      <c r="G1452" s="5" t="n">
        <v>2023</v>
      </c>
      <c r="H1452" s="5" t="inlineStr">
        <is>
          <t>Diciembre</t>
        </is>
      </c>
      <c r="I1452" s="6" t="inlineStr">
        <is>
          <t>2023-2</t>
        </is>
      </c>
      <c r="J1452" s="5" t="n">
        <v>90</v>
      </c>
      <c r="K1452" s="5" t="n">
        <v>80</v>
      </c>
      <c r="L1452" s="28">
        <f>IFERROR(IF(OR(J1452=0,K1452=""),"",IF(E1452="Positivo",MIN(MAX(K1452/J1452,0),1.3),MIN(MAX(J1452/K1452,0),1.3))),"") </f>
        <v/>
      </c>
      <c r="M1452" s="28">
        <f>IFERROR(IF(OR(J1452=0,K1452=""),"",IF(E1452="Positivo",MAX(K1452/J1452,0),MAX(J1452/K1452,0))),"") </f>
        <v/>
      </c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290-2023-12-31</t>
        </is>
      </c>
    </row>
    <row r="1453">
      <c r="A1453" s="26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144" t="n">
        <v>45351</v>
      </c>
      <c r="G1453" s="5" t="n">
        <v>2024</v>
      </c>
      <c r="H1453" s="5" t="inlineStr">
        <is>
          <t>Febrero</t>
        </is>
      </c>
      <c r="I1453" s="6" t="inlineStr">
        <is>
          <t>2024-1</t>
        </is>
      </c>
      <c r="J1453" s="5" t="n">
        <v>90</v>
      </c>
      <c r="K1453" s="10" t="n">
        <v>91.666666666667</v>
      </c>
      <c r="L1453" s="28">
        <f>IFERROR(IF(OR(J1453=0,K1453=""),"",IF(E1453="Positivo",MIN(MAX(K1453/J1453,0),1.3),MIN(MAX(J1453/K1453,0),1.3))),"") </f>
        <v/>
      </c>
      <c r="M1453" s="28">
        <f>IFERROR(IF(OR(J1453=0,K1453=""),"",IF(E1453="Positivo",MAX(K1453/J1453,0),MAX(J1453/K1453,0))),"") </f>
        <v/>
      </c>
      <c r="N1453" s="5" t="n"/>
      <c r="O1453" s="5" t="n"/>
      <c r="P1453" s="16" t="n">
        <v>0</v>
      </c>
      <c r="Q1453" s="16" t="n">
        <v>0</v>
      </c>
      <c r="R1453" s="5" t="inlineStr">
        <is>
          <t>290-2024-02-29</t>
        </is>
      </c>
    </row>
    <row r="1454">
      <c r="A1454" s="5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144" t="n">
        <v>45412</v>
      </c>
      <c r="G1454" s="5" t="n">
        <v>2024</v>
      </c>
      <c r="H1454" s="5" t="inlineStr">
        <is>
          <t>Abril</t>
        </is>
      </c>
      <c r="I1454" s="6" t="inlineStr">
        <is>
          <t>2024-1</t>
        </is>
      </c>
      <c r="J1454" s="5" t="n">
        <v>90</v>
      </c>
      <c r="K1454" s="5" t="n">
        <v>100</v>
      </c>
      <c r="L1454" s="28">
        <f>IFERROR(IF(OR(J1454=0,K1454=""),"",IF(E1454="Positivo",MIN(MAX(K1454/J1454,0),1.3),MIN(MAX(J1454/K1454,0),1.3))),"") </f>
        <v/>
      </c>
      <c r="M1454" s="28">
        <f>IFERROR(IF(OR(J1454=0,K1454=""),"",IF(E1454="Positivo",MAX(K1454/J1454,0),MAX(J1454/K1454,0))),"") </f>
        <v/>
      </c>
      <c r="N1454" s="5" t="n"/>
      <c r="O1454" s="5" t="n"/>
      <c r="P1454" s="5" t="n">
        <v>0</v>
      </c>
      <c r="Q1454" s="5" t="n">
        <v>0</v>
      </c>
      <c r="R1454" s="5" t="inlineStr">
        <is>
          <t>290-2024-04-30</t>
        </is>
      </c>
    </row>
    <row r="1455">
      <c r="A1455" s="26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144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90</v>
      </c>
      <c r="K1455" s="10" t="n">
        <v>100</v>
      </c>
      <c r="L1455" s="28">
        <f>IFERROR(IF(OR(J1455=0,K1455=""),"",IF(E1455="Positivo",MIN(MAX(K1455/J1455,0),1.3),MIN(MAX(J1455/K1455,0),1.3))),"") </f>
        <v/>
      </c>
      <c r="M1455" s="28">
        <f>IFERROR(IF(OR(J1455=0,K1455=""),"",IF(E1455="Positivo",MAX(K1455/J1455,0),MAX(J1455/K1455,0))),"") </f>
        <v/>
      </c>
      <c r="N1455" s="5" t="n"/>
      <c r="O1455" s="5" t="n"/>
      <c r="P1455" s="16" t="n">
        <v>0</v>
      </c>
      <c r="Q1455" s="16" t="n">
        <v>0</v>
      </c>
      <c r="R1455" s="5" t="inlineStr">
        <is>
          <t>290-2024-06-30</t>
        </is>
      </c>
    </row>
    <row r="1456">
      <c r="A1456" s="5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144" t="n">
        <v>45535</v>
      </c>
      <c r="G1456" s="5" t="n">
        <v>2024</v>
      </c>
      <c r="H1456" s="5" t="inlineStr">
        <is>
          <t>Agosto</t>
        </is>
      </c>
      <c r="I1456" s="6" t="inlineStr">
        <is>
          <t>2024-2</t>
        </is>
      </c>
      <c r="J1456" s="5" t="n">
        <v>90</v>
      </c>
      <c r="K1456" s="5" t="n">
        <v>100</v>
      </c>
      <c r="L1456" s="28">
        <f>IFERROR(IF(OR(J1456=0,K1456=""),"",IF(E1456="Positivo",MIN(MAX(K1456/J1456,0),1.3),MIN(MAX(J1456/K1456,0),1.3))),"") </f>
        <v/>
      </c>
      <c r="M1456" s="28">
        <f>IFERROR(IF(OR(J1456=0,K1456=""),"",IF(E1456="Positivo",MAX(K1456/J1456,0),MAX(J1456/K1456,0))),"") </f>
        <v/>
      </c>
      <c r="N1456" s="5" t="n"/>
      <c r="O1456" s="5" t="n"/>
      <c r="P1456" s="5" t="n">
        <v>0</v>
      </c>
      <c r="Q1456" s="5" t="n">
        <v>0</v>
      </c>
      <c r="R1456" s="5" t="inlineStr">
        <is>
          <t>290-2024-08-31</t>
        </is>
      </c>
    </row>
    <row r="1457">
      <c r="A1457" s="26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144" t="n">
        <v>45596</v>
      </c>
      <c r="G1457" s="5" t="n">
        <v>2024</v>
      </c>
      <c r="H1457" s="5" t="inlineStr">
        <is>
          <t>Octubre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28">
        <f>IFERROR(IF(OR(J1457=0,K1457=""),"",IF(E1457="Positivo",MIN(MAX(K1457/J1457,0),1.3),MIN(MAX(J1457/K1457,0),1.3))),"") </f>
        <v/>
      </c>
      <c r="M1457" s="28">
        <f>IFERROR(IF(OR(J1457=0,K1457=""),"",IF(E1457="Positivo",MAX(K1457/J1457,0),MAX(J1457/K1457,0))),"") </f>
        <v/>
      </c>
      <c r="N1457" s="5" t="n"/>
      <c r="O1457" s="5" t="n"/>
      <c r="P1457" s="16" t="n">
        <v>0</v>
      </c>
      <c r="Q1457" s="16" t="n">
        <v>0</v>
      </c>
      <c r="R1457" s="5" t="inlineStr">
        <is>
          <t>290-2024-10-31</t>
        </is>
      </c>
    </row>
    <row r="1458">
      <c r="A1458" s="26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144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90</v>
      </c>
      <c r="K1458" s="10" t="n">
        <v>100</v>
      </c>
      <c r="L1458" s="28">
        <f>IFERROR(IF(OR(J1458=0,K1458=""),"",IF(E1458="Positivo",MIN(MAX(K1458/J1458,0),1.3),MIN(MAX(J1458/K1458,0),1.3))),"") </f>
        <v/>
      </c>
      <c r="M1458" s="28">
        <f>IFERROR(IF(OR(J1458=0,K1458=""),"",IF(E1458="Positivo",MAX(K1458/J1458,0),MAX(J1458/K1458,0))),"") </f>
        <v/>
      </c>
      <c r="N1458" s="5" t="n"/>
      <c r="O1458" s="5" t="n"/>
      <c r="P1458" s="16" t="n">
        <v>0</v>
      </c>
      <c r="Q1458" s="16" t="n">
        <v>0</v>
      </c>
      <c r="R1458" s="5" t="inlineStr">
        <is>
          <t>290-2024-12-31</t>
        </is>
      </c>
    </row>
    <row r="1459">
      <c r="A1459" s="26" t="n">
        <v>290</v>
      </c>
      <c r="B1459" s="5" t="inlineStr">
        <is>
          <t>Cierre eficaz de las oportunidades de mejora</t>
        </is>
      </c>
      <c r="C1459" s="5" t="inlineStr">
        <is>
          <t>Planificación POLISIGS</t>
        </is>
      </c>
      <c r="D1459" s="5" t="inlineStr">
        <is>
          <t>Bimestral</t>
        </is>
      </c>
      <c r="E1459" s="5" t="inlineStr">
        <is>
          <t>Positivo</t>
        </is>
      </c>
      <c r="F1459" s="144" t="n">
        <v>45716</v>
      </c>
      <c r="G1459" s="5" t="n">
        <v>2025</v>
      </c>
      <c r="H1459" s="5" t="inlineStr">
        <is>
          <t>Febrero</t>
        </is>
      </c>
      <c r="I1459" s="6" t="inlineStr">
        <is>
          <t>2025-1</t>
        </is>
      </c>
      <c r="J1459" s="5" t="n">
        <v>90</v>
      </c>
      <c r="K1459" s="10" t="n">
        <v>80</v>
      </c>
      <c r="L1459" s="28">
        <f>IFERROR(IF(OR(J1459=0,K1459=""),"",IF(E1459="Positivo",MIN(MAX(K1459/J1459,0),1.3),MIN(MAX(J1459/K1459,0),1.3))),"") </f>
        <v/>
      </c>
      <c r="M1459" s="28">
        <f>IFERROR(IF(OR(J1459=0,K1459=""),"",IF(E1459="Positivo",MAX(K1459/J1459,0),MAX(J1459/K1459,0))),"") </f>
        <v/>
      </c>
      <c r="N1459" s="5" t="inlineStr">
        <is>
          <t>%</t>
        </is>
      </c>
      <c r="O1459" s="5" t="inlineStr">
        <is>
          <t>%</t>
        </is>
      </c>
      <c r="P1459" s="16" t="n">
        <v>0</v>
      </c>
      <c r="Q1459" s="16" t="n">
        <v>0</v>
      </c>
      <c r="R1459" s="5" t="inlineStr">
        <is>
          <t>290-2025-02-28</t>
        </is>
      </c>
    </row>
    <row r="1460">
      <c r="A1460" s="26" t="n">
        <v>290</v>
      </c>
      <c r="B1460" s="5" t="inlineStr">
        <is>
          <t>Cierre eficaz de las oportunidades de mejora</t>
        </is>
      </c>
      <c r="C1460" s="5" t="inlineStr">
        <is>
          <t>Planificación POLISIGS</t>
        </is>
      </c>
      <c r="D1460" s="5" t="inlineStr">
        <is>
          <t>Bimestral</t>
        </is>
      </c>
      <c r="E1460" s="5" t="inlineStr">
        <is>
          <t>Positivo</t>
        </is>
      </c>
      <c r="F1460" s="144" t="n">
        <v>45777</v>
      </c>
      <c r="G1460" s="5" t="n">
        <v>2025</v>
      </c>
      <c r="H1460" s="5" t="inlineStr">
        <is>
          <t>Abril</t>
        </is>
      </c>
      <c r="I1460" s="6" t="inlineStr">
        <is>
          <t>2025-1</t>
        </is>
      </c>
      <c r="J1460" s="5" t="n">
        <v>90</v>
      </c>
      <c r="K1460" s="10" t="n">
        <v>100</v>
      </c>
      <c r="L1460" s="28">
        <f>IFERROR(IF(OR(J1460=0,K1460=""),"",IF(E1460="Positivo",MIN(MAX(K1460/J1460,0),1.3),MIN(MAX(J1460/K1460,0),1.3))),"") </f>
        <v/>
      </c>
      <c r="M1460" s="28">
        <f>IFERROR(IF(OR(J1460=0,K1460=""),"",IF(E1460="Positivo",MAX(K1460/J1460,0),MAX(J1460/K1460,0))),"") </f>
        <v/>
      </c>
      <c r="N1460" s="5" t="inlineStr">
        <is>
          <t>%</t>
        </is>
      </c>
      <c r="O1460" s="5" t="inlineStr">
        <is>
          <t>%</t>
        </is>
      </c>
      <c r="P1460" s="16" t="n">
        <v>0</v>
      </c>
      <c r="Q1460" s="16" t="n">
        <v>0</v>
      </c>
      <c r="R1460" s="5" t="inlineStr">
        <is>
          <t>290-2025-04-30</t>
        </is>
      </c>
    </row>
    <row r="1461">
      <c r="A1461" s="5" t="n">
        <v>290</v>
      </c>
      <c r="B1461" s="5" t="inlineStr">
        <is>
          <t>Cierre eficaz de las oportunidades de mejora</t>
        </is>
      </c>
      <c r="C1461" s="5" t="inlineStr">
        <is>
          <t>Planificación POLISIGS</t>
        </is>
      </c>
      <c r="D1461" s="5" t="inlineStr">
        <is>
          <t>Bimestral</t>
        </is>
      </c>
      <c r="E1461" s="5" t="inlineStr">
        <is>
          <t>Positivo</t>
        </is>
      </c>
      <c r="F1461" s="144" t="n">
        <v>45838</v>
      </c>
      <c r="G1461" s="5" t="n">
        <v>2025</v>
      </c>
      <c r="H1461" s="5" t="inlineStr">
        <is>
          <t>Junio</t>
        </is>
      </c>
      <c r="I1461" s="6" t="inlineStr">
        <is>
          <t>2025-1</t>
        </is>
      </c>
      <c r="J1461" s="5" t="n">
        <v>90</v>
      </c>
      <c r="K1461" s="5" t="n">
        <v>100</v>
      </c>
      <c r="L1461" s="28">
        <f>IFERROR(IF(OR(J1461=0,K1461=""),"",IF(E1461="Positivo",MIN(MAX(K1461/J1461,0),1.3),MIN(MAX(J1461/K1461,0),1.3))),"") </f>
        <v/>
      </c>
      <c r="M1461" s="28">
        <f>IFERROR(IF(OR(J1461=0,K1461=""),"",IF(E1461="Positivo",MAX(K1461/J1461,0),MAX(J1461/K1461,0))),"") </f>
        <v/>
      </c>
      <c r="N1461" s="5" t="inlineStr">
        <is>
          <t>%</t>
        </is>
      </c>
      <c r="O1461" s="5" t="inlineStr">
        <is>
          <t>%</t>
        </is>
      </c>
      <c r="P1461" s="5" t="n">
        <v>0</v>
      </c>
      <c r="Q1461" s="5" t="n">
        <v>0</v>
      </c>
      <c r="R1461" s="5" t="inlineStr">
        <is>
          <t>290-2025-06-30</t>
        </is>
      </c>
    </row>
    <row r="1462">
      <c r="A1462" s="26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144" t="n">
        <v>45107</v>
      </c>
      <c r="G1462" s="5" t="n">
        <v>2023</v>
      </c>
      <c r="H1462" s="5" t="inlineStr">
        <is>
          <t>Junio</t>
        </is>
      </c>
      <c r="I1462" s="6" t="inlineStr">
        <is>
          <t>2023-1</t>
        </is>
      </c>
      <c r="J1462" s="5" t="n">
        <v>100</v>
      </c>
      <c r="K1462" s="10" t="n">
        <v>100</v>
      </c>
      <c r="L1462" s="28">
        <f>IFERROR(IF(OR(J1462=0,K1462=""),"",IF(E1462="Positivo",MIN(MAX(K1462/J1462,0),1.3),MIN(MAX(J1462/K1462,0),1.3))),"") </f>
        <v/>
      </c>
      <c r="M1462" s="28">
        <f>IFERROR(IF(OR(J1462=0,K1462=""),"",IF(E1462="Positivo",MAX(K1462/J1462,0),MAX(J1462/K1462,0))),"") </f>
        <v/>
      </c>
      <c r="N1462" s="5" t="inlineStr">
        <is>
          <t>%</t>
        </is>
      </c>
      <c r="O1462" s="5" t="inlineStr">
        <is>
          <t>%</t>
        </is>
      </c>
      <c r="P1462" s="16" t="n">
        <v>0</v>
      </c>
      <c r="Q1462" s="16" t="n">
        <v>0</v>
      </c>
      <c r="R1462" s="5" t="inlineStr">
        <is>
          <t>291-2023-06-30</t>
        </is>
      </c>
    </row>
    <row r="1463">
      <c r="A1463" s="26" t="n">
        <v>291</v>
      </c>
      <c r="B1463" s="5" t="inlineStr">
        <is>
          <t>Cumplimiento del cronograma de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144" t="n">
        <v>45291</v>
      </c>
      <c r="G1463" s="5" t="n">
        <v>2023</v>
      </c>
      <c r="H1463" s="5" t="inlineStr">
        <is>
          <t>Diciembre</t>
        </is>
      </c>
      <c r="I1463" s="6" t="inlineStr">
        <is>
          <t>2023-2</t>
        </is>
      </c>
      <c r="J1463" s="5" t="n">
        <v>100</v>
      </c>
      <c r="K1463" s="10" t="n">
        <v>100</v>
      </c>
      <c r="L1463" s="28">
        <f>IFERROR(IF(OR(J1463=0,K1463=""),"",IF(E1463="Positivo",MIN(MAX(K1463/J1463,0),1.3),MIN(MAX(J1463/K1463,0),1.3))),"") </f>
        <v/>
      </c>
      <c r="M1463" s="28">
        <f>IFERROR(IF(OR(J1463=0,K1463=""),"",IF(E1463="Positivo",MAX(K1463/J1463,0),MAX(J1463/K1463,0))),"") </f>
        <v/>
      </c>
      <c r="N1463" s="5" t="inlineStr">
        <is>
          <t>%</t>
        </is>
      </c>
      <c r="O1463" s="5" t="inlineStr">
        <is>
          <t>%</t>
        </is>
      </c>
      <c r="P1463" s="16" t="n">
        <v>0</v>
      </c>
      <c r="Q1463" s="16" t="n">
        <v>0</v>
      </c>
      <c r="R1463" s="5" t="inlineStr">
        <is>
          <t>291-2023-12-31</t>
        </is>
      </c>
    </row>
    <row r="1464">
      <c r="A1464" s="26" t="n">
        <v>291</v>
      </c>
      <c r="B1464" s="5" t="inlineStr">
        <is>
          <t>Cumplimiento del cronograma de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144" t="n">
        <v>45473</v>
      </c>
      <c r="G1464" s="5" t="n">
        <v>2024</v>
      </c>
      <c r="H1464" s="5" t="inlineStr">
        <is>
          <t>Junio</t>
        </is>
      </c>
      <c r="I1464" s="6" t="inlineStr">
        <is>
          <t>2024-1</t>
        </is>
      </c>
      <c r="J1464" s="5" t="n">
        <v>100</v>
      </c>
      <c r="K1464" s="10" t="n">
        <v>100</v>
      </c>
      <c r="L1464" s="28">
        <f>IFERROR(IF(OR(J1464=0,K1464=""),"",IF(E1464="Positivo",MIN(MAX(K1464/J1464,0),1.3),MIN(MAX(J1464/K1464,0),1.3))),"") </f>
        <v/>
      </c>
      <c r="M1464" s="28">
        <f>IFERROR(IF(OR(J1464=0,K1464=""),"",IF(E1464="Positivo",MAX(K1464/J1464,0),MAX(J1464/K1464,0))),"") </f>
        <v/>
      </c>
      <c r="N1464" s="5" t="inlineStr">
        <is>
          <t>%</t>
        </is>
      </c>
      <c r="O1464" s="5" t="inlineStr">
        <is>
          <t>%</t>
        </is>
      </c>
      <c r="P1464" s="16" t="n">
        <v>0</v>
      </c>
      <c r="Q1464" s="16" t="n">
        <v>0</v>
      </c>
      <c r="R1464" s="5" t="inlineStr">
        <is>
          <t>291-2024-06-30</t>
        </is>
      </c>
    </row>
    <row r="1465">
      <c r="A1465" s="5" t="n">
        <v>291</v>
      </c>
      <c r="B1465" s="5" t="inlineStr">
        <is>
          <t>Cumplimiento del cronograma de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144" t="n">
        <v>45657</v>
      </c>
      <c r="G1465" s="5" t="n">
        <v>2024</v>
      </c>
      <c r="H1465" s="5" t="inlineStr">
        <is>
          <t>Diciembre</t>
        </is>
      </c>
      <c r="I1465" s="6" t="inlineStr">
        <is>
          <t>2024-2</t>
        </is>
      </c>
      <c r="J1465" s="5" t="n">
        <v>100</v>
      </c>
      <c r="K1465" s="5" t="n">
        <v>100</v>
      </c>
      <c r="L1465" s="28">
        <f>IFERROR(IF(OR(J1465=0,K1465=""),"",IF(E1465="Positivo",MIN(MAX(K1465/J1465,0),1.3),MIN(MAX(J1465/K1465,0),1.3))),"") </f>
        <v/>
      </c>
      <c r="M1465" s="28">
        <f>IFERROR(IF(OR(J1465=0,K1465=""),"",IF(E1465="Positivo",MAX(K1465/J1465,0),MAX(J1465/K1465,0))),"") </f>
        <v/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291-2024-12-31</t>
        </is>
      </c>
    </row>
    <row r="1466">
      <c r="A1466" s="26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144" t="n">
        <v>45107</v>
      </c>
      <c r="G1466" s="5" t="n">
        <v>2023</v>
      </c>
      <c r="H1466" s="5" t="inlineStr">
        <is>
          <t>Junio</t>
        </is>
      </c>
      <c r="I1466" s="6" t="inlineStr">
        <is>
          <t>2023-1</t>
        </is>
      </c>
      <c r="J1466" s="5" t="n">
        <v>3</v>
      </c>
      <c r="K1466" s="10" t="n">
        <v>10.990099009901</v>
      </c>
      <c r="L1466" s="28">
        <f>IFERROR(IF(OR(J1466=0,K1466=""),"",IF(E1466="Positivo",MIN(MAX(K1466/J1466,0),1.3),MIN(MAX(J1466/K1466,0),1.3))),"") </f>
        <v/>
      </c>
      <c r="M1466" s="28">
        <f>IFERROR(IF(OR(J1466=0,K1466=""),"",IF(E1466="Positivo",MAX(K1466/J1466,0),MAX(J1466/K1466,0))),"") </f>
        <v/>
      </c>
      <c r="N1466" s="5" t="inlineStr">
        <is>
          <t>%</t>
        </is>
      </c>
      <c r="O1466" s="5" t="inlineStr">
        <is>
          <t>%</t>
        </is>
      </c>
      <c r="P1466" s="16" t="n">
        <v>0</v>
      </c>
      <c r="Q1466" s="16" t="n">
        <v>0</v>
      </c>
      <c r="R1466" s="5" t="inlineStr">
        <is>
          <t>292-2023-06-30</t>
        </is>
      </c>
    </row>
    <row r="1467">
      <c r="A1467" s="26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Semestral</t>
        </is>
      </c>
      <c r="E1467" s="5" t="inlineStr">
        <is>
          <t>Positivo</t>
        </is>
      </c>
      <c r="F1467" s="144" t="n">
        <v>45291</v>
      </c>
      <c r="G1467" s="5" t="n">
        <v>2023</v>
      </c>
      <c r="H1467" s="5" t="inlineStr">
        <is>
          <t>Diciembre</t>
        </is>
      </c>
      <c r="I1467" s="6" t="inlineStr">
        <is>
          <t>2023-2</t>
        </is>
      </c>
      <c r="J1467" s="5" t="n">
        <v>3</v>
      </c>
      <c r="K1467" s="10" t="n">
        <v>27.659574468085</v>
      </c>
      <c r="L1467" s="28">
        <f>IFERROR(IF(OR(J1467=0,K1467=""),"",IF(E1467="Positivo",MIN(MAX(K1467/J1467,0),1.3),MIN(MAX(J1467/K1467,0),1.3))),"") </f>
        <v/>
      </c>
      <c r="M1467" s="28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16" t="n">
        <v>0</v>
      </c>
      <c r="Q1467" s="16" t="n">
        <v>0</v>
      </c>
      <c r="R1467" s="5" t="inlineStr">
        <is>
          <t>292-2023-12-31</t>
        </is>
      </c>
    </row>
    <row r="1468">
      <c r="A1468" s="26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Semestral</t>
        </is>
      </c>
      <c r="E1468" s="5" t="inlineStr">
        <is>
          <t>Positivo</t>
        </is>
      </c>
      <c r="F1468" s="144" t="n">
        <v>45473</v>
      </c>
      <c r="G1468" s="5" t="n">
        <v>2024</v>
      </c>
      <c r="H1468" s="5" t="inlineStr">
        <is>
          <t>Junio</t>
        </is>
      </c>
      <c r="I1468" s="6" t="inlineStr">
        <is>
          <t>2024-1</t>
        </is>
      </c>
      <c r="J1468" s="5" t="n">
        <v>3</v>
      </c>
      <c r="K1468" s="10" t="n">
        <v>23.31390507910074</v>
      </c>
      <c r="L1468" s="28">
        <f>IFERROR(IF(OR(J1468=0,K1468=""),"",IF(E1468="Positivo",MIN(MAX(K1468/J1468,0),1.3),MIN(MAX(J1468/K1468,0),1.3))),"") </f>
        <v/>
      </c>
      <c r="M1468" s="28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6" t="n">
        <v>0</v>
      </c>
      <c r="Q1468" s="16" t="n">
        <v>0</v>
      </c>
      <c r="R1468" s="5" t="inlineStr">
        <is>
          <t>292-2024-06-30</t>
        </is>
      </c>
    </row>
    <row r="1469">
      <c r="A1469" s="26" t="n">
        <v>292</v>
      </c>
      <c r="B1469" s="5" t="inlineStr">
        <is>
          <t>Participación en Actividades deportivas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144" t="n">
        <v>45657</v>
      </c>
      <c r="G1469" s="5" t="n">
        <v>2024</v>
      </c>
      <c r="H1469" s="5" t="inlineStr">
        <is>
          <t>Diciembre</t>
        </is>
      </c>
      <c r="I1469" s="6" t="inlineStr">
        <is>
          <t>2024-2</t>
        </is>
      </c>
      <c r="J1469" s="5" t="n">
        <v>3</v>
      </c>
      <c r="K1469" s="10" t="n">
        <v>14.26386233269599</v>
      </c>
      <c r="L1469" s="28">
        <f>IFERROR(IF(OR(J1469=0,K1469=""),"",IF(E1469="Positivo",MIN(MAX(K1469/J1469,0),1.3),MIN(MAX(J1469/K1469,0),1.3))),"") </f>
        <v/>
      </c>
      <c r="M1469" s="28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16" t="n">
        <v>0</v>
      </c>
      <c r="Q1469" s="16" t="n">
        <v>0</v>
      </c>
      <c r="R1469" s="5" t="inlineStr">
        <is>
          <t>292-2024-12-31</t>
        </is>
      </c>
    </row>
    <row r="1470">
      <c r="A1470" s="26" t="n">
        <v>292</v>
      </c>
      <c r="B1470" s="5" t="inlineStr">
        <is>
          <t>Participación en Actividades deportivas</t>
        </is>
      </c>
      <c r="C1470" s="5" t="inlineStr">
        <is>
          <t>Cultura y Deporte</t>
        </is>
      </c>
      <c r="D1470" s="5" t="inlineStr">
        <is>
          <t>Semestral</t>
        </is>
      </c>
      <c r="E1470" s="5" t="inlineStr">
        <is>
          <t>Positivo</t>
        </is>
      </c>
      <c r="F1470" s="144" t="n">
        <v>45838</v>
      </c>
      <c r="G1470" s="5" t="n">
        <v>2025</v>
      </c>
      <c r="H1470" s="5" t="inlineStr">
        <is>
          <t>Junio</t>
        </is>
      </c>
      <c r="I1470" s="6" t="inlineStr">
        <is>
          <t>2025-1</t>
        </is>
      </c>
      <c r="J1470" s="5" t="n">
        <v>8</v>
      </c>
      <c r="K1470" s="10" t="n">
        <v>9.789999999999999</v>
      </c>
      <c r="L1470" s="28">
        <f>IFERROR(IF(OR(J1470=0,K1470=""),"",IF(E1470="Positivo",MIN(MAX(K1470/J1470,0),1.3),MIN(MAX(J1470/K1470,0),1.3))),"") </f>
        <v/>
      </c>
      <c r="M1470" s="28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6" t="n">
        <v>0</v>
      </c>
      <c r="Q1470" s="16" t="n">
        <v>0</v>
      </c>
      <c r="R1470" s="5" t="inlineStr">
        <is>
          <t>292-2025-06-30</t>
        </is>
      </c>
    </row>
    <row r="1471">
      <c r="A1471" s="26" t="n">
        <v>292</v>
      </c>
      <c r="B1471" s="5" t="inlineStr">
        <is>
          <t>Participación en Actividades deportivas</t>
        </is>
      </c>
      <c r="C1471" s="5" t="inlineStr">
        <is>
          <t>Cultura y Deporte</t>
        </is>
      </c>
      <c r="D1471" s="5" t="inlineStr">
        <is>
          <t>Trimestral</t>
        </is>
      </c>
      <c r="E1471" s="5" t="inlineStr">
        <is>
          <t>Positivo</t>
        </is>
      </c>
      <c r="F1471" s="144" t="n">
        <v>46022</v>
      </c>
      <c r="G1471" s="5" t="n">
        <v>2025</v>
      </c>
      <c r="H1471" s="5" t="inlineStr">
        <is>
          <t>Diciembre</t>
        </is>
      </c>
      <c r="I1471" s="6" t="inlineStr">
        <is>
          <t>2025-2</t>
        </is>
      </c>
      <c r="J1471" s="5" t="n">
        <v>8</v>
      </c>
      <c r="K1471" s="10" t="n">
        <v>11.21</v>
      </c>
      <c r="L1471" s="28">
        <f>IFERROR(IF(OR(J1471=0,K1471=""),"",IF(E1471="Positivo",MIN(MAX(K1471/J1471,0),1.3),MIN(MAX(J1471/K1471,0),1.3))),"") </f>
        <v/>
      </c>
      <c r="M1471" s="28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6" t="n">
        <v>0</v>
      </c>
      <c r="Q1471" s="16" t="n">
        <v>0</v>
      </c>
      <c r="R1471" s="5" t="inlineStr">
        <is>
          <t>292-2025-12-31</t>
        </is>
      </c>
    </row>
    <row r="1472">
      <c r="A1472" s="5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144" t="n">
        <v>45107</v>
      </c>
      <c r="G1472" s="5" t="n">
        <v>2023</v>
      </c>
      <c r="H1472" s="5" t="inlineStr">
        <is>
          <t>Junio</t>
        </is>
      </c>
      <c r="I1472" s="6" t="inlineStr">
        <is>
          <t>2023-1</t>
        </is>
      </c>
      <c r="J1472" s="5" t="n">
        <v>100</v>
      </c>
      <c r="K1472" s="5" t="n">
        <v>100</v>
      </c>
      <c r="L1472" s="28">
        <f>IFERROR(IF(OR(J1472=0,K1472=""),"",IF(E1472="Positivo",MIN(MAX(K1472/J1472,0),1.3),MIN(MAX(J1472/K1472,0),1.3))),"") </f>
        <v/>
      </c>
      <c r="M1472" s="28">
        <f>IFERROR(IF(OR(J1472=0,K1472=""),"",IF(E1472="Positivo",MAX(K1472/J1472,0),MAX(J1472/K1472,0))),"") </f>
        <v/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293-2023-06-30</t>
        </is>
      </c>
    </row>
    <row r="1473">
      <c r="A1473" s="26" t="n">
        <v>293</v>
      </c>
      <c r="B1473" s="5" t="inlineStr">
        <is>
          <t>Cumplimiento del cronograma de actividades culturales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144" t="n">
        <v>45291</v>
      </c>
      <c r="G1473" s="5" t="n">
        <v>2023</v>
      </c>
      <c r="H1473" s="5" t="inlineStr">
        <is>
          <t>Diciembre</t>
        </is>
      </c>
      <c r="I1473" s="6" t="inlineStr">
        <is>
          <t>2023-2</t>
        </is>
      </c>
      <c r="J1473" s="5" t="n">
        <v>100</v>
      </c>
      <c r="K1473" s="10" t="n">
        <v>100</v>
      </c>
      <c r="L1473" s="28">
        <f>IFERROR(IF(OR(J1473=0,K1473=""),"",IF(E1473="Positivo",MIN(MAX(K1473/J1473,0),1.3),MIN(MAX(J1473/K1473,0),1.3))),"") </f>
        <v/>
      </c>
      <c r="M1473" s="28">
        <f>IFERROR(IF(OR(J1473=0,K1473=""),"",IF(E1473="Positivo",MAX(K1473/J1473,0),MAX(J1473/K1473,0))),"") </f>
        <v/>
      </c>
      <c r="N1473" s="5" t="inlineStr">
        <is>
          <t>%</t>
        </is>
      </c>
      <c r="O1473" s="5" t="inlineStr">
        <is>
          <t>%</t>
        </is>
      </c>
      <c r="P1473" s="16" t="n">
        <v>0</v>
      </c>
      <c r="Q1473" s="16" t="n">
        <v>0</v>
      </c>
      <c r="R1473" s="5" t="inlineStr">
        <is>
          <t>293-2023-12-31</t>
        </is>
      </c>
    </row>
    <row r="1474">
      <c r="A1474" s="5" t="n">
        <v>293</v>
      </c>
      <c r="B1474" s="5" t="inlineStr">
        <is>
          <t>Cumplimiento del cronograma de actividades culturales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144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100</v>
      </c>
      <c r="K1474" s="5" t="n">
        <v>100</v>
      </c>
      <c r="L1474" s="28">
        <f>IFERROR(IF(OR(J1474=0,K1474=""),"",IF(E1474="Positivo",MIN(MAX(K1474/J1474,0),1.3),MIN(MAX(J1474/K1474,0),1.3))),"") </f>
        <v/>
      </c>
      <c r="M1474" s="28">
        <f>IFERROR(IF(OR(J1474=0,K1474=""),"",IF(E1474="Positivo",MAX(K1474/J1474,0),MAX(J1474/K1474,0))),"") </f>
        <v/>
      </c>
      <c r="N1474" s="5" t="inlineStr">
        <is>
          <t>%</t>
        </is>
      </c>
      <c r="O1474" s="5" t="inlineStr">
        <is>
          <t>%</t>
        </is>
      </c>
      <c r="P1474" s="5" t="n">
        <v>0</v>
      </c>
      <c r="Q1474" s="5" t="n">
        <v>0</v>
      </c>
      <c r="R1474" s="5" t="inlineStr">
        <is>
          <t>293-2024-06-30</t>
        </is>
      </c>
    </row>
    <row r="1475">
      <c r="A1475" s="26" t="n">
        <v>293</v>
      </c>
      <c r="B1475" s="5" t="inlineStr">
        <is>
          <t>Cumplimiento del cronograma de actividades culturales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144" t="n">
        <v>45657</v>
      </c>
      <c r="G1475" s="5" t="n">
        <v>2024</v>
      </c>
      <c r="H1475" s="5" t="inlineStr">
        <is>
          <t>Diciembre</t>
        </is>
      </c>
      <c r="I1475" s="6" t="inlineStr">
        <is>
          <t>2024-2</t>
        </is>
      </c>
      <c r="J1475" s="5" t="n">
        <v>100</v>
      </c>
      <c r="K1475" s="10" t="n">
        <v>100</v>
      </c>
      <c r="L1475" s="28">
        <f>IFERROR(IF(OR(J1475=0,K1475=""),"",IF(E1475="Positivo",MIN(MAX(K1475/J1475,0),1.3),MIN(MAX(J1475/K1475,0),1.3))),"") </f>
        <v/>
      </c>
      <c r="M1475" s="28">
        <f>IFERROR(IF(OR(J1475=0,K1475=""),"",IF(E1475="Positivo",MAX(K1475/J1475,0),MAX(J1475/K1475,0))),"") </f>
        <v/>
      </c>
      <c r="N1475" s="5" t="inlineStr">
        <is>
          <t>%</t>
        </is>
      </c>
      <c r="O1475" s="5" t="inlineStr">
        <is>
          <t>%</t>
        </is>
      </c>
      <c r="P1475" s="16" t="n">
        <v>0</v>
      </c>
      <c r="Q1475" s="16" t="n">
        <v>0</v>
      </c>
      <c r="R1475" s="5" t="inlineStr">
        <is>
          <t>293-2024-12-31</t>
        </is>
      </c>
    </row>
    <row r="1476">
      <c r="A1476" s="5" t="n">
        <v>294</v>
      </c>
      <c r="B1476" s="5" t="inlineStr">
        <is>
          <t>Participación en actividades culturales presenciales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144" t="n">
        <v>45107</v>
      </c>
      <c r="G1476" s="5" t="n">
        <v>2023</v>
      </c>
      <c r="H1476" s="5" t="inlineStr">
        <is>
          <t>Junio</t>
        </is>
      </c>
      <c r="I1476" s="6" t="inlineStr">
        <is>
          <t>2023-1</t>
        </is>
      </c>
      <c r="J1476" s="5" t="n">
        <v>3</v>
      </c>
      <c r="K1476" s="5" t="n">
        <v>30.15873015873</v>
      </c>
      <c r="L1476" s="28">
        <f>IFERROR(IF(OR(J1476=0,K1476=""),"",IF(E1476="Positivo",MIN(MAX(K1476/J1476,0),1.3),MIN(MAX(J1476/K1476,0),1.3))),"") </f>
        <v/>
      </c>
      <c r="M1476" s="28">
        <f>IFERROR(IF(OR(J1476=0,K1476=""),"",IF(E1476="Positivo",MAX(K1476/J1476,0),MAX(J1476/K1476,0))),"") </f>
        <v/>
      </c>
      <c r="N1476" s="5" t="inlineStr">
        <is>
          <t>%</t>
        </is>
      </c>
      <c r="O1476" s="5" t="inlineStr">
        <is>
          <t>%</t>
        </is>
      </c>
      <c r="P1476" s="5" t="n">
        <v>0</v>
      </c>
      <c r="Q1476" s="5" t="n">
        <v>0</v>
      </c>
      <c r="R1476" s="5" t="inlineStr">
        <is>
          <t>294-2023-06-30</t>
        </is>
      </c>
    </row>
    <row r="1477">
      <c r="A1477" s="26" t="n">
        <v>294</v>
      </c>
      <c r="B1477" s="5" t="inlineStr">
        <is>
          <t>Participación en actividades culturales presenciales</t>
        </is>
      </c>
      <c r="C1477" s="5" t="inlineStr">
        <is>
          <t>Cultura y Deporte</t>
        </is>
      </c>
      <c r="D1477" s="5" t="inlineStr">
        <is>
          <t>Semestral</t>
        </is>
      </c>
      <c r="E1477" s="5" t="inlineStr">
        <is>
          <t>Positivo</t>
        </is>
      </c>
      <c r="F1477" s="144" t="n">
        <v>45291</v>
      </c>
      <c r="G1477" s="5" t="n">
        <v>2023</v>
      </c>
      <c r="H1477" s="5" t="inlineStr">
        <is>
          <t>Diciembre</t>
        </is>
      </c>
      <c r="I1477" s="6" t="inlineStr">
        <is>
          <t>2023-2</t>
        </is>
      </c>
      <c r="J1477" s="5" t="n">
        <v>3</v>
      </c>
      <c r="K1477" s="10" t="n">
        <v>41.986754966887</v>
      </c>
      <c r="L1477" s="28">
        <f>IFERROR(IF(OR(J1477=0,K1477=""),"",IF(E1477="Positivo",MIN(MAX(K1477/J1477,0),1.3),MIN(MAX(J1477/K1477,0),1.3))),"") </f>
        <v/>
      </c>
      <c r="M1477" s="28">
        <f>IFERROR(IF(OR(J1477=0,K1477=""),"",IF(E1477="Positivo",MAX(K1477/J1477,0),MAX(J1477/K1477,0))),"") </f>
        <v/>
      </c>
      <c r="N1477" s="5" t="inlineStr">
        <is>
          <t>%</t>
        </is>
      </c>
      <c r="O1477" s="5" t="inlineStr">
        <is>
          <t>%</t>
        </is>
      </c>
      <c r="P1477" s="16" t="n">
        <v>0</v>
      </c>
      <c r="Q1477" s="16" t="n">
        <v>0</v>
      </c>
      <c r="R1477" s="5" t="inlineStr">
        <is>
          <t>294-2023-12-31</t>
        </is>
      </c>
    </row>
    <row r="1478">
      <c r="A1478" s="26" t="n">
        <v>294</v>
      </c>
      <c r="B1478" s="5" t="inlineStr">
        <is>
          <t>Participación en actividades culturales presenciales</t>
        </is>
      </c>
      <c r="C1478" s="5" t="inlineStr">
        <is>
          <t>Cultura y Deporte</t>
        </is>
      </c>
      <c r="D1478" s="5" t="inlineStr">
        <is>
          <t>Semestral</t>
        </is>
      </c>
      <c r="E1478" s="5" t="inlineStr">
        <is>
          <t>Positivo</t>
        </is>
      </c>
      <c r="F1478" s="144" t="n">
        <v>45473</v>
      </c>
      <c r="G1478" s="5" t="n">
        <v>2024</v>
      </c>
      <c r="H1478" s="5" t="inlineStr">
        <is>
          <t>Junio</t>
        </is>
      </c>
      <c r="I1478" s="6" t="inlineStr">
        <is>
          <t>2024-1</t>
        </is>
      </c>
      <c r="J1478" s="5" t="n">
        <v>3</v>
      </c>
      <c r="K1478" s="10" t="n">
        <v>26.27669452181987</v>
      </c>
      <c r="L1478" s="28">
        <f>IFERROR(IF(OR(J1478=0,K1478=""),"",IF(E1478="Positivo",MIN(MAX(K1478/J1478,0),1.3),MIN(MAX(J1478/K1478,0),1.3))),"") </f>
        <v/>
      </c>
      <c r="M1478" s="28">
        <f>IFERROR(IF(OR(J1478=0,K1478=""),"",IF(E1478="Positivo",MAX(K1478/J1478,0),MAX(J1478/K1478,0))),"") </f>
        <v/>
      </c>
      <c r="N1478" s="5" t="inlineStr">
        <is>
          <t>%</t>
        </is>
      </c>
      <c r="O1478" s="5" t="inlineStr">
        <is>
          <t>%</t>
        </is>
      </c>
      <c r="P1478" s="16" t="n">
        <v>0</v>
      </c>
      <c r="Q1478" s="16" t="n">
        <v>0</v>
      </c>
      <c r="R1478" s="5" t="inlineStr">
        <is>
          <t>294-2024-06-30</t>
        </is>
      </c>
    </row>
    <row r="1479">
      <c r="A1479" s="5" t="n">
        <v>294</v>
      </c>
      <c r="B1479" s="5" t="inlineStr">
        <is>
          <t>Participación en actividades culturales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144" t="n">
        <v>45657</v>
      </c>
      <c r="G1479" s="5" t="n">
        <v>2024</v>
      </c>
      <c r="H1479" s="5" t="inlineStr">
        <is>
          <t>Diciembre</t>
        </is>
      </c>
      <c r="I1479" s="6" t="inlineStr">
        <is>
          <t>2024-2</t>
        </is>
      </c>
      <c r="J1479" s="5" t="n">
        <v>3</v>
      </c>
      <c r="K1479" s="5" t="n">
        <v>5.5</v>
      </c>
      <c r="L1479" s="28">
        <f>IFERROR(IF(OR(J1479=0,K1479=""),"",IF(E1479="Positivo",MIN(MAX(K1479/J1479,0),1.3),MIN(MAX(J1479/K1479,0),1.3))),"") </f>
        <v/>
      </c>
      <c r="M1479" s="28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5" t="n">
        <v>0</v>
      </c>
      <c r="Q1479" s="5" t="n">
        <v>0</v>
      </c>
      <c r="R1479" s="5" t="inlineStr">
        <is>
          <t>294-2024-12-31</t>
        </is>
      </c>
    </row>
    <row r="1480">
      <c r="A1480" s="26" t="n">
        <v>294</v>
      </c>
      <c r="B1480" s="5" t="inlineStr">
        <is>
          <t>Participación en actividades culturales</t>
        </is>
      </c>
      <c r="C1480" s="5" t="inlineStr">
        <is>
          <t>Cultura y Deporte</t>
        </is>
      </c>
      <c r="D1480" s="5" t="inlineStr">
        <is>
          <t>Semestral</t>
        </is>
      </c>
      <c r="E1480" s="5" t="inlineStr">
        <is>
          <t>Positivo</t>
        </is>
      </c>
      <c r="F1480" s="144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8</v>
      </c>
      <c r="K1480" s="10" t="n">
        <v>-9.19</v>
      </c>
      <c r="L1480" s="28">
        <f>IFERROR(IF(OR(J1480=0,K1480=""),"",IF(E1480="Positivo",MIN(MAX(K1480/J1480,0),1.3),MIN(MAX(J1480/K1480,0),1.3))),"") </f>
        <v/>
      </c>
      <c r="M1480" s="28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16" t="n">
        <v>0</v>
      </c>
      <c r="Q1480" s="16" t="n">
        <v>0</v>
      </c>
      <c r="R1480" s="5" t="inlineStr">
        <is>
          <t>294-2025-06-30</t>
        </is>
      </c>
    </row>
    <row r="1481">
      <c r="A1481" s="5" t="n">
        <v>294</v>
      </c>
      <c r="B1481" s="5" t="inlineStr">
        <is>
          <t>Participación en actividades culturales</t>
        </is>
      </c>
      <c r="C1481" s="5" t="inlineStr">
        <is>
          <t>Cultura y Deporte</t>
        </is>
      </c>
      <c r="D1481" s="5" t="inlineStr">
        <is>
          <t>Trimestral</t>
        </is>
      </c>
      <c r="E1481" s="5" t="inlineStr">
        <is>
          <t>Positivo</t>
        </is>
      </c>
      <c r="F1481" s="144" t="n">
        <v>46022</v>
      </c>
      <c r="G1481" s="5" t="n">
        <v>2025</v>
      </c>
      <c r="H1481" s="5" t="inlineStr">
        <is>
          <t>Diciembre</t>
        </is>
      </c>
      <c r="I1481" s="6" t="inlineStr">
        <is>
          <t>2025-2</t>
        </is>
      </c>
      <c r="J1481" s="5" t="n">
        <v>8</v>
      </c>
      <c r="K1481" s="5" t="n">
        <v>54.02</v>
      </c>
      <c r="L1481" s="28">
        <f>IFERROR(IF(OR(J1481=0,K1481=""),"",IF(E1481="Positivo",MIN(MAX(K1481/J1481,0),1.3),MIN(MAX(J1481/K1481,0),1.3))),"") </f>
        <v/>
      </c>
      <c r="M1481" s="28">
        <f>IFERROR(IF(OR(J1481=0,K1481=""),"",IF(E1481="Positivo",MAX(K1481/J1481,0),MAX(J1481/K1481,0))),"") </f>
        <v/>
      </c>
      <c r="N1481" s="5" t="inlineStr">
        <is>
          <t>%</t>
        </is>
      </c>
      <c r="O1481" s="5" t="inlineStr">
        <is>
          <t>%</t>
        </is>
      </c>
      <c r="P1481" s="5" t="n">
        <v>0</v>
      </c>
      <c r="Q1481" s="5" t="n">
        <v>0</v>
      </c>
      <c r="R1481" s="5" t="inlineStr">
        <is>
          <t>294-2025-12-31</t>
        </is>
      </c>
    </row>
    <row r="1482">
      <c r="A1482" s="26" t="n">
        <v>295</v>
      </c>
      <c r="B1482" s="5" t="inlineStr">
        <is>
          <t>Cumplimiento Del Cierre De Oportunidades De Mejora De Auditoria</t>
        </is>
      </c>
      <c r="C1482" s="5" t="inlineStr">
        <is>
          <t>AUDITORÍA INTERNA</t>
        </is>
      </c>
      <c r="D1482" s="5" t="inlineStr">
        <is>
          <t>Semestral</t>
        </is>
      </c>
      <c r="E1482" s="5" t="inlineStr">
        <is>
          <t>Positivo</t>
        </is>
      </c>
      <c r="F1482" s="144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11</v>
      </c>
      <c r="K1482" s="10" t="n">
        <v>5</v>
      </c>
      <c r="L1482" s="28">
        <f>IFERROR(IF(OR(J1482=0,K1482=""),"",IF(E1482="Positivo",MIN(MAX(K1482/J1482,0),1.3),MIN(MAX(J1482/K1482,0),1.3))),"") </f>
        <v/>
      </c>
      <c r="M1482" s="28">
        <f>IFERROR(IF(OR(J1482=0,K1482=""),"",IF(E1482="Positivo",MAX(K1482/J1482,0),MAX(J1482/K1482,0))),"") </f>
        <v/>
      </c>
      <c r="N1482" s="5" t="inlineStr">
        <is>
          <t>%</t>
        </is>
      </c>
      <c r="O1482" s="5" t="inlineStr">
        <is>
          <t>%</t>
        </is>
      </c>
      <c r="P1482" s="16" t="n">
        <v>0</v>
      </c>
      <c r="Q1482" s="16" t="n">
        <v>0</v>
      </c>
      <c r="R1482" s="5" t="inlineStr">
        <is>
          <t>295-2023-06-30</t>
        </is>
      </c>
    </row>
    <row r="1483">
      <c r="A1483" s="5" t="n">
        <v>295</v>
      </c>
      <c r="B1483" s="5" t="inlineStr">
        <is>
          <t>Cumplimiento Del Cierre De Oportunidades De Mejora De Auditoria</t>
        </is>
      </c>
      <c r="C1483" s="5" t="inlineStr">
        <is>
          <t>AUDITORÍA INTERNA</t>
        </is>
      </c>
      <c r="D1483" s="5" t="inlineStr">
        <is>
          <t>Semestral</t>
        </is>
      </c>
      <c r="E1483" s="5" t="inlineStr">
        <is>
          <t>Positivo</t>
        </is>
      </c>
      <c r="F1483" s="144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21</v>
      </c>
      <c r="K1483" s="5" t="n">
        <v>9</v>
      </c>
      <c r="L1483" s="28">
        <f>IFERROR(IF(OR(J1483=0,K1483=""),"",IF(E1483="Positivo",MIN(MAX(K1483/J1483,0),1.3),MIN(MAX(J1483/K1483,0),1.3))),"") </f>
        <v/>
      </c>
      <c r="M1483" s="28">
        <f>IFERROR(IF(OR(J1483=0,K1483=""),"",IF(E1483="Positivo",MAX(K1483/J1483,0),MAX(J1483/K1483,0))),"") </f>
        <v/>
      </c>
      <c r="N1483" s="5" t="inlineStr">
        <is>
          <t>%</t>
        </is>
      </c>
      <c r="O1483" s="5" t="inlineStr">
        <is>
          <t>%</t>
        </is>
      </c>
      <c r="P1483" s="5" t="n">
        <v>0</v>
      </c>
      <c r="Q1483" s="5" t="n">
        <v>0</v>
      </c>
      <c r="R1483" s="5" t="inlineStr">
        <is>
          <t>295-2023-12-31</t>
        </is>
      </c>
    </row>
    <row r="1484">
      <c r="A1484" s="26" t="n">
        <v>295</v>
      </c>
      <c r="B1484" s="5" t="inlineStr">
        <is>
          <t>Cumplimiento Del Cierre De Oportunidades De Mejora De Auditoria</t>
        </is>
      </c>
      <c r="C1484" s="5" t="inlineStr">
        <is>
          <t>AUDITORÍA INTERNA</t>
        </is>
      </c>
      <c r="D1484" s="5" t="inlineStr">
        <is>
          <t>Semestral</t>
        </is>
      </c>
      <c r="E1484" s="5" t="inlineStr">
        <is>
          <t>Positivo</t>
        </is>
      </c>
      <c r="F1484" s="144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60</v>
      </c>
      <c r="K1484" s="10" t="n">
        <v>52.38</v>
      </c>
      <c r="L1484" s="28">
        <f>IFERROR(IF(OR(J1484=0,K1484=""),"",IF(E1484="Positivo",MIN(MAX(K1484/J1484,0),1.3),MIN(MAX(J1484/K1484,0),1.3))),"") </f>
        <v/>
      </c>
      <c r="M1484" s="28">
        <f>IFERROR(IF(OR(J1484=0,K1484=""),"",IF(E1484="Positivo",MAX(K1484/J1484,0),MAX(J1484/K1484,0))),"") </f>
        <v/>
      </c>
      <c r="N1484" s="5" t="inlineStr">
        <is>
          <t>ENT</t>
        </is>
      </c>
      <c r="O1484" s="5" t="inlineStr">
        <is>
          <t>ENT</t>
        </is>
      </c>
      <c r="P1484" s="16" t="n">
        <v>0</v>
      </c>
      <c r="Q1484" s="16" t="n">
        <v>0</v>
      </c>
      <c r="R1484" s="5" t="inlineStr">
        <is>
          <t>295-2024-06-30</t>
        </is>
      </c>
    </row>
    <row r="1485">
      <c r="A1485" s="5" t="n">
        <v>296</v>
      </c>
      <c r="B1485" s="5" t="inlineStr">
        <is>
          <t>Gestión de riesgos por subprocesos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Positivo</t>
        </is>
      </c>
      <c r="F1485" s="144" t="n">
        <v>45169</v>
      </c>
      <c r="G1485" s="5" t="n">
        <v>2023</v>
      </c>
      <c r="H1485" s="5" t="inlineStr">
        <is>
          <t>Agosto</t>
        </is>
      </c>
      <c r="I1485" s="6" t="inlineStr">
        <is>
          <t>2023-2</t>
        </is>
      </c>
      <c r="J1485" s="5" t="n">
        <v>70</v>
      </c>
      <c r="K1485" s="5" t="n">
        <v>70.91</v>
      </c>
      <c r="L1485" s="28">
        <f>IFERROR(IF(OR(J1485=0,K1485=""),"",IF(E1485="Positivo",MIN(MAX(K1485/J1485,0),1.3),MIN(MAX(J1485/K1485,0),1.3))),"") </f>
        <v/>
      </c>
      <c r="M1485" s="28">
        <f>IFERROR(IF(OR(J1485=0,K1485=""),"",IF(E1485="Positivo",MAX(K1485/J1485,0),MAX(J1485/K1485,0))),"") </f>
        <v/>
      </c>
      <c r="N1485" s="5" t="inlineStr">
        <is>
          <t>ENT</t>
        </is>
      </c>
      <c r="O1485" s="5" t="inlineStr">
        <is>
          <t>ENT</t>
        </is>
      </c>
      <c r="P1485" s="5" t="n">
        <v>0</v>
      </c>
      <c r="Q1485" s="5" t="n">
        <v>0</v>
      </c>
      <c r="R1485" s="5" t="inlineStr">
        <is>
          <t>296-2023-08-31</t>
        </is>
      </c>
    </row>
    <row r="1486">
      <c r="A1486" s="26" t="n">
        <v>296</v>
      </c>
      <c r="B1486" s="5" t="inlineStr">
        <is>
          <t>Gestión de riesgos por subprocesos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Positivo</t>
        </is>
      </c>
      <c r="F1486" s="144" t="n">
        <v>45230</v>
      </c>
      <c r="G1486" s="5" t="n">
        <v>2023</v>
      </c>
      <c r="H1486" s="5" t="inlineStr">
        <is>
          <t>Octubre</t>
        </is>
      </c>
      <c r="I1486" s="6" t="inlineStr">
        <is>
          <t>2023-2</t>
        </is>
      </c>
      <c r="J1486" s="5" t="n">
        <v>80</v>
      </c>
      <c r="K1486" s="10" t="n">
        <v>80</v>
      </c>
      <c r="L1486" s="28">
        <f>IFERROR(IF(OR(J1486=0,K1486=""),"",IF(E1486="Positivo",MIN(MAX(K1486/J1486,0),1.3),MIN(MAX(J1486/K1486,0),1.3))),"") </f>
        <v/>
      </c>
      <c r="M1486" s="28">
        <f>IFERROR(IF(OR(J1486=0,K1486=""),"",IF(E1486="Positivo",MAX(K1486/J1486,0),MAX(J1486/K1486,0))),"") </f>
        <v/>
      </c>
      <c r="N1486" s="5" t="inlineStr">
        <is>
          <t>ENT</t>
        </is>
      </c>
      <c r="O1486" s="5" t="inlineStr">
        <is>
          <t>ENT</t>
        </is>
      </c>
      <c r="P1486" s="16" t="n">
        <v>0</v>
      </c>
      <c r="Q1486" s="16" t="n">
        <v>0</v>
      </c>
      <c r="R1486" s="5" t="inlineStr">
        <is>
          <t>296-2023-10-31</t>
        </is>
      </c>
    </row>
    <row r="1487">
      <c r="A1487" s="5" t="n">
        <v>296</v>
      </c>
      <c r="B1487" s="5" t="inlineStr">
        <is>
          <t>Gestión de riesgos por subprocesos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Positivo</t>
        </is>
      </c>
      <c r="F1487" s="144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100</v>
      </c>
      <c r="K1487" s="5" t="n">
        <v>85.45</v>
      </c>
      <c r="L1487" s="28">
        <f>IFERROR(IF(OR(J1487=0,K1487=""),"",IF(E1487="Positivo",MIN(MAX(K1487/J1487,0),1.3),MIN(MAX(J1487/K1487,0),1.3))),"") </f>
        <v/>
      </c>
      <c r="M1487" s="28">
        <f>IFERROR(IF(OR(J1487=0,K1487=""),"",IF(E1487="Positivo",MAX(K1487/J1487,0),MAX(J1487/K1487,0))),"") </f>
        <v/>
      </c>
      <c r="N1487" s="5" t="inlineStr">
        <is>
          <t>ENT</t>
        </is>
      </c>
      <c r="O1487" s="5" t="inlineStr">
        <is>
          <t>ENT</t>
        </is>
      </c>
      <c r="P1487" s="5" t="n">
        <v>0</v>
      </c>
      <c r="Q1487" s="5" t="n">
        <v>0</v>
      </c>
      <c r="R1487" s="5" t="inlineStr">
        <is>
          <t>296-2023-12-31</t>
        </is>
      </c>
    </row>
    <row r="1488">
      <c r="A1488" s="26" t="n">
        <v>297</v>
      </c>
      <c r="B1488" s="5" t="inlineStr">
        <is>
          <t>N de riesgos operacionales intervenidos</t>
        </is>
      </c>
      <c r="C1488" s="5" t="inlineStr">
        <is>
          <t>GESTIÓN DE RIESGOS</t>
        </is>
      </c>
      <c r="D1488" s="5" t="inlineStr">
        <is>
          <t>Bimestral</t>
        </is>
      </c>
      <c r="E1488" s="5" t="inlineStr">
        <is>
          <t>Negativo</t>
        </is>
      </c>
      <c r="F1488" s="144" t="n">
        <v>45169</v>
      </c>
      <c r="G1488" s="5" t="n">
        <v>2023</v>
      </c>
      <c r="H1488" s="5" t="inlineStr">
        <is>
          <t>Agosto</t>
        </is>
      </c>
      <c r="I1488" s="6" t="inlineStr">
        <is>
          <t>2023-2</t>
        </is>
      </c>
      <c r="J1488" s="5" t="n">
        <v>20</v>
      </c>
      <c r="K1488" s="10" t="n">
        <v>0</v>
      </c>
      <c r="L1488" s="28">
        <f>IFERROR(IF(OR(J1488=0,K1488=""),"",IF(E1488="Positivo",MIN(MAX(K1488/J1488,0),1.3),MIN(MAX(J1488/K1488,0),1.3))),"") </f>
        <v/>
      </c>
      <c r="M1488" s="28">
        <f>IFERROR(IF(OR(J1488=0,K1488=""),"",IF(E1488="Positivo",MAX(K1488/J1488,0),MAX(J1488/K1488,0))),"") </f>
        <v/>
      </c>
      <c r="N1488" s="5" t="inlineStr">
        <is>
          <t>ENT</t>
        </is>
      </c>
      <c r="O1488" s="5" t="inlineStr">
        <is>
          <t>ENT</t>
        </is>
      </c>
      <c r="P1488" s="16" t="n">
        <v>0</v>
      </c>
      <c r="Q1488" s="16" t="n">
        <v>0</v>
      </c>
      <c r="R1488" s="5" t="inlineStr">
        <is>
          <t>297-2023-08-31</t>
        </is>
      </c>
    </row>
    <row r="1489">
      <c r="A1489" s="5" t="n">
        <v>297</v>
      </c>
      <c r="B1489" s="5" t="inlineStr">
        <is>
          <t>N de riesgos operacionales intervenidos</t>
        </is>
      </c>
      <c r="C1489" s="5" t="inlineStr">
        <is>
          <t>GESTIÓN DE RIESGOS</t>
        </is>
      </c>
      <c r="D1489" s="5" t="inlineStr">
        <is>
          <t>Bimestral</t>
        </is>
      </c>
      <c r="E1489" s="5" t="inlineStr">
        <is>
          <t>Negativo</t>
        </is>
      </c>
      <c r="F1489" s="144" t="n">
        <v>45230</v>
      </c>
      <c r="G1489" s="5" t="n">
        <v>2023</v>
      </c>
      <c r="H1489" s="5" t="inlineStr">
        <is>
          <t>Octubre</t>
        </is>
      </c>
      <c r="I1489" s="6" t="inlineStr">
        <is>
          <t>2023-2</t>
        </is>
      </c>
      <c r="J1489" s="5" t="n">
        <v>20</v>
      </c>
      <c r="K1489" s="5" t="n">
        <v>1.19</v>
      </c>
      <c r="L1489" s="28">
        <f>IFERROR(IF(OR(J1489=0,K1489=""),"",IF(E1489="Positivo",MIN(MAX(K1489/J1489,0),1.3),MIN(MAX(J1489/K1489,0),1.3))),"") </f>
        <v/>
      </c>
      <c r="M1489" s="28">
        <f>IFERROR(IF(OR(J1489=0,K1489=""),"",IF(E1489="Positivo",MAX(K1489/J1489,0),MAX(J1489/K1489,0))),"") </f>
        <v/>
      </c>
      <c r="N1489" s="5" t="inlineStr">
        <is>
          <t>ENT</t>
        </is>
      </c>
      <c r="O1489" s="5" t="inlineStr">
        <is>
          <t>DEC</t>
        </is>
      </c>
      <c r="P1489" s="5" t="n">
        <v>2</v>
      </c>
      <c r="Q1489" s="5" t="n">
        <v>2</v>
      </c>
      <c r="R1489" s="5" t="inlineStr">
        <is>
          <t>297-2023-10-31</t>
        </is>
      </c>
    </row>
    <row r="1490">
      <c r="A1490" s="26" t="n">
        <v>297</v>
      </c>
      <c r="B1490" s="5" t="inlineStr">
        <is>
          <t>N de riesgos operacionales intervenidos</t>
        </is>
      </c>
      <c r="C1490" s="5" t="inlineStr">
        <is>
          <t>GESTIÓN DE RIESGOS</t>
        </is>
      </c>
      <c r="D1490" s="5" t="inlineStr">
        <is>
          <t>Bimestral</t>
        </is>
      </c>
      <c r="E1490" s="5" t="inlineStr">
        <is>
          <t>Negativo</t>
        </is>
      </c>
      <c r="F1490" s="144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20</v>
      </c>
      <c r="K1490" s="10" t="n">
        <v>0.93</v>
      </c>
      <c r="L1490" s="28">
        <f>IFERROR(IF(OR(J1490=0,K1490=""),"",IF(E1490="Positivo",MIN(MAX(K1490/J1490,0),1.3),MIN(MAX(J1490/K1490,0),1.3))),"") </f>
        <v/>
      </c>
      <c r="M1490" s="28">
        <f>IFERROR(IF(OR(J1490=0,K1490=""),"",IF(E1490="Positivo",MAX(K1490/J1490,0),MAX(J1490/K1490,0))),"") </f>
        <v/>
      </c>
      <c r="N1490" s="5" t="inlineStr">
        <is>
          <t>ENT</t>
        </is>
      </c>
      <c r="O1490" s="5" t="inlineStr">
        <is>
          <t>DEC</t>
        </is>
      </c>
      <c r="P1490" s="16" t="n">
        <v>0</v>
      </c>
      <c r="Q1490" s="16" t="n">
        <v>0</v>
      </c>
      <c r="R1490" s="5" t="inlineStr">
        <is>
          <t>297-2023-12-31</t>
        </is>
      </c>
    </row>
    <row r="1491">
      <c r="A1491" s="26" t="n">
        <v>298</v>
      </c>
      <c r="B1491" s="5" t="inlineStr">
        <is>
          <t>N de riesgos materializados</t>
        </is>
      </c>
      <c r="C1491" s="5" t="inlineStr">
        <is>
          <t>GESTIÓN DE RIESGOS</t>
        </is>
      </c>
      <c r="D1491" s="5" t="inlineStr">
        <is>
          <t>Semestral</t>
        </is>
      </c>
      <c r="E1491" s="5" t="inlineStr">
        <is>
          <t>Negativo</t>
        </is>
      </c>
      <c r="F1491" s="144" t="n">
        <v>45291</v>
      </c>
      <c r="G1491" s="5" t="n">
        <v>2023</v>
      </c>
      <c r="H1491" s="5" t="inlineStr">
        <is>
          <t>Diciembre</t>
        </is>
      </c>
      <c r="I1491" s="6" t="inlineStr">
        <is>
          <t>2023-2</t>
        </is>
      </c>
      <c r="J1491" s="5" t="n"/>
      <c r="K1491" s="10" t="n">
        <v>1</v>
      </c>
      <c r="L1491" s="28" t="n"/>
      <c r="M1491" s="28" t="n"/>
      <c r="N1491" s="5" t="inlineStr">
        <is>
          <t>Linea Base</t>
        </is>
      </c>
      <c r="O1491" s="5" t="inlineStr">
        <is>
          <t>DEC</t>
        </is>
      </c>
      <c r="P1491" s="16" t="n">
        <v>0</v>
      </c>
      <c r="Q1491" s="16" t="n">
        <v>0</v>
      </c>
      <c r="R1491" s="5" t="inlineStr">
        <is>
          <t>298-2023-12-31</t>
        </is>
      </c>
    </row>
    <row r="1492">
      <c r="A1492" s="5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144" t="n">
        <v>45016</v>
      </c>
      <c r="G1492" s="5" t="n">
        <v>2023</v>
      </c>
      <c r="H1492" s="5" t="inlineStr">
        <is>
          <t>Marzo</t>
        </is>
      </c>
      <c r="I1492" s="6" t="inlineStr">
        <is>
          <t>2023-1</t>
        </is>
      </c>
      <c r="J1492" s="5" t="n">
        <v>100</v>
      </c>
      <c r="K1492" s="5" t="n">
        <v>100</v>
      </c>
      <c r="L1492" s="28">
        <f>IFERROR(IF(OR(J1492=0,K1492=""),"",IF(E1492="Positivo",MIN(MAX(K1492/J1492,0),1.3),MIN(MAX(J1492/K1492,0),1.3))),"") </f>
        <v/>
      </c>
      <c r="M1492" s="28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300-2023-03-31</t>
        </is>
      </c>
    </row>
    <row r="1493">
      <c r="A1493" s="26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144" t="n">
        <v>45107</v>
      </c>
      <c r="G1493" s="5" t="n">
        <v>2023</v>
      </c>
      <c r="H1493" s="5" t="inlineStr">
        <is>
          <t>Junio</t>
        </is>
      </c>
      <c r="I1493" s="6" t="inlineStr">
        <is>
          <t>2023-1</t>
        </is>
      </c>
      <c r="J1493" s="5" t="n">
        <v>100</v>
      </c>
      <c r="K1493" s="10" t="n">
        <v>100</v>
      </c>
      <c r="L1493" s="28">
        <f>IFERROR(IF(OR(J1493=0,K1493=""),"",IF(E1493="Positivo",MIN(MAX(K1493/J1493,0),1.3),MIN(MAX(J1493/K1493,0),1.3))),"") </f>
        <v/>
      </c>
      <c r="M1493" s="28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6" t="n">
        <v>0</v>
      </c>
      <c r="Q1493" s="16" t="n">
        <v>0</v>
      </c>
      <c r="R1493" s="5" t="inlineStr">
        <is>
          <t>300-2023-06-30</t>
        </is>
      </c>
    </row>
    <row r="1494">
      <c r="A1494" s="26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144" t="n">
        <v>45199</v>
      </c>
      <c r="G1494" s="5" t="n">
        <v>2023</v>
      </c>
      <c r="H1494" s="5" t="inlineStr">
        <is>
          <t>Septiembre</t>
        </is>
      </c>
      <c r="I1494" s="6" t="inlineStr">
        <is>
          <t>2023-2</t>
        </is>
      </c>
      <c r="J1494" s="5" t="n">
        <v>100</v>
      </c>
      <c r="K1494" s="10" t="n">
        <v>100</v>
      </c>
      <c r="L1494" s="28">
        <f>IFERROR(IF(OR(J1494=0,K1494=""),"",IF(E1494="Positivo",MIN(MAX(K1494/J1494,0),1.3),MIN(MAX(J1494/K1494,0),1.3))),"") </f>
        <v/>
      </c>
      <c r="M1494" s="28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16" t="n">
        <v>0</v>
      </c>
      <c r="Q1494" s="16" t="n">
        <v>0</v>
      </c>
      <c r="R1494" s="5" t="inlineStr">
        <is>
          <t>300-2023-09-30</t>
        </is>
      </c>
    </row>
    <row r="1495">
      <c r="A1495" s="26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144" t="n">
        <v>45291</v>
      </c>
      <c r="G1495" s="5" t="n">
        <v>2023</v>
      </c>
      <c r="H1495" s="5" t="inlineStr">
        <is>
          <t>Diciembre</t>
        </is>
      </c>
      <c r="I1495" s="6" t="inlineStr">
        <is>
          <t>2023-2</t>
        </is>
      </c>
      <c r="J1495" s="5" t="n">
        <v>100</v>
      </c>
      <c r="K1495" s="10" t="n">
        <v>100</v>
      </c>
      <c r="L1495" s="28">
        <f>IFERROR(IF(OR(J1495=0,K1495=""),"",IF(E1495="Positivo",MIN(MAX(K1495/J1495,0),1.3),MIN(MAX(J1495/K1495,0),1.3))),"") </f>
        <v/>
      </c>
      <c r="M1495" s="28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6" t="n">
        <v>0</v>
      </c>
      <c r="Q1495" s="16" t="n">
        <v>0</v>
      </c>
      <c r="R1495" s="5" t="inlineStr">
        <is>
          <t>300-2023-12-31</t>
        </is>
      </c>
    </row>
    <row r="1496">
      <c r="A1496" s="5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144" t="n">
        <v>45382</v>
      </c>
      <c r="G1496" s="5" t="n">
        <v>2024</v>
      </c>
      <c r="H1496" s="5" t="inlineStr">
        <is>
          <t>Marzo</t>
        </is>
      </c>
      <c r="I1496" s="6" t="inlineStr">
        <is>
          <t>2024-1</t>
        </is>
      </c>
      <c r="J1496" s="5" t="n">
        <v>100</v>
      </c>
      <c r="K1496" s="5" t="n">
        <v>100</v>
      </c>
      <c r="L1496" s="28">
        <f>IFERROR(IF(OR(J1496=0,K1496=""),"",IF(E1496="Positivo",MIN(MAX(K1496/J1496,0),1.3),MIN(MAX(J1496/K1496,0),1.3))),"") </f>
        <v/>
      </c>
      <c r="M1496" s="28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300-2024-03-31</t>
        </is>
      </c>
    </row>
    <row r="1497">
      <c r="A1497" s="26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Trimestral</t>
        </is>
      </c>
      <c r="E1497" s="5" t="inlineStr">
        <is>
          <t>Positivo</t>
        </is>
      </c>
      <c r="F1497" s="144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100</v>
      </c>
      <c r="K1497" s="10" t="n">
        <v>100</v>
      </c>
      <c r="L1497" s="28">
        <f>IFERROR(IF(OR(J1497=0,K1497=""),"",IF(E1497="Positivo",MIN(MAX(K1497/J1497,0),1.3),MIN(MAX(J1497/K1497,0),1.3))),"") </f>
        <v/>
      </c>
      <c r="M1497" s="28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 t="inlineStr">
        <is>
          <t>300-2024-06-30</t>
        </is>
      </c>
    </row>
    <row r="1498">
      <c r="A1498" s="26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Trimestral</t>
        </is>
      </c>
      <c r="E1498" s="5" t="inlineStr">
        <is>
          <t>Positivo</t>
        </is>
      </c>
      <c r="F1498" s="144" t="n">
        <v>45565</v>
      </c>
      <c r="G1498" s="5" t="n">
        <v>2024</v>
      </c>
      <c r="H1498" s="5" t="inlineStr">
        <is>
          <t>Septiembre</t>
        </is>
      </c>
      <c r="I1498" s="6" t="inlineStr">
        <is>
          <t>2024-2</t>
        </is>
      </c>
      <c r="J1498" s="5" t="n">
        <v>100</v>
      </c>
      <c r="K1498" s="10" t="n">
        <v>100</v>
      </c>
      <c r="L1498" s="28">
        <f>IFERROR(IF(OR(J1498=0,K1498=""),"",IF(E1498="Positivo",MIN(MAX(K1498/J1498,0),1.3),MIN(MAX(J1498/K1498,0),1.3))),"") </f>
        <v/>
      </c>
      <c r="M1498" s="28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6" t="n">
        <v>0</v>
      </c>
      <c r="Q1498" s="16" t="n">
        <v>0</v>
      </c>
      <c r="R1498" s="5" t="inlineStr">
        <is>
          <t>300-2024-09-30</t>
        </is>
      </c>
    </row>
    <row r="1499">
      <c r="A1499" s="26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Trimestral</t>
        </is>
      </c>
      <c r="E1499" s="5" t="inlineStr">
        <is>
          <t>Positivo</t>
        </is>
      </c>
      <c r="F1499" s="144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100</v>
      </c>
      <c r="K1499" s="10" t="n">
        <v>100</v>
      </c>
      <c r="L1499" s="28">
        <f>IFERROR(IF(OR(J1499=0,K1499=""),"",IF(E1499="Positivo",MIN(MAX(K1499/J1499,0),1.3),MIN(MAX(J1499/K1499,0),1.3))),"") </f>
        <v/>
      </c>
      <c r="M1499" s="28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16" t="n">
        <v>0</v>
      </c>
      <c r="Q1499" s="16" t="n">
        <v>0</v>
      </c>
      <c r="R1499" s="5" t="inlineStr">
        <is>
          <t>300-2024-12-31</t>
        </is>
      </c>
    </row>
    <row r="1500">
      <c r="A1500" s="5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Trimestral</t>
        </is>
      </c>
      <c r="E1500" s="5" t="inlineStr">
        <is>
          <t>Positivo</t>
        </is>
      </c>
      <c r="F1500" s="144" t="n">
        <v>45747</v>
      </c>
      <c r="G1500" s="5" t="n">
        <v>2025</v>
      </c>
      <c r="H1500" s="5" t="inlineStr">
        <is>
          <t>Marzo</t>
        </is>
      </c>
      <c r="I1500" s="6" t="inlineStr">
        <is>
          <t>2025-1</t>
        </is>
      </c>
      <c r="J1500" s="5" t="n">
        <v>100</v>
      </c>
      <c r="K1500" s="5" t="n">
        <v>100</v>
      </c>
      <c r="L1500" s="28">
        <f>IFERROR(IF(OR(J1500=0,K1500=""),"",IF(E1500="Positivo",MIN(MAX(K1500/J1500,0),1.3),MIN(MAX(J1500/K1500,0),1.3))),"") </f>
        <v/>
      </c>
      <c r="M1500" s="28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5" t="n">
        <v>0</v>
      </c>
      <c r="Q1500" s="5" t="n">
        <v>0</v>
      </c>
      <c r="R1500" s="5" t="inlineStr">
        <is>
          <t>300-2025-03-31</t>
        </is>
      </c>
    </row>
    <row r="1501">
      <c r="A1501" s="26" t="n">
        <v>300</v>
      </c>
      <c r="B1501" s="5" t="inlineStr">
        <is>
          <t>Cumplimiento de Inspecciones de control</t>
        </is>
      </c>
      <c r="C1501" s="5" t="inlineStr">
        <is>
          <t>Administración de Servicios Generales</t>
        </is>
      </c>
      <c r="D1501" s="5" t="inlineStr">
        <is>
          <t>Trimestral</t>
        </is>
      </c>
      <c r="E1501" s="5" t="inlineStr">
        <is>
          <t>Positivo</t>
        </is>
      </c>
      <c r="F1501" s="144" t="n">
        <v>45838</v>
      </c>
      <c r="G1501" s="5" t="n">
        <v>2025</v>
      </c>
      <c r="H1501" s="5" t="inlineStr">
        <is>
          <t>Junio</t>
        </is>
      </c>
      <c r="I1501" s="6" t="inlineStr">
        <is>
          <t>2025-1</t>
        </is>
      </c>
      <c r="J1501" s="5" t="n">
        <v>100</v>
      </c>
      <c r="K1501" s="10" t="n">
        <v>100</v>
      </c>
      <c r="L1501" s="28">
        <f>IFERROR(IF(OR(J1501=0,K1501=""),"",IF(E1501="Positivo",MIN(MAX(K1501/J1501,0),1.3),MIN(MAX(J1501/K1501,0),1.3))),"") </f>
        <v/>
      </c>
      <c r="M1501" s="28">
        <f>IFERROR(IF(OR(J1501=0,K1501=""),"",IF(E1501="Positivo",MAX(K1501/J1501,0),MAX(J1501/K1501,0))),"") </f>
        <v/>
      </c>
      <c r="N1501" s="5" t="inlineStr">
        <is>
          <t>%</t>
        </is>
      </c>
      <c r="O1501" s="5" t="inlineStr">
        <is>
          <t>%</t>
        </is>
      </c>
      <c r="P1501" s="16" t="n">
        <v>0</v>
      </c>
      <c r="Q1501" s="16" t="n">
        <v>0</v>
      </c>
      <c r="R1501" s="5" t="inlineStr">
        <is>
          <t>300-2025-06-30</t>
        </is>
      </c>
    </row>
    <row r="1502">
      <c r="A1502" s="26" t="n">
        <v>300</v>
      </c>
      <c r="B1502" s="5" t="inlineStr">
        <is>
          <t>Cumplimiento de Inspecciones de control</t>
        </is>
      </c>
      <c r="C1502" s="5" t="inlineStr">
        <is>
          <t>Administración de Servicios Generales</t>
        </is>
      </c>
      <c r="D1502" s="5" t="inlineStr">
        <is>
          <t>Semestral</t>
        </is>
      </c>
      <c r="E1502" s="5" t="inlineStr">
        <is>
          <t>Positivo</t>
        </is>
      </c>
      <c r="F1502" s="144" t="n">
        <v>45930</v>
      </c>
      <c r="G1502" s="5" t="n">
        <v>2025</v>
      </c>
      <c r="H1502" s="5" t="inlineStr">
        <is>
          <t>Septiembre</t>
        </is>
      </c>
      <c r="I1502" s="6" t="inlineStr">
        <is>
          <t>2025-2</t>
        </is>
      </c>
      <c r="J1502" s="5" t="n">
        <v>100</v>
      </c>
      <c r="K1502" s="10" t="n">
        <v>100</v>
      </c>
      <c r="L1502" s="28">
        <f>IFERROR(IF(OR(J1502=0,K1502=""),"",IF(E1502="Positivo",MIN(MAX(K1502/J1502,0),1.3),MIN(MAX(J1502/K1502,0),1.3))),"") </f>
        <v/>
      </c>
      <c r="M1502" s="28">
        <f>IFERROR(IF(OR(J1502=0,K1502=""),"",IF(E1502="Positivo",MAX(K1502/J1502,0),MAX(J1502/K1502,0))),"") </f>
        <v/>
      </c>
      <c r="N1502" s="5" t="inlineStr">
        <is>
          <t>%</t>
        </is>
      </c>
      <c r="O1502" s="5" t="inlineStr">
        <is>
          <t>%</t>
        </is>
      </c>
      <c r="P1502" s="16" t="n">
        <v>0</v>
      </c>
      <c r="Q1502" s="16" t="n">
        <v>0</v>
      </c>
      <c r="R1502" s="5" t="inlineStr">
        <is>
          <t>300-2025-09-30</t>
        </is>
      </c>
    </row>
    <row r="1503">
      <c r="A1503" s="5" t="n">
        <v>300</v>
      </c>
      <c r="B1503" s="5" t="inlineStr">
        <is>
          <t>Cumplimiento de Inspecciones de control</t>
        </is>
      </c>
      <c r="C1503" s="5" t="inlineStr">
        <is>
          <t>Administración de Servicios Generales</t>
        </is>
      </c>
      <c r="D1503" s="5" t="inlineStr">
        <is>
          <t>Semestral</t>
        </is>
      </c>
      <c r="E1503" s="5" t="inlineStr">
        <is>
          <t>Positivo</t>
        </is>
      </c>
      <c r="F1503" s="144" t="n">
        <v>46022</v>
      </c>
      <c r="G1503" s="5" t="n">
        <v>2025</v>
      </c>
      <c r="H1503" s="5" t="inlineStr">
        <is>
          <t>Diciembre</t>
        </is>
      </c>
      <c r="I1503" s="6" t="inlineStr">
        <is>
          <t>2025-2</t>
        </is>
      </c>
      <c r="J1503" s="5" t="n">
        <v>100</v>
      </c>
      <c r="K1503" s="5" t="n">
        <v>100</v>
      </c>
      <c r="L1503" s="28">
        <f>IFERROR(IF(OR(J1503=0,K1503=""),"",IF(E1503="Positivo",MIN(MAX(K1503/J1503,0),1.3),MIN(MAX(J1503/K1503,0),1.3))),"") </f>
        <v/>
      </c>
      <c r="M1503" s="28">
        <f>IFERROR(IF(OR(J1503=0,K1503=""),"",IF(E1503="Positivo",MAX(K1503/J1503,0),MAX(J1503/K1503,0))),"") </f>
        <v/>
      </c>
      <c r="N1503" s="5" t="inlineStr">
        <is>
          <t>%</t>
        </is>
      </c>
      <c r="O1503" s="5" t="inlineStr">
        <is>
          <t>%</t>
        </is>
      </c>
      <c r="P1503" s="5" t="n">
        <v>0</v>
      </c>
      <c r="Q1503" s="5" t="n">
        <v>0</v>
      </c>
      <c r="R1503" s="5" t="inlineStr">
        <is>
          <t>300-2025-12-31</t>
        </is>
      </c>
    </row>
    <row r="1504">
      <c r="A1504" s="26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144" t="n">
        <v>45016</v>
      </c>
      <c r="G1504" s="5" t="n">
        <v>2023</v>
      </c>
      <c r="H1504" s="5" t="inlineStr">
        <is>
          <t>Marzo</t>
        </is>
      </c>
      <c r="I1504" s="6" t="inlineStr">
        <is>
          <t>2023-1</t>
        </is>
      </c>
      <c r="J1504" s="5" t="n">
        <v>100</v>
      </c>
      <c r="K1504" s="10" t="n">
        <v>100</v>
      </c>
      <c r="L1504" s="28">
        <f>IFERROR(IF(OR(J1504=0,K1504=""),"",IF(E1504="Positivo",MIN(MAX(K1504/J1504,0),1.3),MIN(MAX(J1504/K1504,0),1.3))),"") </f>
        <v/>
      </c>
      <c r="M1504" s="28">
        <f>IFERROR(IF(OR(J1504=0,K1504=""),"",IF(E1504="Positivo",MAX(K1504/J1504,0),MAX(J1504/K1504,0))),"") </f>
        <v/>
      </c>
      <c r="N1504" s="5" t="inlineStr">
        <is>
          <t>%</t>
        </is>
      </c>
      <c r="O1504" s="5" t="inlineStr">
        <is>
          <t>%</t>
        </is>
      </c>
      <c r="P1504" s="16" t="n">
        <v>0</v>
      </c>
      <c r="Q1504" s="16" t="n">
        <v>0</v>
      </c>
      <c r="R1504" s="5" t="inlineStr">
        <is>
          <t>301-2023-03-31</t>
        </is>
      </c>
    </row>
    <row r="1505">
      <c r="A1505" s="26" t="n">
        <v>301</v>
      </c>
      <c r="B1505" s="23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144" t="n">
        <v>45107</v>
      </c>
      <c r="G1505" s="5" t="n">
        <v>2023</v>
      </c>
      <c r="H1505" s="5" t="inlineStr">
        <is>
          <t>Junio</t>
        </is>
      </c>
      <c r="I1505" s="6" t="inlineStr">
        <is>
          <t>2023-1</t>
        </is>
      </c>
      <c r="J1505" s="5" t="n">
        <v>100</v>
      </c>
      <c r="K1505" s="86" t="n">
        <v>100</v>
      </c>
      <c r="L1505" s="28">
        <f>IFERROR(IF(OR(J1505=0,K1505=""),"",IF(E1505="Positivo",MIN(MAX(K1505/J1505,0),1.3),MIN(MAX(J1505/K1505,0),1.3))),"") </f>
        <v/>
      </c>
      <c r="M1505" s="28">
        <f>IFERROR(IF(OR(J1505=0,K1505=""),"",IF(E1505="Positivo",MAX(K1505/J1505,0),MAX(J1505/K1505,0))),"") </f>
        <v/>
      </c>
      <c r="N1505" s="5" t="inlineStr">
        <is>
          <t>%</t>
        </is>
      </c>
      <c r="O1505" s="5" t="inlineStr">
        <is>
          <t>%</t>
        </is>
      </c>
      <c r="P1505" s="16" t="n">
        <v>0</v>
      </c>
      <c r="Q1505" s="16" t="n">
        <v>0</v>
      </c>
      <c r="R1505" s="5" t="inlineStr">
        <is>
          <t>301-2023-06-30</t>
        </is>
      </c>
    </row>
    <row r="1506">
      <c r="A1506" s="26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144" t="n">
        <v>45199</v>
      </c>
      <c r="G1506" s="5" t="n">
        <v>2023</v>
      </c>
      <c r="H1506" s="5" t="inlineStr">
        <is>
          <t>Septiembre</t>
        </is>
      </c>
      <c r="I1506" s="6" t="inlineStr">
        <is>
          <t>2023-2</t>
        </is>
      </c>
      <c r="J1506" s="5" t="n">
        <v>100</v>
      </c>
      <c r="K1506" s="16" t="n">
        <v>100</v>
      </c>
      <c r="L1506" s="28">
        <f>IFERROR(IF(OR(J1506=0,K1506=""),"",IF(E1506="Positivo",MIN(MAX(K1506/J1506,0),1.3),MIN(MAX(J1506/K1506,0),1.3))),"") </f>
        <v/>
      </c>
      <c r="M1506" s="28">
        <f>IFERROR(IF(OR(J1506=0,K1506=""),"",IF(E1506="Positivo",MAX(K1506/J1506,0),MAX(J1506/K1506,0))),"") </f>
        <v/>
      </c>
      <c r="N1506" s="5" t="inlineStr">
        <is>
          <t>%</t>
        </is>
      </c>
      <c r="O1506" s="5" t="inlineStr">
        <is>
          <t>%</t>
        </is>
      </c>
      <c r="P1506" s="16" t="n">
        <v>0</v>
      </c>
      <c r="Q1506" s="16" t="n">
        <v>0</v>
      </c>
      <c r="R1506" s="5" t="inlineStr">
        <is>
          <t>301-2023-09-30</t>
        </is>
      </c>
    </row>
    <row r="1507">
      <c r="A1507" s="26" t="n">
        <v>301</v>
      </c>
      <c r="B1507" s="23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144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5" t="n">
        <v>100</v>
      </c>
      <c r="L1507" s="28">
        <f>IFERROR(IF(OR(J1507=0,K1507=""),"",IF(E1507="Positivo",MIN(MAX(K1507/J1507,0),1.3),MIN(MAX(J1507/K1507,0),1.3))),"") </f>
        <v/>
      </c>
      <c r="M1507" s="28">
        <f>IFERROR(IF(OR(J1507=0,K1507=""),"",IF(E1507="Positivo",MAX(K1507/J1507,0),MAX(J1507/K1507,0))),"") </f>
        <v/>
      </c>
      <c r="N1507" s="5" t="inlineStr">
        <is>
          <t>%</t>
        </is>
      </c>
      <c r="O1507" s="5" t="inlineStr">
        <is>
          <t>%</t>
        </is>
      </c>
      <c r="P1507" s="5" t="n">
        <v>0</v>
      </c>
      <c r="Q1507" s="5" t="n">
        <v>0</v>
      </c>
      <c r="R1507" s="5" t="inlineStr">
        <is>
          <t>301-2023-12-31</t>
        </is>
      </c>
    </row>
    <row r="1508">
      <c r="A1508" s="26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144" t="n">
        <v>45382</v>
      </c>
      <c r="G1508" s="5" t="n">
        <v>2024</v>
      </c>
      <c r="H1508" s="5" t="inlineStr">
        <is>
          <t>Marzo</t>
        </is>
      </c>
      <c r="I1508" s="6" t="inlineStr">
        <is>
          <t>2024-1</t>
        </is>
      </c>
      <c r="J1508" s="5" t="n">
        <v>100</v>
      </c>
      <c r="K1508" s="10" t="n">
        <v>100</v>
      </c>
      <c r="L1508" s="28">
        <f>IFERROR(IF(OR(J1508=0,K1508=""),"",IF(E1508="Positivo",MIN(MAX(K1508/J1508,0),1.3),MIN(MAX(J1508/K1508,0),1.3))),"") </f>
        <v/>
      </c>
      <c r="M1508" s="28">
        <f>IFERROR(IF(OR(J1508=0,K1508=""),"",IF(E1508="Positivo",MAX(K1508/J1508,0),MAX(J1508/K1508,0))),"") </f>
        <v/>
      </c>
      <c r="N1508" s="5" t="inlineStr">
        <is>
          <t>%</t>
        </is>
      </c>
      <c r="O1508" s="5" t="inlineStr">
        <is>
          <t>%</t>
        </is>
      </c>
      <c r="P1508" s="16" t="n">
        <v>0</v>
      </c>
      <c r="Q1508" s="16" t="n">
        <v>0</v>
      </c>
      <c r="R1508" s="5" t="inlineStr">
        <is>
          <t>301-2024-03-31</t>
        </is>
      </c>
    </row>
    <row r="1509">
      <c r="A1509" s="26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144" t="n">
        <v>45473</v>
      </c>
      <c r="G1509" s="5" t="n">
        <v>2024</v>
      </c>
      <c r="H1509" s="5" t="inlineStr">
        <is>
          <t>Junio</t>
        </is>
      </c>
      <c r="I1509" s="6" t="inlineStr">
        <is>
          <t>2024-1</t>
        </is>
      </c>
      <c r="J1509" s="5" t="n">
        <v>100</v>
      </c>
      <c r="K1509" s="10" t="n">
        <v>100</v>
      </c>
      <c r="L1509" s="28">
        <f>IFERROR(IF(OR(J1509=0,K1509=""),"",IF(E1509="Positivo",MIN(MAX(K1509/J1509,0),1.3),MIN(MAX(J1509/K1509,0),1.3))),"") </f>
        <v/>
      </c>
      <c r="M1509" s="28">
        <f>IFERROR(IF(OR(J1509=0,K1509=""),"",IF(E1509="Positivo",MAX(K1509/J1509,0),MAX(J1509/K1509,0))),"") </f>
        <v/>
      </c>
      <c r="N1509" s="5" t="inlineStr">
        <is>
          <t>%</t>
        </is>
      </c>
      <c r="O1509" s="5" t="inlineStr">
        <is>
          <t>%</t>
        </is>
      </c>
      <c r="P1509" s="16" t="n">
        <v>0</v>
      </c>
      <c r="Q1509" s="16" t="n">
        <v>0</v>
      </c>
      <c r="R1509" s="5" t="inlineStr">
        <is>
          <t>301-2024-06-30</t>
        </is>
      </c>
    </row>
    <row r="1510">
      <c r="A1510" s="26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144" t="n">
        <v>45565</v>
      </c>
      <c r="G1510" s="5" t="n">
        <v>2024</v>
      </c>
      <c r="H1510" s="5" t="inlineStr">
        <is>
          <t>Septiembre</t>
        </is>
      </c>
      <c r="I1510" s="6" t="inlineStr">
        <is>
          <t>2024-2</t>
        </is>
      </c>
      <c r="J1510" s="5" t="n">
        <v>100</v>
      </c>
      <c r="K1510" s="10" t="n">
        <v>100</v>
      </c>
      <c r="L1510" s="28">
        <f>IFERROR(IF(OR(J1510=0,K1510=""),"",IF(E1510="Positivo",MIN(MAX(K1510/J1510,0),1.3),MIN(MAX(J1510/K1510,0),1.3))),"") </f>
        <v/>
      </c>
      <c r="M1510" s="28">
        <f>IFERROR(IF(OR(J1510=0,K1510=""),"",IF(E1510="Positivo",MAX(K1510/J1510,0),MAX(J1510/K1510,0))),"") </f>
        <v/>
      </c>
      <c r="N1510" s="5" t="inlineStr">
        <is>
          <t>%</t>
        </is>
      </c>
      <c r="O1510" s="5" t="inlineStr">
        <is>
          <t>%</t>
        </is>
      </c>
      <c r="P1510" s="16" t="n">
        <v>0</v>
      </c>
      <c r="Q1510" s="16" t="n">
        <v>0</v>
      </c>
      <c r="R1510" s="5" t="inlineStr">
        <is>
          <t>301-2024-09-30</t>
        </is>
      </c>
    </row>
    <row r="1511">
      <c r="A1511" s="26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44" t="n">
        <v>45657</v>
      </c>
      <c r="G1511" s="5" t="n">
        <v>2024</v>
      </c>
      <c r="H1511" s="5" t="inlineStr">
        <is>
          <t>Diciembre</t>
        </is>
      </c>
      <c r="I1511" s="6" t="inlineStr">
        <is>
          <t>2024-2</t>
        </is>
      </c>
      <c r="J1511" s="5" t="n">
        <v>100</v>
      </c>
      <c r="K1511" s="10" t="n">
        <v>100</v>
      </c>
      <c r="L1511" s="28">
        <f>IFERROR(IF(OR(J1511=0,K1511=""),"",IF(E1511="Positivo",MIN(MAX(K1511/J1511,0),1.3),MIN(MAX(J1511/K1511,0),1.3))),"") </f>
        <v/>
      </c>
      <c r="M1511" s="28">
        <f>IFERROR(IF(OR(J1511=0,K1511=""),"",IF(E1511="Positivo",MAX(K1511/J1511,0),MAX(J1511/K1511,0))),"") </f>
        <v/>
      </c>
      <c r="N1511" s="5" t="inlineStr">
        <is>
          <t>%</t>
        </is>
      </c>
      <c r="O1511" s="5" t="inlineStr">
        <is>
          <t>%</t>
        </is>
      </c>
      <c r="P1511" s="16" t="n">
        <v>0</v>
      </c>
      <c r="Q1511" s="16" t="n">
        <v>0</v>
      </c>
      <c r="R1511" s="5" t="inlineStr">
        <is>
          <t>301-2024-12-31</t>
        </is>
      </c>
    </row>
    <row r="1512">
      <c r="A1512" s="26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44" t="n">
        <v>45747</v>
      </c>
      <c r="G1512" s="5" t="n">
        <v>2025</v>
      </c>
      <c r="H1512" s="5" t="inlineStr">
        <is>
          <t>Marzo</t>
        </is>
      </c>
      <c r="I1512" s="6" t="inlineStr">
        <is>
          <t>2025-1</t>
        </is>
      </c>
      <c r="J1512" s="5" t="n">
        <v>100</v>
      </c>
      <c r="K1512" s="10" t="n">
        <v>100</v>
      </c>
      <c r="L1512" s="28">
        <f>IFERROR(IF(OR(J1512=0,K1512=""),"",IF(E1512="Positivo",MIN(MAX(K1512/J1512,0),1.3),MIN(MAX(J1512/K1512,0),1.3))),"") </f>
        <v/>
      </c>
      <c r="M1512" s="28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16" t="n">
        <v>0</v>
      </c>
      <c r="Q1512" s="16" t="n">
        <v>0</v>
      </c>
      <c r="R1512" s="5" t="inlineStr">
        <is>
          <t>301-2025-03-31</t>
        </is>
      </c>
    </row>
    <row r="1513">
      <c r="A1513" s="26" t="n">
        <v>301</v>
      </c>
      <c r="B1513" s="5" t="inlineStr">
        <is>
          <t>Cumplimiento plan de trabajo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44" t="n">
        <v>45838</v>
      </c>
      <c r="G1513" s="5" t="n">
        <v>2025</v>
      </c>
      <c r="H1513" s="5" t="inlineStr">
        <is>
          <t>Junio</t>
        </is>
      </c>
      <c r="I1513" s="6" t="inlineStr">
        <is>
          <t>2025-1</t>
        </is>
      </c>
      <c r="J1513" s="5" t="n">
        <v>100</v>
      </c>
      <c r="K1513" s="10" t="n">
        <v>100</v>
      </c>
      <c r="L1513" s="28">
        <f>IFERROR(IF(OR(J1513=0,K1513=""),"",IF(E1513="Positivo",MIN(MAX(K1513/J1513,0),1.3),MIN(MAX(J1513/K1513,0),1.3))),"") </f>
        <v/>
      </c>
      <c r="M1513" s="28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6" t="n">
        <v>0</v>
      </c>
      <c r="Q1513" s="16" t="n">
        <v>0</v>
      </c>
      <c r="R1513" s="5" t="inlineStr">
        <is>
          <t>301-2025-06-30</t>
        </is>
      </c>
    </row>
    <row r="1514">
      <c r="A1514" s="26" t="n">
        <v>301</v>
      </c>
      <c r="B1514" s="5" t="inlineStr">
        <is>
          <t>Cumplimiento plan de trabajo</t>
        </is>
      </c>
      <c r="C1514" s="5" t="inlineStr">
        <is>
          <t>Administración de Servicios Generales</t>
        </is>
      </c>
      <c r="D1514" s="5" t="inlineStr">
        <is>
          <t>Semestral</t>
        </is>
      </c>
      <c r="E1514" s="5" t="inlineStr">
        <is>
          <t>Positivo</t>
        </is>
      </c>
      <c r="F1514" s="144" t="n">
        <v>45930</v>
      </c>
      <c r="G1514" s="5" t="n">
        <v>2025</v>
      </c>
      <c r="H1514" s="5" t="inlineStr">
        <is>
          <t>Septiembre</t>
        </is>
      </c>
      <c r="I1514" s="6" t="inlineStr">
        <is>
          <t>2025-2</t>
        </is>
      </c>
      <c r="J1514" s="5" t="n">
        <v>100</v>
      </c>
      <c r="K1514" s="10" t="n">
        <v>100</v>
      </c>
      <c r="L1514" s="28">
        <f>IFERROR(IF(OR(J1514=0,K1514=""),"",IF(E1514="Positivo",MIN(MAX(K1514/J1514,0),1.3),MIN(MAX(J1514/K1514,0),1.3))),"") </f>
        <v/>
      </c>
      <c r="M1514" s="28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16" t="n">
        <v>0</v>
      </c>
      <c r="Q1514" s="16" t="n">
        <v>0</v>
      </c>
      <c r="R1514" s="5" t="inlineStr">
        <is>
          <t>301-2025-09-30</t>
        </is>
      </c>
    </row>
    <row r="1515">
      <c r="A1515" s="26" t="n">
        <v>301</v>
      </c>
      <c r="B1515" s="5" t="inlineStr">
        <is>
          <t>Cumplimiento plan de trabajo</t>
        </is>
      </c>
      <c r="C1515" s="5" t="inlineStr">
        <is>
          <t>Administración de Servicios Generales</t>
        </is>
      </c>
      <c r="D1515" s="5" t="inlineStr">
        <is>
          <t>Semestral</t>
        </is>
      </c>
      <c r="E1515" s="5" t="inlineStr">
        <is>
          <t>Positivo</t>
        </is>
      </c>
      <c r="F1515" s="144" t="n">
        <v>46022</v>
      </c>
      <c r="G1515" s="5" t="n">
        <v>2025</v>
      </c>
      <c r="H1515" s="5" t="inlineStr">
        <is>
          <t>Diciembre</t>
        </is>
      </c>
      <c r="I1515" s="6" t="inlineStr">
        <is>
          <t>2025-2</t>
        </is>
      </c>
      <c r="J1515" s="5" t="n">
        <v>100</v>
      </c>
      <c r="K1515" s="10" t="n">
        <v>100</v>
      </c>
      <c r="L1515" s="28">
        <f>IFERROR(IF(OR(J1515=0,K1515=""),"",IF(E1515="Positivo",MIN(MAX(K1515/J1515,0),1.3),MIN(MAX(J1515/K1515,0),1.3))),"") </f>
        <v/>
      </c>
      <c r="M1515" s="28">
        <f>IFERROR(IF(OR(J1515=0,K1515=""),"",IF(E1515="Positivo",MAX(K1515/J1515,0),MAX(J1515/K1515,0))),"") </f>
        <v/>
      </c>
      <c r="N1515" s="5" t="inlineStr">
        <is>
          <t>%</t>
        </is>
      </c>
      <c r="O1515" s="5" t="inlineStr">
        <is>
          <t>%</t>
        </is>
      </c>
      <c r="P1515" s="16" t="n">
        <v>0</v>
      </c>
      <c r="Q1515" s="16" t="n">
        <v>0</v>
      </c>
      <c r="R1515" s="5" t="inlineStr">
        <is>
          <t>301-2025-12-31</t>
        </is>
      </c>
    </row>
    <row r="1516">
      <c r="A1516" s="26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144" t="n">
        <v>45107</v>
      </c>
      <c r="G1516" s="5" t="n">
        <v>2023</v>
      </c>
      <c r="H1516" s="5" t="inlineStr">
        <is>
          <t>Junio</t>
        </is>
      </c>
      <c r="I1516" s="6" t="inlineStr">
        <is>
          <t>2023-1</t>
        </is>
      </c>
      <c r="J1516" s="5" t="n">
        <v>0</v>
      </c>
      <c r="K1516" s="10" t="n">
        <v>0</v>
      </c>
      <c r="L1516" s="28">
        <f>IFERROR(IF(OR(J1516=0,K1516=""),"",IF(E1516="Positivo",MIN(MAX(K1516/J1516,0),1.3),MIN(MAX(J1516/K1516,0),1.3))),"") </f>
        <v/>
      </c>
      <c r="M1516" s="28">
        <f>IFERROR(IF(OR(J1516=0,K1516=""),"",IF(E1516="Positivo",MAX(K1516/J1516,0),MAX(J1516/K1516,0))),"") </f>
        <v/>
      </c>
      <c r="N1516" s="5" t="inlineStr">
        <is>
          <t>%</t>
        </is>
      </c>
      <c r="O1516" s="5" t="inlineStr">
        <is>
          <t>%</t>
        </is>
      </c>
      <c r="P1516" s="16" t="n">
        <v>0</v>
      </c>
      <c r="Q1516" s="16" t="n">
        <v>0</v>
      </c>
      <c r="R1516" s="5" t="inlineStr">
        <is>
          <t>302-2023-06-30</t>
        </is>
      </c>
    </row>
    <row r="1517">
      <c r="A1517" s="26" t="n">
        <v>302</v>
      </c>
      <c r="B1517" s="5" t="inlineStr">
        <is>
          <t>N de solicitudes radicadas</t>
        </is>
      </c>
      <c r="C1517" s="5" t="inlineStr">
        <is>
          <t>Centro de Medios Audiovisuales</t>
        </is>
      </c>
      <c r="D1517" s="5" t="inlineStr">
        <is>
          <t>Semestral</t>
        </is>
      </c>
      <c r="E1517" s="5" t="inlineStr">
        <is>
          <t>Positivo</t>
        </is>
      </c>
      <c r="F1517" s="144" t="n">
        <v>45291</v>
      </c>
      <c r="G1517" s="5" t="n">
        <v>2023</v>
      </c>
      <c r="H1517" s="5" t="inlineStr">
        <is>
          <t>Diciembre</t>
        </is>
      </c>
      <c r="I1517" s="6" t="inlineStr">
        <is>
          <t>2023-2</t>
        </is>
      </c>
      <c r="J1517" s="5" t="n">
        <v>0</v>
      </c>
      <c r="K1517" s="10" t="n">
        <v>0</v>
      </c>
      <c r="L1517" s="28">
        <f>IFERROR(IF(OR(J1517=0,K1517=""),"",IF(E1517="Positivo",MIN(MAX(K1517/J1517,0),1.3),MIN(MAX(J1517/K1517,0),1.3))),"") </f>
        <v/>
      </c>
      <c r="M1517" s="28">
        <f>IFERROR(IF(OR(J1517=0,K1517=""),"",IF(E1517="Positivo",MAX(K1517/J1517,0),MAX(J1517/K1517,0))),"") </f>
        <v/>
      </c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 t="inlineStr">
        <is>
          <t>302-2023-12-31</t>
        </is>
      </c>
    </row>
    <row r="1518">
      <c r="A1518" s="26" t="n">
        <v>302</v>
      </c>
      <c r="B1518" s="5" t="inlineStr">
        <is>
          <t>N de solicitudes radicadas</t>
        </is>
      </c>
      <c r="C1518" s="5" t="inlineStr">
        <is>
          <t>Centro de Medios Audiovisuales</t>
        </is>
      </c>
      <c r="D1518" s="5" t="inlineStr">
        <is>
          <t>Semestral</t>
        </is>
      </c>
      <c r="E1518" s="5" t="inlineStr">
        <is>
          <t>Positivo</t>
        </is>
      </c>
      <c r="F1518" s="144" t="n">
        <v>45473</v>
      </c>
      <c r="G1518" s="5" t="n">
        <v>2024</v>
      </c>
      <c r="H1518" s="5" t="inlineStr">
        <is>
          <t>Junio</t>
        </is>
      </c>
      <c r="I1518" s="6" t="inlineStr">
        <is>
          <t>2024-1</t>
        </is>
      </c>
      <c r="J1518" s="5" t="n">
        <v>0</v>
      </c>
      <c r="K1518" s="10" t="n">
        <v>17878</v>
      </c>
      <c r="L1518" s="28">
        <f>IFERROR(IF(OR(J1518=0,K1518=""),"",IF(E1518="Positivo",MIN(MAX(K1518/J1518,0),1.3),MIN(MAX(J1518/K1518,0),1.3))),"") </f>
        <v/>
      </c>
      <c r="M1518" s="28">
        <f>IFERROR(IF(OR(J1518=0,K1518=""),"",IF(E1518="Positivo",MAX(K1518/J1518,0),MAX(J1518/K1518,0))),"") </f>
        <v/>
      </c>
      <c r="N1518" s="5" t="n">
        <v>0</v>
      </c>
      <c r="O1518" s="5" t="inlineStr">
        <is>
          <t>ENT</t>
        </is>
      </c>
      <c r="P1518" s="16" t="n">
        <v>0</v>
      </c>
      <c r="Q1518" s="16" t="n">
        <v>0</v>
      </c>
      <c r="R1518" s="5" t="inlineStr">
        <is>
          <t>302-2024-06-30</t>
        </is>
      </c>
    </row>
    <row r="1519">
      <c r="A1519" s="26" t="n">
        <v>302</v>
      </c>
      <c r="B1519" s="5" t="inlineStr">
        <is>
          <t>N de solicitudes radicadas</t>
        </is>
      </c>
      <c r="C1519" s="5" t="inlineStr">
        <is>
          <t>Centro de Medios Audiovisuales</t>
        </is>
      </c>
      <c r="D1519" s="5" t="inlineStr">
        <is>
          <t>Semestral</t>
        </is>
      </c>
      <c r="E1519" s="5" t="inlineStr">
        <is>
          <t>Positivo</t>
        </is>
      </c>
      <c r="F1519" s="144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0</v>
      </c>
      <c r="K1519" s="10" t="n">
        <v>19142</v>
      </c>
      <c r="L1519" s="28">
        <f>IFERROR(IF(OR(J1519=0,K1519=""),"",IF(E1519="Positivo",MIN(MAX(K1519/J1519,0),1.3),MIN(MAX(J1519/K1519,0),1.3))),"") </f>
        <v/>
      </c>
      <c r="M1519" s="28">
        <f>IFERROR(IF(OR(J1519=0,K1519=""),"",IF(E1519="Positivo",MAX(K1519/J1519,0),MAX(J1519/K1519,0))),"") </f>
        <v/>
      </c>
      <c r="N1519" s="5" t="n">
        <v>0</v>
      </c>
      <c r="O1519" s="5" t="inlineStr">
        <is>
          <t>ENT</t>
        </is>
      </c>
      <c r="P1519" s="16" t="n">
        <v>0</v>
      </c>
      <c r="Q1519" s="16" t="n">
        <v>0</v>
      </c>
      <c r="R1519" s="5" t="inlineStr">
        <is>
          <t>302-2024-12-31</t>
        </is>
      </c>
    </row>
    <row r="1520">
      <c r="A1520" s="26" t="n">
        <v>302</v>
      </c>
      <c r="B1520" s="5" t="inlineStr">
        <is>
          <t>N de solicitudes radicadas - (Metrica)</t>
        </is>
      </c>
      <c r="C1520" s="5" t="inlineStr">
        <is>
          <t>Centro de Medios Audiovisuales</t>
        </is>
      </c>
      <c r="D1520" s="5" t="inlineStr">
        <is>
          <t>Trimestral</t>
        </is>
      </c>
      <c r="E1520" s="5" t="inlineStr">
        <is>
          <t>Positivo</t>
        </is>
      </c>
      <c r="F1520" s="144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/>
      <c r="K1520" s="10" t="n">
        <v>21712</v>
      </c>
      <c r="L1520" s="28" t="n"/>
      <c r="M1520" s="28" t="n"/>
      <c r="N1520" s="5" t="inlineStr">
        <is>
          <t>%</t>
        </is>
      </c>
      <c r="O1520" s="5" t="inlineStr">
        <is>
          <t>ENT</t>
        </is>
      </c>
      <c r="P1520" s="16" t="n">
        <v>0</v>
      </c>
      <c r="Q1520" s="16" t="n">
        <v>0</v>
      </c>
      <c r="R1520" s="5" t="inlineStr">
        <is>
          <t>302-2025-06-30</t>
        </is>
      </c>
      <c r="S1520" t="inlineStr">
        <is>
          <t>Metrica</t>
        </is>
      </c>
    </row>
    <row r="1521">
      <c r="A1521" s="5" t="n">
        <v>302</v>
      </c>
      <c r="B1521" s="5" t="inlineStr">
        <is>
          <t>N de solicitudes radicadas - (Metrica)</t>
        </is>
      </c>
      <c r="C1521" s="5" t="inlineStr">
        <is>
          <t>Centro de Medios Audiovisuales</t>
        </is>
      </c>
      <c r="D1521" s="5" t="inlineStr">
        <is>
          <t>Trimestral</t>
        </is>
      </c>
      <c r="E1521" s="5" t="inlineStr">
        <is>
          <t>Positivo</t>
        </is>
      </c>
      <c r="F1521" s="144" t="n">
        <v>46022</v>
      </c>
      <c r="G1521" s="5" t="n">
        <v>2025</v>
      </c>
      <c r="H1521" s="5" t="inlineStr">
        <is>
          <t>Diciembre</t>
        </is>
      </c>
      <c r="I1521" s="6" t="inlineStr">
        <is>
          <t>2025-2</t>
        </is>
      </c>
      <c r="J1521" s="5" t="n"/>
      <c r="K1521" s="5" t="n">
        <v>31371</v>
      </c>
      <c r="L1521" s="28" t="n"/>
      <c r="M1521" s="28" t="n"/>
      <c r="N1521" s="5" t="inlineStr">
        <is>
          <t>%</t>
        </is>
      </c>
      <c r="O1521" s="5" t="inlineStr">
        <is>
          <t>ENT</t>
        </is>
      </c>
      <c r="P1521" s="5" t="n">
        <v>0</v>
      </c>
      <c r="Q1521" s="5" t="n">
        <v>0</v>
      </c>
      <c r="R1521" s="5" t="inlineStr">
        <is>
          <t>302-2025-12-31</t>
        </is>
      </c>
      <c r="S1521" t="inlineStr">
        <is>
          <t>Metrica</t>
        </is>
      </c>
    </row>
    <row r="1522">
      <c r="A1522" s="26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144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10" t="n">
        <v>75.75757575757601</v>
      </c>
      <c r="L1522" s="28">
        <f>IFERROR(IF(OR(J1522=0,K1522=""),"",IF(E1522="Positivo",MIN(MAX(K1522/J1522,0),1.3),MIN(MAX(J1522/K1522,0),1.3))),"") </f>
        <v/>
      </c>
      <c r="M1522" s="28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6" t="n">
        <v>0</v>
      </c>
      <c r="Q1522" s="16" t="n">
        <v>0</v>
      </c>
      <c r="R1522" s="5" t="inlineStr">
        <is>
          <t>303-2023-06-30</t>
        </is>
      </c>
    </row>
    <row r="1523">
      <c r="A1523" s="26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Semestral</t>
        </is>
      </c>
      <c r="E1523" s="5" t="inlineStr">
        <is>
          <t>Positivo</t>
        </is>
      </c>
      <c r="F1523" s="144" t="n">
        <v>45291</v>
      </c>
      <c r="G1523" s="5" t="n">
        <v>2023</v>
      </c>
      <c r="H1523" s="5" t="inlineStr">
        <is>
          <t>Diciembre</t>
        </is>
      </c>
      <c r="I1523" s="6" t="inlineStr">
        <is>
          <t>2023-2</t>
        </is>
      </c>
      <c r="J1523" s="5" t="n">
        <v>100</v>
      </c>
      <c r="K1523" s="10" t="n">
        <v>79.54545454545455</v>
      </c>
      <c r="L1523" s="28">
        <f>IFERROR(IF(OR(J1523=0,K1523=""),"",IF(E1523="Positivo",MIN(MAX(K1523/J1523,0),1.3),MIN(MAX(J1523/K1523,0),1.3))),"") </f>
        <v/>
      </c>
      <c r="M1523" s="28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16" t="n">
        <v>0</v>
      </c>
      <c r="Q1523" s="16" t="n">
        <v>0</v>
      </c>
      <c r="R1523" s="5" t="inlineStr">
        <is>
          <t>303-2023-12-31</t>
        </is>
      </c>
    </row>
    <row r="1524">
      <c r="A1524" s="26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Semestral</t>
        </is>
      </c>
      <c r="E1524" s="5" t="inlineStr">
        <is>
          <t>Positivo</t>
        </is>
      </c>
      <c r="F1524" s="144" t="n">
        <v>45473</v>
      </c>
      <c r="G1524" s="5" t="n">
        <v>2024</v>
      </c>
      <c r="H1524" s="5" t="inlineStr">
        <is>
          <t>Junio</t>
        </is>
      </c>
      <c r="I1524" s="6" t="inlineStr">
        <is>
          <t>2024-1</t>
        </is>
      </c>
      <c r="J1524" s="5" t="n">
        <v>95</v>
      </c>
      <c r="K1524" s="10" t="n">
        <v>100</v>
      </c>
      <c r="L1524" s="28">
        <f>IFERROR(IF(OR(J1524=0,K1524=""),"",IF(E1524="Positivo",MIN(MAX(K1524/J1524,0),1.3),MIN(MAX(J1524/K1524,0),1.3))),"") </f>
        <v/>
      </c>
      <c r="M1524" s="28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6" t="n">
        <v>0</v>
      </c>
      <c r="Q1524" s="16" t="n">
        <v>0</v>
      </c>
      <c r="R1524" s="5" t="inlineStr">
        <is>
          <t>303-2024-06-30</t>
        </is>
      </c>
    </row>
    <row r="1525">
      <c r="A1525" s="26" t="n">
        <v>303</v>
      </c>
      <c r="B1525" s="5" t="inlineStr">
        <is>
          <t>Cumplimiento del cronograma de actividades de salud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144" t="n">
        <v>45657</v>
      </c>
      <c r="G1525" s="5" t="n">
        <v>2024</v>
      </c>
      <c r="H1525" s="5" t="inlineStr">
        <is>
          <t>Diciembre</t>
        </is>
      </c>
      <c r="I1525" s="6" t="inlineStr">
        <is>
          <t>2024-2</t>
        </is>
      </c>
      <c r="J1525" s="5" t="n">
        <v>95</v>
      </c>
      <c r="K1525" s="10" t="n">
        <v>95.65217391304348</v>
      </c>
      <c r="L1525" s="28">
        <f>IFERROR(IF(OR(J1525=0,K1525=""),"",IF(E1525="Positivo",MIN(MAX(K1525/J1525,0),1.3),MIN(MAX(J1525/K1525,0),1.3))),"") </f>
        <v/>
      </c>
      <c r="M1525" s="28">
        <f>IFERROR(IF(OR(J1525=0,K1525=""),"",IF(E1525="Positivo",MAX(K1525/J1525,0),MAX(J1525/K1525,0))),"") </f>
        <v/>
      </c>
      <c r="N1525" s="5" t="inlineStr">
        <is>
          <t>%</t>
        </is>
      </c>
      <c r="O1525" s="5" t="inlineStr">
        <is>
          <t>%</t>
        </is>
      </c>
      <c r="P1525" s="16" t="n">
        <v>0</v>
      </c>
      <c r="Q1525" s="16" t="n">
        <v>0</v>
      </c>
      <c r="R1525" s="5" t="inlineStr">
        <is>
          <t>303-2024-12-31</t>
        </is>
      </c>
    </row>
    <row r="1526">
      <c r="A1526" s="26" t="n">
        <v>303</v>
      </c>
      <c r="B1526" s="5" t="inlineStr">
        <is>
          <t>Cumplimiento del cronograma de actividades de salud</t>
        </is>
      </c>
      <c r="C1526" s="5" t="inlineStr">
        <is>
          <t>Servicio de Salud</t>
        </is>
      </c>
      <c r="D1526" s="5" t="inlineStr">
        <is>
          <t>Semestral</t>
        </is>
      </c>
      <c r="E1526" s="5" t="inlineStr">
        <is>
          <t>Positivo</t>
        </is>
      </c>
      <c r="F1526" s="144" t="n">
        <v>45838</v>
      </c>
      <c r="G1526" s="5" t="n">
        <v>2025</v>
      </c>
      <c r="H1526" s="5" t="inlineStr">
        <is>
          <t>Junio</t>
        </is>
      </c>
      <c r="I1526" s="6" t="inlineStr">
        <is>
          <t>2025-1</t>
        </is>
      </c>
      <c r="J1526" s="5" t="n">
        <v>95</v>
      </c>
      <c r="K1526" s="10" t="n">
        <v>90.31999999999999</v>
      </c>
      <c r="L1526" s="28">
        <f>IFERROR(IF(OR(J1526=0,K1526=""),"",IF(E1526="Positivo",MIN(MAX(K1526/J1526,0),1.3),MIN(MAX(J1526/K1526,0),1.3))),"") </f>
        <v/>
      </c>
      <c r="M1526" s="28">
        <f>IFERROR(IF(OR(J1526=0,K1526=""),"",IF(E1526="Positivo",MAX(K1526/J1526,0),MAX(J1526/K1526,0))),"") </f>
        <v/>
      </c>
      <c r="N1526" s="5" t="inlineStr">
        <is>
          <t>%</t>
        </is>
      </c>
      <c r="O1526" s="5" t="inlineStr">
        <is>
          <t>%</t>
        </is>
      </c>
      <c r="P1526" s="16" t="n">
        <v>0</v>
      </c>
      <c r="Q1526" s="16" t="n">
        <v>0</v>
      </c>
      <c r="R1526" s="5" t="inlineStr">
        <is>
          <t>303-2025-06-30</t>
        </is>
      </c>
    </row>
    <row r="1527">
      <c r="A1527" s="26" t="n">
        <v>303</v>
      </c>
      <c r="B1527" s="5" t="inlineStr">
        <is>
          <t>Cumplimiento del cronograma de actividades de salud</t>
        </is>
      </c>
      <c r="C1527" s="5" t="inlineStr">
        <is>
          <t>Servicio de Salud</t>
        </is>
      </c>
      <c r="D1527" s="5" t="inlineStr">
        <is>
          <t>Trimestral</t>
        </is>
      </c>
      <c r="E1527" s="5" t="inlineStr">
        <is>
          <t>Positivo</t>
        </is>
      </c>
      <c r="F1527" s="144" t="n">
        <v>46022</v>
      </c>
      <c r="G1527" s="5" t="n">
        <v>2025</v>
      </c>
      <c r="H1527" s="5" t="inlineStr">
        <is>
          <t>Diciembre</t>
        </is>
      </c>
      <c r="I1527" s="6" t="inlineStr">
        <is>
          <t>2025-2</t>
        </is>
      </c>
      <c r="J1527" s="5" t="n">
        <v>95</v>
      </c>
      <c r="K1527" s="10" t="n">
        <v>100</v>
      </c>
      <c r="L1527" s="28">
        <f>IFERROR(IF(OR(J1527=0,K1527=""),"",IF(E1527="Positivo",MIN(MAX(K1527/J1527,0),1.3),MIN(MAX(J1527/K1527,0),1.3))),"") </f>
        <v/>
      </c>
      <c r="M1527" s="28">
        <f>IFERROR(IF(OR(J1527=0,K1527=""),"",IF(E1527="Positivo",MAX(K1527/J1527,0),MAX(J1527/K1527,0))),"") </f>
        <v/>
      </c>
      <c r="N1527" s="5" t="inlineStr">
        <is>
          <t>%</t>
        </is>
      </c>
      <c r="O1527" s="5" t="inlineStr">
        <is>
          <t>%</t>
        </is>
      </c>
      <c r="P1527" s="16" t="n">
        <v>0</v>
      </c>
      <c r="Q1527" s="16" t="n">
        <v>0</v>
      </c>
      <c r="R1527" s="5" t="inlineStr">
        <is>
          <t>303-2025-12-31</t>
        </is>
      </c>
    </row>
    <row r="1528">
      <c r="A1528" s="26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144" t="n">
        <v>45107</v>
      </c>
      <c r="G1528" s="5" t="n">
        <v>2023</v>
      </c>
      <c r="H1528" s="5" t="inlineStr">
        <is>
          <t>Junio</t>
        </is>
      </c>
      <c r="I1528" s="6" t="inlineStr">
        <is>
          <t>2023-1</t>
        </is>
      </c>
      <c r="J1528" s="5" t="n">
        <v>100</v>
      </c>
      <c r="K1528" s="10" t="n">
        <v>189.86</v>
      </c>
      <c r="L1528" s="28">
        <f>IFERROR(IF(OR(J1528=0,K1528=""),"",IF(E1528="Positivo",MIN(MAX(K1528/J1528,0),1.3),MIN(MAX(J1528/K1528,0),1.3))),"") </f>
        <v/>
      </c>
      <c r="M1528" s="28">
        <f>IFERROR(IF(OR(J1528=0,K1528=""),"",IF(E1528="Positivo",MAX(K1528/J1528,0),MAX(J1528/K1528,0))),"") </f>
        <v/>
      </c>
      <c r="N1528" s="5" t="inlineStr">
        <is>
          <t>ENT</t>
        </is>
      </c>
      <c r="O1528" s="5" t="inlineStr">
        <is>
          <t>ENT</t>
        </is>
      </c>
      <c r="P1528" s="16" t="n">
        <v>0</v>
      </c>
      <c r="Q1528" s="16" t="n">
        <v>0</v>
      </c>
      <c r="R1528" s="5" t="inlineStr">
        <is>
          <t>304-2023-06-30</t>
        </is>
      </c>
    </row>
    <row r="1529">
      <c r="A1529" s="26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Semestral</t>
        </is>
      </c>
      <c r="E1529" s="5" t="inlineStr">
        <is>
          <t>Positivo</t>
        </is>
      </c>
      <c r="F1529" s="144" t="n">
        <v>45291</v>
      </c>
      <c r="G1529" s="5" t="n">
        <v>2023</v>
      </c>
      <c r="H1529" s="5" t="inlineStr">
        <is>
          <t>Diciembre</t>
        </is>
      </c>
      <c r="I1529" s="6" t="inlineStr">
        <is>
          <t>2023-2</t>
        </is>
      </c>
      <c r="J1529" s="5" t="n">
        <v>100</v>
      </c>
      <c r="K1529" s="10" t="n">
        <v>176.33</v>
      </c>
      <c r="L1529" s="28">
        <f>IFERROR(IF(OR(J1529=0,K1529=""),"",IF(E1529="Positivo",MIN(MAX(K1529/J1529,0),1.3),MIN(MAX(J1529/K1529,0),1.3))),"") </f>
        <v/>
      </c>
      <c r="M1529" s="28">
        <f>IFERROR(IF(OR(J1529=0,K1529=""),"",IF(E1529="Positivo",MAX(K1529/J1529,0),MAX(J1529/K1529,0))),"") </f>
        <v/>
      </c>
      <c r="N1529" s="5" t="inlineStr">
        <is>
          <t>ENT</t>
        </is>
      </c>
      <c r="O1529" s="5" t="inlineStr">
        <is>
          <t>ENT</t>
        </is>
      </c>
      <c r="P1529" s="16" t="n">
        <v>0</v>
      </c>
      <c r="Q1529" s="16" t="n">
        <v>0</v>
      </c>
      <c r="R1529" s="5" t="inlineStr">
        <is>
          <t>304-2023-12-31</t>
        </is>
      </c>
    </row>
    <row r="1530">
      <c r="A1530" s="26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Semestral</t>
        </is>
      </c>
      <c r="E1530" s="5" t="inlineStr">
        <is>
          <t>Positivo</t>
        </is>
      </c>
      <c r="F1530" s="144" t="n">
        <v>45473</v>
      </c>
      <c r="G1530" s="5" t="n">
        <v>2024</v>
      </c>
      <c r="H1530" s="5" t="inlineStr">
        <is>
          <t>Junio</t>
        </is>
      </c>
      <c r="I1530" s="6" t="inlineStr">
        <is>
          <t>2024-1</t>
        </is>
      </c>
      <c r="J1530" s="5" t="n">
        <v>100</v>
      </c>
      <c r="K1530" s="10" t="n">
        <v>100.12</v>
      </c>
      <c r="L1530" s="28">
        <f>IFERROR(IF(OR(J1530=0,K1530=""),"",IF(E1530="Positivo",MIN(MAX(K1530/J1530,0),1.3),MIN(MAX(J1530/K1530,0),1.3))),"") </f>
        <v/>
      </c>
      <c r="M1530" s="28">
        <f>IFERROR(IF(OR(J1530=0,K1530=""),"",IF(E1530="Positivo",MAX(K1530/J1530,0),MAX(J1530/K1530,0))),"") </f>
        <v/>
      </c>
      <c r="N1530" s="5" t="inlineStr">
        <is>
          <t>ENT</t>
        </is>
      </c>
      <c r="O1530" s="5" t="inlineStr">
        <is>
          <t>ENT</t>
        </is>
      </c>
      <c r="P1530" s="16" t="n">
        <v>0</v>
      </c>
      <c r="Q1530" s="16" t="n">
        <v>0</v>
      </c>
      <c r="R1530" s="5" t="inlineStr">
        <is>
          <t>304-2024-06-30</t>
        </is>
      </c>
    </row>
    <row r="1531">
      <c r="A1531" s="26" t="n">
        <v>304</v>
      </c>
      <c r="B1531" s="5" t="inlineStr">
        <is>
          <t>Impacto de Campañas de promoción y prevención</t>
        </is>
      </c>
      <c r="C1531" s="5" t="inlineStr">
        <is>
          <t>Servicio de Salud</t>
        </is>
      </c>
      <c r="D1531" s="5" t="inlineStr">
        <is>
          <t>Semestral</t>
        </is>
      </c>
      <c r="E1531" s="5" t="inlineStr">
        <is>
          <t>Positivo</t>
        </is>
      </c>
      <c r="F1531" s="144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10" t="n">
        <v>83.56</v>
      </c>
      <c r="L1531" s="28">
        <f>IFERROR(IF(OR(J1531=0,K1531=""),"",IF(E1531="Positivo",MIN(MAX(K1531/J1531,0),1.3),MIN(MAX(J1531/K1531,0),1.3))),"") </f>
        <v/>
      </c>
      <c r="M1531" s="28">
        <f>IFERROR(IF(OR(J1531=0,K1531=""),"",IF(E1531="Positivo",MAX(K1531/J1531,0),MAX(J1531/K1531,0))),"") </f>
        <v/>
      </c>
      <c r="N1531" s="5" t="inlineStr">
        <is>
          <t>ENT</t>
        </is>
      </c>
      <c r="O1531" s="5" t="inlineStr">
        <is>
          <t>ENT</t>
        </is>
      </c>
      <c r="P1531" s="16" t="n">
        <v>0</v>
      </c>
      <c r="Q1531" s="16" t="n">
        <v>0</v>
      </c>
      <c r="R1531" s="5" t="inlineStr">
        <is>
          <t>304-2024-12-31</t>
        </is>
      </c>
    </row>
    <row r="1532">
      <c r="A1532" s="26" t="n">
        <v>304</v>
      </c>
      <c r="B1532" s="5" t="inlineStr">
        <is>
          <t>Impacto de Campañas de promoción y prevención</t>
        </is>
      </c>
      <c r="C1532" s="5" t="inlineStr">
        <is>
          <t>Servicio de Salud</t>
        </is>
      </c>
      <c r="D1532" s="5" t="inlineStr">
        <is>
          <t>Semestral</t>
        </is>
      </c>
      <c r="E1532" s="5" t="inlineStr">
        <is>
          <t>Positivo</t>
        </is>
      </c>
      <c r="F1532" s="144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10" t="n">
        <v>98.47</v>
      </c>
      <c r="L1532" s="28">
        <f>IFERROR(IF(OR(J1532=0,K1532=""),"",IF(E1532="Positivo",MIN(MAX(K1532/J1532,0),1.3),MIN(MAX(J1532/K1532,0),1.3))),"") </f>
        <v/>
      </c>
      <c r="M1532" s="28">
        <f>IFERROR(IF(OR(J1532=0,K1532=""),"",IF(E1532="Positivo",MAX(K1532/J1532,0),MAX(J1532/K1532,0))),"") </f>
        <v/>
      </c>
      <c r="N1532" s="5" t="inlineStr">
        <is>
          <t>ENT</t>
        </is>
      </c>
      <c r="O1532" s="5" t="inlineStr">
        <is>
          <t>ENT</t>
        </is>
      </c>
      <c r="P1532" s="16" t="n">
        <v>0</v>
      </c>
      <c r="Q1532" s="16" t="n">
        <v>0</v>
      </c>
      <c r="R1532" s="5" t="inlineStr">
        <is>
          <t>304-2025-06-30</t>
        </is>
      </c>
    </row>
    <row r="1533">
      <c r="A1533" s="26" t="n">
        <v>304</v>
      </c>
      <c r="B1533" s="5" t="inlineStr">
        <is>
          <t>Impacto de Campañas de promoción y prevención</t>
        </is>
      </c>
      <c r="C1533" s="5" t="inlineStr">
        <is>
          <t>Servicio de Salud</t>
        </is>
      </c>
      <c r="D1533" s="5" t="inlineStr">
        <is>
          <t>Trimestral</t>
        </is>
      </c>
      <c r="E1533" s="5" t="inlineStr">
        <is>
          <t>Positivo</t>
        </is>
      </c>
      <c r="F1533" s="144" t="n">
        <v>46022</v>
      </c>
      <c r="G1533" s="5" t="n">
        <v>2025</v>
      </c>
      <c r="H1533" s="5" t="inlineStr">
        <is>
          <t>Diciembre</t>
        </is>
      </c>
      <c r="I1533" s="6" t="inlineStr">
        <is>
          <t>2025-2</t>
        </is>
      </c>
      <c r="J1533" s="5" t="n">
        <v>100</v>
      </c>
      <c r="K1533" s="10" t="n">
        <v>116.09</v>
      </c>
      <c r="L1533" s="28">
        <f>IFERROR(IF(OR(J1533=0,K1533=""),"",IF(E1533="Positivo",MIN(MAX(K1533/J1533,0),1.3),MIN(MAX(J1533/K1533,0),1.3))),"") </f>
        <v/>
      </c>
      <c r="M1533" s="28">
        <f>IFERROR(IF(OR(J1533=0,K1533=""),"",IF(E1533="Positivo",MAX(K1533/J1533,0),MAX(J1533/K1533,0))),"") </f>
        <v/>
      </c>
      <c r="N1533" s="5" t="inlineStr">
        <is>
          <t>ENT</t>
        </is>
      </c>
      <c r="O1533" s="5" t="inlineStr">
        <is>
          <t>ENT</t>
        </is>
      </c>
      <c r="P1533" s="16" t="n">
        <v>0</v>
      </c>
      <c r="Q1533" s="16" t="n">
        <v>0</v>
      </c>
      <c r="R1533" s="5" t="inlineStr">
        <is>
          <t>304-2025-12-31</t>
        </is>
      </c>
    </row>
    <row r="1534">
      <c r="A1534" s="26" t="n">
        <v>305</v>
      </c>
      <c r="B1534" s="5" t="inlineStr">
        <is>
          <t>Cumplimiento del plan anual de mantenimiento de equipos médicos</t>
        </is>
      </c>
      <c r="C1534" s="5" t="inlineStr">
        <is>
          <t>Servicio de Salud</t>
        </is>
      </c>
      <c r="D1534" s="5" t="inlineStr">
        <is>
          <t>Anual</t>
        </is>
      </c>
      <c r="E1534" s="5" t="inlineStr">
        <is>
          <t>Positivo</t>
        </is>
      </c>
      <c r="F1534" s="144" t="n">
        <v>45291</v>
      </c>
      <c r="G1534" s="5" t="n">
        <v>2023</v>
      </c>
      <c r="H1534" s="5" t="inlineStr">
        <is>
          <t>Diciembre</t>
        </is>
      </c>
      <c r="I1534" s="6" t="inlineStr">
        <is>
          <t>2023-2</t>
        </is>
      </c>
      <c r="J1534" s="5" t="n">
        <v>100</v>
      </c>
      <c r="K1534" s="10" t="n">
        <v>100</v>
      </c>
      <c r="L1534" s="28">
        <f>IFERROR(IF(OR(J1534=0,K1534=""),"",IF(E1534="Positivo",MIN(MAX(K1534/J1534,0),1.3),MIN(MAX(J1534/K1534,0),1.3))),"") </f>
        <v/>
      </c>
      <c r="M1534" s="28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6" t="n">
        <v>0</v>
      </c>
      <c r="Q1534" s="16" t="n">
        <v>0</v>
      </c>
      <c r="R1534" s="5" t="inlineStr">
        <is>
          <t>305-2023-12-31</t>
        </is>
      </c>
    </row>
    <row r="1535">
      <c r="A1535" s="26" t="n">
        <v>305</v>
      </c>
      <c r="B1535" s="5" t="inlineStr">
        <is>
          <t>Cumplimiento del plan anual de mantenimiento de equipos médicos</t>
        </is>
      </c>
      <c r="C1535" s="5" t="inlineStr">
        <is>
          <t>Servicio de Salud</t>
        </is>
      </c>
      <c r="D1535" s="5" t="inlineStr">
        <is>
          <t>Anual</t>
        </is>
      </c>
      <c r="E1535" s="5" t="inlineStr">
        <is>
          <t>Positivo</t>
        </is>
      </c>
      <c r="F1535" s="144" t="n">
        <v>45657</v>
      </c>
      <c r="G1535" s="5" t="n">
        <v>2024</v>
      </c>
      <c r="H1535" s="5" t="inlineStr">
        <is>
          <t>Diciembre</t>
        </is>
      </c>
      <c r="I1535" s="6" t="inlineStr">
        <is>
          <t>2024-2</t>
        </is>
      </c>
      <c r="J1535" s="5" t="n">
        <v>100</v>
      </c>
      <c r="K1535" s="10" t="n">
        <v>100</v>
      </c>
      <c r="L1535" s="28">
        <f>IFERROR(IF(OR(J1535=0,K1535=""),"",IF(E1535="Positivo",MIN(MAX(K1535/J1535,0),1.3),MIN(MAX(J1535/K1535,0),1.3))),"") </f>
        <v/>
      </c>
      <c r="M1535" s="28">
        <f>IFERROR(IF(OR(J1535=0,K1535=""),"",IF(E1535="Positivo",MAX(K1535/J1535,0),MAX(J1535/K1535,0))),"") </f>
        <v/>
      </c>
      <c r="N1535" s="5" t="inlineStr">
        <is>
          <t>%</t>
        </is>
      </c>
      <c r="O1535" s="5" t="inlineStr">
        <is>
          <t>%</t>
        </is>
      </c>
      <c r="P1535" s="16" t="n">
        <v>0</v>
      </c>
      <c r="Q1535" s="16" t="n">
        <v>0</v>
      </c>
      <c r="R1535" s="5" t="inlineStr">
        <is>
          <t>305-2024-12-31</t>
        </is>
      </c>
    </row>
    <row r="1536">
      <c r="A1536" s="26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Semestral</t>
        </is>
      </c>
      <c r="E1536" s="5" t="inlineStr">
        <is>
          <t>Positivo</t>
        </is>
      </c>
      <c r="F1536" s="144" t="n">
        <v>45016</v>
      </c>
      <c r="G1536" s="5" t="n">
        <v>2023</v>
      </c>
      <c r="H1536" s="5" t="inlineStr">
        <is>
          <t>Marzo</t>
        </is>
      </c>
      <c r="I1536" s="6" t="inlineStr">
        <is>
          <t>2023-1</t>
        </is>
      </c>
      <c r="J1536" s="5" t="n">
        <v>100</v>
      </c>
      <c r="K1536" s="10" t="n">
        <v>0</v>
      </c>
      <c r="L1536" s="28">
        <f>IFERROR(IF(OR(J1536=0,K1536=""),"",IF(E1536="Positivo",MIN(MAX(K1536/J1536,0),1.3),MIN(MAX(J1536/K1536,0),1.3))),"") </f>
        <v/>
      </c>
      <c r="M1536" s="28">
        <f>IFERROR(IF(OR(J1536=0,K1536=""),"",IF(E1536="Positivo",MAX(K1536/J1536,0),MAX(J1536/K1536,0))),"") </f>
        <v/>
      </c>
      <c r="N1536" s="5" t="inlineStr">
        <is>
          <t>%</t>
        </is>
      </c>
      <c r="O1536" s="5" t="inlineStr">
        <is>
          <t>%</t>
        </is>
      </c>
      <c r="P1536" s="16" t="n">
        <v>0</v>
      </c>
      <c r="Q1536" s="16" t="n">
        <v>0</v>
      </c>
      <c r="R1536" s="5" t="inlineStr">
        <is>
          <t>306-2023-03-31</t>
        </is>
      </c>
    </row>
    <row r="1537">
      <c r="A1537" s="26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144" t="n">
        <v>45107</v>
      </c>
      <c r="G1537" s="5" t="n">
        <v>2023</v>
      </c>
      <c r="H1537" s="5" t="inlineStr">
        <is>
          <t>Junio</t>
        </is>
      </c>
      <c r="I1537" s="6" t="inlineStr">
        <is>
          <t>2023-1</t>
        </is>
      </c>
      <c r="J1537" s="5" t="n">
        <v>100</v>
      </c>
      <c r="K1537" s="10" t="n">
        <v>723</v>
      </c>
      <c r="L1537" s="28">
        <f>IFERROR(IF(OR(J1537=0,K1537=""),"",IF(E1537="Positivo",MIN(MAX(K1537/J1537,0),1.3),MIN(MAX(J1537/K1537,0),1.3))),"") </f>
        <v/>
      </c>
      <c r="M1537" s="28">
        <f>IFERROR(IF(OR(J1537=0,K1537=""),"",IF(E1537="Positivo",MAX(K1537/J1537,0),MAX(J1537/K1537,0))),"") </f>
        <v/>
      </c>
      <c r="N1537" s="5" t="inlineStr">
        <is>
          <t>%</t>
        </is>
      </c>
      <c r="O1537" s="5" t="inlineStr">
        <is>
          <t>%</t>
        </is>
      </c>
      <c r="P1537" s="16" t="n">
        <v>0</v>
      </c>
      <c r="Q1537" s="16" t="n">
        <v>0</v>
      </c>
      <c r="R1537" s="5" t="inlineStr">
        <is>
          <t>306-2023-06-30</t>
        </is>
      </c>
    </row>
    <row r="1538">
      <c r="A1538" s="26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144" t="n">
        <v>45199</v>
      </c>
      <c r="G1538" s="5" t="n">
        <v>2023</v>
      </c>
      <c r="H1538" s="5" t="inlineStr">
        <is>
          <t>Septiembre</t>
        </is>
      </c>
      <c r="I1538" s="6" t="inlineStr">
        <is>
          <t>2023-2</t>
        </is>
      </c>
      <c r="J1538" s="5" t="n">
        <v>100</v>
      </c>
      <c r="K1538" s="10" t="n">
        <v>98</v>
      </c>
      <c r="L1538" s="28">
        <f>IFERROR(IF(OR(J1538=0,K1538=""),"",IF(E1538="Positivo",MIN(MAX(K1538/J1538,0),1.3),MIN(MAX(J1538/K1538,0),1.3))),"") </f>
        <v/>
      </c>
      <c r="M1538" s="28">
        <f>IFERROR(IF(OR(J1538=0,K1538=""),"",IF(E1538="Positivo",MAX(K1538/J1538,0),MAX(J1538/K1538,0))),"") </f>
        <v/>
      </c>
      <c r="N1538" s="5" t="inlineStr">
        <is>
          <t>%</t>
        </is>
      </c>
      <c r="O1538" s="5" t="inlineStr">
        <is>
          <t>%</t>
        </is>
      </c>
      <c r="P1538" s="16" t="n">
        <v>0</v>
      </c>
      <c r="Q1538" s="16" t="n">
        <v>0</v>
      </c>
      <c r="R1538" s="5" t="inlineStr">
        <is>
          <t>306-2023-09-30</t>
        </is>
      </c>
    </row>
    <row r="1539">
      <c r="A1539" s="26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144" t="n">
        <v>45291</v>
      </c>
      <c r="G1539" s="5" t="n">
        <v>2023</v>
      </c>
      <c r="H1539" s="5" t="inlineStr">
        <is>
          <t>Diciembre</t>
        </is>
      </c>
      <c r="I1539" s="6" t="inlineStr">
        <is>
          <t>2023-2</t>
        </is>
      </c>
      <c r="J1539" s="5" t="n">
        <v>100</v>
      </c>
      <c r="K1539" s="10" t="n">
        <v>626</v>
      </c>
      <c r="L1539" s="28">
        <f>IFERROR(IF(OR(J1539=0,K1539=""),"",IF(E1539="Positivo",MIN(MAX(K1539/J1539,0),1.3),MIN(MAX(J1539/K1539,0),1.3))),"") </f>
        <v/>
      </c>
      <c r="M1539" s="28">
        <f>IFERROR(IF(OR(J1539=0,K1539=""),"",IF(E1539="Positivo",MAX(K1539/J1539,0),MAX(J1539/K1539,0))),"") </f>
        <v/>
      </c>
      <c r="N1539" s="5" t="inlineStr">
        <is>
          <t>%</t>
        </is>
      </c>
      <c r="O1539" s="5" t="inlineStr">
        <is>
          <t>%</t>
        </is>
      </c>
      <c r="P1539" s="16" t="n">
        <v>0</v>
      </c>
      <c r="Q1539" s="16" t="n">
        <v>0</v>
      </c>
      <c r="R1539" s="5" t="inlineStr">
        <is>
          <t>306-2023-12-31</t>
        </is>
      </c>
    </row>
    <row r="1540">
      <c r="A1540" s="26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144" t="n">
        <v>45382</v>
      </c>
      <c r="G1540" s="5" t="n">
        <v>2024</v>
      </c>
      <c r="H1540" s="5" t="inlineStr">
        <is>
          <t>Marzo</t>
        </is>
      </c>
      <c r="I1540" s="6" t="inlineStr">
        <is>
          <t>2024-1</t>
        </is>
      </c>
      <c r="J1540" s="5" t="n">
        <v>100</v>
      </c>
      <c r="K1540" s="10" t="n">
        <v>0</v>
      </c>
      <c r="L1540" s="28">
        <f>IFERROR(IF(OR(J1540=0,K1540=""),"",IF(E1540="Positivo",MIN(MAX(K1540/J1540,0),1.3),MIN(MAX(J1540/K1540,0),1.3))),"") </f>
        <v/>
      </c>
      <c r="M1540" s="28">
        <f>IFERROR(IF(OR(J1540=0,K1540=""),"",IF(E1540="Positivo",MAX(K1540/J1540,0),MAX(J1540/K1540,0))),"") </f>
        <v/>
      </c>
      <c r="N1540" s="5" t="inlineStr">
        <is>
          <t>%</t>
        </is>
      </c>
      <c r="O1540" s="5" t="inlineStr">
        <is>
          <t>%</t>
        </is>
      </c>
      <c r="P1540" s="16" t="n">
        <v>0</v>
      </c>
      <c r="Q1540" s="16" t="n">
        <v>0</v>
      </c>
      <c r="R1540" s="5" t="inlineStr">
        <is>
          <t>306-2024-03-31</t>
        </is>
      </c>
    </row>
    <row r="1541">
      <c r="A1541" s="26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Trimestral</t>
        </is>
      </c>
      <c r="E1541" s="5" t="inlineStr">
        <is>
          <t>Positivo</t>
        </is>
      </c>
      <c r="F1541" s="144" t="n">
        <v>45473</v>
      </c>
      <c r="G1541" s="5" t="n">
        <v>2024</v>
      </c>
      <c r="H1541" s="5" t="inlineStr">
        <is>
          <t>Junio</t>
        </is>
      </c>
      <c r="I1541" s="6" t="inlineStr">
        <is>
          <t>2024-1</t>
        </is>
      </c>
      <c r="J1541" s="5" t="n">
        <v>100</v>
      </c>
      <c r="K1541" s="10" t="n">
        <v>601</v>
      </c>
      <c r="L1541" s="28">
        <f>IFERROR(IF(OR(J1541=0,K1541=""),"",IF(E1541="Positivo",MIN(MAX(K1541/J1541,0),1.3),MIN(MAX(J1541/K1541,0),1.3))),"") </f>
        <v/>
      </c>
      <c r="M1541" s="28">
        <f>IFERROR(IF(OR(J1541=0,K1541=""),"",IF(E1541="Positivo",MAX(K1541/J1541,0),MAX(J1541/K1541,0))),"") </f>
        <v/>
      </c>
      <c r="N1541" s="5" t="inlineStr">
        <is>
          <t>%</t>
        </is>
      </c>
      <c r="O1541" s="5" t="inlineStr">
        <is>
          <t>%</t>
        </is>
      </c>
      <c r="P1541" s="16" t="n">
        <v>0</v>
      </c>
      <c r="Q1541" s="16" t="n">
        <v>0</v>
      </c>
      <c r="R1541" s="5" t="inlineStr">
        <is>
          <t>306-2024-06-30</t>
        </is>
      </c>
    </row>
    <row r="1542">
      <c r="A1542" s="26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Trimestral</t>
        </is>
      </c>
      <c r="E1542" s="5" t="inlineStr">
        <is>
          <t>Positivo</t>
        </is>
      </c>
      <c r="F1542" s="144" t="n">
        <v>45565</v>
      </c>
      <c r="G1542" s="5" t="n">
        <v>2024</v>
      </c>
      <c r="H1542" s="5" t="inlineStr">
        <is>
          <t>Septiembre</t>
        </is>
      </c>
      <c r="I1542" s="6" t="inlineStr">
        <is>
          <t>2024-2</t>
        </is>
      </c>
      <c r="J1542" s="5" t="n">
        <v>100</v>
      </c>
      <c r="K1542" s="10" t="n">
        <v>0</v>
      </c>
      <c r="L1542" s="28">
        <f>IFERROR(IF(OR(J1542=0,K1542=""),"",IF(E1542="Positivo",MIN(MAX(K1542/J1542,0),1.3),MIN(MAX(J1542/K1542,0),1.3))),"") </f>
        <v/>
      </c>
      <c r="M1542" s="28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16" t="n">
        <v>0</v>
      </c>
      <c r="Q1542" s="16" t="n">
        <v>0</v>
      </c>
      <c r="R1542" s="5" t="inlineStr">
        <is>
          <t>306-2024-09-30</t>
        </is>
      </c>
    </row>
    <row r="1543">
      <c r="A1543" s="26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Trimestral</t>
        </is>
      </c>
      <c r="E1543" s="5" t="inlineStr">
        <is>
          <t>Positivo</t>
        </is>
      </c>
      <c r="F1543" s="144" t="n">
        <v>45657</v>
      </c>
      <c r="G1543" s="5" t="n">
        <v>2024</v>
      </c>
      <c r="H1543" s="5" t="inlineStr">
        <is>
          <t>Diciembre</t>
        </is>
      </c>
      <c r="I1543" s="6" t="inlineStr">
        <is>
          <t>2024-2</t>
        </is>
      </c>
      <c r="J1543" s="5" t="n">
        <v>100</v>
      </c>
      <c r="K1543" s="10" t="n">
        <v>101</v>
      </c>
      <c r="L1543" s="28">
        <f>IFERROR(IF(OR(J1543=0,K1543=""),"",IF(E1543="Positivo",MIN(MAX(K1543/J1543,0),1.3),MIN(MAX(J1543/K1543,0),1.3))),"") </f>
        <v/>
      </c>
      <c r="M1543" s="28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6" t="n">
        <v>0</v>
      </c>
      <c r="Q1543" s="16" t="n">
        <v>0</v>
      </c>
      <c r="R1543" s="5" t="inlineStr">
        <is>
          <t>306-2024-12-31</t>
        </is>
      </c>
    </row>
    <row r="1544">
      <c r="A1544" s="26" t="n">
        <v>306</v>
      </c>
      <c r="B1544" s="5" t="inlineStr">
        <is>
          <t>Seguimiento KPI Plan de Desarrollo Institucional</t>
        </is>
      </c>
      <c r="C1544" s="5" t="inlineStr">
        <is>
          <t>Desempeño Institucional</t>
        </is>
      </c>
      <c r="D1544" s="5" t="inlineStr">
        <is>
          <t>Semestral</t>
        </is>
      </c>
      <c r="E1544" s="5" t="inlineStr">
        <is>
          <t>Positivo</t>
        </is>
      </c>
      <c r="F1544" s="144" t="n">
        <v>45838</v>
      </c>
      <c r="G1544" s="5" t="n">
        <v>2025</v>
      </c>
      <c r="H1544" s="5" t="inlineStr">
        <is>
          <t>Junio</t>
        </is>
      </c>
      <c r="I1544" s="6" t="inlineStr">
        <is>
          <t>2025-1</t>
        </is>
      </c>
      <c r="J1544" s="5" t="n">
        <v>100</v>
      </c>
      <c r="K1544" s="10" t="n">
        <v>108.67</v>
      </c>
      <c r="L1544" s="28">
        <f>IFERROR(IF(OR(J1544=0,K1544=""),"",IF(E1544="Positivo",MIN(MAX(K1544/J1544,0),1.3),MIN(MAX(J1544/K1544,0),1.3))),"") </f>
        <v/>
      </c>
      <c r="M1544" s="28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6" t="n">
        <v>0</v>
      </c>
      <c r="Q1544" s="16" t="n">
        <v>0</v>
      </c>
      <c r="R1544" s="5" t="inlineStr">
        <is>
          <t>306-2025-06-30</t>
        </is>
      </c>
    </row>
    <row r="1545">
      <c r="A1545" s="26" t="n">
        <v>306</v>
      </c>
      <c r="B1545" s="5" t="inlineStr">
        <is>
          <t>Seguimiento KPI Plan de Desarrollo Institucional</t>
        </is>
      </c>
      <c r="C1545" s="5" t="inlineStr">
        <is>
          <t>Desempeño Institucional</t>
        </is>
      </c>
      <c r="D1545" s="5" t="inlineStr">
        <is>
          <t>Semestral</t>
        </is>
      </c>
      <c r="E1545" s="5" t="inlineStr">
        <is>
          <t>Positivo</t>
        </is>
      </c>
      <c r="F1545" s="144" t="n">
        <v>45930</v>
      </c>
      <c r="G1545" s="5" t="n">
        <v>2025</v>
      </c>
      <c r="H1545" s="5" t="inlineStr">
        <is>
          <t>Septiembre</t>
        </is>
      </c>
      <c r="I1545" s="6" t="inlineStr">
        <is>
          <t>2025-2</t>
        </is>
      </c>
      <c r="J1545" s="5" t="n">
        <v>100</v>
      </c>
      <c r="K1545" s="10" t="n">
        <v>105.83</v>
      </c>
      <c r="L1545" s="28">
        <f>IFERROR(IF(OR(J1545=0,K1545=""),"",IF(E1545="Positivo",MIN(MAX(K1545/J1545,0),1.3),MIN(MAX(J1545/K1545,0),1.3))),"") </f>
        <v/>
      </c>
      <c r="M1545" s="28">
        <f>IFERROR(IF(OR(J1545=0,K1545=""),"",IF(E1545="Positivo",MAX(K1545/J1545,0),MAX(J1545/K1545,0))),"") </f>
        <v/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 t="inlineStr">
        <is>
          <t>306-2025-09-30</t>
        </is>
      </c>
    </row>
    <row r="1546">
      <c r="A1546" s="26" t="n">
        <v>306</v>
      </c>
      <c r="B1546" s="5" t="inlineStr">
        <is>
          <t>Seguimiento KPI Plan de Desarrollo Institucional</t>
        </is>
      </c>
      <c r="C1546" s="5" t="inlineStr">
        <is>
          <t>Desempeño Institucional</t>
        </is>
      </c>
      <c r="D1546" s="5" t="inlineStr">
        <is>
          <t>Semestral</t>
        </is>
      </c>
      <c r="E1546" s="5" t="inlineStr">
        <is>
          <t>Positivo</t>
        </is>
      </c>
      <c r="F1546" s="144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100</v>
      </c>
      <c r="K1546" s="10" t="n">
        <v>107.62</v>
      </c>
      <c r="L1546" s="28">
        <f>IFERROR(IF(OR(J1546=0,K1546=""),"",IF(E1546="Positivo",MIN(MAX(K1546/J1546,0),1.3),MIN(MAX(J1546/K1546,0),1.3))),"") </f>
        <v/>
      </c>
      <c r="M1546" s="28">
        <f>IFERROR(IF(OR(J1546=0,K1546=""),"",IF(E1546="Positivo",MAX(K1546/J1546,0),MAX(J1546/K1546,0))),"") </f>
        <v/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 t="inlineStr">
        <is>
          <t>306-2025-12-31</t>
        </is>
      </c>
    </row>
    <row r="1547">
      <c r="A1547" s="26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144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20</v>
      </c>
      <c r="K1547" s="10" t="n">
        <v>25</v>
      </c>
      <c r="L1547" s="28">
        <f>IFERROR(IF(OR(J1547=0,K1547=""),"",IF(E1547="Positivo",MIN(MAX(K1547/J1547,0),1.3),MIN(MAX(J1547/K1547,0),1.3))),"") </f>
        <v/>
      </c>
      <c r="M1547" s="28">
        <f>IFERROR(IF(OR(J1547=0,K1547=""),"",IF(E1547="Positivo",MAX(K1547/J1547,0),MAX(J1547/K1547,0))),"") </f>
        <v/>
      </c>
      <c r="N1547" s="5" t="inlineStr">
        <is>
          <t>%</t>
        </is>
      </c>
      <c r="O1547" s="5" t="inlineStr">
        <is>
          <t>%</t>
        </is>
      </c>
      <c r="P1547" s="16" t="n">
        <v>0</v>
      </c>
      <c r="Q1547" s="16" t="n">
        <v>0</v>
      </c>
      <c r="R1547" s="5" t="inlineStr">
        <is>
          <t>307-2023-06-30</t>
        </is>
      </c>
    </row>
    <row r="1548">
      <c r="A1548" s="26" t="n">
        <v>307</v>
      </c>
      <c r="B1548" s="5" t="inlineStr">
        <is>
          <t>Organización de escenarios de visibilidad nacional e internacional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144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26</v>
      </c>
      <c r="K1548" s="10" t="n">
        <v>82</v>
      </c>
      <c r="L1548" s="28">
        <f>IFERROR(IF(OR(J1548=0,K1548=""),"",IF(E1548="Positivo",MIN(MAX(K1548/J1548,0),1.3),MIN(MAX(J1548/K1548,0),1.3))),"") </f>
        <v/>
      </c>
      <c r="M1548" s="28">
        <f>IFERROR(IF(OR(J1548=0,K1548=""),"",IF(E1548="Positivo",MAX(K1548/J1548,0),MAX(J1548/K1548,0))),"") </f>
        <v/>
      </c>
      <c r="N1548" s="5" t="inlineStr">
        <is>
          <t>%</t>
        </is>
      </c>
      <c r="O1548" s="5" t="inlineStr">
        <is>
          <t>%</t>
        </is>
      </c>
      <c r="P1548" s="16" t="n">
        <v>0</v>
      </c>
      <c r="Q1548" s="16" t="n">
        <v>0</v>
      </c>
      <c r="R1548" s="5" t="inlineStr">
        <is>
          <t>307-2023-12-31</t>
        </is>
      </c>
    </row>
    <row r="1549">
      <c r="A1549" s="26" t="n">
        <v>307</v>
      </c>
      <c r="B1549" s="5" t="inlineStr">
        <is>
          <t>Organización de escenarios de visibilidad nacional e internacional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144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10" t="n">
        <v>112</v>
      </c>
      <c r="L1549" s="28">
        <f>IFERROR(IF(OR(J1549=0,K1549=""),"",IF(E1549="Positivo",MIN(MAX(K1549/J1549,0),1.3),MIN(MAX(J1549/K1549,0),1.3))),"") </f>
        <v/>
      </c>
      <c r="M1549" s="28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6" t="n">
        <v>0</v>
      </c>
      <c r="Q1549" s="16" t="n">
        <v>0</v>
      </c>
      <c r="R1549" s="5" t="inlineStr">
        <is>
          <t>307-2024-06-30</t>
        </is>
      </c>
    </row>
    <row r="1550">
      <c r="A1550" s="26" t="n">
        <v>307</v>
      </c>
      <c r="B1550" s="5" t="inlineStr">
        <is>
          <t>Organización de escenarios de visibilidad nacional e internacional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144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10" t="n">
        <v>413.33</v>
      </c>
      <c r="L1550" s="28">
        <f>IFERROR(IF(OR(J1550=0,K1550=""),"",IF(E1550="Positivo",MIN(MAX(K1550/J1550,0),1.3),MIN(MAX(J1550/K1550,0),1.3))),"") </f>
        <v/>
      </c>
      <c r="M1550" s="28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6" t="n">
        <v>0</v>
      </c>
      <c r="Q1550" s="16" t="n">
        <v>0</v>
      </c>
      <c r="R1550" s="5" t="inlineStr">
        <is>
          <t>307-2024-12-31</t>
        </is>
      </c>
    </row>
    <row r="1551">
      <c r="A1551" s="26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144" t="n">
        <v>45107</v>
      </c>
      <c r="G1551" s="5" t="n">
        <v>2023</v>
      </c>
      <c r="H1551" s="5" t="inlineStr">
        <is>
          <t>Junio</t>
        </is>
      </c>
      <c r="I1551" s="6" t="inlineStr">
        <is>
          <t>2023-1</t>
        </is>
      </c>
      <c r="J1551" s="5" t="n">
        <v>12</v>
      </c>
      <c r="K1551" s="10" t="n">
        <v>27</v>
      </c>
      <c r="L1551" s="28">
        <f>IFERROR(IF(OR(J1551=0,K1551=""),"",IF(E1551="Positivo",MIN(MAX(K1551/J1551,0),1.3),MIN(MAX(J1551/K1551,0),1.3))),"") </f>
        <v/>
      </c>
      <c r="M1551" s="28">
        <f>IFERROR(IF(OR(J1551=0,K1551=""),"",IF(E1551="Positivo",MAX(K1551/J1551,0),MAX(J1551/K1551,0))),"") </f>
        <v/>
      </c>
      <c r="N1551" s="5" t="inlineStr">
        <is>
          <t>ENT</t>
        </is>
      </c>
      <c r="O1551" s="5" t="inlineStr">
        <is>
          <t>ENT</t>
        </is>
      </c>
      <c r="P1551" s="16" t="n">
        <v>0</v>
      </c>
      <c r="Q1551" s="16" t="n">
        <v>0</v>
      </c>
      <c r="R1551" s="5" t="inlineStr">
        <is>
          <t>308-2023-06-30</t>
        </is>
      </c>
    </row>
    <row r="1552">
      <c r="A1552" s="26" t="n">
        <v>308</v>
      </c>
      <c r="B1552" s="5" t="inlineStr">
        <is>
          <t>Movilidad Física Entrantes Profesores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144" t="n">
        <v>45291</v>
      </c>
      <c r="G1552" s="5" t="n">
        <v>2023</v>
      </c>
      <c r="H1552" s="5" t="inlineStr">
        <is>
          <t>Diciembre</t>
        </is>
      </c>
      <c r="I1552" s="6" t="inlineStr">
        <is>
          <t>2023-2</t>
        </is>
      </c>
      <c r="J1552" s="5" t="n">
        <v>20</v>
      </c>
      <c r="K1552" s="10" t="n">
        <v>54</v>
      </c>
      <c r="L1552" s="28">
        <f>IFERROR(IF(OR(J1552=0,K1552=""),"",IF(E1552="Positivo",MIN(MAX(K1552/J1552,0),1.3),MIN(MAX(J1552/K1552,0),1.3))),"") </f>
        <v/>
      </c>
      <c r="M1552" s="28">
        <f>IFERROR(IF(OR(J1552=0,K1552=""),"",IF(E1552="Positivo",MAX(K1552/J1552,0),MAX(J1552/K1552,0))),"") </f>
        <v/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 t="inlineStr">
        <is>
          <t>308-2023-12-31</t>
        </is>
      </c>
    </row>
    <row r="1553">
      <c r="A1553" s="26" t="n">
        <v>308</v>
      </c>
      <c r="B1553" s="5" t="inlineStr">
        <is>
          <t>Movilidad Física Entrantes Profesores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144" t="n">
        <v>45473</v>
      </c>
      <c r="G1553" s="5" t="n">
        <v>2024</v>
      </c>
      <c r="H1553" s="5" t="inlineStr">
        <is>
          <t>Junio</t>
        </is>
      </c>
      <c r="I1553" s="6" t="inlineStr">
        <is>
          <t>2024-1</t>
        </is>
      </c>
      <c r="J1553" s="5" t="n">
        <v>100</v>
      </c>
      <c r="K1553" s="10" t="n">
        <v>100</v>
      </c>
      <c r="L1553" s="28">
        <f>IFERROR(IF(OR(J1553=0,K1553=""),"",IF(E1553="Positivo",MIN(MAX(K1553/J1553,0),1.3),MIN(MAX(J1553/K1553,0),1.3))),"") </f>
        <v/>
      </c>
      <c r="M1553" s="28">
        <f>IFERROR(IF(OR(J1553=0,K1553=""),"",IF(E1553="Positivo",MAX(K1553/J1553,0),MAX(J1553/K1553,0))),"") </f>
        <v/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 t="inlineStr">
        <is>
          <t>308-2024-06-30</t>
        </is>
      </c>
    </row>
    <row r="1554">
      <c r="A1554" s="26" t="n">
        <v>308</v>
      </c>
      <c r="B1554" s="5" t="inlineStr">
        <is>
          <t>Movilidad Física Entrantes Profesores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144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10" t="n">
        <v>100</v>
      </c>
      <c r="L1554" s="28">
        <f>IFERROR(IF(OR(J1554=0,K1554=""),"",IF(E1554="Positivo",MIN(MAX(K1554/J1554,0),1.3),MIN(MAX(J1554/K1554,0),1.3))),"") </f>
        <v/>
      </c>
      <c r="M1554" s="28">
        <f>IFERROR(IF(OR(J1554=0,K1554=""),"",IF(E1554="Positivo",MAX(K1554/J1554,0),MAX(J1554/K1554,0))),"") </f>
        <v/>
      </c>
      <c r="N1554" s="5" t="inlineStr">
        <is>
          <t>ENT</t>
        </is>
      </c>
      <c r="O1554" s="5" t="inlineStr">
        <is>
          <t>ENT</t>
        </is>
      </c>
      <c r="P1554" s="16" t="n">
        <v>0</v>
      </c>
      <c r="Q1554" s="16" t="n">
        <v>0</v>
      </c>
      <c r="R1554" s="5" t="inlineStr">
        <is>
          <t>308-2024-12-31</t>
        </is>
      </c>
    </row>
    <row r="1555">
      <c r="A1555" s="26" t="n">
        <v>309</v>
      </c>
      <c r="B1555" s="5" t="inlineStr">
        <is>
          <t>Movilidad Física Profesores Salientes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44" t="n">
        <v>45107</v>
      </c>
      <c r="G1555" s="5" t="n">
        <v>2023</v>
      </c>
      <c r="H1555" s="5" t="inlineStr">
        <is>
          <t>Junio</t>
        </is>
      </c>
      <c r="I1555" s="6" t="inlineStr">
        <is>
          <t>2023-1</t>
        </is>
      </c>
      <c r="J1555" s="5" t="n">
        <v>19</v>
      </c>
      <c r="K1555" s="10" t="n">
        <v>27</v>
      </c>
      <c r="L1555" s="28">
        <f>IFERROR(IF(OR(J1555=0,K1555=""),"",IF(E1555="Positivo",MIN(MAX(K1555/J1555,0),1.3),MIN(MAX(J1555/K1555,0),1.3))),"") </f>
        <v/>
      </c>
      <c r="M1555" s="28">
        <f>IFERROR(IF(OR(J1555=0,K1555=""),"",IF(E1555="Positivo",MAX(K1555/J1555,0),MAX(J1555/K1555,0))),"") </f>
        <v/>
      </c>
      <c r="N1555" s="5" t="inlineStr">
        <is>
          <t>ENT</t>
        </is>
      </c>
      <c r="O1555" s="5" t="inlineStr">
        <is>
          <t>ENT</t>
        </is>
      </c>
      <c r="P1555" s="16" t="n">
        <v>0</v>
      </c>
      <c r="Q1555" s="16" t="n">
        <v>0</v>
      </c>
      <c r="R1555" s="5" t="inlineStr">
        <is>
          <t>309-2023-06-30</t>
        </is>
      </c>
    </row>
    <row r="1556">
      <c r="A1556" s="26" t="n">
        <v>309</v>
      </c>
      <c r="B1556" s="5" t="inlineStr">
        <is>
          <t>Movilidad Física Profesores Salientes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44" t="n">
        <v>45291</v>
      </c>
      <c r="G1556" s="5" t="n">
        <v>2023</v>
      </c>
      <c r="H1556" s="5" t="inlineStr">
        <is>
          <t>Diciembre</t>
        </is>
      </c>
      <c r="I1556" s="6" t="inlineStr">
        <is>
          <t>2023-2</t>
        </is>
      </c>
      <c r="J1556" s="5" t="n">
        <v>45</v>
      </c>
      <c r="K1556" s="123" t="n">
        <v>76</v>
      </c>
      <c r="L1556" s="28">
        <f>IFERROR(IF(OR(J1556=0,K1556=""),"",IF(E1556="Positivo",MIN(MAX(K1556/J1556,0),1.3),MIN(MAX(J1556/K1556,0),1.3))),"") </f>
        <v/>
      </c>
      <c r="M1556" s="28">
        <f>IFERROR(IF(OR(J1556=0,K1556=""),"",IF(E1556="Positivo",MAX(K1556/J1556,0),MAX(J1556/K1556,0))),"") </f>
        <v/>
      </c>
      <c r="N1556" s="5" t="inlineStr">
        <is>
          <t>ENT</t>
        </is>
      </c>
      <c r="O1556" s="5" t="inlineStr">
        <is>
          <t>ENT</t>
        </is>
      </c>
      <c r="P1556" s="16" t="n">
        <v>0</v>
      </c>
      <c r="Q1556" s="16" t="n">
        <v>0</v>
      </c>
      <c r="R1556" s="5" t="inlineStr">
        <is>
          <t>309-2023-12-31</t>
        </is>
      </c>
    </row>
    <row r="1557">
      <c r="A1557" s="26" t="n">
        <v>309</v>
      </c>
      <c r="B1557" s="5" t="inlineStr">
        <is>
          <t>Movilidad Física Profesores Salientes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44" t="n">
        <v>45473</v>
      </c>
      <c r="G1557" s="5" t="n">
        <v>2024</v>
      </c>
      <c r="H1557" s="5" t="inlineStr">
        <is>
          <t>Junio</t>
        </is>
      </c>
      <c r="I1557" s="6" t="inlineStr">
        <is>
          <t>2024-1</t>
        </is>
      </c>
      <c r="J1557" s="5" t="n">
        <v>100</v>
      </c>
      <c r="K1557" s="133" t="n">
        <v>216</v>
      </c>
      <c r="L1557" s="28">
        <f>IFERROR(IF(OR(J1557=0,K1557=""),"",IF(E1557="Positivo",MIN(MAX(K1557/J1557,0),1.3),MIN(MAX(J1557/K1557,0),1.3))),"") </f>
        <v/>
      </c>
      <c r="M1557" s="28">
        <f>IFERROR(IF(OR(J1557=0,K1557=""),"",IF(E1557="Positivo",MAX(K1557/J1557,0),MAX(J1557/K1557,0))),"") </f>
        <v/>
      </c>
      <c r="N1557" s="5" t="inlineStr">
        <is>
          <t>ENT</t>
        </is>
      </c>
      <c r="O1557" s="5" t="inlineStr">
        <is>
          <t>ENT</t>
        </is>
      </c>
      <c r="P1557" s="16" t="n">
        <v>0</v>
      </c>
      <c r="Q1557" s="16" t="n">
        <v>0</v>
      </c>
      <c r="R1557" s="5" t="inlineStr">
        <is>
          <t>309-2024-06-30</t>
        </is>
      </c>
    </row>
    <row r="1558">
      <c r="A1558" s="26" t="n">
        <v>309</v>
      </c>
      <c r="B1558" s="5" t="inlineStr">
        <is>
          <t>Movilidad Física Salientes Profesores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44" t="n">
        <v>45657</v>
      </c>
      <c r="G1558" s="5" t="n">
        <v>2024</v>
      </c>
      <c r="H1558" s="5" t="inlineStr">
        <is>
          <t>Diciembre</t>
        </is>
      </c>
      <c r="I1558" s="6" t="inlineStr">
        <is>
          <t>2024-2</t>
        </is>
      </c>
      <c r="J1558" s="5" t="n">
        <v>100</v>
      </c>
      <c r="K1558" s="134" t="n">
        <v>154.67</v>
      </c>
      <c r="L1558" s="28">
        <f>IFERROR(IF(OR(J1558=0,K1558=""),"",IF(E1558="Positivo",MIN(MAX(K1558/J1558,0),1.3),MIN(MAX(J1558/K1558,0),1.3))),"") </f>
        <v/>
      </c>
      <c r="M1558" s="28">
        <f>IFERROR(IF(OR(J1558=0,K1558=""),"",IF(E1558="Positivo",MAX(K1558/J1558,0),MAX(J1558/K1558,0))),"") </f>
        <v/>
      </c>
      <c r="N1558" s="5" t="inlineStr">
        <is>
          <t>ENT</t>
        </is>
      </c>
      <c r="O1558" s="5" t="inlineStr">
        <is>
          <t>ENT</t>
        </is>
      </c>
      <c r="P1558" s="16" t="n">
        <v>0</v>
      </c>
      <c r="Q1558" s="16" t="n">
        <v>0</v>
      </c>
      <c r="R1558" s="5" t="inlineStr">
        <is>
          <t>309-2024-12-31</t>
        </is>
      </c>
    </row>
    <row r="1559">
      <c r="A1559" s="26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44" t="n">
        <v>45107</v>
      </c>
      <c r="G1559" s="5" t="n">
        <v>2023</v>
      </c>
      <c r="H1559" s="5" t="inlineStr">
        <is>
          <t>Junio</t>
        </is>
      </c>
      <c r="I1559" s="6" t="inlineStr">
        <is>
          <t>2023-1</t>
        </is>
      </c>
      <c r="J1559" s="5" t="n">
        <v>14</v>
      </c>
      <c r="K1559" s="133" t="n">
        <v>48</v>
      </c>
      <c r="L1559" s="28">
        <f>IFERROR(IF(OR(J1559=0,K1559=""),"",IF(E1559="Positivo",MIN(MAX(K1559/J1559,0),1.3),MIN(MAX(J1559/K1559,0),1.3))),"") </f>
        <v/>
      </c>
      <c r="M1559" s="28">
        <f>IFERROR(IF(OR(J1559=0,K1559=""),"",IF(E1559="Positivo",MAX(K1559/J1559,0),MAX(J1559/K1559,0))),"") </f>
        <v/>
      </c>
      <c r="N1559" s="5" t="inlineStr">
        <is>
          <t>ENT</t>
        </is>
      </c>
      <c r="O1559" s="5" t="inlineStr">
        <is>
          <t>ENT</t>
        </is>
      </c>
      <c r="P1559" s="16" t="n">
        <v>0</v>
      </c>
      <c r="Q1559" s="16" t="n">
        <v>0</v>
      </c>
      <c r="R1559" s="5" t="inlineStr">
        <is>
          <t>310-2023-06-30</t>
        </is>
      </c>
    </row>
    <row r="1560">
      <c r="A1560" s="26" t="n">
        <v>310</v>
      </c>
      <c r="B1560" s="5" t="inlineStr">
        <is>
          <t>Movilidad Física Entrante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44" t="n">
        <v>45291</v>
      </c>
      <c r="G1560" s="5" t="n">
        <v>2023</v>
      </c>
      <c r="H1560" s="5" t="inlineStr">
        <is>
          <t>Diciembre</t>
        </is>
      </c>
      <c r="I1560" s="6" t="inlineStr">
        <is>
          <t>2023-2</t>
        </is>
      </c>
      <c r="J1560" s="5" t="n">
        <v>70</v>
      </c>
      <c r="K1560" s="133" t="n">
        <v>118</v>
      </c>
      <c r="L1560" s="28">
        <f>IFERROR(IF(OR(J1560=0,K1560=""),"",IF(E1560="Positivo",MIN(MAX(K1560/J1560,0),1.3),MIN(MAX(J1560/K1560,0),1.3))),"") </f>
        <v/>
      </c>
      <c r="M1560" s="28">
        <f>IFERROR(IF(OR(J1560=0,K1560=""),"",IF(E1560="Positivo",MAX(K1560/J1560,0),MAX(J1560/K1560,0))),"") </f>
        <v/>
      </c>
      <c r="N1560" s="5" t="inlineStr">
        <is>
          <t>ENT</t>
        </is>
      </c>
      <c r="O1560" s="5" t="inlineStr">
        <is>
          <t>ENT</t>
        </is>
      </c>
      <c r="P1560" s="16" t="n">
        <v>0</v>
      </c>
      <c r="Q1560" s="16" t="n">
        <v>0</v>
      </c>
      <c r="R1560" s="5" t="inlineStr">
        <is>
          <t>310-2023-12-31</t>
        </is>
      </c>
    </row>
    <row r="1561">
      <c r="A1561" s="26" t="n">
        <v>310</v>
      </c>
      <c r="B1561" s="5" t="inlineStr">
        <is>
          <t>Movilidad Física Entrante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44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5" t="n">
        <v>100</v>
      </c>
      <c r="K1561" s="133" t="n">
        <v>95.56</v>
      </c>
      <c r="L1561" s="28">
        <f>IFERROR(IF(OR(J1561=0,K1561=""),"",IF(E1561="Positivo",MIN(MAX(K1561/J1561,0),1.3),MIN(MAX(J1561/K1561,0),1.3))),"") </f>
        <v/>
      </c>
      <c r="M1561" s="28">
        <f>IFERROR(IF(OR(J1561=0,K1561=""),"",IF(E1561="Positivo",MAX(K1561/J1561,0),MAX(J1561/K1561,0))),"") </f>
        <v/>
      </c>
      <c r="N1561" s="5" t="inlineStr">
        <is>
          <t>ENT</t>
        </is>
      </c>
      <c r="O1561" s="5" t="inlineStr">
        <is>
          <t>ENT</t>
        </is>
      </c>
      <c r="P1561" s="16" t="n">
        <v>0</v>
      </c>
      <c r="Q1561" s="16" t="n">
        <v>0</v>
      </c>
      <c r="R1561" s="5" t="inlineStr">
        <is>
          <t>310-2024-06-30</t>
        </is>
      </c>
    </row>
    <row r="1562">
      <c r="A1562" s="26" t="n">
        <v>310</v>
      </c>
      <c r="B1562" s="5" t="inlineStr">
        <is>
          <t>Movilidad Física Entrante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44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133" t="n">
        <v>79.13</v>
      </c>
      <c r="L1562" s="28">
        <f>IFERROR(IF(OR(J1562=0,K1562=""),"",IF(E1562="Positivo",MIN(MAX(K1562/J1562,0),1.3),MIN(MAX(J1562/K1562,0),1.3))),"") </f>
        <v/>
      </c>
      <c r="M1562" s="28">
        <f>IFERROR(IF(OR(J1562=0,K1562=""),"",IF(E1562="Positivo",MAX(K1562/J1562,0),MAX(J1562/K1562,0))),"") </f>
        <v/>
      </c>
      <c r="N1562" s="5" t="inlineStr">
        <is>
          <t>ENT</t>
        </is>
      </c>
      <c r="O1562" s="5" t="inlineStr">
        <is>
          <t>ENT</t>
        </is>
      </c>
      <c r="P1562" s="16" t="n">
        <v>0</v>
      </c>
      <c r="Q1562" s="16" t="n">
        <v>0</v>
      </c>
      <c r="R1562" s="5" t="inlineStr">
        <is>
          <t>310-2024-12-31</t>
        </is>
      </c>
    </row>
    <row r="1563">
      <c r="A1563" s="26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44" t="n">
        <v>45107</v>
      </c>
      <c r="G1563" s="5" t="n">
        <v>2023</v>
      </c>
      <c r="H1563" s="5" t="inlineStr">
        <is>
          <t>Junio</t>
        </is>
      </c>
      <c r="I1563" s="6" t="inlineStr">
        <is>
          <t>2023-1</t>
        </is>
      </c>
      <c r="J1563" s="5" t="n">
        <v>22</v>
      </c>
      <c r="K1563" s="10" t="n">
        <v>85</v>
      </c>
      <c r="L1563" s="28">
        <f>IFERROR(IF(OR(J1563=0,K1563=""),"",IF(E1563="Positivo",MIN(MAX(K1563/J1563,0),1.3),MIN(MAX(J1563/K1563,0),1.3))),"") </f>
        <v/>
      </c>
      <c r="M1563" s="28">
        <f>IFERROR(IF(OR(J1563=0,K1563=""),"",IF(E1563="Positivo",MAX(K1563/J1563,0),MAX(J1563/K1563,0))),"") </f>
        <v/>
      </c>
      <c r="N1563" s="5" t="inlineStr">
        <is>
          <t>ENT</t>
        </is>
      </c>
      <c r="O1563" s="5" t="inlineStr">
        <is>
          <t>ENT</t>
        </is>
      </c>
      <c r="P1563" s="16" t="n">
        <v>0</v>
      </c>
      <c r="Q1563" s="16" t="n">
        <v>0</v>
      </c>
      <c r="R1563" s="5" t="inlineStr">
        <is>
          <t>311-2023-06-30</t>
        </is>
      </c>
    </row>
    <row r="1564">
      <c r="A1564" s="26" t="n">
        <v>311</v>
      </c>
      <c r="B1564" s="5" t="inlineStr">
        <is>
          <t>Movilidad Física Saliente Estudiantes</t>
        </is>
      </c>
      <c r="C1564" s="5" t="inlineStr">
        <is>
          <t>VISIBILIDAD NACIONAL E INTERNACIONAL</t>
        </is>
      </c>
      <c r="D1564" s="5" t="inlineStr">
        <is>
          <t>Semestral</t>
        </is>
      </c>
      <c r="E1564" s="5" t="inlineStr">
        <is>
          <t>Positivo</t>
        </is>
      </c>
      <c r="F1564" s="144" t="n">
        <v>45291</v>
      </c>
      <c r="G1564" s="5" t="n">
        <v>2023</v>
      </c>
      <c r="H1564" s="5" t="inlineStr">
        <is>
          <t>Diciembre</t>
        </is>
      </c>
      <c r="I1564" s="6" t="inlineStr">
        <is>
          <t>2023-2</t>
        </is>
      </c>
      <c r="J1564" s="5" t="n">
        <v>245</v>
      </c>
      <c r="K1564" s="10" t="n">
        <v>247</v>
      </c>
      <c r="L1564" s="28">
        <f>IFERROR(IF(OR(J1564=0,K1564=""),"",IF(E1564="Positivo",MIN(MAX(K1564/J1564,0),1.3),MIN(MAX(J1564/K1564,0),1.3))),"") </f>
        <v/>
      </c>
      <c r="M1564" s="28">
        <f>IFERROR(IF(OR(J1564=0,K1564=""),"",IF(E1564="Positivo",MAX(K1564/J1564,0),MAX(J1564/K1564,0))),"") </f>
        <v/>
      </c>
      <c r="N1564" s="5" t="inlineStr">
        <is>
          <t>ENT</t>
        </is>
      </c>
      <c r="O1564" s="5" t="inlineStr">
        <is>
          <t>ENT</t>
        </is>
      </c>
      <c r="P1564" s="16" t="n">
        <v>0</v>
      </c>
      <c r="Q1564" s="16" t="n">
        <v>0</v>
      </c>
      <c r="R1564" s="5" t="inlineStr">
        <is>
          <t>311-2023-12-31</t>
        </is>
      </c>
    </row>
    <row r="1565">
      <c r="A1565" s="26" t="n">
        <v>311</v>
      </c>
      <c r="B1565" s="5" t="inlineStr">
        <is>
          <t>Movilidad Física Saliente Estudiantes</t>
        </is>
      </c>
      <c r="C1565" s="5" t="inlineStr">
        <is>
          <t>VISIBILIDAD NACIONAL E INTERNACIONAL</t>
        </is>
      </c>
      <c r="D1565" s="5" t="inlineStr">
        <is>
          <t>Semestral</t>
        </is>
      </c>
      <c r="E1565" s="5" t="inlineStr">
        <is>
          <t>Positivo</t>
        </is>
      </c>
      <c r="F1565" s="144" t="n">
        <v>45473</v>
      </c>
      <c r="G1565" s="5" t="n">
        <v>2024</v>
      </c>
      <c r="H1565" s="5" t="inlineStr">
        <is>
          <t>Junio</t>
        </is>
      </c>
      <c r="I1565" s="6" t="inlineStr">
        <is>
          <t>2024-1</t>
        </is>
      </c>
      <c r="J1565" s="5" t="n">
        <v>100</v>
      </c>
      <c r="K1565" s="10" t="n">
        <v>117.65</v>
      </c>
      <c r="L1565" s="28">
        <f>IFERROR(IF(OR(J1565=0,K1565=""),"",IF(E1565="Positivo",MIN(MAX(K1565/J1565,0),1.3),MIN(MAX(J1565/K1565,0),1.3))),"") </f>
        <v/>
      </c>
      <c r="M1565" s="28">
        <f>IFERROR(IF(OR(J1565=0,K1565=""),"",IF(E1565="Positivo",MAX(K1565/J1565,0),MAX(J1565/K1565,0))),"") </f>
        <v/>
      </c>
      <c r="N1565" s="5" t="inlineStr">
        <is>
          <t>ENT</t>
        </is>
      </c>
      <c r="O1565" s="5" t="inlineStr">
        <is>
          <t>ENT</t>
        </is>
      </c>
      <c r="P1565" s="16" t="n">
        <v>0</v>
      </c>
      <c r="Q1565" s="16" t="n">
        <v>0</v>
      </c>
      <c r="R1565" s="5" t="inlineStr">
        <is>
          <t>311-2024-06-30</t>
        </is>
      </c>
    </row>
    <row r="1566">
      <c r="A1566" s="26" t="n">
        <v>311</v>
      </c>
      <c r="B1566" s="5" t="inlineStr">
        <is>
          <t>Movilidad Física Saliente Estudiantes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44" t="n">
        <v>45657</v>
      </c>
      <c r="G1566" s="5" t="n">
        <v>2024</v>
      </c>
      <c r="H1566" s="5" t="inlineStr">
        <is>
          <t>Diciembre</t>
        </is>
      </c>
      <c r="I1566" s="6" t="inlineStr">
        <is>
          <t>2024-2</t>
        </is>
      </c>
      <c r="J1566" s="5" t="n">
        <v>100</v>
      </c>
      <c r="K1566" s="123" t="n">
        <v>67.76000000000001</v>
      </c>
      <c r="L1566" s="28">
        <f>IFERROR(IF(OR(J1566=0,K1566=""),"",IF(E1566="Positivo",MIN(MAX(K1566/J1566,0),1.3),MIN(MAX(J1566/K1566,0),1.3))),"") </f>
        <v/>
      </c>
      <c r="M1566" s="28">
        <f>IFERROR(IF(OR(J1566=0,K1566=""),"",IF(E1566="Positivo",MAX(K1566/J1566,0),MAX(J1566/K1566,0))),"") </f>
        <v/>
      </c>
      <c r="N1566" s="5" t="inlineStr">
        <is>
          <t>ENT</t>
        </is>
      </c>
      <c r="O1566" s="5" t="inlineStr">
        <is>
          <t>ENT</t>
        </is>
      </c>
      <c r="P1566" s="16" t="n">
        <v>0</v>
      </c>
      <c r="Q1566" s="16" t="n">
        <v>0</v>
      </c>
      <c r="R1566" s="5" t="inlineStr">
        <is>
          <t>311-2024-12-31</t>
        </is>
      </c>
    </row>
    <row r="1567">
      <c r="A1567" s="26" t="n">
        <v>312</v>
      </c>
      <c r="B1567" s="5" t="inlineStr">
        <is>
          <t>Clases espejo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44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113</v>
      </c>
      <c r="K1567" s="123" t="n">
        <v>125</v>
      </c>
      <c r="L1567" s="28">
        <f>IFERROR(IF(OR(J1567=0,K1567=""),"",IF(E1567="Positivo",MIN(MAX(K1567/J1567,0),1.3),MIN(MAX(J1567/K1567,0),1.3))),"") </f>
        <v/>
      </c>
      <c r="M1567" s="28">
        <f>IFERROR(IF(OR(J1567=0,K1567=""),"",IF(E1567="Positivo",MAX(K1567/J1567,0),MAX(J1567/K1567,0))),"") </f>
        <v/>
      </c>
      <c r="N1567" s="5" t="inlineStr">
        <is>
          <t>ENT</t>
        </is>
      </c>
      <c r="O1567" s="5" t="inlineStr">
        <is>
          <t>ENT</t>
        </is>
      </c>
      <c r="P1567" s="16" t="n">
        <v>0</v>
      </c>
      <c r="Q1567" s="16" t="n">
        <v>0</v>
      </c>
      <c r="R1567" s="5" t="inlineStr">
        <is>
          <t>312-2023-06-30</t>
        </is>
      </c>
    </row>
    <row r="1568">
      <c r="A1568" s="26" t="n">
        <v>312</v>
      </c>
      <c r="B1568" s="5" t="inlineStr">
        <is>
          <t>Clases espejo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44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108</v>
      </c>
      <c r="K1568" s="123" t="n">
        <v>118</v>
      </c>
      <c r="L1568" s="28">
        <f>IFERROR(IF(OR(J1568=0,K1568=""),"",IF(E1568="Positivo",MIN(MAX(K1568/J1568,0),1.3),MIN(MAX(J1568/K1568,0),1.3))),"") </f>
        <v/>
      </c>
      <c r="M1568" s="28">
        <f>IFERROR(IF(OR(J1568=0,K1568=""),"",IF(E1568="Positivo",MAX(K1568/J1568,0),MAX(J1568/K1568,0))),"") </f>
        <v/>
      </c>
      <c r="N1568" s="5" t="inlineStr">
        <is>
          <t>ENT</t>
        </is>
      </c>
      <c r="O1568" s="5" t="inlineStr">
        <is>
          <t>ENT</t>
        </is>
      </c>
      <c r="P1568" s="16" t="n">
        <v>0</v>
      </c>
      <c r="Q1568" s="16" t="n">
        <v>0</v>
      </c>
      <c r="R1568" s="5" t="inlineStr">
        <is>
          <t>312-2023-12-31</t>
        </is>
      </c>
    </row>
    <row r="1569">
      <c r="A1569" s="26" t="n">
        <v>312</v>
      </c>
      <c r="B1569" s="5" t="inlineStr">
        <is>
          <t>Clases espejo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44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123" t="n">
        <v>126</v>
      </c>
      <c r="L1569" s="28">
        <f>IFERROR(IF(OR(J1569=0,K1569=""),"",IF(E1569="Positivo",MIN(MAX(K1569/J1569,0),1.3),MIN(MAX(J1569/K1569,0),1.3))),"") </f>
        <v/>
      </c>
      <c r="M1569" s="28">
        <f>IFERROR(IF(OR(J1569=0,K1569=""),"",IF(E1569="Positivo",MAX(K1569/J1569,0),MAX(J1569/K1569,0))),"") </f>
        <v/>
      </c>
      <c r="N1569" s="5" t="inlineStr">
        <is>
          <t>ENT</t>
        </is>
      </c>
      <c r="O1569" s="5" t="inlineStr">
        <is>
          <t>ENT</t>
        </is>
      </c>
      <c r="P1569" s="16" t="n">
        <v>0</v>
      </c>
      <c r="Q1569" s="16" t="n">
        <v>0</v>
      </c>
      <c r="R1569" s="5" t="inlineStr">
        <is>
          <t>312-2024-06-30</t>
        </is>
      </c>
    </row>
    <row r="1570">
      <c r="A1570" s="26" t="n">
        <v>312</v>
      </c>
      <c r="B1570" s="5" t="inlineStr">
        <is>
          <t>Clases espejo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44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123" t="n">
        <v>137</v>
      </c>
      <c r="L1570" s="28">
        <f>IFERROR(IF(OR(J1570=0,K1570=""),"",IF(E1570="Positivo",MIN(MAX(K1570/J1570,0),1.3),MIN(MAX(J1570/K1570,0),1.3))),"") </f>
        <v/>
      </c>
      <c r="M1570" s="28">
        <f>IFERROR(IF(OR(J1570=0,K1570=""),"",IF(E1570="Positivo",MAX(K1570/J1570,0),MAX(J1570/K1570,0))),"") </f>
        <v/>
      </c>
      <c r="N1570" s="5" t="inlineStr">
        <is>
          <t>ENT</t>
        </is>
      </c>
      <c r="O1570" s="5" t="inlineStr">
        <is>
          <t>ENT</t>
        </is>
      </c>
      <c r="P1570" s="16" t="n">
        <v>0</v>
      </c>
      <c r="Q1570" s="16" t="n">
        <v>0</v>
      </c>
      <c r="R1570" s="5" t="inlineStr">
        <is>
          <t>312-2024-12-31</t>
        </is>
      </c>
    </row>
    <row r="1571">
      <c r="A1571" s="26" t="n">
        <v>313</v>
      </c>
      <c r="B1571" s="5" t="inlineStr">
        <is>
          <t>Seminarios y cursos internacionales virtuales impartidos y certificados por entidades externas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44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13</v>
      </c>
      <c r="K1571" s="10" t="n">
        <v>13</v>
      </c>
      <c r="L1571" s="28">
        <f>IFERROR(IF(OR(J1571=0,K1571=""),"",IF(E1571="Positivo",MIN(MAX(K1571/J1571,0),1.3),MIN(MAX(J1571/K1571,0),1.3))),"") </f>
        <v/>
      </c>
      <c r="M1571" s="28">
        <f>IFERROR(IF(OR(J1571=0,K1571=""),"",IF(E1571="Positivo",MAX(K1571/J1571,0),MAX(J1571/K1571,0))),"") </f>
        <v/>
      </c>
      <c r="N1571" s="5" t="inlineStr">
        <is>
          <t>ENT</t>
        </is>
      </c>
      <c r="O1571" s="5" t="inlineStr">
        <is>
          <t>ENT</t>
        </is>
      </c>
      <c r="P1571" s="16" t="n">
        <v>0</v>
      </c>
      <c r="Q1571" s="16" t="n">
        <v>0</v>
      </c>
      <c r="R1571" s="5" t="inlineStr">
        <is>
          <t>313-2023-06-30</t>
        </is>
      </c>
    </row>
    <row r="1572">
      <c r="A1572" s="26" t="n">
        <v>313</v>
      </c>
      <c r="B1572" s="5" t="inlineStr">
        <is>
          <t>Seminarios y cursos internacionales virtuales impartidos y certificados por entidades externas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44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15</v>
      </c>
      <c r="K1572" s="123" t="n">
        <v>12</v>
      </c>
      <c r="L1572" s="28">
        <f>IFERROR(IF(OR(J1572=0,K1572=""),"",IF(E1572="Positivo",MIN(MAX(K1572/J1572,0),1.3),MIN(MAX(J1572/K1572,0),1.3))),"") </f>
        <v/>
      </c>
      <c r="M1572" s="28">
        <f>IFERROR(IF(OR(J1572=0,K1572=""),"",IF(E1572="Positivo",MAX(K1572/J1572,0),MAX(J1572/K1572,0))),"") </f>
        <v/>
      </c>
      <c r="N1572" s="5" t="inlineStr">
        <is>
          <t>ENT</t>
        </is>
      </c>
      <c r="O1572" s="5" t="inlineStr">
        <is>
          <t>ENT</t>
        </is>
      </c>
      <c r="P1572" s="16" t="n">
        <v>0</v>
      </c>
      <c r="Q1572" s="16" t="n">
        <v>0</v>
      </c>
      <c r="R1572" s="5" t="inlineStr">
        <is>
          <t>313-2023-12-31</t>
        </is>
      </c>
    </row>
    <row r="1573">
      <c r="A1573" s="26" t="n">
        <v>313</v>
      </c>
      <c r="B1573" s="5" t="inlineStr">
        <is>
          <t>Seminarios y cursos internacionales virtuales impartidos y certificados por entidades externas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44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123" t="n">
        <v>100</v>
      </c>
      <c r="L1573" s="28">
        <f>IFERROR(IF(OR(J1573=0,K1573=""),"",IF(E1573="Positivo",MIN(MAX(K1573/J1573,0),1.3),MIN(MAX(J1573/K1573,0),1.3))),"") </f>
        <v/>
      </c>
      <c r="M1573" s="28">
        <f>IFERROR(IF(OR(J1573=0,K1573=""),"",IF(E1573="Positivo",MAX(K1573/J1573,0),MAX(J1573/K1573,0))),"") </f>
        <v/>
      </c>
      <c r="N1573" s="5" t="inlineStr">
        <is>
          <t>ENT</t>
        </is>
      </c>
      <c r="O1573" s="5" t="inlineStr">
        <is>
          <t>ENT</t>
        </is>
      </c>
      <c r="P1573" s="16" t="n">
        <v>0</v>
      </c>
      <c r="Q1573" s="16" t="n">
        <v>0</v>
      </c>
      <c r="R1573" s="5" t="inlineStr">
        <is>
          <t>313-2024-06-30</t>
        </is>
      </c>
    </row>
    <row r="1574">
      <c r="A1574" s="26" t="n">
        <v>313</v>
      </c>
      <c r="B1574" s="5" t="inlineStr">
        <is>
          <t>Seminarios y cursos internacionales virtuales impartidos y certificados por entidades externas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44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123" t="n">
        <v>100</v>
      </c>
      <c r="L1574" s="28">
        <f>IFERROR(IF(OR(J1574=0,K1574=""),"",IF(E1574="Positivo",MIN(MAX(K1574/J1574,0),1.3),MIN(MAX(J1574/K1574,0),1.3))),"") </f>
        <v/>
      </c>
      <c r="M1574" s="28">
        <f>IFERROR(IF(OR(J1574=0,K1574=""),"",IF(E1574="Positivo",MAX(K1574/J1574,0),MAX(J1574/K1574,0))),"") </f>
        <v/>
      </c>
      <c r="N1574" s="5" t="inlineStr">
        <is>
          <t>ENT</t>
        </is>
      </c>
      <c r="O1574" s="5" t="inlineStr">
        <is>
          <t>ENT</t>
        </is>
      </c>
      <c r="P1574" s="16" t="n">
        <v>0</v>
      </c>
      <c r="Q1574" s="16" t="n">
        <v>0</v>
      </c>
      <c r="R1574" s="5" t="inlineStr">
        <is>
          <t>313-2024-12-31</t>
        </is>
      </c>
    </row>
    <row r="1575">
      <c r="A1575" s="26" t="n">
        <v>314</v>
      </c>
      <c r="B1575" s="5" t="inlineStr">
        <is>
          <t>N de asignaturas COIL - (Collaborative Online International Learning)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44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9</v>
      </c>
      <c r="K1575" s="123" t="n">
        <v>13</v>
      </c>
      <c r="L1575" s="28">
        <f>IFERROR(IF(OR(J1575=0,K1575=""),"",IF(E1575="Positivo",MIN(MAX(K1575/J1575,0),1.3),MIN(MAX(J1575/K1575,0),1.3))),"") </f>
        <v/>
      </c>
      <c r="M1575" s="28">
        <f>IFERROR(IF(OR(J1575=0,K1575=""),"",IF(E1575="Positivo",MAX(K1575/J1575,0),MAX(J1575/K1575,0))),"") </f>
        <v/>
      </c>
      <c r="N1575" s="5" t="inlineStr">
        <is>
          <t>ENT</t>
        </is>
      </c>
      <c r="O1575" s="5" t="inlineStr">
        <is>
          <t>ENT</t>
        </is>
      </c>
      <c r="P1575" s="16" t="n">
        <v>0</v>
      </c>
      <c r="Q1575" s="16" t="n">
        <v>0</v>
      </c>
      <c r="R1575" s="5" t="inlineStr">
        <is>
          <t>314-2023-06-30</t>
        </is>
      </c>
    </row>
    <row r="1576">
      <c r="A1576" s="26" t="n">
        <v>314</v>
      </c>
      <c r="B1576" s="5" t="inlineStr">
        <is>
          <t>N de asignaturas COIL - (Collaborative Online International Learning)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44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14</v>
      </c>
      <c r="K1576" s="123" t="n">
        <v>16</v>
      </c>
      <c r="L1576" s="28">
        <f>IFERROR(IF(OR(J1576=0,K1576=""),"",IF(E1576="Positivo",MIN(MAX(K1576/J1576,0),1.3),MIN(MAX(J1576/K1576,0),1.3))),"") </f>
        <v/>
      </c>
      <c r="M1576" s="28">
        <f>IFERROR(IF(OR(J1576=0,K1576=""),"",IF(E1576="Positivo",MAX(K1576/J1576,0),MAX(J1576/K1576,0))),"") </f>
        <v/>
      </c>
      <c r="N1576" s="5" t="inlineStr">
        <is>
          <t>ENT</t>
        </is>
      </c>
      <c r="O1576" s="5" t="inlineStr">
        <is>
          <t>ENT</t>
        </is>
      </c>
      <c r="P1576" s="16" t="n">
        <v>0</v>
      </c>
      <c r="Q1576" s="16" t="n">
        <v>0</v>
      </c>
      <c r="R1576" s="5" t="inlineStr">
        <is>
          <t>314-2023-12-31</t>
        </is>
      </c>
    </row>
    <row r="1577">
      <c r="A1577" s="26" t="n">
        <v>314</v>
      </c>
      <c r="B1577" s="5" t="inlineStr">
        <is>
          <t>N de asignaturas COIL - (Collaborative Online International Learning)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44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10" t="n">
        <v>140</v>
      </c>
      <c r="L1577" s="28">
        <f>IFERROR(IF(OR(J1577=0,K1577=""),"",IF(E1577="Positivo",MIN(MAX(K1577/J1577,0),1.3),MIN(MAX(J1577/K1577,0),1.3))),"") </f>
        <v/>
      </c>
      <c r="M1577" s="28">
        <f>IFERROR(IF(OR(J1577=0,K1577=""),"",IF(E1577="Positivo",MAX(K1577/J1577,0),MAX(J1577/K1577,0))),"") </f>
        <v/>
      </c>
      <c r="N1577" s="5" t="inlineStr">
        <is>
          <t>ENT</t>
        </is>
      </c>
      <c r="O1577" s="5" t="inlineStr">
        <is>
          <t>ENT</t>
        </is>
      </c>
      <c r="P1577" s="16" t="n">
        <v>0</v>
      </c>
      <c r="Q1577" s="16" t="n">
        <v>0</v>
      </c>
      <c r="R1577" s="5" t="inlineStr">
        <is>
          <t>314-2024-06-30</t>
        </is>
      </c>
    </row>
    <row r="1578">
      <c r="A1578" s="26" t="n">
        <v>314</v>
      </c>
      <c r="B1578" s="5" t="inlineStr">
        <is>
          <t>N de asignaturas COIL - (Collaborative Online International Learning)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44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123" t="n">
        <v>145</v>
      </c>
      <c r="L1578" s="28">
        <f>IFERROR(IF(OR(J1578=0,K1578=""),"",IF(E1578="Positivo",MIN(MAX(K1578/J1578,0),1.3),MIN(MAX(J1578/K1578,0),1.3))),"") </f>
        <v/>
      </c>
      <c r="M1578" s="28">
        <f>IFERROR(IF(OR(J1578=0,K1578=""),"",IF(E1578="Positivo",MAX(K1578/J1578,0),MAX(J1578/K1578,0))),"") </f>
        <v/>
      </c>
      <c r="N1578" s="5" t="inlineStr">
        <is>
          <t>ENT</t>
        </is>
      </c>
      <c r="O1578" s="5" t="inlineStr">
        <is>
          <t>ENT</t>
        </is>
      </c>
      <c r="P1578" s="16" t="n">
        <v>0</v>
      </c>
      <c r="Q1578" s="16" t="n">
        <v>0</v>
      </c>
      <c r="R1578" s="5" t="inlineStr">
        <is>
          <t>314-2024-12-31</t>
        </is>
      </c>
    </row>
    <row r="1579">
      <c r="A1579" s="26" t="n">
        <v>315</v>
      </c>
      <c r="B1579" s="5" t="inlineStr">
        <is>
          <t>Convenios con doble titulación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44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5</v>
      </c>
      <c r="K1579" s="123" t="n">
        <v>7</v>
      </c>
      <c r="L1579" s="28">
        <f>IFERROR(IF(OR(J1579=0,K1579=""),"",IF(E1579="Positivo",MIN(MAX(K1579/J1579,0),1.3),MIN(MAX(J1579/K1579,0),1.3))),"") </f>
        <v/>
      </c>
      <c r="M1579" s="28">
        <f>IFERROR(IF(OR(J1579=0,K1579=""),"",IF(E1579="Positivo",MAX(K1579/J1579,0),MAX(J1579/K1579,0))),"") </f>
        <v/>
      </c>
      <c r="N1579" s="5" t="inlineStr">
        <is>
          <t>ENT</t>
        </is>
      </c>
      <c r="O1579" s="5" t="inlineStr">
        <is>
          <t>ENT</t>
        </is>
      </c>
      <c r="P1579" s="16" t="n">
        <v>0</v>
      </c>
      <c r="Q1579" s="16" t="n">
        <v>0</v>
      </c>
      <c r="R1579" s="5" t="inlineStr">
        <is>
          <t>315-2023-06-30</t>
        </is>
      </c>
    </row>
    <row r="1580">
      <c r="A1580" s="26" t="n">
        <v>316</v>
      </c>
      <c r="B1580" s="5" t="inlineStr">
        <is>
          <t>Asignaturas con sesiones en segundo idioma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44" t="n">
        <v>45107</v>
      </c>
      <c r="G1580" s="5" t="n">
        <v>2023</v>
      </c>
      <c r="H1580" s="5" t="inlineStr">
        <is>
          <t>Junio</t>
        </is>
      </c>
      <c r="I1580" s="6" t="inlineStr">
        <is>
          <t>2023-1</t>
        </is>
      </c>
      <c r="J1580" s="5" t="n">
        <v>9</v>
      </c>
      <c r="K1580" s="123" t="n">
        <v>11</v>
      </c>
      <c r="L1580" s="28">
        <f>IFERROR(IF(OR(J1580=0,K1580=""),"",IF(E1580="Positivo",MIN(MAX(K1580/J1580,0),1.3),MIN(MAX(J1580/K1580,0),1.3))),"") </f>
        <v/>
      </c>
      <c r="M1580" s="28">
        <f>IFERROR(IF(OR(J1580=0,K1580=""),"",IF(E1580="Positivo",MAX(K1580/J1580,0),MAX(J1580/K1580,0))),"") </f>
        <v/>
      </c>
      <c r="N1580" s="5" t="inlineStr">
        <is>
          <t>ENT</t>
        </is>
      </c>
      <c r="O1580" s="5" t="inlineStr">
        <is>
          <t>ENT</t>
        </is>
      </c>
      <c r="P1580" s="16" t="n">
        <v>0</v>
      </c>
      <c r="Q1580" s="16" t="n">
        <v>0</v>
      </c>
      <c r="R1580" s="5" t="inlineStr">
        <is>
          <t>316-2023-06-30</t>
        </is>
      </c>
    </row>
    <row r="1581">
      <c r="A1581" s="26" t="n">
        <v>316</v>
      </c>
      <c r="B1581" s="5" t="inlineStr">
        <is>
          <t>Asignaturas con sesiones en segundo idioma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44" t="n">
        <v>45291</v>
      </c>
      <c r="G1581" s="5" t="n">
        <v>2023</v>
      </c>
      <c r="H1581" s="5" t="inlineStr">
        <is>
          <t>Diciembre</t>
        </is>
      </c>
      <c r="I1581" s="6" t="inlineStr">
        <is>
          <t>2023-2</t>
        </is>
      </c>
      <c r="J1581" s="5" t="n">
        <v>12</v>
      </c>
      <c r="K1581" s="123" t="n">
        <v>11</v>
      </c>
      <c r="L1581" s="28">
        <f>IFERROR(IF(OR(J1581=0,K1581=""),"",IF(E1581="Positivo",MIN(MAX(K1581/J1581,0),1.3),MIN(MAX(J1581/K1581,0),1.3))),"") </f>
        <v/>
      </c>
      <c r="M1581" s="28">
        <f>IFERROR(IF(OR(J1581=0,K1581=""),"",IF(E1581="Positivo",MAX(K1581/J1581,0),MAX(J1581/K1581,0))),"") </f>
        <v/>
      </c>
      <c r="N1581" s="5" t="inlineStr">
        <is>
          <t>ENT</t>
        </is>
      </c>
      <c r="O1581" s="5" t="inlineStr">
        <is>
          <t>ENT</t>
        </is>
      </c>
      <c r="P1581" s="16" t="n">
        <v>0</v>
      </c>
      <c r="Q1581" s="16" t="n">
        <v>0</v>
      </c>
      <c r="R1581" s="5" t="inlineStr">
        <is>
          <t>316-2023-12-31</t>
        </is>
      </c>
    </row>
    <row r="1582">
      <c r="A1582" s="26" t="n">
        <v>317</v>
      </c>
      <c r="B1582" s="5" t="inlineStr">
        <is>
          <t>Plan De Internacionalización A 7 Años</t>
        </is>
      </c>
      <c r="C1582" s="5" t="inlineStr">
        <is>
          <t>VISIBILIDAD NACIONAL E INTERNACIONAL</t>
        </is>
      </c>
      <c r="D1582" s="5" t="inlineStr">
        <is>
          <t>Anual</t>
        </is>
      </c>
      <c r="E1582" s="5" t="inlineStr">
        <is>
          <t>Positivo</t>
        </is>
      </c>
      <c r="F1582" s="148" t="n">
        <v>45291</v>
      </c>
      <c r="G1582" s="5" t="n">
        <v>2023</v>
      </c>
      <c r="H1582" s="5" t="inlineStr">
        <is>
          <t>Diciembre</t>
        </is>
      </c>
      <c r="I1582" s="6" t="inlineStr">
        <is>
          <t>2023-2</t>
        </is>
      </c>
      <c r="J1582" s="5" t="n">
        <v>12</v>
      </c>
      <c r="K1582" s="124" t="n">
        <v>12</v>
      </c>
      <c r="L1582" s="28">
        <f>IFERROR(IF(OR(J1582=0,K1582=""),"",IF(E1582="Positivo",MIN(MAX(K1582/J1582,0),1.3),MIN(MAX(J1582/K1582,0),1.3))),"") </f>
        <v/>
      </c>
      <c r="M1582" s="28">
        <f>IFERROR(IF(OR(J1582=0,K1582=""),"",IF(E1582="Positivo",MAX(K1582/J1582,0),MAX(J1582/K1582,0))),"") </f>
        <v/>
      </c>
      <c r="N1582" s="5" t="inlineStr">
        <is>
          <t>ENT</t>
        </is>
      </c>
      <c r="O1582" s="5" t="inlineStr">
        <is>
          <t>ENT</t>
        </is>
      </c>
      <c r="P1582" s="16" t="n">
        <v>0</v>
      </c>
      <c r="Q1582" s="16" t="n">
        <v>0</v>
      </c>
      <c r="R1582" s="5" t="inlineStr">
        <is>
          <t>317-2023-12-31</t>
        </is>
      </c>
    </row>
    <row r="1583">
      <c r="A1583" s="26" t="n">
        <v>317</v>
      </c>
      <c r="B1583" s="5" t="inlineStr">
        <is>
          <t>Plan De Internacionalización A 7 Años</t>
        </is>
      </c>
      <c r="C1583" s="5" t="inlineStr">
        <is>
          <t>VISIBILIDAD NACIONAL E INTERNACIONAL</t>
        </is>
      </c>
      <c r="D1583" s="5" t="inlineStr">
        <is>
          <t>Anual</t>
        </is>
      </c>
      <c r="E1583" s="5" t="inlineStr">
        <is>
          <t>Positivo</t>
        </is>
      </c>
      <c r="F1583" s="148" t="n">
        <v>45657</v>
      </c>
      <c r="G1583" s="5" t="n">
        <v>2024</v>
      </c>
      <c r="H1583" s="5" t="inlineStr">
        <is>
          <t>Diciembre</t>
        </is>
      </c>
      <c r="I1583" s="6" t="inlineStr">
        <is>
          <t>2024-2</t>
        </is>
      </c>
      <c r="J1583" s="5" t="n">
        <v>100</v>
      </c>
      <c r="K1583" s="124" t="n">
        <v>100</v>
      </c>
      <c r="L1583" s="28">
        <f>IFERROR(IF(OR(J1583=0,K1583=""),"",IF(E1583="Positivo",MIN(MAX(K1583/J1583,0),1.3),MIN(MAX(J1583/K1583,0),1.3))),"") </f>
        <v/>
      </c>
      <c r="M1583" s="28">
        <f>IFERROR(IF(OR(J1583=0,K1583=""),"",IF(E1583="Positivo",MAX(K1583/J1583,0),MAX(J1583/K1583,0))),"") </f>
        <v/>
      </c>
      <c r="N1583" s="5" t="n"/>
      <c r="O1583" s="5" t="n"/>
      <c r="P1583" s="16" t="n">
        <v>0</v>
      </c>
      <c r="Q1583" s="16" t="n">
        <v>0</v>
      </c>
      <c r="R1583" s="5" t="inlineStr">
        <is>
          <t>317-2024-12-31</t>
        </is>
      </c>
    </row>
    <row r="1584">
      <c r="A1584" s="26" t="n">
        <v>318</v>
      </c>
      <c r="B1584" s="5" t="inlineStr">
        <is>
          <t>Convenios, alianzas activas con actividades desde 2018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48" t="n">
        <v>45107</v>
      </c>
      <c r="G1584" s="5" t="n">
        <v>2023</v>
      </c>
      <c r="H1584" s="5" t="inlineStr">
        <is>
          <t>Junio</t>
        </is>
      </c>
      <c r="I1584" s="6" t="inlineStr">
        <is>
          <t>2023-1</t>
        </is>
      </c>
      <c r="J1584" s="5" t="n">
        <v>80</v>
      </c>
      <c r="K1584" s="124" t="n">
        <v>85.981308411215</v>
      </c>
      <c r="L1584" s="28">
        <f>IFERROR(IF(OR(J1584=0,K1584=""),"",IF(E1584="Positivo",MIN(MAX(K1584/J1584,0),1.3),MIN(MAX(J1584/K1584,0),1.3))),"") </f>
        <v/>
      </c>
      <c r="M1584" s="28">
        <f>IFERROR(IF(OR(J1584=0,K1584=""),"",IF(E1584="Positivo",MAX(K1584/J1584,0),MAX(J1584/K1584,0))),"") </f>
        <v/>
      </c>
      <c r="N1584" s="5" t="inlineStr">
        <is>
          <t>%</t>
        </is>
      </c>
      <c r="O1584" s="5" t="inlineStr">
        <is>
          <t>%</t>
        </is>
      </c>
      <c r="P1584" s="16" t="n">
        <v>0</v>
      </c>
      <c r="Q1584" s="16" t="n">
        <v>0</v>
      </c>
      <c r="R1584" s="5" t="inlineStr">
        <is>
          <t>318-2023-06-30</t>
        </is>
      </c>
    </row>
    <row r="1585">
      <c r="A1585" s="26" t="n">
        <v>318</v>
      </c>
      <c r="B1585" s="5" t="inlineStr">
        <is>
          <t>Convenios, alianzas activas con actividades desde 2018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48" t="n">
        <v>45291</v>
      </c>
      <c r="G1585" s="5" t="n">
        <v>2023</v>
      </c>
      <c r="H1585" s="5" t="inlineStr">
        <is>
          <t>Diciembre</t>
        </is>
      </c>
      <c r="I1585" s="6" t="inlineStr">
        <is>
          <t>2023-2</t>
        </is>
      </c>
      <c r="J1585" s="5" t="n">
        <v>80</v>
      </c>
      <c r="K1585" s="124" t="n">
        <v>90.90909090909091</v>
      </c>
      <c r="L1585" s="28">
        <f>IFERROR(IF(OR(J1585=0,K1585=""),"",IF(E1585="Positivo",MIN(MAX(K1585/J1585,0),1.3),MIN(MAX(J1585/K1585,0),1.3))),"") </f>
        <v/>
      </c>
      <c r="M1585" s="28">
        <f>IFERROR(IF(OR(J1585=0,K1585=""),"",IF(E1585="Positivo",MAX(K1585/J1585,0),MAX(J1585/K1585,0))),"") </f>
        <v/>
      </c>
      <c r="N1585" s="5" t="inlineStr">
        <is>
          <t>%</t>
        </is>
      </c>
      <c r="O1585" s="5" t="inlineStr">
        <is>
          <t>%</t>
        </is>
      </c>
      <c r="P1585" s="16" t="n">
        <v>0</v>
      </c>
      <c r="Q1585" s="16" t="n">
        <v>0</v>
      </c>
      <c r="R1585" s="5" t="inlineStr">
        <is>
          <t>318-2023-12-31</t>
        </is>
      </c>
    </row>
    <row r="1586">
      <c r="A1586" s="26" t="n">
        <v>318</v>
      </c>
      <c r="B1586" s="5" t="inlineStr">
        <is>
          <t>Convenios, alianzas activas con actividades en los últimos 5 años</t>
        </is>
      </c>
      <c r="C1586" s="5" t="inlineStr">
        <is>
          <t>VISIBILIDAD NACIONAL E INTERNACIONAL</t>
        </is>
      </c>
      <c r="D1586" s="5" t="inlineStr">
        <is>
          <t>Anual</t>
        </is>
      </c>
      <c r="E1586" s="5" t="inlineStr">
        <is>
          <t>Positivo</t>
        </is>
      </c>
      <c r="F1586" s="148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80</v>
      </c>
      <c r="K1586" s="124" t="n">
        <v>90.28</v>
      </c>
      <c r="L1586" s="28">
        <f>IFERROR(IF(OR(J1586=0,K1586=""),"",IF(E1586="Positivo",MIN(MAX(K1586/J1586,0),1.3),MIN(MAX(J1586/K1586,0),1.3))),"") </f>
        <v/>
      </c>
      <c r="M1586" s="28">
        <f>IFERROR(IF(OR(J1586=0,K1586=""),"",IF(E1586="Positivo",MAX(K1586/J1586,0),MAX(J1586/K1586,0))),"") </f>
        <v/>
      </c>
      <c r="N1586" s="5" t="inlineStr">
        <is>
          <t>%</t>
        </is>
      </c>
      <c r="O1586" s="5" t="inlineStr">
        <is>
          <t>%</t>
        </is>
      </c>
      <c r="P1586" s="16" t="n">
        <v>0</v>
      </c>
      <c r="Q1586" s="16" t="n">
        <v>0</v>
      </c>
      <c r="R1586" s="5" t="inlineStr">
        <is>
          <t>318-2024-12-31</t>
        </is>
      </c>
    </row>
    <row r="1587">
      <c r="A1587" s="26" t="n">
        <v>318</v>
      </c>
      <c r="B1587" s="5" t="inlineStr">
        <is>
          <t>Convenios, alianzas activas con actividades en los últimos 5 años</t>
        </is>
      </c>
      <c r="C1587" s="5" t="inlineStr">
        <is>
          <t>VISIBILIDAD NACIONAL E INTERNACIONAL</t>
        </is>
      </c>
      <c r="D1587" s="5" t="inlineStr">
        <is>
          <t>Anual</t>
        </is>
      </c>
      <c r="E1587" s="5" t="inlineStr">
        <is>
          <t>Positivo</t>
        </is>
      </c>
      <c r="F1587" s="148" t="n">
        <v>46022</v>
      </c>
      <c r="G1587" s="5" t="n">
        <v>2025</v>
      </c>
      <c r="H1587" s="5" t="inlineStr">
        <is>
          <t>Diciembre</t>
        </is>
      </c>
      <c r="I1587" s="6" t="inlineStr">
        <is>
          <t>2025-2</t>
        </is>
      </c>
      <c r="J1587" s="5" t="n">
        <v>85</v>
      </c>
      <c r="K1587" s="5" t="n">
        <v>86.16</v>
      </c>
      <c r="L1587" s="28">
        <f>IFERROR(IF(OR(J1587=0,K1587=""),"",IF(E1587="Positivo",MIN(MAX(K1587/J1587,0),1.3),MIN(MAX(J1587/K1587,0),1.3))),"") </f>
        <v/>
      </c>
      <c r="M1587" s="28">
        <f>IFERROR(IF(OR(J1587=0,K1587=""),"",IF(E1587="Positivo",MAX(K1587/J1587,0),MAX(J1587/K1587,0))),"") </f>
        <v/>
      </c>
      <c r="N1587" s="5" t="inlineStr">
        <is>
          <t>%</t>
        </is>
      </c>
      <c r="O1587" s="5" t="inlineStr">
        <is>
          <t>%</t>
        </is>
      </c>
      <c r="P1587" s="16" t="n">
        <v>0</v>
      </c>
      <c r="Q1587" s="16" t="n">
        <v>0</v>
      </c>
      <c r="R1587" s="5" t="inlineStr">
        <is>
          <t>318-2025-12-31</t>
        </is>
      </c>
    </row>
    <row r="1588">
      <c r="A1588" s="26" t="n">
        <v>319</v>
      </c>
      <c r="B1588" s="5" t="inlineStr">
        <is>
          <t>Nivel de cumplimiento de la gestión de internacionalización descrito en el plan de trabajo de la ORNI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48" t="n">
        <v>45107</v>
      </c>
      <c r="G1588" s="5" t="n">
        <v>2023</v>
      </c>
      <c r="H1588" s="5" t="inlineStr">
        <is>
          <t>Junio</t>
        </is>
      </c>
      <c r="I1588" s="6" t="inlineStr">
        <is>
          <t>2023-1</t>
        </is>
      </c>
      <c r="J1588" s="5" t="n">
        <v>100</v>
      </c>
      <c r="K1588" s="123" t="n">
        <v>80</v>
      </c>
      <c r="L1588" s="28">
        <f>IFERROR(IF(OR(J1588=0,K1588=""),"",IF(E1588="Positivo",MIN(MAX(K1588/J1588,0),1.3),MIN(MAX(J1588/K1588,0),1.3))),"") </f>
        <v/>
      </c>
      <c r="M1588" s="28">
        <f>IFERROR(IF(OR(J1588=0,K1588=""),"",IF(E1588="Positivo",MAX(K1588/J1588,0),MAX(J1588/K1588,0))),"") </f>
        <v/>
      </c>
      <c r="N1588" s="5" t="inlineStr">
        <is>
          <t>%</t>
        </is>
      </c>
      <c r="O1588" s="5" t="inlineStr">
        <is>
          <t>%</t>
        </is>
      </c>
      <c r="P1588" s="16" t="n">
        <v>0</v>
      </c>
      <c r="Q1588" s="16" t="n">
        <v>0</v>
      </c>
      <c r="R1588" s="5" t="inlineStr">
        <is>
          <t>319-2023-06-30</t>
        </is>
      </c>
    </row>
    <row r="1589">
      <c r="A1589" s="26" t="n">
        <v>319</v>
      </c>
      <c r="B1589" s="5" t="inlineStr">
        <is>
          <t>Nivel de cumplimiento de la gestión de internacionalización descrito en el plan de trabajo de la ORNI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48" t="n">
        <v>45291</v>
      </c>
      <c r="G1589" s="5" t="n">
        <v>2023</v>
      </c>
      <c r="H1589" s="5" t="inlineStr">
        <is>
          <t>Diciembre</t>
        </is>
      </c>
      <c r="I1589" s="6" t="inlineStr">
        <is>
          <t>2023-2</t>
        </is>
      </c>
      <c r="J1589" s="5" t="n">
        <v>100</v>
      </c>
      <c r="K1589" s="123" t="n">
        <v>100</v>
      </c>
      <c r="L1589" s="28">
        <f>IFERROR(IF(OR(J1589=0,K1589=""),"",IF(E1589="Positivo",MIN(MAX(K1589/J1589,0),1.3),MIN(MAX(J1589/K1589,0),1.3))),"") </f>
        <v/>
      </c>
      <c r="M1589" s="28">
        <f>IFERROR(IF(OR(J1589=0,K1589=""),"",IF(E1589="Positivo",MAX(K1589/J1589,0),MAX(J1589/K1589,0))),"") </f>
        <v/>
      </c>
      <c r="N1589" s="5" t="inlineStr">
        <is>
          <t>%</t>
        </is>
      </c>
      <c r="O1589" s="5" t="inlineStr">
        <is>
          <t>%</t>
        </is>
      </c>
      <c r="P1589" s="16" t="n">
        <v>0</v>
      </c>
      <c r="Q1589" s="16" t="n">
        <v>0</v>
      </c>
      <c r="R1589" s="5" t="inlineStr">
        <is>
          <t>319-2023-12-31</t>
        </is>
      </c>
    </row>
    <row r="1590">
      <c r="A1590" s="26" t="n">
        <v>319</v>
      </c>
      <c r="B1590" s="5" t="inlineStr">
        <is>
          <t>Nivel de cumplimiento de la gestión de internacionalización descrito en el plan de trabajo de la ORNI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48" t="n">
        <v>45473</v>
      </c>
      <c r="G1590" s="5" t="n">
        <v>2024</v>
      </c>
      <c r="H1590" s="5" t="inlineStr">
        <is>
          <t>Junio</t>
        </is>
      </c>
      <c r="I1590" s="6" t="inlineStr">
        <is>
          <t>2024-1</t>
        </is>
      </c>
      <c r="J1590" s="5" t="n">
        <v>100</v>
      </c>
      <c r="K1590" s="123" t="n">
        <v>100</v>
      </c>
      <c r="L1590" s="28">
        <f>IFERROR(IF(OR(J1590=0,K1590=""),"",IF(E1590="Positivo",MIN(MAX(K1590/J1590,0),1.3),MIN(MAX(J1590/K1590,0),1.3))),"") </f>
        <v/>
      </c>
      <c r="M1590" s="28">
        <f>IFERROR(IF(OR(J1590=0,K1590=""),"",IF(E1590="Positivo",MAX(K1590/J1590,0),MAX(J1590/K1590,0))),"") </f>
        <v/>
      </c>
      <c r="N1590" s="5" t="inlineStr">
        <is>
          <t>%</t>
        </is>
      </c>
      <c r="O1590" s="5" t="inlineStr">
        <is>
          <t>%</t>
        </is>
      </c>
      <c r="P1590" s="16" t="n">
        <v>0</v>
      </c>
      <c r="Q1590" s="16" t="n">
        <v>0</v>
      </c>
      <c r="R1590" s="5" t="inlineStr">
        <is>
          <t>319-2024-06-30</t>
        </is>
      </c>
    </row>
    <row r="1591">
      <c r="A1591" s="26" t="n">
        <v>319</v>
      </c>
      <c r="B1591" s="5" t="inlineStr">
        <is>
          <t>Nivel de cumplimiento de la gestión de internacionalización descrito en el plan de trabajo de la ORNI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48" t="n">
        <v>45657</v>
      </c>
      <c r="G1591" s="5" t="n">
        <v>2024</v>
      </c>
      <c r="H1591" s="5" t="inlineStr">
        <is>
          <t>Diciembre</t>
        </is>
      </c>
      <c r="I1591" s="6" t="inlineStr">
        <is>
          <t>2024-2</t>
        </is>
      </c>
      <c r="J1591" s="5" t="n">
        <v>100</v>
      </c>
      <c r="K1591" s="123" t="n">
        <v>100</v>
      </c>
      <c r="L1591" s="28">
        <f>IFERROR(IF(OR(J1591=0,K1591=""),"",IF(E1591="Positivo",MIN(MAX(K1591/J1591,0),1.3),MIN(MAX(J1591/K1591,0),1.3))),"") </f>
        <v/>
      </c>
      <c r="M1591" s="28">
        <f>IFERROR(IF(OR(J1591=0,K1591=""),"",IF(E1591="Positivo",MAX(K1591/J1591,0),MAX(J1591/K1591,0))),"") </f>
        <v/>
      </c>
      <c r="N1591" s="5" t="inlineStr">
        <is>
          <t>%</t>
        </is>
      </c>
      <c r="O1591" s="5" t="inlineStr">
        <is>
          <t>%</t>
        </is>
      </c>
      <c r="P1591" s="16" t="n">
        <v>0</v>
      </c>
      <c r="Q1591" s="16" t="n">
        <v>0</v>
      </c>
      <c r="R1591" s="5" t="inlineStr">
        <is>
          <t>319-2024-12-31</t>
        </is>
      </c>
    </row>
    <row r="1592">
      <c r="A1592" s="26" t="n">
        <v>320</v>
      </c>
      <c r="B1592" s="5" t="inlineStr">
        <is>
          <t>Participación docentes eventos académicos internacionales virtuales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44" t="n">
        <v>45107</v>
      </c>
      <c r="G1592" s="5" t="n">
        <v>2023</v>
      </c>
      <c r="H1592" s="5" t="inlineStr">
        <is>
          <t>Junio</t>
        </is>
      </c>
      <c r="I1592" s="6" t="inlineStr">
        <is>
          <t>2023-1</t>
        </is>
      </c>
      <c r="J1592" s="5" t="n">
        <v>26</v>
      </c>
      <c r="K1592" s="5" t="n">
        <v>12</v>
      </c>
      <c r="L1592" s="28">
        <f>IFERROR(IF(OR(J1592=0,K1592=""),"",IF(E1592="Positivo",MIN(MAX(K1592/J1592,0),1.3),MIN(MAX(J1592/K1592,0),1.3))),"") </f>
        <v/>
      </c>
      <c r="M1592" s="28">
        <f>IFERROR(IF(OR(J1592=0,K1592=""),"",IF(E1592="Positivo",MAX(K1592/J1592,0),MAX(J1592/K1592,0))),"") </f>
        <v/>
      </c>
      <c r="N1592" s="5" t="inlineStr">
        <is>
          <t>%</t>
        </is>
      </c>
      <c r="O1592" s="5" t="inlineStr">
        <is>
          <t>%</t>
        </is>
      </c>
      <c r="P1592" s="16" t="n">
        <v>0</v>
      </c>
      <c r="Q1592" s="16" t="n">
        <v>0</v>
      </c>
      <c r="R1592" s="5" t="inlineStr">
        <is>
          <t>320-2023-06-30</t>
        </is>
      </c>
    </row>
    <row r="1593">
      <c r="A1593" s="26" t="n">
        <v>320</v>
      </c>
      <c r="B1593" s="5" t="inlineStr">
        <is>
          <t>Participación docentes eventos académicos internacionales virtuales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44" t="n">
        <v>45291</v>
      </c>
      <c r="G1593" s="5" t="n">
        <v>2023</v>
      </c>
      <c r="H1593" s="5" t="inlineStr">
        <is>
          <t>Diciembre</t>
        </is>
      </c>
      <c r="I1593" s="6" t="inlineStr">
        <is>
          <t>2023-2</t>
        </is>
      </c>
      <c r="J1593" s="5" t="n">
        <v>15</v>
      </c>
      <c r="K1593" s="5" t="n">
        <v>17</v>
      </c>
      <c r="L1593" s="28">
        <f>IFERROR(IF(OR(J1593=0,K1593=""),"",IF(E1593="Positivo",MIN(MAX(K1593/J1593,0),1.3),MIN(MAX(J1593/K1593,0),1.3))),"") </f>
        <v/>
      </c>
      <c r="M1593" s="28">
        <f>IFERROR(IF(OR(J1593=0,K1593=""),"",IF(E1593="Positivo",MAX(K1593/J1593,0),MAX(J1593/K1593,0))),"") </f>
        <v/>
      </c>
      <c r="N1593" s="5" t="inlineStr">
        <is>
          <t>%</t>
        </is>
      </c>
      <c r="O1593" s="5" t="inlineStr">
        <is>
          <t>%</t>
        </is>
      </c>
      <c r="P1593" s="16" t="n">
        <v>0</v>
      </c>
      <c r="Q1593" s="16" t="n">
        <v>0</v>
      </c>
      <c r="R1593" s="5" t="inlineStr">
        <is>
          <t>320-2023-12-31</t>
        </is>
      </c>
    </row>
    <row r="1594">
      <c r="A1594" s="26" t="n">
        <v>320</v>
      </c>
      <c r="B1594" s="5" t="inlineStr">
        <is>
          <t>Participación docentes Poli en eventos académicos internacionales virtuales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44" t="n">
        <v>45473</v>
      </c>
      <c r="G1594" s="5" t="n">
        <v>2024</v>
      </c>
      <c r="H1594" s="5" t="inlineStr">
        <is>
          <t>Junio</t>
        </is>
      </c>
      <c r="I1594" s="6" t="inlineStr">
        <is>
          <t>2024-1</t>
        </is>
      </c>
      <c r="J1594" s="5" t="n">
        <v>100</v>
      </c>
      <c r="K1594" s="5" t="n">
        <v>140</v>
      </c>
      <c r="L1594" s="28">
        <f>IFERROR(IF(OR(J1594=0,K1594=""),"",IF(E1594="Positivo",MIN(MAX(K1594/J1594,0),1.3),MIN(MAX(J1594/K1594,0),1.3))),"") </f>
        <v/>
      </c>
      <c r="M1594" s="28">
        <f>IFERROR(IF(OR(J1594=0,K1594=""),"",IF(E1594="Positivo",MAX(K1594/J1594,0),MAX(J1594/K1594,0))),"") </f>
        <v/>
      </c>
      <c r="N1594" s="5" t="inlineStr">
        <is>
          <t>ENT</t>
        </is>
      </c>
      <c r="O1594" s="5" t="inlineStr">
        <is>
          <t>ENT</t>
        </is>
      </c>
      <c r="P1594" s="16" t="n">
        <v>0</v>
      </c>
      <c r="Q1594" s="16" t="n">
        <v>0</v>
      </c>
      <c r="R1594" s="5" t="inlineStr">
        <is>
          <t>320-2024-06-30</t>
        </is>
      </c>
    </row>
    <row r="1595">
      <c r="A1595" s="26" t="n">
        <v>320</v>
      </c>
      <c r="B1595" s="5" t="inlineStr">
        <is>
          <t>Participación docentes Poli en eventos académicos internacionales virtuales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44" t="n">
        <v>45657</v>
      </c>
      <c r="G1595" s="5" t="n">
        <v>2024</v>
      </c>
      <c r="H1595" s="5" t="inlineStr">
        <is>
          <t>Diciembre</t>
        </is>
      </c>
      <c r="I1595" s="6" t="inlineStr">
        <is>
          <t>2024-2</t>
        </is>
      </c>
      <c r="J1595" s="5" t="n">
        <v>100</v>
      </c>
      <c r="K1595" s="5" t="n">
        <v>115</v>
      </c>
      <c r="L1595" s="28">
        <f>IFERROR(IF(OR(J1595=0,K1595=""),"",IF(E1595="Positivo",MIN(MAX(K1595/J1595,0),1.3),MIN(MAX(J1595/K1595,0),1.3))),"") </f>
        <v/>
      </c>
      <c r="M1595" s="28">
        <f>IFERROR(IF(OR(J1595=0,K1595=""),"",IF(E1595="Positivo",MAX(K1595/J1595,0),MAX(J1595/K1595,0))),"") </f>
        <v/>
      </c>
      <c r="N1595" s="5" t="inlineStr">
        <is>
          <t>ENT</t>
        </is>
      </c>
      <c r="O1595" s="5" t="inlineStr">
        <is>
          <t>ENT</t>
        </is>
      </c>
      <c r="P1595" s="16" t="n">
        <v>0</v>
      </c>
      <c r="Q1595" s="16" t="n">
        <v>0</v>
      </c>
      <c r="R1595" s="5" t="inlineStr">
        <is>
          <t>320-2024-12-31</t>
        </is>
      </c>
    </row>
    <row r="1596">
      <c r="A1596" s="26" t="n">
        <v>321</v>
      </c>
      <c r="B1596" s="5" t="inlineStr">
        <is>
          <t>Participación estudiantes eventos académicos internacionales virtuales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44" t="n">
        <v>45107</v>
      </c>
      <c r="G1596" s="5" t="n">
        <v>2023</v>
      </c>
      <c r="H1596" s="5" t="inlineStr">
        <is>
          <t>Junio</t>
        </is>
      </c>
      <c r="I1596" s="6" t="inlineStr">
        <is>
          <t>2023-1</t>
        </is>
      </c>
      <c r="J1596" s="5" t="n">
        <v>180</v>
      </c>
      <c r="K1596" s="5" t="n">
        <v>236</v>
      </c>
      <c r="L1596" s="28">
        <f>IFERROR(IF(OR(J1596=0,K1596=""),"",IF(E1596="Positivo",MIN(MAX(K1596/J1596,0),1.3),MIN(MAX(J1596/K1596,0),1.3))),"") </f>
        <v/>
      </c>
      <c r="M1596" s="28">
        <f>IFERROR(IF(OR(J1596=0,K1596=""),"",IF(E1596="Positivo",MAX(K1596/J1596,0),MAX(J1596/K1596,0))),"") </f>
        <v/>
      </c>
      <c r="N1596" s="5" t="inlineStr">
        <is>
          <t>ENT</t>
        </is>
      </c>
      <c r="O1596" s="5" t="inlineStr">
        <is>
          <t>ENT</t>
        </is>
      </c>
      <c r="P1596" s="16" t="n">
        <v>0</v>
      </c>
      <c r="Q1596" s="16" t="n">
        <v>0</v>
      </c>
      <c r="R1596" s="5" t="inlineStr">
        <is>
          <t>321-2023-06-30</t>
        </is>
      </c>
    </row>
    <row r="1597">
      <c r="A1597" s="26" t="n">
        <v>321</v>
      </c>
      <c r="B1597" s="5" t="inlineStr">
        <is>
          <t>Participación estudiantes eventos académicos internacionales virtuales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44" t="n">
        <v>45291</v>
      </c>
      <c r="G1597" s="5" t="n">
        <v>2023</v>
      </c>
      <c r="H1597" s="5" t="inlineStr">
        <is>
          <t>Diciembre</t>
        </is>
      </c>
      <c r="I1597" s="6" t="inlineStr">
        <is>
          <t>2023-2</t>
        </is>
      </c>
      <c r="J1597" s="5" t="n">
        <v>180</v>
      </c>
      <c r="K1597" s="5" t="n">
        <v>231</v>
      </c>
      <c r="L1597" s="28">
        <f>IFERROR(IF(OR(J1597=0,K1597=""),"",IF(E1597="Positivo",MIN(MAX(K1597/J1597,0),1.3),MIN(MAX(J1597/K1597,0),1.3))),"") </f>
        <v/>
      </c>
      <c r="M1597" s="28">
        <f>IFERROR(IF(OR(J1597=0,K1597=""),"",IF(E1597="Positivo",MAX(K1597/J1597,0),MAX(J1597/K1597,0))),"") </f>
        <v/>
      </c>
      <c r="N1597" s="5" t="inlineStr">
        <is>
          <t>ENT</t>
        </is>
      </c>
      <c r="O1597" s="5" t="inlineStr">
        <is>
          <t>ENT</t>
        </is>
      </c>
      <c r="P1597" s="16" t="n">
        <v>0</v>
      </c>
      <c r="Q1597" s="16" t="n">
        <v>0</v>
      </c>
      <c r="R1597" s="5" t="inlineStr">
        <is>
          <t>321-2023-12-31</t>
        </is>
      </c>
    </row>
    <row r="1598">
      <c r="A1598" s="26" t="n">
        <v>321</v>
      </c>
      <c r="B1598" s="5" t="inlineStr">
        <is>
          <t>Participación estudiantes Poli en eventos académicos internacionales virtuales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44" t="n">
        <v>45473</v>
      </c>
      <c r="G1598" s="5" t="n">
        <v>2024</v>
      </c>
      <c r="H1598" s="5" t="inlineStr">
        <is>
          <t>Junio</t>
        </is>
      </c>
      <c r="I1598" s="6" t="inlineStr">
        <is>
          <t>2024-1</t>
        </is>
      </c>
      <c r="J1598" s="5" t="n">
        <v>100</v>
      </c>
      <c r="K1598" s="10" t="n">
        <v>106.52</v>
      </c>
      <c r="L1598" s="28">
        <f>IFERROR(IF(OR(J1598=0,K1598=""),"",IF(E1598="Positivo",MIN(MAX(K1598/J1598,0),1.3),MIN(MAX(J1598/K1598,0),1.3))),"") </f>
        <v/>
      </c>
      <c r="M1598" s="28">
        <f>IFERROR(IF(OR(J1598=0,K1598=""),"",IF(E1598="Positivo",MAX(K1598/J1598,0),MAX(J1598/K1598,0))),"") </f>
        <v/>
      </c>
      <c r="N1598" s="5" t="inlineStr">
        <is>
          <t>ENT</t>
        </is>
      </c>
      <c r="O1598" s="5" t="inlineStr">
        <is>
          <t>ENT</t>
        </is>
      </c>
      <c r="P1598" s="16" t="n">
        <v>0</v>
      </c>
      <c r="Q1598" s="16" t="n">
        <v>0</v>
      </c>
      <c r="R1598" s="5" t="inlineStr">
        <is>
          <t>321-2024-06-30</t>
        </is>
      </c>
    </row>
    <row r="1599">
      <c r="A1599" s="26" t="n">
        <v>321</v>
      </c>
      <c r="B1599" s="5" t="inlineStr">
        <is>
          <t>Participación estudiantes Poli en eventos académicos internacionales virtuales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44" t="n">
        <v>45657</v>
      </c>
      <c r="G1599" s="5" t="n">
        <v>2024</v>
      </c>
      <c r="H1599" s="5" t="inlineStr">
        <is>
          <t>Diciembre</t>
        </is>
      </c>
      <c r="I1599" s="6" t="inlineStr">
        <is>
          <t>2024-2</t>
        </is>
      </c>
      <c r="J1599" s="5" t="n">
        <v>100</v>
      </c>
      <c r="K1599" s="10" t="n">
        <v>502.17</v>
      </c>
      <c r="L1599" s="28">
        <f>IFERROR(IF(OR(J1599=0,K1599=""),"",IF(E1599="Positivo",MIN(MAX(K1599/J1599,0),1.3),MIN(MAX(J1599/K1599,0),1.3))),"") </f>
        <v/>
      </c>
      <c r="M1599" s="28">
        <f>IFERROR(IF(OR(J1599=0,K1599=""),"",IF(E1599="Positivo",MAX(K1599/J1599,0),MAX(J1599/K1599,0))),"") </f>
        <v/>
      </c>
      <c r="N1599" s="5" t="inlineStr">
        <is>
          <t>ENT</t>
        </is>
      </c>
      <c r="O1599" s="5" t="inlineStr">
        <is>
          <t>ENT</t>
        </is>
      </c>
      <c r="P1599" s="16" t="n">
        <v>0</v>
      </c>
      <c r="Q1599" s="16" t="n">
        <v>0</v>
      </c>
      <c r="R1599" s="5" t="inlineStr">
        <is>
          <t>321-2024-12-31</t>
        </is>
      </c>
    </row>
    <row r="1600">
      <c r="A1600" s="26" t="n">
        <v>323</v>
      </c>
      <c r="B1600" s="5" t="inlineStr">
        <is>
          <t>Número de renovaciones de registro calificado</t>
        </is>
      </c>
      <c r="C1600" s="5" t="inlineStr">
        <is>
          <t>Creación, modificación y cierre de programas académicos</t>
        </is>
      </c>
      <c r="D1600" s="5" t="inlineStr">
        <is>
          <t>Semestral</t>
        </is>
      </c>
      <c r="E1600" s="5" t="inlineStr">
        <is>
          <t>Positivo</t>
        </is>
      </c>
      <c r="F1600" s="144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100</v>
      </c>
      <c r="K1600" s="5" t="n">
        <v>100</v>
      </c>
      <c r="L1600" s="28">
        <f>IFERROR(IF(OR(J1600=0,K1600=""),"",IF(E1600="Positivo",MIN(MAX(K1600/J1600,0),1.3),MIN(MAX(J1600/K1600,0),1.3))),"") </f>
        <v/>
      </c>
      <c r="M1600" s="28">
        <f>IFERROR(IF(OR(J1600=0,K1600=""),"",IF(E1600="Positivo",MAX(K1600/J1600,0),MAX(J1600/K1600,0))),"") </f>
        <v/>
      </c>
      <c r="N1600" s="5" t="inlineStr">
        <is>
          <t>ENT</t>
        </is>
      </c>
      <c r="O1600" s="5" t="inlineStr">
        <is>
          <t>ENT</t>
        </is>
      </c>
      <c r="P1600" s="16" t="n">
        <v>0</v>
      </c>
      <c r="Q1600" s="16" t="n">
        <v>0</v>
      </c>
      <c r="R1600" s="5" t="inlineStr">
        <is>
          <t>323-2023-06-30</t>
        </is>
      </c>
    </row>
    <row r="1601">
      <c r="A1601" s="5" t="n">
        <v>323</v>
      </c>
      <c r="B1601" s="5" t="inlineStr">
        <is>
          <t>Número de renovaciones de registro calificado</t>
        </is>
      </c>
      <c r="C1601" s="5" t="inlineStr">
        <is>
          <t>Creación, modificación y cierre de programas académicos</t>
        </is>
      </c>
      <c r="D1601" s="5" t="inlineStr">
        <is>
          <t>Semestral</t>
        </is>
      </c>
      <c r="E1601" s="5" t="inlineStr">
        <is>
          <t>Positivo</t>
        </is>
      </c>
      <c r="F1601" s="144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100</v>
      </c>
      <c r="K1601" s="5" t="n">
        <v>100</v>
      </c>
      <c r="L1601" s="28">
        <f>IFERROR(IF(OR(J1601=0,K1601=""),"",IF(E1601="Positivo",MIN(MAX(K1601/J1601,0),1.3),MIN(MAX(J1601/K1601,0),1.3))),"") </f>
        <v/>
      </c>
      <c r="M1601" s="28">
        <f>IFERROR(IF(OR(J1601=0,K1601=""),"",IF(E1601="Positivo",MAX(K1601/J1601,0),MAX(J1601/K1601,0))),"") </f>
        <v/>
      </c>
      <c r="N1601" s="5" t="inlineStr">
        <is>
          <t>ENT</t>
        </is>
      </c>
      <c r="O1601" s="5" t="inlineStr">
        <is>
          <t>ENT</t>
        </is>
      </c>
      <c r="P1601" s="5" t="n">
        <v>0</v>
      </c>
      <c r="Q1601" s="5" t="n">
        <v>0</v>
      </c>
      <c r="R1601" s="5" t="inlineStr">
        <is>
          <t>323-2023-12-31</t>
        </is>
      </c>
    </row>
    <row r="1602">
      <c r="A1602" s="26" t="n">
        <v>323</v>
      </c>
      <c r="B1602" s="5" t="inlineStr">
        <is>
          <t>Número de renovaciones de registro calificado</t>
        </is>
      </c>
      <c r="C1602" s="5" t="inlineStr">
        <is>
          <t>Creación, modificación y cierre de programas académicos</t>
        </is>
      </c>
      <c r="D1602" s="5" t="inlineStr">
        <is>
          <t>Semestral</t>
        </is>
      </c>
      <c r="E1602" s="5" t="inlineStr">
        <is>
          <t>Positivo</t>
        </is>
      </c>
      <c r="F1602" s="144" t="n">
        <v>45473</v>
      </c>
      <c r="G1602" s="5" t="n">
        <v>2024</v>
      </c>
      <c r="H1602" s="5" t="inlineStr">
        <is>
          <t>Junio</t>
        </is>
      </c>
      <c r="I1602" s="6" t="inlineStr">
        <is>
          <t>2024-1</t>
        </is>
      </c>
      <c r="J1602" s="5" t="n">
        <v>100</v>
      </c>
      <c r="K1602" s="10" t="n">
        <v>100</v>
      </c>
      <c r="L1602" s="28">
        <f>IFERROR(IF(OR(J1602=0,K1602=""),"",IF(E1602="Positivo",MIN(MAX(K1602/J1602,0),1.3),MIN(MAX(J1602/K1602,0),1.3))),"") </f>
        <v/>
      </c>
      <c r="M1602" s="28">
        <f>IFERROR(IF(OR(J1602=0,K1602=""),"",IF(E1602="Positivo",MAX(K1602/J1602,0),MAX(J1602/K1602,0))),"") </f>
        <v/>
      </c>
      <c r="N1602" s="5" t="inlineStr">
        <is>
          <t>ENT</t>
        </is>
      </c>
      <c r="O1602" s="5" t="inlineStr">
        <is>
          <t>ENT</t>
        </is>
      </c>
      <c r="P1602" s="16" t="n">
        <v>0</v>
      </c>
      <c r="Q1602" s="16" t="n">
        <v>0</v>
      </c>
      <c r="R1602" s="5" t="inlineStr">
        <is>
          <t>323-2024-06-30</t>
        </is>
      </c>
    </row>
    <row r="1603">
      <c r="A1603" s="26" t="n">
        <v>323</v>
      </c>
      <c r="B1603" s="5" t="inlineStr">
        <is>
          <t>Número de renovaciones de registro calificado</t>
        </is>
      </c>
      <c r="C1603" s="5" t="inlineStr">
        <is>
          <t>Creación, modificación y cierre de programas académicos</t>
        </is>
      </c>
      <c r="D1603" s="5" t="inlineStr">
        <is>
          <t>Semestral</t>
        </is>
      </c>
      <c r="E1603" s="5" t="inlineStr">
        <is>
          <t>Positivo</t>
        </is>
      </c>
      <c r="F1603" s="144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5" t="n">
        <v>100</v>
      </c>
      <c r="K1603" s="10" t="n">
        <v>0</v>
      </c>
      <c r="L1603" s="28">
        <f>IFERROR(IF(OR(J1603=0,K1603=""),"",IF(E1603="Positivo",MIN(MAX(K1603/J1603,0),1.3),MIN(MAX(J1603/K1603,0),1.3))),"") </f>
        <v/>
      </c>
      <c r="M1603" s="28">
        <f>IFERROR(IF(OR(J1603=0,K1603=""),"",IF(E1603="Positivo",MAX(K1603/J1603,0),MAX(J1603/K1603,0))),"") </f>
        <v/>
      </c>
      <c r="N1603" s="5" t="inlineStr">
        <is>
          <t>ENT</t>
        </is>
      </c>
      <c r="O1603" s="5" t="inlineStr">
        <is>
          <t>ENT</t>
        </is>
      </c>
      <c r="P1603" s="16" t="n">
        <v>0</v>
      </c>
      <c r="Q1603" s="16" t="n">
        <v>0</v>
      </c>
      <c r="R1603" s="5" t="inlineStr">
        <is>
          <t>323-2024-12-31</t>
        </is>
      </c>
    </row>
    <row r="1604">
      <c r="A1604" s="39" t="n">
        <v>323</v>
      </c>
      <c r="B1604" s="5" t="inlineStr">
        <is>
          <t>Número de renovaciones de registro calificado</t>
        </is>
      </c>
      <c r="C1604" s="5" t="inlineStr">
        <is>
          <t>Creación, modificación y cierre de programas académicos</t>
        </is>
      </c>
      <c r="D1604" s="5" t="inlineStr">
        <is>
          <t>Semestral</t>
        </is>
      </c>
      <c r="E1604" s="5" t="inlineStr">
        <is>
          <t>Positivo</t>
        </is>
      </c>
      <c r="F1604" s="144" t="n">
        <v>45838</v>
      </c>
      <c r="G1604" s="5" t="n">
        <v>2025</v>
      </c>
      <c r="H1604" s="5" t="inlineStr">
        <is>
          <t>Junio</t>
        </is>
      </c>
      <c r="I1604" s="6" t="inlineStr">
        <is>
          <t>2025-1</t>
        </is>
      </c>
      <c r="J1604" s="5" t="n">
        <v>100</v>
      </c>
      <c r="K1604" s="123" t="n">
        <v>100</v>
      </c>
      <c r="L1604" s="28">
        <f>IFERROR(IF(OR(J1604=0,K1604=""),"",IF(E1604="Positivo",MIN(MAX(K1604/J1604,0),1.3),MIN(MAX(J1604/K1604,0),1.3))),"") </f>
        <v/>
      </c>
      <c r="M1604" s="28">
        <f>IFERROR(IF(OR(J1604=0,K1604=""),"",IF(E1604="Positivo",MAX(K1604/J1604,0),MAX(J1604/K1604,0))),"") </f>
        <v/>
      </c>
      <c r="N1604" s="5" t="inlineStr">
        <is>
          <t>ENT</t>
        </is>
      </c>
      <c r="O1604" s="5" t="inlineStr">
        <is>
          <t>ENT</t>
        </is>
      </c>
      <c r="P1604" s="16" t="n">
        <v>0</v>
      </c>
      <c r="Q1604" s="16" t="n">
        <v>0</v>
      </c>
      <c r="R1604" s="5" t="inlineStr">
        <is>
          <t>323-2025-06-30</t>
        </is>
      </c>
    </row>
    <row r="1605">
      <c r="A1605" s="26" t="n">
        <v>323</v>
      </c>
      <c r="B1605" s="5" t="inlineStr">
        <is>
          <t>Número de renovaciones de registro calificado</t>
        </is>
      </c>
      <c r="C1605" s="5" t="inlineStr">
        <is>
          <t>Creación, modificación y cierre de programas académicos</t>
        </is>
      </c>
      <c r="D1605" s="5" t="inlineStr">
        <is>
          <t>Trimestral</t>
        </is>
      </c>
      <c r="E1605" s="5" t="inlineStr">
        <is>
          <t>Positivo</t>
        </is>
      </c>
      <c r="F1605" s="144" t="n">
        <v>46022</v>
      </c>
      <c r="G1605" s="5" t="n">
        <v>2025</v>
      </c>
      <c r="H1605" s="5" t="inlineStr">
        <is>
          <t>Diciembre</t>
        </is>
      </c>
      <c r="I1605" s="6" t="inlineStr">
        <is>
          <t>2025-2</t>
        </is>
      </c>
      <c r="J1605" s="5" t="n">
        <v>100</v>
      </c>
      <c r="K1605" s="10" t="n">
        <v>100</v>
      </c>
      <c r="L1605" s="28">
        <f>IFERROR(IF(OR(J1605=0,K1605=""),"",IF(E1605="Positivo",MIN(MAX(K1605/J1605,0),1.3),MIN(MAX(J1605/K1605,0),1.3))),"") </f>
        <v/>
      </c>
      <c r="M1605" s="28">
        <f>IFERROR(IF(OR(J1605=0,K1605=""),"",IF(E1605="Positivo",MAX(K1605/J1605,0),MAX(J1605/K1605,0))),"") </f>
        <v/>
      </c>
      <c r="N1605" s="5" t="inlineStr">
        <is>
          <t>ENT</t>
        </is>
      </c>
      <c r="O1605" s="5" t="inlineStr">
        <is>
          <t>ENT</t>
        </is>
      </c>
      <c r="P1605" s="16" t="n">
        <v>0</v>
      </c>
      <c r="Q1605" s="16" t="n">
        <v>0</v>
      </c>
      <c r="R1605" s="5" t="inlineStr">
        <is>
          <t>323-2025-12-31</t>
        </is>
      </c>
    </row>
    <row r="1606">
      <c r="A1606" s="43" t="n">
        <v>324</v>
      </c>
      <c r="B1606" s="5" t="inlineStr">
        <is>
          <t>Número de programas nuevos radicados en el Ministerio de Educación</t>
        </is>
      </c>
      <c r="C1606" s="5" t="inlineStr">
        <is>
          <t>Creación, modificación y cierre de programas académicos</t>
        </is>
      </c>
      <c r="D1606" s="5" t="inlineStr">
        <is>
          <t>Semestral</t>
        </is>
      </c>
      <c r="E1606" s="5" t="inlineStr">
        <is>
          <t>Positivo</t>
        </is>
      </c>
      <c r="F1606" s="144" t="n">
        <v>45107</v>
      </c>
      <c r="G1606" s="5" t="n">
        <v>2023</v>
      </c>
      <c r="H1606" s="5" t="inlineStr">
        <is>
          <t>Junio</t>
        </is>
      </c>
      <c r="I1606" s="6" t="inlineStr">
        <is>
          <t>2023-1</t>
        </is>
      </c>
      <c r="J1606" s="5" t="n">
        <v>100</v>
      </c>
      <c r="K1606" s="123" t="n">
        <v>0</v>
      </c>
      <c r="L1606" s="28">
        <f>IFERROR(IF(OR(J1606=0,K1606=""),"",IF(E1606="Positivo",MIN(MAX(K1606/J1606,0),1.3),MIN(MAX(J1606/K1606,0),1.3))),"") </f>
        <v/>
      </c>
      <c r="M1606" s="28">
        <f>IFERROR(IF(OR(J1606=0,K1606=""),"",IF(E1606="Positivo",MAX(K1606/J1606,0),MAX(J1606/K1606,0))),"") </f>
        <v/>
      </c>
      <c r="N1606" s="5" t="inlineStr">
        <is>
          <t>ENT</t>
        </is>
      </c>
      <c r="O1606" s="5" t="inlineStr">
        <is>
          <t>ENT</t>
        </is>
      </c>
      <c r="P1606" s="16" t="n">
        <v>0</v>
      </c>
      <c r="Q1606" s="16" t="n">
        <v>0</v>
      </c>
      <c r="R1606" s="5" t="inlineStr">
        <is>
          <t>324-2023-06-30</t>
        </is>
      </c>
    </row>
    <row r="1607">
      <c r="A1607" s="26" t="n">
        <v>324</v>
      </c>
      <c r="B1607" s="5" t="inlineStr">
        <is>
          <t>Número de programas nuevos radicados en el Ministerio de Educación</t>
        </is>
      </c>
      <c r="C1607" s="5" t="inlineStr">
        <is>
          <t>Creación, modificación y cierre de programas académicos</t>
        </is>
      </c>
      <c r="D1607" s="5" t="inlineStr">
        <is>
          <t>Semestral</t>
        </is>
      </c>
      <c r="E1607" s="5" t="inlineStr">
        <is>
          <t>Positivo</t>
        </is>
      </c>
      <c r="F1607" s="144" t="n">
        <v>45291</v>
      </c>
      <c r="G1607" s="5" t="n">
        <v>2023</v>
      </c>
      <c r="H1607" s="5" t="inlineStr">
        <is>
          <t>Diciembre</t>
        </is>
      </c>
      <c r="I1607" s="6" t="inlineStr">
        <is>
          <t>2023-2</t>
        </is>
      </c>
      <c r="J1607" s="5" t="n">
        <v>100</v>
      </c>
      <c r="K1607" s="86" t="n">
        <v>100</v>
      </c>
      <c r="L1607" s="28">
        <f>IFERROR(IF(OR(J1607=0,K1607=""),"",IF(E1607="Positivo",MIN(MAX(K1607/J1607,0),1.3),MIN(MAX(J1607/K1607,0),1.3))),"") </f>
        <v/>
      </c>
      <c r="M1607" s="28">
        <f>IFERROR(IF(OR(J1607=0,K1607=""),"",IF(E1607="Positivo",MAX(K1607/J1607,0),MAX(J1607/K1607,0))),"") </f>
        <v/>
      </c>
      <c r="N1607" s="5" t="inlineStr">
        <is>
          <t>ENT</t>
        </is>
      </c>
      <c r="O1607" s="5" t="inlineStr">
        <is>
          <t>ENT</t>
        </is>
      </c>
      <c r="P1607" s="16" t="n">
        <v>0</v>
      </c>
      <c r="Q1607" s="16" t="n">
        <v>0</v>
      </c>
      <c r="R1607" s="5" t="inlineStr">
        <is>
          <t>324-2023-12-31</t>
        </is>
      </c>
    </row>
    <row r="1608">
      <c r="A1608" s="26" t="n">
        <v>324</v>
      </c>
      <c r="B1608" s="5" t="inlineStr">
        <is>
          <t>Número de programas nuevos radicados en el Ministerio de Educación</t>
        </is>
      </c>
      <c r="C1608" s="5" t="inlineStr">
        <is>
          <t>Creación, modificación y cierre de programas académicos</t>
        </is>
      </c>
      <c r="D1608" s="5" t="inlineStr">
        <is>
          <t>Semestral</t>
        </is>
      </c>
      <c r="E1608" s="5" t="inlineStr">
        <is>
          <t>Positivo</t>
        </is>
      </c>
      <c r="F1608" s="144" t="n">
        <v>45473</v>
      </c>
      <c r="G1608" s="5" t="n">
        <v>2024</v>
      </c>
      <c r="H1608" s="5" t="inlineStr">
        <is>
          <t>Junio</t>
        </is>
      </c>
      <c r="I1608" s="6" t="inlineStr">
        <is>
          <t>2024-1</t>
        </is>
      </c>
      <c r="J1608" s="5" t="n">
        <v>100</v>
      </c>
      <c r="K1608" s="10" t="n">
        <v>0</v>
      </c>
      <c r="L1608" s="28">
        <f>IFERROR(IF(OR(J1608=0,K1608=""),"",IF(E1608="Positivo",MIN(MAX(K1608/J1608,0),1.3),MIN(MAX(J1608/K1608,0),1.3))),"") </f>
        <v/>
      </c>
      <c r="M1608" s="28">
        <f>IFERROR(IF(OR(J1608=0,K1608=""),"",IF(E1608="Positivo",MAX(K1608/J1608,0),MAX(J1608/K1608,0))),"") </f>
        <v/>
      </c>
      <c r="N1608" s="5" t="inlineStr">
        <is>
          <t>ENT</t>
        </is>
      </c>
      <c r="O1608" s="5" t="inlineStr">
        <is>
          <t>ENT</t>
        </is>
      </c>
      <c r="P1608" s="16" t="n">
        <v>0</v>
      </c>
      <c r="Q1608" s="16" t="n">
        <v>0</v>
      </c>
      <c r="R1608" s="5" t="inlineStr">
        <is>
          <t>324-2024-06-30</t>
        </is>
      </c>
    </row>
    <row r="1609">
      <c r="A1609" s="26" t="n">
        <v>324</v>
      </c>
      <c r="B1609" s="5" t="inlineStr">
        <is>
          <t>Número de programas nuevos radicados en el Ministerio de Educación</t>
        </is>
      </c>
      <c r="C1609" s="5" t="inlineStr">
        <is>
          <t>Creación, modificación y cierre de programas académicos</t>
        </is>
      </c>
      <c r="D1609" s="5" t="inlineStr">
        <is>
          <t>Semestral</t>
        </is>
      </c>
      <c r="E1609" s="5" t="inlineStr">
        <is>
          <t>Positivo</t>
        </is>
      </c>
      <c r="F1609" s="144" t="n">
        <v>45657</v>
      </c>
      <c r="G1609" s="5" t="n">
        <v>2024</v>
      </c>
      <c r="H1609" s="5" t="inlineStr">
        <is>
          <t>Diciembre</t>
        </is>
      </c>
      <c r="I1609" s="6" t="inlineStr">
        <is>
          <t>2024-2</t>
        </is>
      </c>
      <c r="J1609" s="5" t="n">
        <v>100</v>
      </c>
      <c r="K1609" s="10" t="n">
        <v>100</v>
      </c>
      <c r="L1609" s="28">
        <f>IFERROR(IF(OR(J1609=0,K1609=""),"",IF(E1609="Positivo",MIN(MAX(K1609/J1609,0),1.3),MIN(MAX(J1609/K1609,0),1.3))),"") </f>
        <v/>
      </c>
      <c r="M1609" s="28">
        <f>IFERROR(IF(OR(J1609=0,K1609=""),"",IF(E1609="Positivo",MAX(K1609/J1609,0),MAX(J1609/K1609,0))),"") </f>
        <v/>
      </c>
      <c r="N1609" s="5" t="inlineStr">
        <is>
          <t>ENT</t>
        </is>
      </c>
      <c r="O1609" s="5" t="inlineStr">
        <is>
          <t>ENT</t>
        </is>
      </c>
      <c r="P1609" s="16" t="n">
        <v>0</v>
      </c>
      <c r="Q1609" s="16" t="n">
        <v>0</v>
      </c>
      <c r="R1609" s="5" t="inlineStr">
        <is>
          <t>324-2024-12-31</t>
        </is>
      </c>
    </row>
    <row r="1610">
      <c r="A1610" s="26" t="n">
        <v>324</v>
      </c>
      <c r="B1610" s="5" t="inlineStr">
        <is>
          <t>Número de programas nuevos radicados en el Ministerio de Educación</t>
        </is>
      </c>
      <c r="C1610" s="5" t="inlineStr">
        <is>
          <t>Creación, modificación y cierre de programas académicos</t>
        </is>
      </c>
      <c r="D1610" s="5" t="inlineStr">
        <is>
          <t>Semestral</t>
        </is>
      </c>
      <c r="E1610" s="5" t="inlineStr">
        <is>
          <t>Positivo</t>
        </is>
      </c>
      <c r="F1610" s="144" t="n">
        <v>45838</v>
      </c>
      <c r="G1610" s="5" t="n">
        <v>2025</v>
      </c>
      <c r="H1610" s="5" t="inlineStr">
        <is>
          <t>Junio</t>
        </is>
      </c>
      <c r="I1610" s="6" t="inlineStr">
        <is>
          <t>2025-1</t>
        </is>
      </c>
      <c r="J1610" s="5" t="n">
        <v>100</v>
      </c>
      <c r="K1610" s="10" t="n">
        <v>100</v>
      </c>
      <c r="L1610" s="28">
        <f>IFERROR(IF(OR(J1610=0,K1610=""),"",IF(E1610="Positivo",MIN(MAX(K1610/J1610,0),1.3),MIN(MAX(J1610/K1610,0),1.3))),"") </f>
        <v/>
      </c>
      <c r="M1610" s="28">
        <f>IFERROR(IF(OR(J1610=0,K1610=""),"",IF(E1610="Positivo",MAX(K1610/J1610,0),MAX(J1610/K1610,0))),"") </f>
        <v/>
      </c>
      <c r="N1610" s="5" t="inlineStr">
        <is>
          <t>ENT</t>
        </is>
      </c>
      <c r="O1610" s="5" t="inlineStr">
        <is>
          <t>ENT</t>
        </is>
      </c>
      <c r="P1610" s="16" t="n">
        <v>0</v>
      </c>
      <c r="Q1610" s="16" t="n">
        <v>0</v>
      </c>
      <c r="R1610" s="5" t="inlineStr">
        <is>
          <t>324-2025-06-30</t>
        </is>
      </c>
    </row>
    <row r="1611">
      <c r="A1611" s="26" t="n">
        <v>324</v>
      </c>
      <c r="B1611" s="5" t="inlineStr">
        <is>
          <t>Número de programas nuevos radicados en el Ministerio de Educación</t>
        </is>
      </c>
      <c r="C1611" s="5" t="inlineStr">
        <is>
          <t>Creación, modificación y cierre de programas académicos</t>
        </is>
      </c>
      <c r="D1611" s="5" t="inlineStr">
        <is>
          <t>Trimestral</t>
        </is>
      </c>
      <c r="E1611" s="5" t="inlineStr">
        <is>
          <t>Positivo</t>
        </is>
      </c>
      <c r="F1611" s="144" t="n">
        <v>46022</v>
      </c>
      <c r="G1611" s="5" t="n">
        <v>2025</v>
      </c>
      <c r="H1611" s="5" t="inlineStr">
        <is>
          <t>Diciembre</t>
        </is>
      </c>
      <c r="I1611" s="6" t="inlineStr">
        <is>
          <t>2025-2</t>
        </is>
      </c>
      <c r="J1611" s="5" t="n">
        <v>100</v>
      </c>
      <c r="K1611" s="10" t="n">
        <v>200</v>
      </c>
      <c r="L1611" s="28">
        <f>IFERROR(IF(OR(J1611=0,K1611=""),"",IF(E1611="Positivo",MIN(MAX(K1611/J1611,0),1.3),MIN(MAX(J1611/K1611,0),1.3))),"") </f>
        <v/>
      </c>
      <c r="M1611" s="28">
        <f>IFERROR(IF(OR(J1611=0,K1611=""),"",IF(E1611="Positivo",MAX(K1611/J1611,0),MAX(J1611/K1611,0))),"") </f>
        <v/>
      </c>
      <c r="N1611" s="5" t="inlineStr">
        <is>
          <t>ENT</t>
        </is>
      </c>
      <c r="O1611" s="5" t="inlineStr">
        <is>
          <t>ENT</t>
        </is>
      </c>
      <c r="P1611" s="16" t="n">
        <v>0</v>
      </c>
      <c r="Q1611" s="16" t="n">
        <v>0</v>
      </c>
      <c r="R1611" s="5" t="inlineStr">
        <is>
          <t>324-2025-12-31</t>
        </is>
      </c>
    </row>
    <row r="1612">
      <c r="A1612" s="5" t="n">
        <v>325</v>
      </c>
      <c r="B1612" s="5" t="inlineStr">
        <is>
          <t>Número de programas nuevos con registro calificado aprobado</t>
        </is>
      </c>
      <c r="C1612" s="5" t="inlineStr">
        <is>
          <t>Creación, modificación y cierre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144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100</v>
      </c>
      <c r="K1612" s="5" t="n">
        <v>100</v>
      </c>
      <c r="L1612" s="28">
        <f>IFERROR(IF(OR(J1612=0,K1612=""),"",IF(E1612="Positivo",MIN(MAX(K1612/J1612,0),1.3),MIN(MAX(J1612/K1612,0),1.3))),"") </f>
        <v/>
      </c>
      <c r="M1612" s="28">
        <f>IFERROR(IF(OR(J1612=0,K1612=""),"",IF(E1612="Positivo",MAX(K1612/J1612,0),MAX(J1612/K1612,0))),"") </f>
        <v/>
      </c>
      <c r="N1612" s="5" t="inlineStr">
        <is>
          <t>ENT</t>
        </is>
      </c>
      <c r="O1612" s="5" t="inlineStr">
        <is>
          <t>ENT</t>
        </is>
      </c>
      <c r="P1612" s="5" t="n">
        <v>0</v>
      </c>
      <c r="Q1612" s="5" t="n">
        <v>0</v>
      </c>
      <c r="R1612" s="5" t="inlineStr">
        <is>
          <t>325-2023-06-30</t>
        </is>
      </c>
    </row>
    <row r="1613">
      <c r="A1613" s="26" t="n">
        <v>325</v>
      </c>
      <c r="B1613" s="5" t="inlineStr">
        <is>
          <t>Número de programas nuevos con registro calificado aprobado</t>
        </is>
      </c>
      <c r="C1613" s="5" t="inlineStr">
        <is>
          <t>Creación, modificación y cierre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44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100</v>
      </c>
      <c r="K1613" s="133" t="n">
        <v>0</v>
      </c>
      <c r="L1613" s="28">
        <f>IFERROR(IF(OR(J1613=0,K1613=""),"",IF(E1613="Positivo",MIN(MAX(K1613/J1613,0),1.3),MIN(MAX(J1613/K1613,0),1.3))),"") </f>
        <v/>
      </c>
      <c r="M1613" s="28">
        <f>IFERROR(IF(OR(J1613=0,K1613=""),"",IF(E1613="Positivo",MAX(K1613/J1613,0),MAX(J1613/K1613,0))),"") </f>
        <v/>
      </c>
      <c r="N1613" s="5" t="n"/>
      <c r="O1613" s="5" t="n"/>
      <c r="P1613" s="16" t="n">
        <v>0</v>
      </c>
      <c r="Q1613" s="16" t="n">
        <v>0</v>
      </c>
      <c r="R1613" s="5" t="inlineStr">
        <is>
          <t>325-2023-12-31</t>
        </is>
      </c>
    </row>
    <row r="1614">
      <c r="A1614" s="26" t="n">
        <v>325</v>
      </c>
      <c r="B1614" s="5" t="inlineStr">
        <is>
          <t>Número de programas nuevos con registro calificado aprobado</t>
        </is>
      </c>
      <c r="C1614" s="5" t="inlineStr">
        <is>
          <t>Creación, modificación y cierre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144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10" t="n">
        <v>100</v>
      </c>
      <c r="L1614" s="28">
        <f>IFERROR(IF(OR(J1614=0,K1614=""),"",IF(E1614="Positivo",MIN(MAX(K1614/J1614,0),1.3),MIN(MAX(J1614/K1614,0),1.3))),"") </f>
        <v/>
      </c>
      <c r="M1614" s="28">
        <f>IFERROR(IF(OR(J1614=0,K1614=""),"",IF(E1614="Positivo",MAX(K1614/J1614,0),MAX(J1614/K1614,0))),"") </f>
        <v/>
      </c>
      <c r="N1614" s="5" t="inlineStr">
        <is>
          <t>ENT</t>
        </is>
      </c>
      <c r="O1614" s="5" t="inlineStr">
        <is>
          <t>ENT</t>
        </is>
      </c>
      <c r="P1614" s="16" t="n">
        <v>0</v>
      </c>
      <c r="Q1614" s="16" t="n">
        <v>0</v>
      </c>
      <c r="R1614" s="5" t="inlineStr">
        <is>
          <t>325-2024-06-30</t>
        </is>
      </c>
    </row>
    <row r="1615">
      <c r="A1615" s="5" t="n">
        <v>325</v>
      </c>
      <c r="B1615" s="5" t="inlineStr">
        <is>
          <t>Número de programas nuevos con registro calificado aprobado</t>
        </is>
      </c>
      <c r="C1615" s="5" t="inlineStr">
        <is>
          <t>Creación, modificación y cierre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44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5" t="n">
        <v>100</v>
      </c>
      <c r="L1615" s="28">
        <f>IFERROR(IF(OR(J1615=0,K1615=""),"",IF(E1615="Positivo",MIN(MAX(K1615/J1615,0),1.3),MIN(MAX(J1615/K1615,0),1.3))),"") </f>
        <v/>
      </c>
      <c r="M1615" s="28">
        <f>IFERROR(IF(OR(J1615=0,K1615=""),"",IF(E1615="Positivo",MAX(K1615/J1615,0),MAX(J1615/K1615,0))),"") </f>
        <v/>
      </c>
      <c r="N1615" s="5" t="inlineStr">
        <is>
          <t>ENT</t>
        </is>
      </c>
      <c r="O1615" s="5" t="inlineStr">
        <is>
          <t>ENT</t>
        </is>
      </c>
      <c r="P1615" s="5" t="n">
        <v>0</v>
      </c>
      <c r="Q1615" s="5" t="n">
        <v>0</v>
      </c>
      <c r="R1615" s="5" t="inlineStr">
        <is>
          <t>325-2024-12-31</t>
        </is>
      </c>
    </row>
    <row r="1616">
      <c r="A1616" s="26" t="n">
        <v>325</v>
      </c>
      <c r="B1616" s="5" t="inlineStr">
        <is>
          <t>Número de programas nuevos con registro calificado aprobado</t>
        </is>
      </c>
      <c r="C1616" s="5" t="inlineStr">
        <is>
          <t>Creación, modificación y cierre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144" t="n">
        <v>45838</v>
      </c>
      <c r="G1616" s="5" t="n">
        <v>2025</v>
      </c>
      <c r="H1616" s="5" t="inlineStr">
        <is>
          <t>Junio</t>
        </is>
      </c>
      <c r="I1616" s="6" t="inlineStr">
        <is>
          <t>2025-1</t>
        </is>
      </c>
      <c r="J1616" s="5" t="n">
        <v>8</v>
      </c>
      <c r="K1616" s="10" t="n">
        <v>100</v>
      </c>
      <c r="L1616" s="28">
        <f>IFERROR(IF(OR(J1616=0,K1616=""),"",IF(E1616="Positivo",MIN(MAX(K1616/J1616,0),1.3),MIN(MAX(J1616/K1616,0),1.3))),"") </f>
        <v/>
      </c>
      <c r="M1616" s="28">
        <f>IFERROR(IF(OR(J1616=0,K1616=""),"",IF(E1616="Positivo",MAX(K1616/J1616,0),MAX(J1616/K1616,0))),"") </f>
        <v/>
      </c>
      <c r="N1616" s="5" t="inlineStr">
        <is>
          <t>ENT</t>
        </is>
      </c>
      <c r="O1616" s="5" t="inlineStr">
        <is>
          <t>ENT</t>
        </is>
      </c>
      <c r="P1616" s="16" t="n">
        <v>0</v>
      </c>
      <c r="Q1616" s="16" t="n">
        <v>0</v>
      </c>
      <c r="R1616" s="5" t="inlineStr">
        <is>
          <t>325-2025-06-30</t>
        </is>
      </c>
    </row>
    <row r="1617">
      <c r="A1617" s="5" t="n">
        <v>325</v>
      </c>
      <c r="B1617" s="5" t="inlineStr">
        <is>
          <t>Número de programas nuevos con registro calificado aprobado - Metrica</t>
        </is>
      </c>
      <c r="C1617" s="5" t="inlineStr">
        <is>
          <t>Creación, modificación y cierre de programas académicos</t>
        </is>
      </c>
      <c r="D1617" s="5" t="inlineStr">
        <is>
          <t>Trimestral</t>
        </is>
      </c>
      <c r="E1617" s="5" t="inlineStr">
        <is>
          <t>Positivo</t>
        </is>
      </c>
      <c r="F1617" s="144" t="n">
        <v>46022</v>
      </c>
      <c r="G1617" s="5" t="n">
        <v>2025</v>
      </c>
      <c r="H1617" s="5" t="inlineStr">
        <is>
          <t>Diciembre</t>
        </is>
      </c>
      <c r="I1617" s="6" t="inlineStr">
        <is>
          <t>2025-2</t>
        </is>
      </c>
      <c r="J1617" s="5" t="n">
        <v>4</v>
      </c>
      <c r="K1617" s="5" t="n">
        <v>100</v>
      </c>
      <c r="L1617" s="28" t="n"/>
      <c r="M1617" s="28" t="n"/>
      <c r="N1617" s="5" t="inlineStr">
        <is>
          <t>ENT</t>
        </is>
      </c>
      <c r="O1617" s="5" t="inlineStr">
        <is>
          <t>ENT</t>
        </is>
      </c>
      <c r="P1617" s="5" t="n">
        <v>0</v>
      </c>
      <c r="Q1617" s="5" t="n">
        <v>0</v>
      </c>
      <c r="R1617" s="5" t="inlineStr">
        <is>
          <t>325-2025-12-31</t>
        </is>
      </c>
      <c r="S1617" t="inlineStr">
        <is>
          <t>Metrica</t>
        </is>
      </c>
    </row>
    <row r="1618">
      <c r="A1618" s="26" t="n">
        <v>326</v>
      </c>
      <c r="B1618" s="5" t="inlineStr">
        <is>
          <t>Número de informes de autoevaluación con fines de acreditación en alta calidad radicados</t>
        </is>
      </c>
      <c r="C1618" s="5" t="inlineStr">
        <is>
          <t>Autoevaluación de programas académicos</t>
        </is>
      </c>
      <c r="D1618" s="5" t="inlineStr">
        <is>
          <t>Anual</t>
        </is>
      </c>
      <c r="E1618" s="5" t="inlineStr">
        <is>
          <t>Positivo</t>
        </is>
      </c>
      <c r="F1618" s="144" t="n">
        <v>45291</v>
      </c>
      <c r="G1618" s="5" t="n">
        <v>2023</v>
      </c>
      <c r="H1618" s="5" t="inlineStr">
        <is>
          <t>Diciembre</t>
        </is>
      </c>
      <c r="I1618" s="6" t="inlineStr">
        <is>
          <t>2023-2</t>
        </is>
      </c>
      <c r="J1618" s="5" t="n">
        <v>100</v>
      </c>
      <c r="K1618" s="10" t="n">
        <v>100</v>
      </c>
      <c r="L1618" s="28">
        <f>IFERROR(IF(OR(J1618=0,K1618=""),"",IF(E1618="Positivo",MIN(MAX(K1618/J1618,0),1.3),MIN(MAX(J1618/K1618,0),1.3))),"") </f>
        <v/>
      </c>
      <c r="M1618" s="28">
        <f>IFERROR(IF(OR(J1618=0,K1618=""),"",IF(E1618="Positivo",MAX(K1618/J1618,0),MAX(J1618/K1618,0))),"") </f>
        <v/>
      </c>
      <c r="N1618" s="5" t="inlineStr">
        <is>
          <t>DEC</t>
        </is>
      </c>
      <c r="O1618" s="5" t="inlineStr">
        <is>
          <t>DEC</t>
        </is>
      </c>
      <c r="P1618" s="16" t="n">
        <v>0</v>
      </c>
      <c r="Q1618" s="16" t="n">
        <v>0</v>
      </c>
      <c r="R1618" s="5" t="inlineStr">
        <is>
          <t>326-2023-12-31</t>
        </is>
      </c>
    </row>
    <row r="1619">
      <c r="A1619" s="26" t="n">
        <v>326</v>
      </c>
      <c r="B1619" s="5" t="inlineStr">
        <is>
          <t>Número de informes de autoevaluación con fines de acreditación en alta calidad radicados- Metrica</t>
        </is>
      </c>
      <c r="C1619" s="5" t="inlineStr">
        <is>
          <t>Autoevaluación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44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0</v>
      </c>
      <c r="K1619" s="10" t="n">
        <v>0</v>
      </c>
      <c r="L1619" s="28" t="n"/>
      <c r="M1619" s="28" t="n"/>
      <c r="N1619" s="5" t="inlineStr">
        <is>
          <t>ENT</t>
        </is>
      </c>
      <c r="O1619" s="5" t="inlineStr">
        <is>
          <t>ENT</t>
        </is>
      </c>
      <c r="P1619" s="16" t="n">
        <v>0</v>
      </c>
      <c r="Q1619" s="16" t="n">
        <v>0</v>
      </c>
      <c r="R1619" s="5" t="inlineStr">
        <is>
          <t>326-2024-12-31</t>
        </is>
      </c>
      <c r="S1619" t="inlineStr">
        <is>
          <t>Metrica</t>
        </is>
      </c>
    </row>
    <row r="1620">
      <c r="A1620" s="26" t="n">
        <v>326</v>
      </c>
      <c r="B1620" s="5" t="inlineStr">
        <is>
          <t>Número de informes de autoevaluación con fines de acreditación en alta calidad radicados- Metrica</t>
        </is>
      </c>
      <c r="C1620" s="5" t="inlineStr">
        <is>
          <t>Autoevaluación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144" t="n">
        <v>46022</v>
      </c>
      <c r="G1620" s="5" t="n">
        <v>2025</v>
      </c>
      <c r="H1620" s="5" t="inlineStr">
        <is>
          <t>Diciembre</t>
        </is>
      </c>
      <c r="I1620" s="6" t="inlineStr">
        <is>
          <t>2025-2</t>
        </is>
      </c>
      <c r="J1620" s="5" t="n">
        <v>3</v>
      </c>
      <c r="K1620" s="10" t="n">
        <v>100</v>
      </c>
      <c r="L1620" s="28" t="n"/>
      <c r="M1620" s="28" t="n"/>
      <c r="N1620" s="5" t="inlineStr">
        <is>
          <t>ENT</t>
        </is>
      </c>
      <c r="O1620" s="5" t="inlineStr">
        <is>
          <t>ENT</t>
        </is>
      </c>
      <c r="P1620" s="16" t="n">
        <v>0</v>
      </c>
      <c r="Q1620" s="16" t="n">
        <v>0</v>
      </c>
      <c r="R1620" s="5" t="inlineStr">
        <is>
          <t>326-2025-12-31</t>
        </is>
      </c>
      <c r="S1620" t="inlineStr">
        <is>
          <t>Metrica</t>
        </is>
      </c>
    </row>
    <row r="1621">
      <c r="A1621" s="26" t="n">
        <v>327</v>
      </c>
      <c r="B1621" s="5" t="inlineStr">
        <is>
          <t>Número de programas con obtención de acreditación por primera vez</t>
        </is>
      </c>
      <c r="C1621" s="5" t="inlineStr">
        <is>
          <t>Autoevaluación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44" t="n">
        <v>45107</v>
      </c>
      <c r="G1621" s="5" t="n">
        <v>2023</v>
      </c>
      <c r="H1621" s="5" t="inlineStr">
        <is>
          <t>Junio</t>
        </is>
      </c>
      <c r="I1621" s="6" t="inlineStr">
        <is>
          <t>2023-1</t>
        </is>
      </c>
      <c r="J1621" s="5" t="n">
        <v>100</v>
      </c>
      <c r="K1621" s="10" t="n">
        <v>0</v>
      </c>
      <c r="L1621" s="28">
        <f>IFERROR(IF(OR(J1621=0,K1621=""),"",IF(E1621="Positivo",MIN(MAX(K1621/J1621,0),1.3),MIN(MAX(J1621/K1621,0),1.3))),"") </f>
        <v/>
      </c>
      <c r="M1621" s="28">
        <f>IFERROR(IF(OR(J1621=0,K1621=""),"",IF(E1621="Positivo",MAX(K1621/J1621,0),MAX(J1621/K1621,0))),"") </f>
        <v/>
      </c>
      <c r="N1621" s="5" t="n"/>
      <c r="O1621" s="5" t="n"/>
      <c r="P1621" s="16" t="n">
        <v>0</v>
      </c>
      <c r="Q1621" s="16" t="n">
        <v>0</v>
      </c>
      <c r="R1621" s="5" t="inlineStr">
        <is>
          <t>327-2023-06-30</t>
        </is>
      </c>
    </row>
    <row r="1622">
      <c r="A1622" s="26" t="n">
        <v>327</v>
      </c>
      <c r="B1622" s="5" t="inlineStr">
        <is>
          <t>Número de programas con obtención de acreditación por primera vez</t>
        </is>
      </c>
      <c r="C1622" s="5" t="inlineStr">
        <is>
          <t>Autoevaluación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44" t="n">
        <v>45291</v>
      </c>
      <c r="G1622" s="5" t="n">
        <v>2023</v>
      </c>
      <c r="H1622" s="5" t="inlineStr">
        <is>
          <t>Diciembre</t>
        </is>
      </c>
      <c r="I1622" s="6" t="inlineStr">
        <is>
          <t>2023-2</t>
        </is>
      </c>
      <c r="J1622" s="5" t="n">
        <v>100</v>
      </c>
      <c r="K1622" s="10" t="n">
        <v>100</v>
      </c>
      <c r="L1622" s="28">
        <f>IFERROR(IF(OR(J1622=0,K1622=""),"",IF(E1622="Positivo",MIN(MAX(K1622/J1622,0),1.3),MIN(MAX(J1622/K1622,0),1.3))),"") </f>
        <v/>
      </c>
      <c r="M1622" s="28">
        <f>IFERROR(IF(OR(J1622=0,K1622=""),"",IF(E1622="Positivo",MAX(K1622/J1622,0),MAX(J1622/K1622,0))),"") </f>
        <v/>
      </c>
      <c r="N1622" s="5" t="n"/>
      <c r="O1622" s="5" t="n"/>
      <c r="P1622" s="16" t="n">
        <v>0</v>
      </c>
      <c r="Q1622" s="16" t="n">
        <v>0</v>
      </c>
      <c r="R1622" s="5" t="inlineStr">
        <is>
          <t>327-2023-12-31</t>
        </is>
      </c>
    </row>
    <row r="1623">
      <c r="A1623" s="26" t="n">
        <v>327</v>
      </c>
      <c r="B1623" s="5" t="inlineStr">
        <is>
          <t>Número de programas con obtención de acreditación por primera vez</t>
        </is>
      </c>
      <c r="C1623" s="5" t="inlineStr">
        <is>
          <t>Autoevaluación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44" t="n">
        <v>45473</v>
      </c>
      <c r="G1623" s="5" t="n">
        <v>2024</v>
      </c>
      <c r="H1623" s="5" t="inlineStr">
        <is>
          <t>Junio</t>
        </is>
      </c>
      <c r="I1623" s="6" t="inlineStr">
        <is>
          <t>2024-1</t>
        </is>
      </c>
      <c r="J1623" s="5" t="n">
        <v>100</v>
      </c>
      <c r="K1623" s="10" t="n">
        <v>0</v>
      </c>
      <c r="L1623" s="28">
        <f>IFERROR(IF(OR(J1623=0,K1623=""),"",IF(E1623="Positivo",MIN(MAX(K1623/J1623,0),1.3),MIN(MAX(J1623/K1623,0),1.3))),"") </f>
        <v/>
      </c>
      <c r="M1623" s="28">
        <f>IFERROR(IF(OR(J1623=0,K1623=""),"",IF(E1623="Positivo",MAX(K1623/J1623,0),MAX(J1623/K1623,0))),"") </f>
        <v/>
      </c>
      <c r="N1623" s="5" t="n"/>
      <c r="O1623" s="5" t="n"/>
      <c r="P1623" s="16" t="n">
        <v>0</v>
      </c>
      <c r="Q1623" s="16" t="n">
        <v>0</v>
      </c>
      <c r="R1623" s="5" t="inlineStr">
        <is>
          <t>327-2024-06-30</t>
        </is>
      </c>
    </row>
    <row r="1624">
      <c r="A1624" s="26" t="n">
        <v>327</v>
      </c>
      <c r="B1624" s="5" t="inlineStr">
        <is>
          <t>Número de programas con obtención de acreditación por primera vez</t>
        </is>
      </c>
      <c r="C1624" s="5" t="inlineStr">
        <is>
          <t>Autoevaluación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44" t="n">
        <v>45657</v>
      </c>
      <c r="G1624" s="5" t="n">
        <v>2024</v>
      </c>
      <c r="H1624" s="5" t="inlineStr">
        <is>
          <t>Diciembre</t>
        </is>
      </c>
      <c r="I1624" s="6" t="inlineStr">
        <is>
          <t>2024-2</t>
        </is>
      </c>
      <c r="J1624" s="5" t="n">
        <v>100</v>
      </c>
      <c r="K1624" s="10" t="n">
        <v>0</v>
      </c>
      <c r="L1624" s="28">
        <f>IFERROR(IF(OR(J1624=0,K1624=""),"",IF(E1624="Positivo",MIN(MAX(K1624/J1624,0),1.3),MIN(MAX(J1624/K1624,0),1.3))),"") </f>
        <v/>
      </c>
      <c r="M1624" s="28">
        <f>IFERROR(IF(OR(J1624=0,K1624=""),"",IF(E1624="Positivo",MAX(K1624/J1624,0),MAX(J1624/K1624,0))),"") </f>
        <v/>
      </c>
      <c r="N1624" s="5" t="n"/>
      <c r="O1624" s="5" t="n"/>
      <c r="P1624" s="16" t="n">
        <v>0</v>
      </c>
      <c r="Q1624" s="16" t="n">
        <v>0</v>
      </c>
      <c r="R1624" s="5" t="inlineStr">
        <is>
          <t>327-2024-12-31</t>
        </is>
      </c>
    </row>
    <row r="1625">
      <c r="A1625" s="26" t="n">
        <v>327</v>
      </c>
      <c r="B1625" s="5" t="inlineStr">
        <is>
          <t>Número de programas con obtención de acreditación por primera vez</t>
        </is>
      </c>
      <c r="C1625" s="5" t="inlineStr">
        <is>
          <t>Autoevaluación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144" t="n">
        <v>45838</v>
      </c>
      <c r="G1625" s="5" t="n">
        <v>2025</v>
      </c>
      <c r="H1625" s="5" t="inlineStr">
        <is>
          <t>Junio</t>
        </is>
      </c>
      <c r="I1625" s="6" t="inlineStr">
        <is>
          <t>2025-1</t>
        </is>
      </c>
      <c r="J1625" s="5" t="n">
        <v>100</v>
      </c>
      <c r="K1625" s="10" t="n">
        <v>100</v>
      </c>
      <c r="L1625" s="28">
        <f>IFERROR(IF(OR(J1625=0,K1625=""),"",IF(E1625="Positivo",MIN(MAX(K1625/J1625,0),1.3),MIN(MAX(J1625/K1625,0),1.3))),"") </f>
        <v/>
      </c>
      <c r="M1625" s="28">
        <f>IFERROR(IF(OR(J1625=0,K1625=""),"",IF(E1625="Positivo",MAX(K1625/J1625,0),MAX(J1625/K1625,0))),"") </f>
        <v/>
      </c>
      <c r="N1625" s="5" t="inlineStr">
        <is>
          <t>ENT</t>
        </is>
      </c>
      <c r="O1625" s="5" t="inlineStr">
        <is>
          <t>ENT</t>
        </is>
      </c>
      <c r="P1625" s="16" t="n">
        <v>0</v>
      </c>
      <c r="Q1625" s="16" t="n">
        <v>0</v>
      </c>
      <c r="R1625" s="5" t="inlineStr">
        <is>
          <t>327-2025-06-30</t>
        </is>
      </c>
    </row>
    <row r="1626">
      <c r="A1626" s="5" t="n">
        <v>327</v>
      </c>
      <c r="B1626" s="5" t="inlineStr">
        <is>
          <t>Número de programas con obtención de acreditación por primera vez- Metrica</t>
        </is>
      </c>
      <c r="C1626" s="5" t="inlineStr">
        <is>
          <t>Autoevaluación de programas académicos</t>
        </is>
      </c>
      <c r="D1626" s="5" t="inlineStr">
        <is>
          <t>Trimestral</t>
        </is>
      </c>
      <c r="E1626" s="5" t="inlineStr">
        <is>
          <t>Positivo</t>
        </is>
      </c>
      <c r="F1626" s="144" t="n">
        <v>46022</v>
      </c>
      <c r="G1626" s="5" t="n">
        <v>2025</v>
      </c>
      <c r="H1626" s="5" t="inlineStr">
        <is>
          <t>Diciembre</t>
        </is>
      </c>
      <c r="I1626" s="6" t="inlineStr">
        <is>
          <t>2025-2</t>
        </is>
      </c>
      <c r="J1626" s="5" t="n">
        <v>100</v>
      </c>
      <c r="K1626" s="5" t="n">
        <v>100</v>
      </c>
      <c r="L1626" s="28" t="n"/>
      <c r="M1626" s="28" t="n"/>
      <c r="N1626" s="5" t="inlineStr">
        <is>
          <t>ENT</t>
        </is>
      </c>
      <c r="O1626" s="5" t="inlineStr">
        <is>
          <t>ENT</t>
        </is>
      </c>
      <c r="P1626" s="5" t="n">
        <v>0</v>
      </c>
      <c r="Q1626" s="5" t="n">
        <v>0</v>
      </c>
      <c r="R1626" s="5" t="inlineStr">
        <is>
          <t>327-2025-12-31</t>
        </is>
      </c>
      <c r="S1626" t="inlineStr">
        <is>
          <t>Metrica</t>
        </is>
      </c>
    </row>
    <row r="1627">
      <c r="A1627" s="5" t="n">
        <v>328</v>
      </c>
      <c r="B1627" s="5" t="inlineStr">
        <is>
          <t>Nivel de encuestas obtenidas en el encuentro institucional de graduados</t>
        </is>
      </c>
      <c r="C1627" s="5" t="inlineStr">
        <is>
          <t>Gestión de Graduados</t>
        </is>
      </c>
      <c r="D1627" s="5" t="inlineStr">
        <is>
          <t>Anual</t>
        </is>
      </c>
      <c r="E1627" s="5" t="inlineStr">
        <is>
          <t>Positivo</t>
        </is>
      </c>
      <c r="F1627" s="144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5" t="n">
        <v>800</v>
      </c>
      <c r="K1627" s="5" t="n">
        <v>1035</v>
      </c>
      <c r="L1627" s="28">
        <f>IFERROR(IF(OR(J1627=0,K1627=""),"",IF(E1627="Positivo",MIN(MAX(K1627/J1627,0),1.3),MIN(MAX(J1627/K1627,0),1.3))),"") </f>
        <v/>
      </c>
      <c r="M1627" s="28">
        <f>IFERROR(IF(OR(J1627=0,K1627=""),"",IF(E1627="Positivo",MAX(K1627/J1627,0),MAX(J1627/K1627,0))),"") </f>
        <v/>
      </c>
      <c r="N1627" s="5" t="n"/>
      <c r="O1627" s="5" t="n"/>
      <c r="P1627" s="5" t="n">
        <v>0</v>
      </c>
      <c r="Q1627" s="5" t="n">
        <v>0</v>
      </c>
      <c r="R1627" s="5" t="inlineStr">
        <is>
          <t>328-2023-12-31</t>
        </is>
      </c>
    </row>
    <row r="1628">
      <c r="A1628" s="26" t="n">
        <v>328</v>
      </c>
      <c r="B1628" s="5" t="inlineStr">
        <is>
          <t>Nivel de encuestas obtenidas en el encuentro institucional de graduados</t>
        </is>
      </c>
      <c r="C1628" s="5" t="inlineStr">
        <is>
          <t>Gestión de Graduados</t>
        </is>
      </c>
      <c r="D1628" s="5" t="inlineStr">
        <is>
          <t>Anual</t>
        </is>
      </c>
      <c r="E1628" s="5" t="inlineStr">
        <is>
          <t>Positivo</t>
        </is>
      </c>
      <c r="F1628" s="144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10" t="n">
        <v>157</v>
      </c>
      <c r="L1628" s="28">
        <f>IFERROR(IF(OR(J1628=0,K1628=""),"",IF(E1628="Positivo",MIN(MAX(K1628/J1628,0),1.3),MIN(MAX(J1628/K1628,0),1.3))),"") </f>
        <v/>
      </c>
      <c r="M1628" s="28">
        <f>IFERROR(IF(OR(J1628=0,K1628=""),"",IF(E1628="Positivo",MAX(K1628/J1628,0),MAX(J1628/K1628,0))),"") </f>
        <v/>
      </c>
      <c r="N1628" s="5" t="n"/>
      <c r="O1628" s="5" t="n"/>
      <c r="P1628" s="16" t="n">
        <v>0</v>
      </c>
      <c r="Q1628" s="16" t="n">
        <v>0</v>
      </c>
      <c r="R1628" s="5" t="inlineStr">
        <is>
          <t>328-2024-12-31</t>
        </is>
      </c>
    </row>
    <row r="1629">
      <c r="A1629" s="5" t="n">
        <v>329</v>
      </c>
      <c r="B1629" s="5" t="inlineStr">
        <is>
          <t>Participación en actividades diseñadas para graduados</t>
        </is>
      </c>
      <c r="C1629" s="5" t="inlineStr">
        <is>
          <t>Gestión de Graduados</t>
        </is>
      </c>
      <c r="D1629" s="5" t="inlineStr">
        <is>
          <t>Anual</t>
        </is>
      </c>
      <c r="E1629" s="5" t="inlineStr">
        <is>
          <t>Positivo</t>
        </is>
      </c>
      <c r="F1629" s="144" t="n">
        <v>45291</v>
      </c>
      <c r="G1629" s="5" t="n">
        <v>2023</v>
      </c>
      <c r="H1629" s="5" t="inlineStr">
        <is>
          <t>Diciembre</t>
        </is>
      </c>
      <c r="I1629" s="6" t="inlineStr">
        <is>
          <t>2023-2</t>
        </is>
      </c>
      <c r="J1629" s="5" t="n">
        <v>3000</v>
      </c>
      <c r="K1629" s="5" t="n">
        <v>3315</v>
      </c>
      <c r="L1629" s="28">
        <f>IFERROR(IF(OR(J1629=0,K1629=""),"",IF(E1629="Positivo",MIN(MAX(K1629/J1629,0),1.3),MIN(MAX(J1629/K1629,0),1.3))),"") </f>
        <v/>
      </c>
      <c r="M1629" s="28">
        <f>IFERROR(IF(OR(J1629=0,K1629=""),"",IF(E1629="Positivo",MAX(K1629/J1629,0),MAX(J1629/K1629,0))),"") </f>
        <v/>
      </c>
      <c r="N1629" s="5" t="n"/>
      <c r="O1629" s="5" t="n"/>
      <c r="P1629" s="5" t="n">
        <v>0</v>
      </c>
      <c r="Q1629" s="5" t="n">
        <v>0</v>
      </c>
      <c r="R1629" s="5" t="inlineStr">
        <is>
          <t>329-2023-12-31</t>
        </is>
      </c>
    </row>
    <row r="1630">
      <c r="A1630" s="26" t="n">
        <v>329</v>
      </c>
      <c r="B1630" s="5" t="inlineStr">
        <is>
          <t>Participación en actividades diseñadas para graduados</t>
        </is>
      </c>
      <c r="C1630" s="5" t="inlineStr">
        <is>
          <t>Gestión de Graduados</t>
        </is>
      </c>
      <c r="D1630" s="5" t="inlineStr">
        <is>
          <t>Anual</t>
        </is>
      </c>
      <c r="E1630" s="5" t="inlineStr">
        <is>
          <t>Positivo</t>
        </is>
      </c>
      <c r="F1630" s="144" t="n">
        <v>45657</v>
      </c>
      <c r="G1630" s="5" t="n">
        <v>2024</v>
      </c>
      <c r="H1630" s="5" t="inlineStr">
        <is>
          <t>Diciembre</t>
        </is>
      </c>
      <c r="I1630" s="6" t="inlineStr">
        <is>
          <t>2024-2</t>
        </is>
      </c>
      <c r="J1630" s="119" t="n">
        <v>100</v>
      </c>
      <c r="K1630" s="123" t="n">
        <v>106.63</v>
      </c>
      <c r="L1630" s="28">
        <f>IFERROR(IF(OR(J1630=0,K1630=""),"",IF(E1630="Positivo",MIN(MAX(K1630/J1630,0),1.3),MIN(MAX(J1630/K1630,0),1.3))),"") </f>
        <v/>
      </c>
      <c r="M1630" s="28">
        <f>IFERROR(IF(OR(J1630=0,K1630=""),"",IF(E1630="Positivo",MAX(K1630/J1630,0),MAX(J1630/K1630,0))),"") </f>
        <v/>
      </c>
      <c r="N1630" s="123" t="n"/>
      <c r="O1630" s="123" t="n"/>
      <c r="P1630" s="16" t="n">
        <v>0</v>
      </c>
      <c r="Q1630" s="16" t="n">
        <v>0</v>
      </c>
      <c r="R1630" s="5" t="inlineStr">
        <is>
          <t>329-2024-12-31</t>
        </is>
      </c>
    </row>
    <row r="1631">
      <c r="A1631" s="26" t="n">
        <v>331</v>
      </c>
      <c r="B1631" s="5" t="inlineStr">
        <is>
          <t>Nivel de empleabilidad del graduado</t>
        </is>
      </c>
      <c r="C1631" s="5" t="inlineStr">
        <is>
          <t>Gestión de Graduados</t>
        </is>
      </c>
      <c r="D1631" s="5" t="inlineStr">
        <is>
          <t>Anual</t>
        </is>
      </c>
      <c r="E1631" s="5" t="inlineStr">
        <is>
          <t>Positivo</t>
        </is>
      </c>
      <c r="F1631" s="144" t="n">
        <v>45291</v>
      </c>
      <c r="G1631" s="5" t="n">
        <v>2023</v>
      </c>
      <c r="H1631" s="5" t="inlineStr">
        <is>
          <t>Diciembre</t>
        </is>
      </c>
      <c r="I1631" s="6" t="inlineStr">
        <is>
          <t>2023-2</t>
        </is>
      </c>
      <c r="J1631" s="119" t="n"/>
      <c r="K1631" s="123" t="n">
        <v>81</v>
      </c>
      <c r="L1631" s="8" t="n"/>
      <c r="M1631" s="8" t="n"/>
      <c r="N1631" s="123" t="inlineStr">
        <is>
          <t>Linea Base</t>
        </is>
      </c>
      <c r="O1631" s="123" t="inlineStr">
        <is>
          <t>%</t>
        </is>
      </c>
      <c r="P1631" s="16" t="n">
        <v>0</v>
      </c>
      <c r="Q1631" s="16" t="n">
        <v>0</v>
      </c>
      <c r="R1631" s="5" t="inlineStr">
        <is>
          <t>331-2023-12-31</t>
        </is>
      </c>
    </row>
    <row r="1632">
      <c r="A1632" s="26" t="n">
        <v>331</v>
      </c>
      <c r="B1632" s="5" t="inlineStr">
        <is>
          <t>Nivel de empleabilidad del graduado</t>
        </is>
      </c>
      <c r="C1632" s="5" t="inlineStr">
        <is>
          <t>Gestión de Graduados</t>
        </is>
      </c>
      <c r="D1632" s="5" t="inlineStr">
        <is>
          <t>Anual</t>
        </is>
      </c>
      <c r="E1632" s="5" t="inlineStr">
        <is>
          <t>Positivo</t>
        </is>
      </c>
      <c r="F1632" s="144" t="n">
        <v>45657</v>
      </c>
      <c r="G1632" s="5" t="n">
        <v>2024</v>
      </c>
      <c r="H1632" s="5" t="inlineStr">
        <is>
          <t>Diciembre</t>
        </is>
      </c>
      <c r="I1632" s="6" t="inlineStr">
        <is>
          <t>2024-2</t>
        </is>
      </c>
      <c r="J1632" s="119" t="n">
        <v>0</v>
      </c>
      <c r="K1632" s="123" t="n">
        <v>82</v>
      </c>
      <c r="L1632" s="28">
        <f>IFERROR(IF(OR(J1632=0,K1632=""),"",IF(E1632="Positivo",MIN(MAX(K1632/J1632,0),1.3),MIN(MAX(J1632/K1632,0),1.3))),"") </f>
        <v/>
      </c>
      <c r="M1632" s="28">
        <f>IFERROR(IF(OR(J1632=0,K1632=""),"",IF(E1632="Positivo",MAX(K1632/J1632,0),MAX(J1632/K1632,0))),"") </f>
        <v/>
      </c>
      <c r="N1632" s="123" t="inlineStr">
        <is>
          <t>Linea Base</t>
        </is>
      </c>
      <c r="O1632" s="123" t="inlineStr">
        <is>
          <t>%</t>
        </is>
      </c>
      <c r="P1632" s="16" t="n">
        <v>0</v>
      </c>
      <c r="Q1632" s="16" t="n">
        <v>0</v>
      </c>
      <c r="R1632" s="5" t="inlineStr">
        <is>
          <t>331-2024-12-31</t>
        </is>
      </c>
    </row>
    <row r="1633">
      <c r="A1633" s="26" t="n">
        <v>332</v>
      </c>
      <c r="B1633" s="5" t="inlineStr">
        <is>
          <t>Índice de rotación</t>
        </is>
      </c>
      <c r="C1633" s="5" t="inlineStr">
        <is>
          <t>GESTIÓN Y DESARROLLO DEL TALENTO HUMANO</t>
        </is>
      </c>
      <c r="D1633" s="5" t="inlineStr">
        <is>
          <t>Semestral</t>
        </is>
      </c>
      <c r="E1633" s="5" t="inlineStr">
        <is>
          <t>Negativo</t>
        </is>
      </c>
      <c r="F1633" s="144" t="n">
        <v>45107</v>
      </c>
      <c r="G1633" s="5" t="n">
        <v>2023</v>
      </c>
      <c r="H1633" s="5" t="inlineStr">
        <is>
          <t>Junio</t>
        </is>
      </c>
      <c r="I1633" s="6" t="inlineStr">
        <is>
          <t>2023-1</t>
        </is>
      </c>
      <c r="J1633" s="119" t="n">
        <v>1.8</v>
      </c>
      <c r="K1633" s="123" t="n">
        <v>1.57</v>
      </c>
      <c r="L1633" s="28">
        <f>IFERROR(IF(OR(J1633=0,K1633=""),"",IF(E1633="Positivo",MIN(MAX(K1633/J1633,0),1.3),MIN(MAX(J1633/K1633,0),1.3))),"") </f>
        <v/>
      </c>
      <c r="M1633" s="28">
        <f>IFERROR(IF(OR(J1633=0,K1633=""),"",IF(E1633="Positivo",MAX(K1633/J1633,0),MAX(J1633/K1633,0))),"") </f>
        <v/>
      </c>
      <c r="N1633" s="123" t="inlineStr">
        <is>
          <t>%</t>
        </is>
      </c>
      <c r="O1633" s="123" t="inlineStr">
        <is>
          <t>%</t>
        </is>
      </c>
      <c r="P1633" s="16" t="n">
        <v>2</v>
      </c>
      <c r="Q1633" s="16" t="n">
        <v>2</v>
      </c>
      <c r="R1633" s="5" t="inlineStr">
        <is>
          <t>332-2023-06-30</t>
        </is>
      </c>
    </row>
    <row r="1634">
      <c r="A1634" s="26" t="n">
        <v>332</v>
      </c>
      <c r="B1634" s="5" t="inlineStr">
        <is>
          <t>Índice de rotación</t>
        </is>
      </c>
      <c r="C1634" s="5" t="inlineStr">
        <is>
          <t>GESTIÓN Y DESARROLLO DEL TALENTO HUMANO</t>
        </is>
      </c>
      <c r="D1634" s="5" t="inlineStr">
        <is>
          <t>Semestral</t>
        </is>
      </c>
      <c r="E1634" s="5" t="inlineStr">
        <is>
          <t>Negativo</t>
        </is>
      </c>
      <c r="F1634" s="144" t="n">
        <v>45291</v>
      </c>
      <c r="G1634" s="5" t="n">
        <v>2023</v>
      </c>
      <c r="H1634" s="5" t="inlineStr">
        <is>
          <t>Diciembre</t>
        </is>
      </c>
      <c r="I1634" s="6" t="inlineStr">
        <is>
          <t>2023-2</t>
        </is>
      </c>
      <c r="J1634" s="119" t="n">
        <v>1.8</v>
      </c>
      <c r="K1634" s="123" t="n">
        <v>1.3</v>
      </c>
      <c r="L1634" s="28">
        <f>IFERROR(IF(OR(J1634=0,K1634=""),"",IF(E1634="Positivo",MIN(MAX(K1634/J1634,0),1.3),MIN(MAX(J1634/K1634,0),1.3))),"") </f>
        <v/>
      </c>
      <c r="M1634" s="28">
        <f>IFERROR(IF(OR(J1634=0,K1634=""),"",IF(E1634="Positivo",MAX(K1634/J1634,0),MAX(J1634/K1634,0))),"") </f>
        <v/>
      </c>
      <c r="N1634" s="123" t="inlineStr">
        <is>
          <t>%</t>
        </is>
      </c>
      <c r="O1634" s="123" t="inlineStr">
        <is>
          <t>%</t>
        </is>
      </c>
      <c r="P1634" s="16" t="n">
        <v>1</v>
      </c>
      <c r="Q1634" s="16" t="n">
        <v>1</v>
      </c>
      <c r="R1634" s="5" t="inlineStr">
        <is>
          <t>332-2023-12-31</t>
        </is>
      </c>
    </row>
    <row r="1635">
      <c r="A1635" s="26" t="n">
        <v>332</v>
      </c>
      <c r="B1635" s="5" t="inlineStr">
        <is>
          <t>Índice de rotación</t>
        </is>
      </c>
      <c r="C1635" s="5" t="inlineStr">
        <is>
          <t>GESTIÓN Y DESARROLLO DEL TALENTO HUMANO</t>
        </is>
      </c>
      <c r="D1635" s="5" t="inlineStr">
        <is>
          <t>Semestral</t>
        </is>
      </c>
      <c r="E1635" s="5" t="inlineStr">
        <is>
          <t>Negativo</t>
        </is>
      </c>
      <c r="F1635" s="144" t="n">
        <v>45473</v>
      </c>
      <c r="G1635" s="5" t="n">
        <v>2024</v>
      </c>
      <c r="H1635" s="5" t="inlineStr">
        <is>
          <t>Junio</t>
        </is>
      </c>
      <c r="I1635" s="6" t="inlineStr">
        <is>
          <t>2024-1</t>
        </is>
      </c>
      <c r="J1635" s="119" t="n">
        <v>1.5</v>
      </c>
      <c r="K1635" s="123" t="n">
        <v>1.48</v>
      </c>
      <c r="L1635" s="28">
        <f>IFERROR(IF(OR(J1635=0,K1635=""),"",IF(E1635="Positivo",MIN(MAX(K1635/J1635,0),1.3),MIN(MAX(J1635/K1635,0),1.3))),"") </f>
        <v/>
      </c>
      <c r="M1635" s="28">
        <f>IFERROR(IF(OR(J1635=0,K1635=""),"",IF(E1635="Positivo",MAX(K1635/J1635,0),MAX(J1635/K1635,0))),"") </f>
        <v/>
      </c>
      <c r="N1635" s="123" t="inlineStr">
        <is>
          <t>%</t>
        </is>
      </c>
      <c r="O1635" s="123" t="inlineStr">
        <is>
          <t>%</t>
        </is>
      </c>
      <c r="P1635" s="16" t="n">
        <v>2</v>
      </c>
      <c r="Q1635" s="16" t="n">
        <v>2</v>
      </c>
      <c r="R1635" s="5" t="inlineStr">
        <is>
          <t>332-2024-06-30</t>
        </is>
      </c>
    </row>
    <row r="1636">
      <c r="A1636" s="26" t="n">
        <v>332</v>
      </c>
      <c r="B1636" s="5" t="inlineStr">
        <is>
          <t>Índice de rotación</t>
        </is>
      </c>
      <c r="C1636" s="5" t="inlineStr">
        <is>
          <t>GESTIÓN Y DESARROLLO DEL TALENTO HUMANO</t>
        </is>
      </c>
      <c r="D1636" s="5" t="inlineStr">
        <is>
          <t>Semestral</t>
        </is>
      </c>
      <c r="E1636" s="5" t="inlineStr">
        <is>
          <t>Negativo</t>
        </is>
      </c>
      <c r="F1636" s="144" t="n">
        <v>45657</v>
      </c>
      <c r="G1636" s="5" t="n">
        <v>2024</v>
      </c>
      <c r="H1636" s="5" t="inlineStr">
        <is>
          <t>Diciembre</t>
        </is>
      </c>
      <c r="I1636" s="6" t="inlineStr">
        <is>
          <t>2024-2</t>
        </is>
      </c>
      <c r="J1636" s="119" t="n">
        <v>1.8</v>
      </c>
      <c r="K1636" s="123" t="n">
        <v>0.82</v>
      </c>
      <c r="L1636" s="28">
        <f>IFERROR(IF(OR(J1636=0,K1636=""),"",IF(E1636="Positivo",MIN(MAX(K1636/J1636,0),1.3),MIN(MAX(J1636/K1636,0),1.3))),"") </f>
        <v/>
      </c>
      <c r="M1636" s="28">
        <f>IFERROR(IF(OR(J1636=0,K1636=""),"",IF(E1636="Positivo",MAX(K1636/J1636,0),MAX(J1636/K1636,0))),"") </f>
        <v/>
      </c>
      <c r="N1636" s="123" t="inlineStr">
        <is>
          <t>%</t>
        </is>
      </c>
      <c r="O1636" s="123" t="inlineStr">
        <is>
          <t>%</t>
        </is>
      </c>
      <c r="P1636" s="16" t="n">
        <v>2</v>
      </c>
      <c r="Q1636" s="16" t="n">
        <v>2</v>
      </c>
      <c r="R1636" s="5" t="inlineStr">
        <is>
          <t>332-2024-12-31</t>
        </is>
      </c>
    </row>
    <row r="1637">
      <c r="A1637" s="26" t="n">
        <v>332</v>
      </c>
      <c r="B1637" s="5" t="inlineStr">
        <is>
          <t>Índice de rotación</t>
        </is>
      </c>
      <c r="C1637" s="5" t="inlineStr">
        <is>
          <t>GESTIÓN Y DESARROLLO DEL TALENTO HUMANO</t>
        </is>
      </c>
      <c r="D1637" s="5" t="inlineStr">
        <is>
          <t>Semestral</t>
        </is>
      </c>
      <c r="E1637" s="5" t="inlineStr">
        <is>
          <t>Negativo</t>
        </is>
      </c>
      <c r="F1637" s="144" t="n">
        <v>45838</v>
      </c>
      <c r="G1637" s="5" t="n">
        <v>2025</v>
      </c>
      <c r="H1637" s="5" t="inlineStr">
        <is>
          <t>Junio</t>
        </is>
      </c>
      <c r="I1637" s="6" t="inlineStr">
        <is>
          <t>2025-1</t>
        </is>
      </c>
      <c r="J1637" s="5" t="n">
        <v>1.18</v>
      </c>
      <c r="K1637" s="10" t="n">
        <v>0.85</v>
      </c>
      <c r="L1637" s="28">
        <f>IFERROR(IF(OR(J1637=0,K1637=""),"",IF(E1637="Positivo",MIN(MAX(K1637/J1637,0),1.3),MIN(MAX(J1637/K1637,0),1.3))),"") </f>
        <v/>
      </c>
      <c r="M1637" s="28">
        <f>IFERROR(IF(OR(J1637=0,K1637=""),"",IF(E1637="Positivo",MAX(K1637/J1637,0),MAX(J1637/K1637,0))),"") </f>
        <v/>
      </c>
      <c r="N1637" s="5" t="inlineStr">
        <is>
          <t>%</t>
        </is>
      </c>
      <c r="O1637" s="5" t="inlineStr">
        <is>
          <t>%</t>
        </is>
      </c>
      <c r="P1637" s="16" t="n">
        <v>2</v>
      </c>
      <c r="Q1637" s="16" t="n">
        <v>2</v>
      </c>
      <c r="R1637" s="5" t="inlineStr">
        <is>
          <t>332-2025-06-30</t>
        </is>
      </c>
    </row>
    <row r="1638">
      <c r="A1638" s="26" t="n">
        <v>332</v>
      </c>
      <c r="B1638" s="5" t="inlineStr">
        <is>
          <t>Índice de rotación</t>
        </is>
      </c>
      <c r="C1638" s="5" t="inlineStr">
        <is>
          <t>GESTIÓN Y DESARROLLO DEL TALENTO HUMANO</t>
        </is>
      </c>
      <c r="D1638" s="5" t="inlineStr">
        <is>
          <t>Trimestral</t>
        </is>
      </c>
      <c r="E1638" s="5" t="inlineStr">
        <is>
          <t>Negativo</t>
        </is>
      </c>
      <c r="F1638" s="144" t="n">
        <v>46022</v>
      </c>
      <c r="G1638" s="5" t="n">
        <v>2025</v>
      </c>
      <c r="H1638" s="5" t="inlineStr">
        <is>
          <t>Diciembre</t>
        </is>
      </c>
      <c r="I1638" s="6" t="inlineStr">
        <is>
          <t>2025-2</t>
        </is>
      </c>
      <c r="J1638" s="5" t="n">
        <v>1.18</v>
      </c>
      <c r="K1638" s="10" t="n">
        <v>0.93</v>
      </c>
      <c r="L1638" s="28">
        <f>IFERROR(IF(OR(J1638=0,K1638=""),"",IF(E1638="Positivo",MIN(MAX(K1638/J1638,0),1.3),MIN(MAX(J1638/K1638,0),1.3))),"") </f>
        <v/>
      </c>
      <c r="M1638" s="28">
        <f>IFERROR(IF(OR(J1638=0,K1638=""),"",IF(E1638="Positivo",MAX(K1638/J1638,0),MAX(J1638/K1638,0))),"") </f>
        <v/>
      </c>
      <c r="N1638" s="5" t="inlineStr">
        <is>
          <t>DEC</t>
        </is>
      </c>
      <c r="O1638" s="5" t="inlineStr">
        <is>
          <t>DEC</t>
        </is>
      </c>
      <c r="P1638" s="16" t="n">
        <v>2</v>
      </c>
      <c r="Q1638" s="16" t="n">
        <v>2</v>
      </c>
      <c r="R1638" s="5" t="inlineStr">
        <is>
          <t>332-2025-12-31</t>
        </is>
      </c>
    </row>
    <row r="1639">
      <c r="A1639" s="5" t="n">
        <v>334</v>
      </c>
      <c r="B1639" s="5" t="inlineStr">
        <is>
          <t>Resultado de la evaluación 360 (evaluación por competencias)</t>
        </is>
      </c>
      <c r="C1639" s="5" t="inlineStr">
        <is>
          <t>GESTIÓN Y DESARROLLO DEL TALENTO HUMANO</t>
        </is>
      </c>
      <c r="D1639" s="5" t="inlineStr">
        <is>
          <t>Anual</t>
        </is>
      </c>
      <c r="E1639" s="5" t="inlineStr">
        <is>
          <t>Positivo</t>
        </is>
      </c>
      <c r="F1639" s="144" t="n">
        <v>45291</v>
      </c>
      <c r="G1639" s="5" t="n">
        <v>2023</v>
      </c>
      <c r="H1639" s="5" t="inlineStr">
        <is>
          <t>Diciembre</t>
        </is>
      </c>
      <c r="I1639" s="6" t="inlineStr">
        <is>
          <t>2023-2</t>
        </is>
      </c>
      <c r="J1639" s="5" t="n">
        <v>88</v>
      </c>
      <c r="K1639" s="5" t="n">
        <v>88.39</v>
      </c>
      <c r="L1639" s="28">
        <f>IFERROR(IF(OR(J1639=0,K1639=""),"",IF(E1639="Positivo",MIN(MAX(K1639/J1639,0),1.3),MIN(MAX(J1639/K1639,0),1.3))),"") </f>
        <v/>
      </c>
      <c r="M1639" s="28">
        <f>IFERROR(IF(OR(J1639=0,K1639=""),"",IF(E1639="Positivo",MAX(K1639/J1639,0),MAX(J1639/K1639,0))),"") </f>
        <v/>
      </c>
      <c r="N1639" s="5" t="inlineStr">
        <is>
          <t>ENT</t>
        </is>
      </c>
      <c r="O1639" s="5" t="inlineStr">
        <is>
          <t>ENT</t>
        </is>
      </c>
      <c r="P1639" s="5" t="n">
        <v>0</v>
      </c>
      <c r="Q1639" s="5" t="n">
        <v>0</v>
      </c>
      <c r="R1639" s="5" t="inlineStr">
        <is>
          <t>334-2023-12-31</t>
        </is>
      </c>
    </row>
    <row r="1640">
      <c r="A1640" s="5" t="n">
        <v>334</v>
      </c>
      <c r="B1640" s="5" t="inlineStr">
        <is>
          <t>Resultado de la evaluación 360 (evaluación por competencias)</t>
        </is>
      </c>
      <c r="C1640" s="5" t="inlineStr">
        <is>
          <t>GESTIÓN Y DESARROLLO DEL TALENTO HUMANO</t>
        </is>
      </c>
      <c r="D1640" s="5" t="inlineStr">
        <is>
          <t>Anual</t>
        </is>
      </c>
      <c r="E1640" s="5" t="inlineStr">
        <is>
          <t>Positivo</t>
        </is>
      </c>
      <c r="F1640" s="144" t="n">
        <v>45657</v>
      </c>
      <c r="G1640" s="5" t="n">
        <v>2024</v>
      </c>
      <c r="H1640" s="5" t="inlineStr">
        <is>
          <t>Diciembre</t>
        </is>
      </c>
      <c r="I1640" s="6" t="inlineStr">
        <is>
          <t>2024-2</t>
        </is>
      </c>
      <c r="J1640" s="5" t="n">
        <v>88</v>
      </c>
      <c r="K1640" s="5" t="n">
        <v>88.84</v>
      </c>
      <c r="L1640" s="28">
        <f>IFERROR(IF(OR(J1640=0,K1640=""),"",IF(E1640="Positivo",MIN(MAX(K1640/J1640,0),1.3),MIN(MAX(J1640/K1640,0),1.3))),"") </f>
        <v/>
      </c>
      <c r="M1640" s="28">
        <f>IFERROR(IF(OR(J1640=0,K1640=""),"",IF(E1640="Positivo",MAX(K1640/J1640,0),MAX(J1640/K1640,0))),"") </f>
        <v/>
      </c>
      <c r="N1640" s="5" t="inlineStr">
        <is>
          <t>ENT</t>
        </is>
      </c>
      <c r="O1640" s="5" t="inlineStr">
        <is>
          <t>ENT</t>
        </is>
      </c>
      <c r="P1640" s="5" t="n">
        <v>0</v>
      </c>
      <c r="Q1640" s="5" t="n">
        <v>0</v>
      </c>
      <c r="R1640" s="5" t="inlineStr">
        <is>
          <t>334-2024-12-31</t>
        </is>
      </c>
    </row>
    <row r="1641">
      <c r="A1641" s="5" t="n">
        <v>334</v>
      </c>
      <c r="B1641" s="5" t="inlineStr">
        <is>
          <t>Resultado de la evaluación 360 (evaluación por competencias)</t>
        </is>
      </c>
      <c r="C1641" s="5" t="inlineStr">
        <is>
          <t>GESTIÓN Y DESARROLLO DEL TALENTO HUMANO</t>
        </is>
      </c>
      <c r="D1641" s="5" t="inlineStr">
        <is>
          <t>Anual</t>
        </is>
      </c>
      <c r="E1641" s="5" t="inlineStr">
        <is>
          <t>Positivo</t>
        </is>
      </c>
      <c r="F1641" s="144" t="n">
        <v>46022</v>
      </c>
      <c r="G1641" s="5" t="n">
        <v>2025</v>
      </c>
      <c r="H1641" s="5" t="inlineStr">
        <is>
          <t>Diciembre</t>
        </is>
      </c>
      <c r="I1641" s="6" t="inlineStr">
        <is>
          <t>2025-2</t>
        </is>
      </c>
      <c r="J1641" s="5" t="n">
        <v>89</v>
      </c>
      <c r="K1641" s="5" t="n">
        <v>90.09999999999999</v>
      </c>
      <c r="L1641" s="28">
        <f>IFERROR(IF(OR(J1641=0,K1641=""),"",IF(E1641="Positivo",MIN(MAX(K1641/J1641,0),1.3),MIN(MAX(J1641/K1641,0),1.3))),"") </f>
        <v/>
      </c>
      <c r="M1641" s="28">
        <f>IFERROR(IF(OR(J1641=0,K1641=""),"",IF(E1641="Positivo",MAX(K1641/J1641,0),MAX(J1641/K1641,0))),"") </f>
        <v/>
      </c>
      <c r="N1641" s="5" t="inlineStr">
        <is>
          <t>ENT</t>
        </is>
      </c>
      <c r="O1641" s="5" t="inlineStr">
        <is>
          <t>DEC</t>
        </is>
      </c>
      <c r="P1641" s="5" t="n">
        <v>0</v>
      </c>
      <c r="Q1641" s="5" t="n">
        <v>1</v>
      </c>
      <c r="R1641" s="5" t="inlineStr">
        <is>
          <t>334-2025-12-31</t>
        </is>
      </c>
    </row>
    <row r="1642">
      <c r="A1642" s="26" t="n">
        <v>335</v>
      </c>
      <c r="B1642" s="5" t="inlineStr">
        <is>
          <t>Cumplimiento de diagnóstico necesidades de capacitación por área</t>
        </is>
      </c>
      <c r="C1642" s="5" t="inlineStr">
        <is>
          <t>GESTIÓN Y DESARROLLO DEL TALENTO HUMANO</t>
        </is>
      </c>
      <c r="D1642" s="5" t="inlineStr">
        <is>
          <t>Anual</t>
        </is>
      </c>
      <c r="E1642" s="5" t="inlineStr">
        <is>
          <t>Positivo</t>
        </is>
      </c>
      <c r="F1642" s="144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80</v>
      </c>
      <c r="K1642" s="124" t="n">
        <v>93.84999999999999</v>
      </c>
      <c r="L1642" s="28">
        <f>IFERROR(IF(OR(J1642=0,K1642=""),"",IF(E1642="Positivo",MIN(MAX(K1642/J1642,0),1.3),MIN(MAX(J1642/K1642,0),1.3))),"") </f>
        <v/>
      </c>
      <c r="M1642" s="28">
        <f>IFERROR(IF(OR(J1642=0,K1642=""),"",IF(E1642="Positivo",MAX(K1642/J1642,0),MAX(J1642/K1642,0))),"") </f>
        <v/>
      </c>
      <c r="N1642" s="5" t="inlineStr">
        <is>
          <t>%</t>
        </is>
      </c>
      <c r="O1642" s="5" t="inlineStr">
        <is>
          <t>%</t>
        </is>
      </c>
      <c r="P1642" s="16" t="n">
        <v>0</v>
      </c>
      <c r="Q1642" s="16" t="n">
        <v>0</v>
      </c>
      <c r="R1642" s="5" t="inlineStr">
        <is>
          <t>335-2023-12-31</t>
        </is>
      </c>
    </row>
    <row r="1643">
      <c r="A1643" s="26" t="n">
        <v>335</v>
      </c>
      <c r="B1643" s="5" t="inlineStr">
        <is>
          <t>Cumplimiento de diagnóstico necesidades de capacitación por área</t>
        </is>
      </c>
      <c r="C1643" s="5" t="inlineStr">
        <is>
          <t>GESTIÓN Y DESARROLLO DEL TALENTO HUMANO</t>
        </is>
      </c>
      <c r="D1643" s="5" t="inlineStr">
        <is>
          <t>Anual</t>
        </is>
      </c>
      <c r="E1643" s="5" t="inlineStr">
        <is>
          <t>Positivo</t>
        </is>
      </c>
      <c r="F1643" s="144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82</v>
      </c>
      <c r="K1643" s="10" t="n">
        <v>80.95</v>
      </c>
      <c r="L1643" s="28">
        <f>IFERROR(IF(OR(J1643=0,K1643=""),"",IF(E1643="Positivo",MIN(MAX(K1643/J1643,0),1.3),MIN(MAX(J1643/K1643,0),1.3))),"") </f>
        <v/>
      </c>
      <c r="M1643" s="28">
        <f>IFERROR(IF(OR(J1643=0,K1643=""),"",IF(E1643="Positivo",MAX(K1643/J1643,0),MAX(J1643/K1643,0))),"") </f>
        <v/>
      </c>
      <c r="N1643" s="5" t="inlineStr">
        <is>
          <t>%</t>
        </is>
      </c>
      <c r="O1643" s="5" t="inlineStr">
        <is>
          <t>%</t>
        </is>
      </c>
      <c r="P1643" s="16" t="n">
        <v>0</v>
      </c>
      <c r="Q1643" s="16" t="n">
        <v>0</v>
      </c>
      <c r="R1643" s="5" t="inlineStr">
        <is>
          <t>335-2024-12-31</t>
        </is>
      </c>
    </row>
    <row r="1644">
      <c r="A1644" s="26" t="n">
        <v>336</v>
      </c>
      <c r="B1644" s="5" t="inlineStr">
        <is>
          <t>Materiales bibliográficos en formato físico con estado de perdida</t>
        </is>
      </c>
      <c r="C1644" s="5" t="inlineStr">
        <is>
          <t>Biblioteca Institucional</t>
        </is>
      </c>
      <c r="D1644" s="5" t="inlineStr">
        <is>
          <t>Anual</t>
        </is>
      </c>
      <c r="E1644" s="5" t="inlineStr">
        <is>
          <t>Negativo</t>
        </is>
      </c>
      <c r="F1644" s="144" t="n">
        <v>45291</v>
      </c>
      <c r="G1644" s="5" t="n">
        <v>2023</v>
      </c>
      <c r="H1644" s="5" t="inlineStr">
        <is>
          <t>Diciembre</t>
        </is>
      </c>
      <c r="I1644" s="6" t="inlineStr">
        <is>
          <t>2023-2</t>
        </is>
      </c>
      <c r="J1644" s="5" t="n">
        <v>2</v>
      </c>
      <c r="K1644" s="124" t="n">
        <v>1.742198218602321</v>
      </c>
      <c r="L1644" s="28">
        <f>IFERROR(IF(OR(J1644=0,K1644=""),"",IF(E1644="Positivo",MIN(MAX(K1644/J1644,0),1.3),MIN(MAX(J1644/K1644,0),1.3))),"") </f>
        <v/>
      </c>
      <c r="M1644" s="28">
        <f>IFERROR(IF(OR(J1644=0,K1644=""),"",IF(E1644="Positivo",MAX(K1644/J1644,0),MAX(J1644/K1644,0))),"") </f>
        <v/>
      </c>
      <c r="N1644" s="5" t="inlineStr">
        <is>
          <t>%</t>
        </is>
      </c>
      <c r="O1644" s="5" t="inlineStr">
        <is>
          <t>%</t>
        </is>
      </c>
      <c r="P1644" s="16" t="n">
        <v>0</v>
      </c>
      <c r="Q1644" s="16" t="n">
        <v>0</v>
      </c>
      <c r="R1644" s="5" t="inlineStr">
        <is>
          <t>336-2023-12-31</t>
        </is>
      </c>
    </row>
    <row r="1645">
      <c r="A1645" s="26" t="n">
        <v>336</v>
      </c>
      <c r="B1645" s="5" t="inlineStr">
        <is>
          <t>Materiales bibliográficos en formato físico con estado de perdida</t>
        </is>
      </c>
      <c r="C1645" s="5" t="inlineStr">
        <is>
          <t>Biblioteca Institucional</t>
        </is>
      </c>
      <c r="D1645" s="5" t="inlineStr">
        <is>
          <t>Anual</t>
        </is>
      </c>
      <c r="E1645" s="5" t="inlineStr">
        <is>
          <t>Negativo</t>
        </is>
      </c>
      <c r="F1645" s="144" t="n">
        <v>45657</v>
      </c>
      <c r="G1645" s="5" t="n">
        <v>2024</v>
      </c>
      <c r="H1645" s="5" t="inlineStr">
        <is>
          <t>Diciembre</t>
        </is>
      </c>
      <c r="I1645" s="6" t="inlineStr">
        <is>
          <t>2024-2</t>
        </is>
      </c>
      <c r="J1645" s="5" t="n">
        <v>2</v>
      </c>
      <c r="K1645" s="124" t="n">
        <v>0.79</v>
      </c>
      <c r="L1645" s="28">
        <f>IFERROR(IF(OR(J1645=0,K1645=""),"",IF(E1645="Positivo",MIN(MAX(K1645/J1645,0),1.3),MIN(MAX(J1645/K1645,0),1.3))),"") </f>
        <v/>
      </c>
      <c r="M1645" s="28">
        <f>IFERROR(IF(OR(J1645=0,K1645=""),"",IF(E1645="Positivo",MAX(K1645/J1645,0),MAX(J1645/K1645,0))),"") </f>
        <v/>
      </c>
      <c r="N1645" s="5" t="n"/>
      <c r="O1645" s="5" t="n"/>
      <c r="P1645" s="16" t="n">
        <v>0</v>
      </c>
      <c r="Q1645" s="16" t="n">
        <v>0</v>
      </c>
      <c r="R1645" s="5" t="inlineStr">
        <is>
          <t>336-2024-12-31</t>
        </is>
      </c>
    </row>
    <row r="1646">
      <c r="A1646" s="26" t="n">
        <v>336</v>
      </c>
      <c r="B1646" s="5" t="inlineStr">
        <is>
          <t>Materiales bibliográficos en formato físico con estado de perdida</t>
        </is>
      </c>
      <c r="C1646" s="5" t="inlineStr">
        <is>
          <t>Biblioteca Institucional</t>
        </is>
      </c>
      <c r="D1646" s="5" t="inlineStr">
        <is>
          <t>Anual</t>
        </is>
      </c>
      <c r="E1646" s="5" t="inlineStr">
        <is>
          <t>Negativo</t>
        </is>
      </c>
      <c r="F1646" s="144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2</v>
      </c>
      <c r="K1646" s="124" t="n">
        <v>0.36</v>
      </c>
      <c r="L1646" s="28">
        <f>IFERROR(IF(OR(J1646=0,K1646=""),"",IF(E1646="Positivo",MIN(MAX(K1646/J1646,0),1.3),MIN(MAX(J1646/K1646,0),1.3))),"") </f>
        <v/>
      </c>
      <c r="M1646" s="28">
        <f>IFERROR(IF(OR(J1646=0,K1646=""),"",IF(E1646="Positivo",MAX(K1646/J1646,0),MAX(J1646/K1646,0))),"") </f>
        <v/>
      </c>
      <c r="N1646" s="5" t="inlineStr">
        <is>
          <t>%</t>
        </is>
      </c>
      <c r="O1646" s="11" t="inlineStr">
        <is>
          <t>%</t>
        </is>
      </c>
      <c r="P1646" s="16" t="n">
        <v>0</v>
      </c>
      <c r="Q1646" s="16" t="n">
        <v>0</v>
      </c>
      <c r="R1646" s="5" t="inlineStr">
        <is>
          <t>336-2025-12-31</t>
        </is>
      </c>
    </row>
    <row r="1647">
      <c r="A1647" s="26" t="n">
        <v>337</v>
      </c>
      <c r="B1647" s="5" t="inlineStr">
        <is>
          <t>Número de programas con renovación de acreditación en alta calidad - Metrica</t>
        </is>
      </c>
      <c r="C1647" s="5" t="inlineStr">
        <is>
          <t>Autoevaluación de programas académicos</t>
        </is>
      </c>
      <c r="D1647" s="5" t="inlineStr">
        <is>
          <t>Trimestral</t>
        </is>
      </c>
      <c r="E1647" s="5" t="inlineStr">
        <is>
          <t>Positivo</t>
        </is>
      </c>
      <c r="F1647" s="144" t="n">
        <v>45107</v>
      </c>
      <c r="G1647" s="5" t="n">
        <v>2023</v>
      </c>
      <c r="H1647" s="5" t="inlineStr">
        <is>
          <t>Junio</t>
        </is>
      </c>
      <c r="I1647" s="6" t="inlineStr">
        <is>
          <t>2023-1</t>
        </is>
      </c>
      <c r="J1647" s="5" t="n">
        <v>100</v>
      </c>
      <c r="K1647" s="124" t="n">
        <v>0</v>
      </c>
      <c r="L1647" s="8" t="n"/>
      <c r="M1647" s="8" t="n"/>
      <c r="N1647" s="5" t="n"/>
      <c r="O1647" s="11" t="n"/>
      <c r="P1647" s="16" t="n">
        <v>0</v>
      </c>
      <c r="Q1647" s="16" t="n">
        <v>0</v>
      </c>
      <c r="R1647" s="5" t="inlineStr">
        <is>
          <t>337-2023-06-30</t>
        </is>
      </c>
      <c r="S1647" t="inlineStr">
        <is>
          <t>Metrica</t>
        </is>
      </c>
    </row>
    <row r="1648">
      <c r="A1648" s="26" t="n">
        <v>337</v>
      </c>
      <c r="B1648" s="5" t="inlineStr">
        <is>
          <t>Número de programas con renovación de acreditación en alta calidad</t>
        </is>
      </c>
      <c r="C1648" s="5" t="inlineStr">
        <is>
          <t>Autoevaluación de programas académicos</t>
        </is>
      </c>
      <c r="D1648" s="5" t="inlineStr">
        <is>
          <t>Semestral</t>
        </is>
      </c>
      <c r="E1648" s="5" t="inlineStr">
        <is>
          <t>Positivo</t>
        </is>
      </c>
      <c r="F1648" s="144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100</v>
      </c>
      <c r="K1648" s="124" t="n">
        <v>100</v>
      </c>
      <c r="L1648" s="28">
        <f>IFERROR(IF(OR(J1648=0,K1648=""),"",IF(E1648="Positivo",MIN(MAX(K1648/J1648,0),1.3),MIN(MAX(J1648/K1648,0),1.3))),"") </f>
        <v/>
      </c>
      <c r="M1648" s="28">
        <f>IFERROR(IF(OR(J1648=0,K1648=""),"",IF(E1648="Positivo",MAX(K1648/J1648,0),MAX(J1648/K1648,0))),"") </f>
        <v/>
      </c>
      <c r="N1648" s="5" t="n"/>
      <c r="O1648" s="5" t="n"/>
      <c r="P1648" s="16" t="n">
        <v>0</v>
      </c>
      <c r="Q1648" s="16" t="n">
        <v>0</v>
      </c>
      <c r="R1648" s="5" t="inlineStr">
        <is>
          <t>337-2023-12-31</t>
        </is>
      </c>
    </row>
    <row r="1649">
      <c r="A1649" s="26" t="n">
        <v>337</v>
      </c>
      <c r="B1649" s="5" t="inlineStr">
        <is>
          <t>Número de programas con renovación de acreditación en alta calidad</t>
        </is>
      </c>
      <c r="C1649" s="5" t="inlineStr">
        <is>
          <t>Autoevaluación de programas académicos</t>
        </is>
      </c>
      <c r="D1649" s="5" t="inlineStr">
        <is>
          <t>Semestral</t>
        </is>
      </c>
      <c r="E1649" s="5" t="inlineStr">
        <is>
          <t>Positivo</t>
        </is>
      </c>
      <c r="F1649" s="144" t="n">
        <v>45473</v>
      </c>
      <c r="G1649" s="5" t="n">
        <v>2024</v>
      </c>
      <c r="H1649" s="5" t="inlineStr">
        <is>
          <t>Junio</t>
        </is>
      </c>
      <c r="I1649" s="6" t="inlineStr">
        <is>
          <t>2024-1</t>
        </is>
      </c>
      <c r="J1649" s="5" t="n">
        <v>100</v>
      </c>
      <c r="K1649" s="124" t="n">
        <v>100</v>
      </c>
      <c r="L1649" s="28">
        <f>IFERROR(IF(OR(J1649=0,K1649=""),"",IF(E1649="Positivo",MIN(MAX(K1649/J1649,0),1.3),MIN(MAX(J1649/K1649,0),1.3))),"") </f>
        <v/>
      </c>
      <c r="M1649" s="28">
        <f>IFERROR(IF(OR(J1649=0,K1649=""),"",IF(E1649="Positivo",MAX(K1649/J1649,0),MAX(J1649/K1649,0))),"") </f>
        <v/>
      </c>
      <c r="N1649" s="5" t="inlineStr">
        <is>
          <t>ENT</t>
        </is>
      </c>
      <c r="O1649" s="5" t="inlineStr">
        <is>
          <t>ENT</t>
        </is>
      </c>
      <c r="P1649" s="16" t="n">
        <v>0</v>
      </c>
      <c r="Q1649" s="16" t="n">
        <v>0</v>
      </c>
      <c r="R1649" s="5" t="inlineStr">
        <is>
          <t>337-2024-06-30</t>
        </is>
      </c>
    </row>
    <row r="1650">
      <c r="A1650" s="26" t="n">
        <v>337</v>
      </c>
      <c r="B1650" s="5" t="inlineStr">
        <is>
          <t>Número de programas con renovación de acreditación en alta calidad - Metrica</t>
        </is>
      </c>
      <c r="C1650" s="5" t="inlineStr">
        <is>
          <t>Autoevaluación de programas académicos</t>
        </is>
      </c>
      <c r="D1650" s="5" t="inlineStr">
        <is>
          <t>Trimestral</t>
        </is>
      </c>
      <c r="E1650" s="5" t="inlineStr">
        <is>
          <t>Positivo</t>
        </is>
      </c>
      <c r="F1650" s="144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5" t="n">
        <v>100</v>
      </c>
      <c r="K1650" s="10" t="n">
        <v>0</v>
      </c>
      <c r="L1650" s="8" t="n"/>
      <c r="M1650" s="8" t="n"/>
      <c r="N1650" s="5" t="n"/>
      <c r="O1650" s="5" t="n"/>
      <c r="P1650" s="16" t="n">
        <v>0</v>
      </c>
      <c r="Q1650" s="16" t="n">
        <v>0</v>
      </c>
      <c r="R1650" s="5" t="inlineStr">
        <is>
          <t>337-2024-12-31</t>
        </is>
      </c>
      <c r="S1650" t="inlineStr">
        <is>
          <t>Metrica</t>
        </is>
      </c>
    </row>
    <row r="1651">
      <c r="A1651" s="26" t="n">
        <v>337</v>
      </c>
      <c r="B1651" s="5" t="inlineStr">
        <is>
          <t>Número de programas con renovación de acreditación en alta calidad - Metrica</t>
        </is>
      </c>
      <c r="C1651" s="5" t="inlineStr">
        <is>
          <t>Autoevaluación de programas académicos</t>
        </is>
      </c>
      <c r="D1651" s="5" t="inlineStr">
        <is>
          <t>Trimestral</t>
        </is>
      </c>
      <c r="E1651" s="5" t="inlineStr">
        <is>
          <t>Positivo</t>
        </is>
      </c>
      <c r="F1651" s="144" t="n">
        <v>45838</v>
      </c>
      <c r="G1651" s="5" t="n">
        <v>2025</v>
      </c>
      <c r="H1651" s="5" t="inlineStr">
        <is>
          <t>Junio</t>
        </is>
      </c>
      <c r="I1651" s="6" t="inlineStr">
        <is>
          <t>2025-1</t>
        </is>
      </c>
      <c r="J1651" s="5" t="n">
        <v>100</v>
      </c>
      <c r="K1651" s="124" t="n">
        <v>0</v>
      </c>
      <c r="L1651" s="8" t="n"/>
      <c r="M1651" s="8" t="n"/>
      <c r="N1651" s="5" t="n"/>
      <c r="O1651" s="5" t="n"/>
      <c r="P1651" s="16" t="n">
        <v>0</v>
      </c>
      <c r="Q1651" s="16" t="n">
        <v>0</v>
      </c>
      <c r="R1651" s="5" t="inlineStr">
        <is>
          <t>337-2025-06-30</t>
        </is>
      </c>
      <c r="S1651" t="inlineStr">
        <is>
          <t>Metrica</t>
        </is>
      </c>
    </row>
    <row r="1652">
      <c r="A1652" s="26" t="n">
        <v>337</v>
      </c>
      <c r="B1652" s="5" t="inlineStr">
        <is>
          <t>Número de programas con renovación de acreditación en alta calidad - Metrica</t>
        </is>
      </c>
      <c r="C1652" s="5" t="inlineStr">
        <is>
          <t>Autoevaluación de programas académicos</t>
        </is>
      </c>
      <c r="D1652" s="5" t="inlineStr">
        <is>
          <t>Trimestral</t>
        </is>
      </c>
      <c r="E1652" s="5" t="inlineStr">
        <is>
          <t>Positivo</t>
        </is>
      </c>
      <c r="F1652" s="144" t="n">
        <v>46022</v>
      </c>
      <c r="G1652" s="5" t="n">
        <v>2025</v>
      </c>
      <c r="H1652" s="5" t="inlineStr">
        <is>
          <t>Diciembre</t>
        </is>
      </c>
      <c r="I1652" s="6" t="inlineStr">
        <is>
          <t>2025-2</t>
        </is>
      </c>
      <c r="J1652" s="5" t="n">
        <v>100</v>
      </c>
      <c r="K1652" s="124" t="n">
        <v>0</v>
      </c>
      <c r="L1652" s="8" t="n"/>
      <c r="M1652" s="8" t="n"/>
      <c r="N1652" s="5" t="n"/>
      <c r="O1652" s="5" t="n"/>
      <c r="P1652" s="16" t="n">
        <v>0</v>
      </c>
      <c r="Q1652" s="16" t="n">
        <v>0</v>
      </c>
      <c r="R1652" s="5" t="inlineStr">
        <is>
          <t>337-2025-12-31</t>
        </is>
      </c>
      <c r="S1652" t="inlineStr">
        <is>
          <t>Metrica</t>
        </is>
      </c>
    </row>
    <row r="1653">
      <c r="A1653" s="26" t="n">
        <v>338</v>
      </c>
      <c r="B1653" s="5" t="inlineStr">
        <is>
          <t>Número de programas con condiciones iniciales aprobadas (indicador externo)</t>
        </is>
      </c>
      <c r="C1653" s="5" t="inlineStr">
        <is>
          <t>Autoevaluación de programas académicos</t>
        </is>
      </c>
      <c r="D1653" s="5" t="inlineStr">
        <is>
          <t>Semestral</t>
        </is>
      </c>
      <c r="E1653" s="5" t="inlineStr">
        <is>
          <t>Positivo</t>
        </is>
      </c>
      <c r="F1653" s="144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5" t="n">
        <v>100</v>
      </c>
      <c r="K1653" s="124" t="n">
        <v>100</v>
      </c>
      <c r="L1653" s="28">
        <f>IFERROR(IF(OR(J1653=0,K1653=""),"",IF(E1653="Positivo",MIN(MAX(K1653/J1653,0),1.3),MIN(MAX(J1653/K1653,0),1.3))),"") </f>
        <v/>
      </c>
      <c r="M1653" s="28">
        <f>IFERROR(IF(OR(J1653=0,K1653=""),"",IF(E1653="Positivo",MAX(K1653/J1653,0),MAX(J1653/K1653,0))),"") </f>
        <v/>
      </c>
      <c r="N1653" s="5" t="inlineStr">
        <is>
          <t>ENT</t>
        </is>
      </c>
      <c r="O1653" s="5" t="inlineStr">
        <is>
          <t>ENT</t>
        </is>
      </c>
      <c r="P1653" s="16" t="n">
        <v>0</v>
      </c>
      <c r="Q1653" s="16" t="n">
        <v>0</v>
      </c>
      <c r="R1653" s="5" t="inlineStr">
        <is>
          <t>338-2023-06-30</t>
        </is>
      </c>
    </row>
    <row r="1654">
      <c r="A1654" s="26" t="n">
        <v>338</v>
      </c>
      <c r="B1654" s="5" t="inlineStr">
        <is>
          <t>Número de programas con condiciones iniciales aprobadas (indicador externo)- Metrica</t>
        </is>
      </c>
      <c r="C1654" s="5" t="inlineStr">
        <is>
          <t>Autoevaluación de programas académicos</t>
        </is>
      </c>
      <c r="D1654" s="5" t="inlineStr">
        <is>
          <t>Trimestral</t>
        </is>
      </c>
      <c r="E1654" s="5" t="inlineStr">
        <is>
          <t>Positivo</t>
        </is>
      </c>
      <c r="F1654" s="144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5" t="n">
        <v>0</v>
      </c>
      <c r="K1654" s="124" t="n"/>
      <c r="L1654" s="8" t="n"/>
      <c r="M1654" s="8" t="n"/>
      <c r="N1654" s="5" t="inlineStr">
        <is>
          <t>ENT</t>
        </is>
      </c>
      <c r="O1654" s="5" t="inlineStr">
        <is>
          <t>No Aplica</t>
        </is>
      </c>
      <c r="P1654" s="16" t="n">
        <v>0</v>
      </c>
      <c r="Q1654" s="16" t="n">
        <v>0</v>
      </c>
      <c r="R1654" s="5" t="inlineStr">
        <is>
          <t>338-2023-12-31</t>
        </is>
      </c>
      <c r="S1654" t="inlineStr">
        <is>
          <t>Metrica</t>
        </is>
      </c>
    </row>
    <row r="1655">
      <c r="A1655" s="26" t="n">
        <v>338</v>
      </c>
      <c r="B1655" s="5" t="inlineStr">
        <is>
          <t>Número de programas con condiciones iniciales aprobadas</t>
        </is>
      </c>
      <c r="C1655" s="5" t="inlineStr">
        <is>
          <t>Autoevaluación de programas académicos</t>
        </is>
      </c>
      <c r="D1655" s="5" t="inlineStr">
        <is>
          <t>Semestral</t>
        </is>
      </c>
      <c r="E1655" s="5" t="inlineStr">
        <is>
          <t>Positivo</t>
        </is>
      </c>
      <c r="F1655" s="144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5" t="n">
        <v>100</v>
      </c>
      <c r="K1655" s="124" t="n">
        <v>100</v>
      </c>
      <c r="L1655" s="28">
        <f>IFERROR(IF(OR(J1655=0,K1655=""),"",IF(E1655="Positivo",MIN(MAX(K1655/J1655,0),1.3),MIN(MAX(J1655/K1655,0),1.3))),"") </f>
        <v/>
      </c>
      <c r="M1655" s="28">
        <f>IFERROR(IF(OR(J1655=0,K1655=""),"",IF(E1655="Positivo",MAX(K1655/J1655,0),MAX(J1655/K1655,0))),"") </f>
        <v/>
      </c>
      <c r="N1655" s="5" t="inlineStr">
        <is>
          <t>ENT</t>
        </is>
      </c>
      <c r="O1655" s="5" t="inlineStr">
        <is>
          <t>ENT</t>
        </is>
      </c>
      <c r="P1655" s="16" t="n">
        <v>0</v>
      </c>
      <c r="Q1655" s="16" t="n">
        <v>0</v>
      </c>
      <c r="R1655" s="5" t="inlineStr">
        <is>
          <t>338-2024-06-30</t>
        </is>
      </c>
    </row>
    <row r="1656">
      <c r="A1656" s="5" t="n">
        <v>338</v>
      </c>
      <c r="B1656" s="5" t="inlineStr">
        <is>
          <t>Número de programas con condiciones iniciales aprobadas (indicador externo)- Metrica</t>
        </is>
      </c>
      <c r="C1656" s="5" t="inlineStr">
        <is>
          <t>Autoevaluación de programas académicos</t>
        </is>
      </c>
      <c r="D1656" s="5" t="inlineStr">
        <is>
          <t>Trimestral</t>
        </is>
      </c>
      <c r="E1656" s="5" t="inlineStr">
        <is>
          <t>Positivo</t>
        </is>
      </c>
      <c r="F1656" s="144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5" t="n">
        <v>100</v>
      </c>
      <c r="K1656" s="5" t="n">
        <v>0</v>
      </c>
      <c r="L1656" s="28" t="n"/>
      <c r="M1656" s="28" t="n"/>
      <c r="N1656" s="5" t="inlineStr">
        <is>
          <t>ENT</t>
        </is>
      </c>
      <c r="O1656" s="5" t="inlineStr">
        <is>
          <t>ENT</t>
        </is>
      </c>
      <c r="P1656" s="5" t="n">
        <v>0</v>
      </c>
      <c r="Q1656" s="5" t="n">
        <v>0</v>
      </c>
      <c r="R1656" s="5" t="inlineStr">
        <is>
          <t>338-2024-12-31</t>
        </is>
      </c>
      <c r="S1656" t="inlineStr">
        <is>
          <t>Metrica</t>
        </is>
      </c>
    </row>
    <row r="1657">
      <c r="A1657" s="5" t="n">
        <v>338</v>
      </c>
      <c r="B1657" s="5" t="inlineStr">
        <is>
          <t>Número de programas con condiciones iniciales aprobadas</t>
        </is>
      </c>
      <c r="C1657" s="5" t="inlineStr">
        <is>
          <t>Autoevaluación de programas académicos</t>
        </is>
      </c>
      <c r="D1657" s="5" t="inlineStr">
        <is>
          <t>Semestral</t>
        </is>
      </c>
      <c r="E1657" s="5" t="inlineStr">
        <is>
          <t>Positivo</t>
        </is>
      </c>
      <c r="F1657" s="144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100</v>
      </c>
      <c r="K1657" s="5" t="n">
        <v>100</v>
      </c>
      <c r="L1657" s="28">
        <f>IFERROR(IF(OR(J1657=0,K1657=""),"",IF(E1657="Positivo",MIN(MAX(K1657/J1657,0),1.3),MIN(MAX(J1657/K1657,0),1.3))),"") </f>
        <v/>
      </c>
      <c r="M1657" s="28">
        <f>IFERROR(IF(OR(J1657=0,K1657=""),"",IF(E1657="Positivo",MAX(K1657/J1657,0),MAX(J1657/K1657,0))),"") </f>
        <v/>
      </c>
      <c r="N1657" s="5" t="inlineStr">
        <is>
          <t>ENT</t>
        </is>
      </c>
      <c r="O1657" s="5" t="inlineStr">
        <is>
          <t>ENT</t>
        </is>
      </c>
      <c r="P1657" s="5" t="n">
        <v>0</v>
      </c>
      <c r="Q1657" s="5" t="n">
        <v>0</v>
      </c>
      <c r="R1657" s="5" t="inlineStr">
        <is>
          <t>338-2025-06-30</t>
        </is>
      </c>
    </row>
    <row r="1658">
      <c r="A1658" s="5" t="n">
        <v>338</v>
      </c>
      <c r="B1658" s="5" t="inlineStr">
        <is>
          <t>Número de programas con condiciones iniciales aprobadas (indicador externo)- Metrica</t>
        </is>
      </c>
      <c r="C1658" s="5" t="inlineStr">
        <is>
          <t>Autoevaluación de programas académicos</t>
        </is>
      </c>
      <c r="D1658" s="5" t="inlineStr">
        <is>
          <t>Trimestral</t>
        </is>
      </c>
      <c r="E1658" s="5" t="inlineStr">
        <is>
          <t>Positivo</t>
        </is>
      </c>
      <c r="F1658" s="144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100</v>
      </c>
      <c r="K1658" s="5" t="n">
        <v>100</v>
      </c>
      <c r="L1658" s="8" t="n"/>
      <c r="M1658" s="28" t="n"/>
      <c r="N1658" s="5" t="inlineStr">
        <is>
          <t>ENT</t>
        </is>
      </c>
      <c r="O1658" s="5" t="inlineStr">
        <is>
          <t>ENT</t>
        </is>
      </c>
      <c r="P1658" s="5" t="n">
        <v>0</v>
      </c>
      <c r="Q1658" s="5" t="n">
        <v>0</v>
      </c>
      <c r="R1658" s="5" t="inlineStr">
        <is>
          <t>338-2025-12-31</t>
        </is>
      </c>
      <c r="S1658" t="inlineStr">
        <is>
          <t>Metrica</t>
        </is>
      </c>
    </row>
    <row r="1659">
      <c r="A1659" s="47" t="n">
        <v>339</v>
      </c>
      <c r="B1659" s="5" t="inlineStr">
        <is>
          <t>Programas acreditables acreditados Sede Bogotá</t>
        </is>
      </c>
      <c r="C1659" s="5" t="inlineStr">
        <is>
          <t>Autoevaluación institucional</t>
        </is>
      </c>
      <c r="D1659" s="5" t="inlineStr">
        <is>
          <t>Anual</t>
        </is>
      </c>
      <c r="E1659" s="5" t="inlineStr">
        <is>
          <t>Positivo</t>
        </is>
      </c>
      <c r="F1659" s="144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30</v>
      </c>
      <c r="K1659" s="125" t="n">
        <v>28.57142857142857</v>
      </c>
      <c r="L1659" s="46">
        <f>IFERROR(IF(OR(J1659=0,K1659=""),"",IF(E1659="Positivo",MIN(MAX(K1659/J1659,0),1.3),MIN(MAX(J1659/K1659,0),1.3))),"") </f>
        <v/>
      </c>
      <c r="M1659" s="28">
        <f>IFERROR(IF(OR(J1659=0,K1659=""),"",IF(E1659="Positivo",MAX(K1659/J1659,0),MAX(J1659/K1659,0))),"") </f>
        <v/>
      </c>
      <c r="N1659" s="47" t="inlineStr">
        <is>
          <t>%</t>
        </is>
      </c>
      <c r="O1659" s="5" t="inlineStr">
        <is>
          <t>%</t>
        </is>
      </c>
      <c r="P1659" s="16" t="n">
        <v>2</v>
      </c>
      <c r="Q1659" s="16" t="n">
        <v>2</v>
      </c>
      <c r="R1659" s="5" t="inlineStr">
        <is>
          <t>339-2023-12-31</t>
        </is>
      </c>
    </row>
    <row r="1660">
      <c r="A1660" s="5" t="n">
        <v>339</v>
      </c>
      <c r="B1660" s="5" t="inlineStr">
        <is>
          <t>Programas acreditables acreditados Sede Bogotá</t>
        </is>
      </c>
      <c r="C1660" s="5" t="inlineStr">
        <is>
          <t>Autoevaluación institucional</t>
        </is>
      </c>
      <c r="D1660" s="5" t="inlineStr">
        <is>
          <t>Anual</t>
        </is>
      </c>
      <c r="E1660" s="5" t="inlineStr">
        <is>
          <t>Positivo</t>
        </is>
      </c>
      <c r="F1660" s="144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30</v>
      </c>
      <c r="K1660" s="5" t="n">
        <v>30.3</v>
      </c>
      <c r="L1660" s="28">
        <f>IFERROR(IF(OR(J1660=0,K1660=""),"",IF(E1660="Positivo",MIN(MAX(K1660/J1660,0),1.3),MIN(MAX(J1660/K1660,0),1.3))),"") </f>
        <v/>
      </c>
      <c r="M1660" s="28">
        <f>IFERROR(IF(OR(J1660=0,K1660=""),"",IF(E1660="Positivo",MAX(K1660/J1660,0),MAX(J1660/K1660,0))),"") </f>
        <v/>
      </c>
      <c r="N1660" s="5" t="inlineStr">
        <is>
          <t>%</t>
        </is>
      </c>
      <c r="O1660" s="5" t="inlineStr">
        <is>
          <t>%</t>
        </is>
      </c>
      <c r="P1660" s="5" t="n">
        <v>2</v>
      </c>
      <c r="Q1660" s="5" t="n">
        <v>2</v>
      </c>
      <c r="R1660" s="5" t="inlineStr">
        <is>
          <t>339-2024-12-31</t>
        </is>
      </c>
    </row>
    <row r="1661">
      <c r="A1661" s="26" t="n">
        <v>339</v>
      </c>
      <c r="B1661" s="5" t="inlineStr">
        <is>
          <t>Programas acreditables acreditados Sede Bogotá</t>
        </is>
      </c>
      <c r="C1661" s="5" t="inlineStr">
        <is>
          <t>Autoevaluación institucional</t>
        </is>
      </c>
      <c r="D1661" s="5" t="inlineStr">
        <is>
          <t>Anual</t>
        </is>
      </c>
      <c r="E1661" s="5" t="inlineStr">
        <is>
          <t>Positivo</t>
        </is>
      </c>
      <c r="F1661" s="144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30</v>
      </c>
      <c r="K1661" s="10" t="n">
        <v>35.29</v>
      </c>
      <c r="L1661" s="28">
        <f>IFERROR(IF(OR(J1661=0,K1661=""),"",IF(E1661="Positivo",MIN(MAX(K1661/J1661,0),1.3),MIN(MAX(J1661/K1661,0),1.3))),"") </f>
        <v/>
      </c>
      <c r="M1661" s="28">
        <f>IFERROR(IF(OR(J1661=0,K1661=""),"",IF(E1661="Positivo",MAX(K1661/J1661,0),MAX(J1661/K1661,0))),"") </f>
        <v/>
      </c>
      <c r="N1661" s="5" t="inlineStr">
        <is>
          <t>%</t>
        </is>
      </c>
      <c r="O1661" s="5" t="inlineStr">
        <is>
          <t>%</t>
        </is>
      </c>
      <c r="P1661" s="16" t="n">
        <v>0</v>
      </c>
      <c r="Q1661" s="16" t="n">
        <v>1</v>
      </c>
      <c r="R1661" s="5" t="inlineStr">
        <is>
          <t>339-2025-12-31</t>
        </is>
      </c>
    </row>
    <row r="1662">
      <c r="A1662" s="26" t="n">
        <v>340</v>
      </c>
      <c r="B1662" s="5" t="inlineStr">
        <is>
          <t>Cumplimiento cronograma revisiones locativas</t>
        </is>
      </c>
      <c r="C1662" s="5" t="inlineStr">
        <is>
          <t>Gestión Infraestructura Física</t>
        </is>
      </c>
      <c r="D1662" s="5" t="inlineStr">
        <is>
          <t>Trimestral</t>
        </is>
      </c>
      <c r="E1662" s="5" t="inlineStr">
        <is>
          <t>Positivo</t>
        </is>
      </c>
      <c r="F1662" s="144" t="n">
        <v>45016</v>
      </c>
      <c r="G1662" s="5" t="n">
        <v>2023</v>
      </c>
      <c r="H1662" s="5" t="inlineStr">
        <is>
          <t>Marzo</t>
        </is>
      </c>
      <c r="I1662" s="6" t="inlineStr">
        <is>
          <t>2023-1</t>
        </is>
      </c>
      <c r="J1662" s="5" t="n">
        <v>90</v>
      </c>
      <c r="K1662" s="125" t="n">
        <v>100</v>
      </c>
      <c r="L1662" s="28">
        <f>IFERROR(IF(OR(J1662=0,K1662=""),"",IF(E1662="Positivo",MIN(MAX(K1662/J1662,0),1.3),MIN(MAX(J1662/K1662,0),1.3))),"") </f>
        <v/>
      </c>
      <c r="M1662" s="28">
        <f>IFERROR(IF(OR(J1662=0,K1662=""),"",IF(E1662="Positivo",MAX(K1662/J1662,0),MAX(J1662/K1662,0))),"") </f>
        <v/>
      </c>
      <c r="N1662" s="5" t="inlineStr">
        <is>
          <t>%</t>
        </is>
      </c>
      <c r="O1662" s="5" t="inlineStr">
        <is>
          <t>%</t>
        </is>
      </c>
      <c r="P1662" s="16" t="n">
        <v>0</v>
      </c>
      <c r="Q1662" s="16" t="n">
        <v>0</v>
      </c>
      <c r="R1662" s="5" t="inlineStr">
        <is>
          <t>340-2023-03-31</t>
        </is>
      </c>
    </row>
    <row r="1663">
      <c r="A1663" s="26" t="n">
        <v>340</v>
      </c>
      <c r="B1663" s="5" t="inlineStr">
        <is>
          <t>Cumplimiento cronograma revisiones locativas</t>
        </is>
      </c>
      <c r="C1663" s="5" t="inlineStr">
        <is>
          <t>Gestión Infraestructura Física</t>
        </is>
      </c>
      <c r="D1663" s="5" t="inlineStr">
        <is>
          <t>Trimestral</t>
        </is>
      </c>
      <c r="E1663" s="5" t="inlineStr">
        <is>
          <t>Positivo</t>
        </is>
      </c>
      <c r="F1663" s="144" t="n">
        <v>45107</v>
      </c>
      <c r="G1663" s="5" t="n">
        <v>2023</v>
      </c>
      <c r="H1663" s="5" t="inlineStr">
        <is>
          <t>Junio</t>
        </is>
      </c>
      <c r="I1663" s="6" t="inlineStr">
        <is>
          <t>2023-1</t>
        </is>
      </c>
      <c r="J1663" s="5" t="n">
        <v>90</v>
      </c>
      <c r="K1663" s="125" t="n">
        <v>100</v>
      </c>
      <c r="L1663" s="28">
        <f>IFERROR(IF(OR(J1663=0,K1663=""),"",IF(E1663="Positivo",MIN(MAX(K1663/J1663,0),1.3),MIN(MAX(J1663/K1663,0),1.3))),"") </f>
        <v/>
      </c>
      <c r="M1663" s="28">
        <f>IFERROR(IF(OR(J1663=0,K1663=""),"",IF(E1663="Positivo",MAX(K1663/J1663,0),MAX(J1663/K1663,0))),"") </f>
        <v/>
      </c>
      <c r="N1663" s="5" t="inlineStr">
        <is>
          <t>%</t>
        </is>
      </c>
      <c r="O1663" s="5" t="inlineStr">
        <is>
          <t>%</t>
        </is>
      </c>
      <c r="P1663" s="16" t="n">
        <v>0</v>
      </c>
      <c r="Q1663" s="16" t="n">
        <v>0</v>
      </c>
      <c r="R1663" s="5" t="inlineStr">
        <is>
          <t>340-2023-06-30</t>
        </is>
      </c>
    </row>
    <row r="1664">
      <c r="A1664" s="26" t="n">
        <v>340</v>
      </c>
      <c r="B1664" s="5" t="inlineStr">
        <is>
          <t>Cumplimiento cronograma revisiones locativas</t>
        </is>
      </c>
      <c r="C1664" s="5" t="inlineStr">
        <is>
          <t>Gestión Infraestructura Física</t>
        </is>
      </c>
      <c r="D1664" s="5" t="inlineStr">
        <is>
          <t>Trimestral</t>
        </is>
      </c>
      <c r="E1664" s="5" t="inlineStr">
        <is>
          <t>Positivo</t>
        </is>
      </c>
      <c r="F1664" s="144" t="n">
        <v>45199</v>
      </c>
      <c r="G1664" s="5" t="n">
        <v>2023</v>
      </c>
      <c r="H1664" s="5" t="inlineStr">
        <is>
          <t>Septiembre</t>
        </is>
      </c>
      <c r="I1664" s="6" t="inlineStr">
        <is>
          <t>2023-2</t>
        </is>
      </c>
      <c r="J1664" s="5" t="n">
        <v>90</v>
      </c>
      <c r="K1664" s="125" t="n">
        <v>100</v>
      </c>
      <c r="L1664" s="28">
        <f>IFERROR(IF(OR(J1664=0,K1664=""),"",IF(E1664="Positivo",MIN(MAX(K1664/J1664,0),1.3),MIN(MAX(J1664/K1664,0),1.3))),"") </f>
        <v/>
      </c>
      <c r="M1664" s="28">
        <f>IFERROR(IF(OR(J1664=0,K1664=""),"",IF(E1664="Positivo",MAX(K1664/J1664,0),MAX(J1664/K1664,0))),"") </f>
        <v/>
      </c>
      <c r="N1664" s="5" t="inlineStr">
        <is>
          <t>%</t>
        </is>
      </c>
      <c r="O1664" s="5" t="inlineStr">
        <is>
          <t>%</t>
        </is>
      </c>
      <c r="P1664" s="16" t="n">
        <v>0</v>
      </c>
      <c r="Q1664" s="16" t="n">
        <v>0</v>
      </c>
      <c r="R1664" s="5" t="inlineStr">
        <is>
          <t>340-2023-09-30</t>
        </is>
      </c>
    </row>
    <row r="1665">
      <c r="A1665" s="26" t="n">
        <v>340</v>
      </c>
      <c r="B1665" s="5" t="inlineStr">
        <is>
          <t>Cumplimiento cronograma revisiones locativas</t>
        </is>
      </c>
      <c r="C1665" s="5" t="inlineStr">
        <is>
          <t>Gestión Infraestructura Física</t>
        </is>
      </c>
      <c r="D1665" s="5" t="inlineStr">
        <is>
          <t>Trimestral</t>
        </is>
      </c>
      <c r="E1665" s="5" t="inlineStr">
        <is>
          <t>Positivo</t>
        </is>
      </c>
      <c r="F1665" s="144" t="n">
        <v>45291</v>
      </c>
      <c r="G1665" s="5" t="n">
        <v>2023</v>
      </c>
      <c r="H1665" s="5" t="inlineStr">
        <is>
          <t>Diciembre</t>
        </is>
      </c>
      <c r="I1665" s="6" t="inlineStr">
        <is>
          <t>2023-2</t>
        </is>
      </c>
      <c r="J1665" s="5" t="n">
        <v>90</v>
      </c>
      <c r="K1665" s="125" t="n">
        <v>100</v>
      </c>
      <c r="L1665" s="28">
        <f>IFERROR(IF(OR(J1665=0,K1665=""),"",IF(E1665="Positivo",MIN(MAX(K1665/J1665,0),1.3),MIN(MAX(J1665/K1665,0),1.3))),"") </f>
        <v/>
      </c>
      <c r="M1665" s="28">
        <f>IFERROR(IF(OR(J1665=0,K1665=""),"",IF(E1665="Positivo",MAX(K1665/J1665,0),MAX(J1665/K1665,0))),"") </f>
        <v/>
      </c>
      <c r="N1665" s="5" t="inlineStr">
        <is>
          <t>%</t>
        </is>
      </c>
      <c r="O1665" s="5" t="inlineStr">
        <is>
          <t>%</t>
        </is>
      </c>
      <c r="P1665" s="16" t="n">
        <v>0</v>
      </c>
      <c r="Q1665" s="16" t="n">
        <v>0</v>
      </c>
      <c r="R1665" s="5" t="inlineStr">
        <is>
          <t>340-2023-12-31</t>
        </is>
      </c>
    </row>
    <row r="1666">
      <c r="A1666" s="39" t="n">
        <v>340</v>
      </c>
      <c r="B1666" s="5" t="inlineStr">
        <is>
          <t>Cumplimiento cronograma revisiones locativas</t>
        </is>
      </c>
      <c r="C1666" s="5" t="inlineStr">
        <is>
          <t>Gestión Infraestructura Física</t>
        </is>
      </c>
      <c r="D1666" s="5" t="inlineStr">
        <is>
          <t>Trimestral</t>
        </is>
      </c>
      <c r="E1666" s="5" t="inlineStr">
        <is>
          <t>Positivo</t>
        </is>
      </c>
      <c r="F1666" s="144" t="n">
        <v>45382</v>
      </c>
      <c r="G1666" s="5" t="n">
        <v>2024</v>
      </c>
      <c r="H1666" s="5" t="inlineStr">
        <is>
          <t>Marzo</t>
        </is>
      </c>
      <c r="I1666" s="6" t="inlineStr">
        <is>
          <t>2024-1</t>
        </is>
      </c>
      <c r="J1666" s="5" t="n">
        <v>95</v>
      </c>
      <c r="K1666" s="125" t="n">
        <v>100</v>
      </c>
      <c r="L1666" s="28">
        <f>IFERROR(IF(OR(J1666=0,K1666=""),"",IF(E1666="Positivo",MIN(MAX(K1666/J1666,0),1.3),MIN(MAX(J1666/K1666,0),1.3))),"") </f>
        <v/>
      </c>
      <c r="M1666" s="28">
        <f>IFERROR(IF(OR(J1666=0,K1666=""),"",IF(E1666="Positivo",MAX(K1666/J1666,0),MAX(J1666/K1666,0))),"") </f>
        <v/>
      </c>
      <c r="N1666" s="5" t="inlineStr">
        <is>
          <t>%</t>
        </is>
      </c>
      <c r="O1666" s="5" t="inlineStr">
        <is>
          <t>%</t>
        </is>
      </c>
      <c r="P1666" s="16" t="n">
        <v>0</v>
      </c>
      <c r="Q1666" s="16" t="n">
        <v>0</v>
      </c>
      <c r="R1666" s="5" t="inlineStr">
        <is>
          <t>340-2024-03-31</t>
        </is>
      </c>
    </row>
    <row r="1667">
      <c r="A1667" s="39" t="n">
        <v>340</v>
      </c>
      <c r="B1667" s="5" t="inlineStr">
        <is>
          <t>Cumplimiento cronograma revisiones locativas</t>
        </is>
      </c>
      <c r="C1667" s="5" t="inlineStr">
        <is>
          <t>Gestión Infraestructura Física</t>
        </is>
      </c>
      <c r="D1667" s="5" t="inlineStr">
        <is>
          <t>Trimestral</t>
        </is>
      </c>
      <c r="E1667" s="5" t="inlineStr">
        <is>
          <t>Positivo</t>
        </is>
      </c>
      <c r="F1667" s="144" t="n">
        <v>45473</v>
      </c>
      <c r="G1667" s="5" t="n">
        <v>2024</v>
      </c>
      <c r="H1667" s="5" t="inlineStr">
        <is>
          <t>Junio</t>
        </is>
      </c>
      <c r="I1667" s="6" t="inlineStr">
        <is>
          <t>2024-1</t>
        </is>
      </c>
      <c r="J1667" s="5" t="n">
        <v>95</v>
      </c>
      <c r="K1667" s="125" t="n">
        <v>100</v>
      </c>
      <c r="L1667" s="28">
        <f>IFERROR(IF(OR(J1667=0,K1667=""),"",IF(E1667="Positivo",MIN(MAX(K1667/J1667,0),1.3),MIN(MAX(J1667/K1667,0),1.3))),"") </f>
        <v/>
      </c>
      <c r="M1667" s="28">
        <f>IFERROR(IF(OR(J1667=0,K1667=""),"",IF(E1667="Positivo",MAX(K1667/J1667,0),MAX(J1667/K1667,0))),"") </f>
        <v/>
      </c>
      <c r="N1667" s="5" t="inlineStr">
        <is>
          <t>%</t>
        </is>
      </c>
      <c r="O1667" s="5" t="inlineStr">
        <is>
          <t>%</t>
        </is>
      </c>
      <c r="P1667" s="16" t="n">
        <v>0</v>
      </c>
      <c r="Q1667" s="16" t="n">
        <v>0</v>
      </c>
      <c r="R1667" s="5" t="inlineStr">
        <is>
          <t>340-2024-06-30</t>
        </is>
      </c>
    </row>
    <row r="1668">
      <c r="A1668" s="39" t="n">
        <v>340</v>
      </c>
      <c r="B1668" s="5" t="inlineStr">
        <is>
          <t>Cumplimiento cronograma revisiones locativas</t>
        </is>
      </c>
      <c r="C1668" s="5" t="inlineStr">
        <is>
          <t>Gestión Infraestructura Física</t>
        </is>
      </c>
      <c r="D1668" s="5" t="inlineStr">
        <is>
          <t>Trimestral</t>
        </is>
      </c>
      <c r="E1668" s="5" t="inlineStr">
        <is>
          <t>Positivo</t>
        </is>
      </c>
      <c r="F1668" s="144" t="n">
        <v>45565</v>
      </c>
      <c r="G1668" s="5" t="n">
        <v>2024</v>
      </c>
      <c r="H1668" s="5" t="inlineStr">
        <is>
          <t>Septiembre</t>
        </is>
      </c>
      <c r="I1668" s="6" t="inlineStr">
        <is>
          <t>2024-2</t>
        </is>
      </c>
      <c r="J1668" s="5" t="n">
        <v>95</v>
      </c>
      <c r="K1668" s="125" t="n">
        <v>100</v>
      </c>
      <c r="L1668" s="28">
        <f>IFERROR(IF(OR(J1668=0,K1668=""),"",IF(E1668="Positivo",MIN(MAX(K1668/J1668,0),1.3),MIN(MAX(J1668/K1668,0),1.3))),"") </f>
        <v/>
      </c>
      <c r="M1668" s="28">
        <f>IFERROR(IF(OR(J1668=0,K1668=""),"",IF(E1668="Positivo",MAX(K1668/J1668,0),MAX(J1668/K1668,0))),"") </f>
        <v/>
      </c>
      <c r="N1668" s="5" t="inlineStr">
        <is>
          <t>%</t>
        </is>
      </c>
      <c r="O1668" s="5" t="inlineStr">
        <is>
          <t>%</t>
        </is>
      </c>
      <c r="P1668" s="16" t="n">
        <v>0</v>
      </c>
      <c r="Q1668" s="16" t="n">
        <v>0</v>
      </c>
      <c r="R1668" s="5" t="inlineStr">
        <is>
          <t>340-2024-09-30</t>
        </is>
      </c>
    </row>
    <row r="1669">
      <c r="A1669" s="26" t="n">
        <v>340</v>
      </c>
      <c r="B1669" s="5" t="inlineStr">
        <is>
          <t>Cumplimiento cronograma revisiones locativas</t>
        </is>
      </c>
      <c r="C1669" s="5" t="inlineStr">
        <is>
          <t>Gestión Infraestructura Física</t>
        </is>
      </c>
      <c r="D1669" s="5" t="inlineStr">
        <is>
          <t>Trimestral</t>
        </is>
      </c>
      <c r="E1669" s="5" t="inlineStr">
        <is>
          <t>Positivo</t>
        </is>
      </c>
      <c r="F1669" s="144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5" t="n">
        <v>95</v>
      </c>
      <c r="K1669" s="10" t="n">
        <v>100</v>
      </c>
      <c r="L1669" s="28">
        <f>IFERROR(IF(OR(J1669=0,K1669=""),"",IF(E1669="Positivo",MIN(MAX(K1669/J1669,0),1.3),MIN(MAX(J1669/K1669,0),1.3))),"") </f>
        <v/>
      </c>
      <c r="M1669" s="28">
        <f>IFERROR(IF(OR(J1669=0,K1669=""),"",IF(E1669="Positivo",MAX(K1669/J1669,0),MAX(J1669/K1669,0))),"") </f>
        <v/>
      </c>
      <c r="N1669" s="5" t="inlineStr">
        <is>
          <t>%</t>
        </is>
      </c>
      <c r="O1669" s="5" t="inlineStr">
        <is>
          <t>%</t>
        </is>
      </c>
      <c r="P1669" s="16" t="n">
        <v>0</v>
      </c>
      <c r="Q1669" s="16" t="n">
        <v>0</v>
      </c>
      <c r="R1669" s="5" t="inlineStr">
        <is>
          <t>340-2024-12-31</t>
        </is>
      </c>
    </row>
    <row r="1670">
      <c r="A1670" s="26" t="n">
        <v>341</v>
      </c>
      <c r="B1670" s="5" t="inlineStr">
        <is>
          <t>Monto total de ahorro en gestión de abastecimiento</t>
        </is>
      </c>
      <c r="C1670" s="5" t="inlineStr">
        <is>
          <t>GESTIÓN DE ABASTECIMIENTO</t>
        </is>
      </c>
      <c r="D1670" s="5" t="inlineStr">
        <is>
          <t>Semestral</t>
        </is>
      </c>
      <c r="E1670" s="5" t="inlineStr">
        <is>
          <t>Positivo</t>
        </is>
      </c>
      <c r="F1670" s="144" t="n">
        <v>45107</v>
      </c>
      <c r="G1670" s="5" t="n">
        <v>2023</v>
      </c>
      <c r="H1670" s="5" t="inlineStr">
        <is>
          <t>Junio</t>
        </is>
      </c>
      <c r="I1670" s="6" t="inlineStr">
        <is>
          <t>2023-1</t>
        </is>
      </c>
      <c r="J1670" s="5" t="n">
        <v>100</v>
      </c>
      <c r="K1670" s="10" t="n">
        <v>123.86966666667</v>
      </c>
      <c r="L1670" s="28">
        <f>IFERROR(IF(OR(J1670=0,K1670=""),"",IF(E1670="Positivo",MIN(MAX(K1670/J1670,0),1.3),MIN(MAX(J1670/K1670,0),1.3))),"") </f>
        <v/>
      </c>
      <c r="M1670" s="28">
        <f>IFERROR(IF(OR(J1670=0,K1670=""),"",IF(E1670="Positivo",MAX(K1670/J1670,0),MAX(J1670/K1670,0))),"") </f>
        <v/>
      </c>
      <c r="N1670" s="5" t="inlineStr">
        <is>
          <t>$</t>
        </is>
      </c>
      <c r="O1670" s="5" t="inlineStr">
        <is>
          <t>$</t>
        </is>
      </c>
      <c r="P1670" s="16" t="n">
        <v>0</v>
      </c>
      <c r="Q1670" s="16" t="n">
        <v>0</v>
      </c>
      <c r="R1670" s="5" t="inlineStr">
        <is>
          <t>341-2023-06-30</t>
        </is>
      </c>
    </row>
    <row r="1671">
      <c r="A1671" s="43" t="n">
        <v>341</v>
      </c>
      <c r="B1671" s="5" t="inlineStr">
        <is>
          <t>Monto total de ahorro en gestión de abastecimiento</t>
        </is>
      </c>
      <c r="C1671" s="5" t="inlineStr">
        <is>
          <t>GESTIÓN DE ABASTECIMIENTO</t>
        </is>
      </c>
      <c r="D1671" s="5" t="inlineStr">
        <is>
          <t>Semestral</t>
        </is>
      </c>
      <c r="E1671" s="5" t="inlineStr">
        <is>
          <t>Positivo</t>
        </is>
      </c>
      <c r="F1671" s="144" t="n">
        <v>45291</v>
      </c>
      <c r="G1671" s="5" t="n">
        <v>2023</v>
      </c>
      <c r="H1671" s="5" t="inlineStr">
        <is>
          <t>Diciembre</t>
        </is>
      </c>
      <c r="I1671" s="6" t="inlineStr">
        <is>
          <t>2023-2</t>
        </is>
      </c>
      <c r="J1671" s="126" t="n">
        <v>100</v>
      </c>
      <c r="K1671" s="123" t="n">
        <v>130.57</v>
      </c>
      <c r="L1671" s="28">
        <f>IFERROR(IF(OR(J1671=0,K1671=""),"",IF(E1671="Positivo",MIN(MAX(K1671/J1671,0),1.3),MIN(MAX(J1671/K1671,0),1.3))),"") </f>
        <v/>
      </c>
      <c r="M1671" s="28">
        <f>IFERROR(IF(OR(J1671=0,K1671=""),"",IF(E1671="Positivo",MAX(K1671/J1671,0),MAX(J1671/K1671,0))),"") </f>
        <v/>
      </c>
      <c r="N1671" s="5" t="inlineStr">
        <is>
          <t>$</t>
        </is>
      </c>
      <c r="O1671" s="5" t="inlineStr">
        <is>
          <t>$</t>
        </is>
      </c>
      <c r="P1671" s="16" t="n">
        <v>0</v>
      </c>
      <c r="Q1671" s="16" t="n">
        <v>0</v>
      </c>
      <c r="R1671" s="5" t="inlineStr">
        <is>
          <t>341-2023-12-31</t>
        </is>
      </c>
    </row>
    <row r="1672">
      <c r="A1672" s="26" t="n">
        <v>341</v>
      </c>
      <c r="B1672" s="5" t="inlineStr">
        <is>
          <t>Reducción de costos en gestión de abastecimiento</t>
        </is>
      </c>
      <c r="C1672" s="5" t="inlineStr">
        <is>
          <t>GESTIÓN DE ABASTECIMIENTO</t>
        </is>
      </c>
      <c r="D1672" s="5" t="inlineStr">
        <is>
          <t>Semestral</t>
        </is>
      </c>
      <c r="E1672" s="5" t="inlineStr">
        <is>
          <t>Positivo</t>
        </is>
      </c>
      <c r="F1672" s="143" t="n">
        <v>45473</v>
      </c>
      <c r="G1672" s="5" t="n">
        <v>2024</v>
      </c>
      <c r="H1672" s="5" t="inlineStr">
        <is>
          <t>Junio</t>
        </is>
      </c>
      <c r="I1672" s="6" t="inlineStr">
        <is>
          <t>2024-1</t>
        </is>
      </c>
      <c r="J1672" s="5" t="n">
        <v>100</v>
      </c>
      <c r="K1672" s="123" t="n">
        <v>125</v>
      </c>
      <c r="L1672" s="28">
        <f>IFERROR(IF(OR(J1672=0,K1672=""),"",IF(E1672="Positivo",MIN(MAX(K1672/J1672,0),1.3),MIN(MAX(J1672/K1672,0),1.3))),"") </f>
        <v/>
      </c>
      <c r="M1672" s="28">
        <f>IFERROR(IF(OR(J1672=0,K1672=""),"",IF(E1672="Positivo",MAX(K1672/J1672,0),MAX(J1672/K1672,0))),"") </f>
        <v/>
      </c>
      <c r="N1672" s="5" t="inlineStr">
        <is>
          <t>$</t>
        </is>
      </c>
      <c r="O1672" s="5" t="inlineStr">
        <is>
          <t>$</t>
        </is>
      </c>
      <c r="P1672" s="16" t="n">
        <v>0</v>
      </c>
      <c r="Q1672" s="16" t="n">
        <v>0</v>
      </c>
      <c r="R1672" s="5" t="inlineStr">
        <is>
          <t>341-2024-06-30</t>
        </is>
      </c>
    </row>
    <row r="1673">
      <c r="A1673" s="26" t="n">
        <v>341</v>
      </c>
      <c r="B1673" s="5" t="inlineStr">
        <is>
          <t>Reducción de costos en gestión de abastecimiento</t>
        </is>
      </c>
      <c r="C1673" s="5" t="inlineStr">
        <is>
          <t>GESTIÓN DE ABASTECIMIENTO</t>
        </is>
      </c>
      <c r="D1673" s="5" t="inlineStr">
        <is>
          <t>Semestral</t>
        </is>
      </c>
      <c r="E1673" s="5" t="inlineStr">
        <is>
          <t>Positivo</t>
        </is>
      </c>
      <c r="F1673" s="144" t="n">
        <v>45657</v>
      </c>
      <c r="G1673" s="5" t="n">
        <v>2024</v>
      </c>
      <c r="H1673" s="5" t="inlineStr">
        <is>
          <t>Diciembre</t>
        </is>
      </c>
      <c r="I1673" s="6" t="inlineStr">
        <is>
          <t>2024-2</t>
        </is>
      </c>
      <c r="J1673" s="5" t="n">
        <v>100</v>
      </c>
      <c r="K1673" s="10" t="n">
        <v>102.44</v>
      </c>
      <c r="L1673" s="28">
        <f>IFERROR(IF(OR(J1673=0,K1673=""),"",IF(E1673="Positivo",MIN(MAX(K1673/J1673,0),1.3),MIN(MAX(J1673/K1673,0),1.3))),"") </f>
        <v/>
      </c>
      <c r="M1673" s="28">
        <f>IFERROR(IF(OR(J1673=0,K1673=""),"",IF(E1673="Positivo",MAX(K1673/J1673,0),MAX(J1673/K1673,0))),"") </f>
        <v/>
      </c>
      <c r="N1673" s="5" t="inlineStr">
        <is>
          <t>$</t>
        </is>
      </c>
      <c r="O1673" s="5" t="inlineStr">
        <is>
          <t>$</t>
        </is>
      </c>
      <c r="P1673" s="16" t="n">
        <v>0</v>
      </c>
      <c r="Q1673" s="16" t="n">
        <v>0</v>
      </c>
      <c r="R1673" s="5" t="inlineStr">
        <is>
          <t>341-2024-12-31</t>
        </is>
      </c>
    </row>
    <row r="1674">
      <c r="A1674" s="26" t="n">
        <v>341</v>
      </c>
      <c r="B1674" s="5" t="inlineStr">
        <is>
          <t>Reducción de costos en gestión de abastecimiento</t>
        </is>
      </c>
      <c r="C1674" s="5" t="inlineStr">
        <is>
          <t>GESTIÓN DE ABASTECIMIENTO</t>
        </is>
      </c>
      <c r="D1674" s="5" t="inlineStr">
        <is>
          <t>Semestral</t>
        </is>
      </c>
      <c r="E1674" s="5" t="inlineStr">
        <is>
          <t>Positivo</t>
        </is>
      </c>
      <c r="F1674" s="144" t="n">
        <v>45838</v>
      </c>
      <c r="G1674" s="5" t="n">
        <v>2025</v>
      </c>
      <c r="H1674" s="5" t="inlineStr">
        <is>
          <t>Junio</t>
        </is>
      </c>
      <c r="I1674" s="6" t="inlineStr">
        <is>
          <t>2025-1</t>
        </is>
      </c>
      <c r="J1674" s="5" t="n">
        <v>100</v>
      </c>
      <c r="K1674" s="11" t="n">
        <v>102.25</v>
      </c>
      <c r="L1674" s="28">
        <f>IFERROR(IF(OR(J1674=0,K1674=""),"",IF(E1674="Positivo",MIN(MAX(K1674/J1674,0),1.3),MIN(MAX(J1674/K1674,0),1.3))),"") </f>
        <v/>
      </c>
      <c r="M1674" s="28">
        <f>IFERROR(IF(OR(J1674=0,K1674=""),"",IF(E1674="Positivo",MAX(K1674/J1674,0),MAX(J1674/K1674,0))),"") </f>
        <v/>
      </c>
      <c r="N1674" s="5" t="inlineStr">
        <is>
          <t>$</t>
        </is>
      </c>
      <c r="O1674" s="5" t="inlineStr">
        <is>
          <t>$</t>
        </is>
      </c>
      <c r="P1674" s="16" t="n">
        <v>0</v>
      </c>
      <c r="Q1674" s="16" t="n">
        <v>0</v>
      </c>
      <c r="R1674" s="5" t="inlineStr">
        <is>
          <t>341-2025-06-30</t>
        </is>
      </c>
    </row>
    <row r="1675">
      <c r="A1675" s="26" t="n">
        <v>341</v>
      </c>
      <c r="B1675" s="5" t="inlineStr">
        <is>
          <t>Eficiencia en la reducción de costos en la gestión del abastecimiento</t>
        </is>
      </c>
      <c r="C1675" s="5" t="inlineStr">
        <is>
          <t>GESTIÓN DE ABASTECIMIENTO</t>
        </is>
      </c>
      <c r="D1675" s="5" t="inlineStr">
        <is>
          <t>Trimestral</t>
        </is>
      </c>
      <c r="E1675" s="5" t="inlineStr">
        <is>
          <t>Positivo</t>
        </is>
      </c>
      <c r="F1675" s="144" t="n">
        <v>46022</v>
      </c>
      <c r="G1675" s="5" t="n">
        <v>2025</v>
      </c>
      <c r="H1675" s="5" t="inlineStr">
        <is>
          <t>Diciembre</t>
        </is>
      </c>
      <c r="I1675" s="6" t="inlineStr">
        <is>
          <t>2025-2</t>
        </is>
      </c>
      <c r="J1675" s="5" t="n">
        <v>100</v>
      </c>
      <c r="K1675" s="123" t="n">
        <v>102.65</v>
      </c>
      <c r="L1675" s="28">
        <f>IFERROR(IF(OR(J1675=0,K1675=""),"",IF(E1675="Positivo",MIN(MAX(K1675/J1675,0),1.3),MIN(MAX(J1675/K1675,0),1.3))),"") </f>
        <v/>
      </c>
      <c r="M1675" s="28">
        <f>IFERROR(IF(OR(J1675=0,K1675=""),"",IF(E1675="Positivo",MAX(K1675/J1675,0),MAX(J1675/K1675,0))),"") </f>
        <v/>
      </c>
      <c r="N1675" s="5" t="inlineStr">
        <is>
          <t>$</t>
        </is>
      </c>
      <c r="O1675" s="11" t="inlineStr">
        <is>
          <t>$</t>
        </is>
      </c>
      <c r="P1675" s="16" t="n">
        <v>0</v>
      </c>
      <c r="Q1675" s="16" t="n">
        <v>0</v>
      </c>
      <c r="R1675" s="5" t="inlineStr">
        <is>
          <t>341-2025-12-31</t>
        </is>
      </c>
    </row>
    <row r="1676">
      <c r="A1676" s="26" t="n">
        <v>344</v>
      </c>
      <c r="B1676" s="5" t="inlineStr">
        <is>
          <t>Cumplimiento del plan de Inducción institucional</t>
        </is>
      </c>
      <c r="C1676" s="5" t="inlineStr">
        <is>
          <t>GESTIÓN Y DESARROLLO DEL TALENTO HUMANO</t>
        </is>
      </c>
      <c r="D1676" s="5" t="inlineStr">
        <is>
          <t>Semestral</t>
        </is>
      </c>
      <c r="E1676" s="5" t="inlineStr">
        <is>
          <t>Positivo</t>
        </is>
      </c>
      <c r="F1676" s="143" t="n">
        <v>45107</v>
      </c>
      <c r="G1676" s="5" t="n">
        <v>2023</v>
      </c>
      <c r="H1676" s="5" t="inlineStr">
        <is>
          <t>Junio</t>
        </is>
      </c>
      <c r="I1676" s="6" t="inlineStr">
        <is>
          <t>2023-1</t>
        </is>
      </c>
      <c r="J1676" s="5" t="n">
        <v>90</v>
      </c>
      <c r="K1676" s="123" t="n">
        <v>97.74436090225601</v>
      </c>
      <c r="L1676" s="28">
        <f>IFERROR(IF(OR(J1676=0,K1676=""),"",IF(E1676="Positivo",MIN(MAX(K1676/J1676,0),1.3),MIN(MAX(J1676/K1676,0),1.3))),"") </f>
        <v/>
      </c>
      <c r="M1676" s="28">
        <f>IFERROR(IF(OR(J1676=0,K1676=""),"",IF(E1676="Positivo",MAX(K1676/J1676,0),MAX(J1676/K1676,0))),"") </f>
        <v/>
      </c>
      <c r="N1676" s="5" t="inlineStr">
        <is>
          <t>%</t>
        </is>
      </c>
      <c r="O1676" s="11" t="inlineStr">
        <is>
          <t>%</t>
        </is>
      </c>
      <c r="P1676" s="16" t="n">
        <v>0</v>
      </c>
      <c r="Q1676" s="16" t="n">
        <v>0</v>
      </c>
      <c r="R1676" s="5" t="inlineStr">
        <is>
          <t>344-2023-06-30</t>
        </is>
      </c>
    </row>
    <row r="1677">
      <c r="A1677" s="26" t="n">
        <v>344</v>
      </c>
      <c r="B1677" s="5" t="inlineStr">
        <is>
          <t>Cumplimiento del plan de Inducción institucional</t>
        </is>
      </c>
      <c r="C1677" s="5" t="inlineStr">
        <is>
          <t>GESTIÓN Y DESARROLLO DEL TALENTO HUMANO</t>
        </is>
      </c>
      <c r="D1677" s="5" t="inlineStr">
        <is>
          <t>Semestral</t>
        </is>
      </c>
      <c r="E1677" s="5" t="inlineStr">
        <is>
          <t>Positivo</t>
        </is>
      </c>
      <c r="F1677" s="144" t="n">
        <v>45291</v>
      </c>
      <c r="G1677" s="5" t="n">
        <v>2023</v>
      </c>
      <c r="H1677" s="5" t="inlineStr">
        <is>
          <t>Diciembre</t>
        </is>
      </c>
      <c r="I1677" s="6" t="inlineStr">
        <is>
          <t>2023-2</t>
        </is>
      </c>
      <c r="J1677" s="5" t="n">
        <v>90</v>
      </c>
      <c r="K1677" s="123" t="n">
        <v>97.76000000000001</v>
      </c>
      <c r="L1677" s="28">
        <f>IFERROR(IF(OR(J1677=0,K1677=""),"",IF(E1677="Positivo",MIN(MAX(K1677/J1677,0),1.3),MIN(MAX(J1677/K1677,0),1.3))),"") </f>
        <v/>
      </c>
      <c r="M1677" s="28">
        <f>IFERROR(IF(OR(J1677=0,K1677=""),"",IF(E1677="Positivo",MAX(K1677/J1677,0),MAX(J1677/K1677,0))),"") </f>
        <v/>
      </c>
      <c r="N1677" s="5" t="inlineStr">
        <is>
          <t>%</t>
        </is>
      </c>
      <c r="O1677" s="11" t="inlineStr">
        <is>
          <t>%</t>
        </is>
      </c>
      <c r="P1677" s="16" t="n">
        <v>0</v>
      </c>
      <c r="Q1677" s="16" t="n">
        <v>0</v>
      </c>
      <c r="R1677" s="5" t="inlineStr">
        <is>
          <t>344-2023-12-31</t>
        </is>
      </c>
    </row>
    <row r="1678">
      <c r="A1678" s="26" t="n">
        <v>344</v>
      </c>
      <c r="B1678" s="5" t="inlineStr">
        <is>
          <t>Cumplimiento del plan de Inducción institucional</t>
        </is>
      </c>
      <c r="C1678" s="5" t="inlineStr">
        <is>
          <t>GESTIÓN Y DESARROLLO DEL TALENTO HUMANO</t>
        </is>
      </c>
      <c r="D1678" s="5" t="inlineStr">
        <is>
          <t>Semestral</t>
        </is>
      </c>
      <c r="E1678" s="5" t="inlineStr">
        <is>
          <t>Positivo</t>
        </is>
      </c>
      <c r="F1678" s="144" t="n">
        <v>45473</v>
      </c>
      <c r="G1678" s="5" t="n">
        <v>2024</v>
      </c>
      <c r="H1678" s="5" t="inlineStr">
        <is>
          <t>Junio</t>
        </is>
      </c>
      <c r="I1678" s="6" t="inlineStr">
        <is>
          <t>2024-1</t>
        </is>
      </c>
      <c r="J1678" s="5" t="n">
        <v>93</v>
      </c>
      <c r="K1678" s="123" t="n">
        <v>97.34</v>
      </c>
      <c r="L1678" s="28">
        <f>IFERROR(IF(OR(J1678=0,K1678=""),"",IF(E1678="Positivo",MIN(MAX(K1678/J1678,0),1.3),MIN(MAX(J1678/K1678,0),1.3))),"") </f>
        <v/>
      </c>
      <c r="M1678" s="28">
        <f>IFERROR(IF(OR(J1678=0,K1678=""),"",IF(E1678="Positivo",MAX(K1678/J1678,0),MAX(J1678/K1678,0))),"") </f>
        <v/>
      </c>
      <c r="N1678" s="5" t="inlineStr">
        <is>
          <t>%</t>
        </is>
      </c>
      <c r="O1678" s="11" t="inlineStr">
        <is>
          <t>%</t>
        </is>
      </c>
      <c r="P1678" s="16" t="n">
        <v>0</v>
      </c>
      <c r="Q1678" s="16" t="n">
        <v>0</v>
      </c>
      <c r="R1678" s="5" t="inlineStr">
        <is>
          <t>344-2024-06-30</t>
        </is>
      </c>
    </row>
    <row r="1679">
      <c r="A1679" s="26" t="n">
        <v>344</v>
      </c>
      <c r="B1679" s="5" t="inlineStr">
        <is>
          <t>Cumplimiento del plan de Inducción institucional</t>
        </is>
      </c>
      <c r="C1679" s="5" t="inlineStr">
        <is>
          <t>GESTIÓN Y DESARROLLO DEL TALENTO HUMANO</t>
        </is>
      </c>
      <c r="D1679" s="5" t="inlineStr">
        <is>
          <t>Semestral</t>
        </is>
      </c>
      <c r="E1679" s="5" t="inlineStr">
        <is>
          <t>Positivo</t>
        </is>
      </c>
      <c r="F1679" s="144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93</v>
      </c>
      <c r="K1679" s="123" t="n">
        <v>99.19</v>
      </c>
      <c r="L1679" s="28">
        <f>IFERROR(IF(OR(J1679=0,K1679=""),"",IF(E1679="Positivo",MIN(MAX(K1679/J1679,0),1.3),MIN(MAX(J1679/K1679,0),1.3))),"") </f>
        <v/>
      </c>
      <c r="M1679" s="28">
        <f>IFERROR(IF(OR(J1679=0,K1679=""),"",IF(E1679="Positivo",MAX(K1679/J1679,0),MAX(J1679/K1679,0))),"") </f>
        <v/>
      </c>
      <c r="N1679" s="5" t="inlineStr">
        <is>
          <t>%</t>
        </is>
      </c>
      <c r="O1679" s="11" t="inlineStr">
        <is>
          <t>%</t>
        </is>
      </c>
      <c r="P1679" s="16" t="n">
        <v>0</v>
      </c>
      <c r="Q1679" s="16" t="n">
        <v>0</v>
      </c>
      <c r="R1679" s="5" t="inlineStr">
        <is>
          <t>344-2024-12-31</t>
        </is>
      </c>
    </row>
    <row r="1680">
      <c r="A1680" s="26" t="n">
        <v>344</v>
      </c>
      <c r="B1680" s="5" t="inlineStr">
        <is>
          <t>Cumplimiento del plan de Inducción institucional</t>
        </is>
      </c>
      <c r="C1680" s="5" t="inlineStr">
        <is>
          <t>GESTIÓN Y DESARROLLO DEL TALENTO HUMANO</t>
        </is>
      </c>
      <c r="D1680" s="5" t="inlineStr">
        <is>
          <t>Semestral</t>
        </is>
      </c>
      <c r="E1680" s="5" t="inlineStr">
        <is>
          <t>Positivo</t>
        </is>
      </c>
      <c r="F1680" s="144" t="n">
        <v>45838</v>
      </c>
      <c r="G1680" s="5" t="n">
        <v>2025</v>
      </c>
      <c r="H1680" s="5" t="inlineStr">
        <is>
          <t>Junio</t>
        </is>
      </c>
      <c r="I1680" s="6" t="inlineStr">
        <is>
          <t>2025-1</t>
        </is>
      </c>
      <c r="J1680" s="5" t="n">
        <v>93</v>
      </c>
      <c r="K1680" s="123" t="n">
        <v>99.43000000000001</v>
      </c>
      <c r="L1680" s="28">
        <f>IFERROR(IF(OR(J1680=0,K1680=""),"",IF(E1680="Positivo",MIN(MAX(K1680/J1680,0),1.3),MIN(MAX(J1680/K1680,0),1.3))),"") </f>
        <v/>
      </c>
      <c r="M1680" s="28">
        <f>IFERROR(IF(OR(J1680=0,K1680=""),"",IF(E1680="Positivo",MAX(K1680/J1680,0),MAX(J1680/K1680,0))),"") </f>
        <v/>
      </c>
      <c r="N1680" s="5" t="inlineStr">
        <is>
          <t>%</t>
        </is>
      </c>
      <c r="O1680" s="11" t="inlineStr">
        <is>
          <t>%</t>
        </is>
      </c>
      <c r="P1680" s="16" t="n">
        <v>0</v>
      </c>
      <c r="Q1680" s="16" t="n">
        <v>0</v>
      </c>
      <c r="R1680" s="5" t="inlineStr">
        <is>
          <t>344-2025-06-30</t>
        </is>
      </c>
    </row>
    <row r="1681">
      <c r="A1681" s="26" t="n">
        <v>344</v>
      </c>
      <c r="B1681" s="5" t="inlineStr">
        <is>
          <t>Cumplimiento del plan de Inducción institucional</t>
        </is>
      </c>
      <c r="C1681" s="5" t="inlineStr">
        <is>
          <t>GESTIÓN Y DESARROLLO DEL TALENTO HUMANO</t>
        </is>
      </c>
      <c r="D1681" s="5" t="inlineStr">
        <is>
          <t>Trimestral</t>
        </is>
      </c>
      <c r="E1681" s="5" t="inlineStr">
        <is>
          <t>Positivo</t>
        </is>
      </c>
      <c r="F1681" s="144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93</v>
      </c>
      <c r="K1681" s="123" t="n">
        <v>100</v>
      </c>
      <c r="L1681" s="28">
        <f>IFERROR(IF(OR(J1681=0,K1681=""),"",IF(E1681="Positivo",MIN(MAX(K1681/J1681,0),1.3),MIN(MAX(J1681/K1681,0),1.3))),"") </f>
        <v/>
      </c>
      <c r="M1681" s="28">
        <f>IFERROR(IF(OR(J1681=0,K1681=""),"",IF(E1681="Positivo",MAX(K1681/J1681,0),MAX(J1681/K1681,0))),"") </f>
        <v/>
      </c>
      <c r="N1681" s="5" t="inlineStr">
        <is>
          <t>%</t>
        </is>
      </c>
      <c r="O1681" s="11" t="inlineStr">
        <is>
          <t>%</t>
        </is>
      </c>
      <c r="P1681" s="16" t="n">
        <v>0</v>
      </c>
      <c r="Q1681" s="16" t="n">
        <v>0</v>
      </c>
      <c r="R1681" s="5" t="inlineStr">
        <is>
          <t>344-2025-12-31</t>
        </is>
      </c>
    </row>
    <row r="1682">
      <c r="A1682" s="26" t="n">
        <v>345</v>
      </c>
      <c r="B1682" s="5" t="inlineStr">
        <is>
          <t>% de profesores impactados plan de desarrollo docente</t>
        </is>
      </c>
      <c r="C1682" s="5" t="inlineStr">
        <is>
          <t>GESTIÓN Y DESARROLLO DEL TALENTO HUMANO</t>
        </is>
      </c>
      <c r="D1682" s="5" t="inlineStr">
        <is>
          <t>Anual</t>
        </is>
      </c>
      <c r="E1682" s="5" t="inlineStr">
        <is>
          <t>Positivo</t>
        </is>
      </c>
      <c r="F1682" s="144" t="n">
        <v>45291</v>
      </c>
      <c r="G1682" s="5" t="n">
        <v>2023</v>
      </c>
      <c r="H1682" s="5" t="inlineStr">
        <is>
          <t>Diciembre</t>
        </is>
      </c>
      <c r="I1682" s="6" t="inlineStr">
        <is>
          <t>2023-2</t>
        </is>
      </c>
      <c r="J1682" s="5" t="n"/>
      <c r="K1682" s="123" t="n">
        <v>94.84999999999999</v>
      </c>
      <c r="L1682" s="8" t="n"/>
      <c r="M1682" s="28" t="n"/>
      <c r="N1682" s="5" t="inlineStr">
        <is>
          <t>Linea Base</t>
        </is>
      </c>
      <c r="O1682" s="11" t="inlineStr">
        <is>
          <t>%</t>
        </is>
      </c>
      <c r="P1682" s="16" t="n">
        <v>0</v>
      </c>
      <c r="Q1682" s="16" t="n">
        <v>0</v>
      </c>
      <c r="R1682" s="5" t="inlineStr">
        <is>
          <t>345-2023-12-31</t>
        </is>
      </c>
    </row>
    <row r="1683">
      <c r="A1683" s="26" t="n">
        <v>346</v>
      </c>
      <c r="B1683" s="5" t="inlineStr">
        <is>
          <t>% de profesores impactados en actividades de Bienestar</t>
        </is>
      </c>
      <c r="C1683" s="5" t="inlineStr">
        <is>
          <t>GESTIÓN Y DESARROLLO DEL TALENTO HUMANO</t>
        </is>
      </c>
      <c r="D1683" s="5" t="inlineStr">
        <is>
          <t>Anual</t>
        </is>
      </c>
      <c r="E1683" s="5" t="inlineStr">
        <is>
          <t>Positivo</t>
        </is>
      </c>
      <c r="F1683" s="144" t="n">
        <v>45291</v>
      </c>
      <c r="G1683" s="5" t="n">
        <v>2023</v>
      </c>
      <c r="H1683" s="5" t="inlineStr">
        <is>
          <t>Diciembre</t>
        </is>
      </c>
      <c r="I1683" s="6" t="inlineStr">
        <is>
          <t>2023-2</t>
        </is>
      </c>
      <c r="J1683" s="5" t="n"/>
      <c r="K1683" s="10" t="n">
        <v>83.91608391608392</v>
      </c>
      <c r="L1683" s="28" t="n"/>
      <c r="M1683" s="28" t="n"/>
      <c r="N1683" s="5" t="inlineStr">
        <is>
          <t>Linea Base</t>
        </is>
      </c>
      <c r="O1683" s="5" t="inlineStr">
        <is>
          <t>%</t>
        </is>
      </c>
      <c r="P1683" s="16" t="n">
        <v>0</v>
      </c>
      <c r="Q1683" s="16" t="n">
        <v>0</v>
      </c>
      <c r="R1683" s="5" t="inlineStr">
        <is>
          <t>346-2023-12-31</t>
        </is>
      </c>
    </row>
    <row r="1684">
      <c r="A1684" s="26" t="n">
        <v>346</v>
      </c>
      <c r="B1684" s="5" t="inlineStr">
        <is>
          <t>% de profesores impactados en actividades de Bienestar</t>
        </is>
      </c>
      <c r="C1684" s="5" t="inlineStr">
        <is>
          <t>GESTIÓN Y DESARROLLO DEL TALENTO HUMANO</t>
        </is>
      </c>
      <c r="D1684" s="5" t="inlineStr">
        <is>
          <t>Anual</t>
        </is>
      </c>
      <c r="E1684" s="5" t="inlineStr">
        <is>
          <t>Positivo</t>
        </is>
      </c>
      <c r="F1684" s="144" t="n">
        <v>45657</v>
      </c>
      <c r="G1684" s="5" t="n">
        <v>2024</v>
      </c>
      <c r="H1684" s="5" t="inlineStr">
        <is>
          <t>Diciembre</t>
        </is>
      </c>
      <c r="I1684" s="6" t="inlineStr">
        <is>
          <t>2024-2</t>
        </is>
      </c>
      <c r="J1684" s="5" t="n">
        <v>85</v>
      </c>
      <c r="K1684" s="10" t="n">
        <v>91.88</v>
      </c>
      <c r="L1684" s="28">
        <f>IFERROR(IF(OR(J1684=0,K1684=""),"",IF(E1684="Positivo",MIN(MAX(K1684/J1684,0),1.3),MIN(MAX(J1684/K1684,0),1.3))),"") </f>
        <v/>
      </c>
      <c r="M1684" s="28">
        <f>IFERROR(IF(OR(J1684=0,K1684=""),"",IF(E1684="Positivo",MAX(K1684/J1684,0),MAX(J1684/K1684,0))),"") </f>
        <v/>
      </c>
      <c r="N1684" s="5" t="inlineStr">
        <is>
          <t>Linea Base</t>
        </is>
      </c>
      <c r="O1684" s="5" t="inlineStr">
        <is>
          <t>%</t>
        </is>
      </c>
      <c r="P1684" s="16" t="n">
        <v>0</v>
      </c>
      <c r="Q1684" s="16" t="n">
        <v>0</v>
      </c>
      <c r="R1684" s="5" t="inlineStr">
        <is>
          <t>346-2024-12-31</t>
        </is>
      </c>
    </row>
    <row r="1685">
      <c r="A1685" s="26" t="n">
        <v>346</v>
      </c>
      <c r="B1685" s="5" t="inlineStr">
        <is>
          <t>% de profesores impactados en actividades de Bienestar</t>
        </is>
      </c>
      <c r="C1685" s="5" t="inlineStr">
        <is>
          <t>GESTIÓN Y DESARROLLO DEL TALENTO HUMANO</t>
        </is>
      </c>
      <c r="D1685" s="5" t="inlineStr">
        <is>
          <t>Anual</t>
        </is>
      </c>
      <c r="E1685" s="5" t="inlineStr">
        <is>
          <t>Positivo</t>
        </is>
      </c>
      <c r="F1685" s="144" t="n">
        <v>46022</v>
      </c>
      <c r="G1685" s="5" t="n">
        <v>2025</v>
      </c>
      <c r="H1685" s="5" t="inlineStr">
        <is>
          <t>Diciembre</t>
        </is>
      </c>
      <c r="I1685" s="6" t="inlineStr">
        <is>
          <t>2025-2</t>
        </is>
      </c>
      <c r="J1685" s="5" t="n">
        <v>85</v>
      </c>
      <c r="K1685" s="10" t="n">
        <v>97.28</v>
      </c>
      <c r="L1685" s="28">
        <f>IFERROR(IF(OR(J1685=0,K1685=""),"",IF(E1685="Positivo",MIN(MAX(K1685/J1685,0),1.3),MIN(MAX(J1685/K1685,0),1.3))),"") </f>
        <v/>
      </c>
      <c r="M1685" s="28">
        <f>IFERROR(IF(OR(J1685=0,K1685=""),"",IF(E1685="Positivo",MAX(K1685/J1685,0),MAX(J1685/K1685,0))),"") </f>
        <v/>
      </c>
      <c r="N1685" s="5" t="inlineStr">
        <is>
          <t>Linea Base</t>
        </is>
      </c>
      <c r="O1685" s="5" t="inlineStr">
        <is>
          <t>%</t>
        </is>
      </c>
      <c r="P1685" s="16" t="n">
        <v>0</v>
      </c>
      <c r="Q1685" s="16" t="n">
        <v>0</v>
      </c>
      <c r="R1685" s="5" t="inlineStr">
        <is>
          <t>346-2025-12-31</t>
        </is>
      </c>
    </row>
    <row r="1686">
      <c r="A1686" s="26" t="n">
        <v>347</v>
      </c>
      <c r="B1686" s="5" t="inlineStr">
        <is>
          <t>Legalizaciones y anticipos</t>
        </is>
      </c>
      <c r="C1686" s="5" t="inlineStr">
        <is>
          <t>Contabilidad</t>
        </is>
      </c>
      <c r="D1686" s="5" t="inlineStr">
        <is>
          <t>Trimestral</t>
        </is>
      </c>
      <c r="E1686" s="5" t="inlineStr">
        <is>
          <t>Negativo</t>
        </is>
      </c>
      <c r="F1686" s="144" t="n">
        <v>45016</v>
      </c>
      <c r="G1686" s="5" t="n">
        <v>2023</v>
      </c>
      <c r="H1686" s="5" t="inlineStr">
        <is>
          <t>Marzo</t>
        </is>
      </c>
      <c r="I1686" s="6" t="inlineStr">
        <is>
          <t>2023-1</t>
        </is>
      </c>
      <c r="J1686" s="5" t="n">
        <v>0</v>
      </c>
      <c r="K1686" s="10" t="n">
        <v>5</v>
      </c>
      <c r="L1686" s="28">
        <f>IFERROR(IF(OR(J1686=0,K1686=""),"",IF(E1686="Positivo",MIN(MAX(K1686/J1686,0),1.3),MIN(MAX(J1686/K1686,0),1.3))),"") </f>
        <v/>
      </c>
      <c r="M1686" s="28">
        <f>IFERROR(IF(OR(J1686=0,K1686=""),"",IF(E1686="Positivo",MAX(K1686/J1686,0),MAX(J1686/K1686,0))),"") </f>
        <v/>
      </c>
      <c r="N1686" s="5" t="inlineStr">
        <is>
          <t>ENT</t>
        </is>
      </c>
      <c r="O1686" s="5" t="inlineStr">
        <is>
          <t>ENT</t>
        </is>
      </c>
      <c r="P1686" s="16" t="n">
        <v>0</v>
      </c>
      <c r="Q1686" s="16" t="n">
        <v>0</v>
      </c>
      <c r="R1686" s="5" t="inlineStr">
        <is>
          <t>347-2023-03-31</t>
        </is>
      </c>
    </row>
    <row r="1687">
      <c r="A1687" s="26" t="n">
        <v>347</v>
      </c>
      <c r="B1687" s="5" t="inlineStr">
        <is>
          <t>Legalizaciones y anticipos</t>
        </is>
      </c>
      <c r="C1687" s="5" t="inlineStr">
        <is>
          <t>Contabilidad</t>
        </is>
      </c>
      <c r="D1687" s="5" t="inlineStr">
        <is>
          <t>Trimestral</t>
        </is>
      </c>
      <c r="E1687" s="5" t="inlineStr">
        <is>
          <t>Negativo</t>
        </is>
      </c>
      <c r="F1687" s="144" t="n">
        <v>45107</v>
      </c>
      <c r="G1687" s="5" t="n">
        <v>2023</v>
      </c>
      <c r="H1687" s="5" t="inlineStr">
        <is>
          <t>Junio</t>
        </is>
      </c>
      <c r="I1687" s="6" t="inlineStr">
        <is>
          <t>2023-1</t>
        </is>
      </c>
      <c r="J1687" s="5" t="n">
        <v>0</v>
      </c>
      <c r="K1687" s="10" t="n">
        <v>8</v>
      </c>
      <c r="L1687" s="28">
        <f>IFERROR(IF(OR(J1687=0,K1687=""),"",IF(E1687="Positivo",MIN(MAX(K1687/J1687,0),1.3),MIN(MAX(J1687/K1687,0),1.3))),"") </f>
        <v/>
      </c>
      <c r="M1687" s="28">
        <f>IFERROR(IF(OR(J1687=0,K1687=""),"",IF(E1687="Positivo",MAX(K1687/J1687,0),MAX(J1687/K1687,0))),"") </f>
        <v/>
      </c>
      <c r="N1687" s="5" t="inlineStr">
        <is>
          <t>ENT</t>
        </is>
      </c>
      <c r="O1687" s="5" t="inlineStr">
        <is>
          <t>ENT</t>
        </is>
      </c>
      <c r="P1687" s="16" t="n">
        <v>0</v>
      </c>
      <c r="Q1687" s="16" t="n">
        <v>0</v>
      </c>
      <c r="R1687" s="5" t="inlineStr">
        <is>
          <t>347-2023-06-30</t>
        </is>
      </c>
    </row>
    <row r="1688">
      <c r="A1688" s="26" t="n">
        <v>347</v>
      </c>
      <c r="B1688" s="5" t="inlineStr">
        <is>
          <t>Legalizaciones y anticipos</t>
        </is>
      </c>
      <c r="C1688" s="5" t="inlineStr">
        <is>
          <t>Contabilidad</t>
        </is>
      </c>
      <c r="D1688" s="5" t="inlineStr">
        <is>
          <t>Trimestral</t>
        </is>
      </c>
      <c r="E1688" s="5" t="inlineStr">
        <is>
          <t>Negativo</t>
        </is>
      </c>
      <c r="F1688" s="144" t="n">
        <v>45199</v>
      </c>
      <c r="G1688" s="5" t="n">
        <v>2023</v>
      </c>
      <c r="H1688" s="5" t="inlineStr">
        <is>
          <t>Septiembre</t>
        </is>
      </c>
      <c r="I1688" s="6" t="inlineStr">
        <is>
          <t>2023-2</t>
        </is>
      </c>
      <c r="J1688" s="5" t="n">
        <v>0</v>
      </c>
      <c r="K1688" s="10" t="n">
        <v>12</v>
      </c>
      <c r="L1688" s="28">
        <f>IFERROR(IF(OR(J1688=0,K1688=""),"",IF(E1688="Positivo",MIN(MAX(K1688/J1688,0),1.3),MIN(MAX(J1688/K1688,0),1.3))),"") </f>
        <v/>
      </c>
      <c r="M1688" s="28">
        <f>IFERROR(IF(OR(J1688=0,K1688=""),"",IF(E1688="Positivo",MAX(K1688/J1688,0),MAX(J1688/K1688,0))),"") </f>
        <v/>
      </c>
      <c r="N1688" s="5" t="inlineStr">
        <is>
          <t>ENT</t>
        </is>
      </c>
      <c r="O1688" s="5" t="inlineStr">
        <is>
          <t>ENT</t>
        </is>
      </c>
      <c r="P1688" s="16" t="n">
        <v>0</v>
      </c>
      <c r="Q1688" s="16" t="n">
        <v>0</v>
      </c>
      <c r="R1688" s="5" t="inlineStr">
        <is>
          <t>347-2023-09-30</t>
        </is>
      </c>
    </row>
    <row r="1689">
      <c r="A1689" s="26" t="n">
        <v>347</v>
      </c>
      <c r="B1689" s="5" t="inlineStr">
        <is>
          <t>Legalizaciones y anticipos</t>
        </is>
      </c>
      <c r="C1689" s="5" t="inlineStr">
        <is>
          <t>Contabilidad</t>
        </is>
      </c>
      <c r="D1689" s="5" t="inlineStr">
        <is>
          <t>Trimestral</t>
        </is>
      </c>
      <c r="E1689" s="5" t="inlineStr">
        <is>
          <t>Negativo</t>
        </is>
      </c>
      <c r="F1689" s="143" t="n">
        <v>45291</v>
      </c>
      <c r="G1689" s="5" t="n">
        <v>2023</v>
      </c>
      <c r="H1689" s="5" t="inlineStr">
        <is>
          <t>Diciembre</t>
        </is>
      </c>
      <c r="I1689" s="6" t="inlineStr">
        <is>
          <t>2023-2</t>
        </is>
      </c>
      <c r="J1689" s="5" t="n">
        <v>0</v>
      </c>
      <c r="K1689" s="5" t="n">
        <v>2</v>
      </c>
      <c r="L1689" s="28">
        <f>IFERROR(IF(OR(J1689=0,K1689=""),"",IF(E1689="Positivo",MIN(MAX(K1689/J1689,0),1.3),MIN(MAX(J1689/K1689,0),1.3))),"") </f>
        <v/>
      </c>
      <c r="M1689" s="28">
        <f>IFERROR(IF(OR(J1689=0,K1689=""),"",IF(E1689="Positivo",MAX(K1689/J1689,0),MAX(J1689/K1689,0))),"") </f>
        <v/>
      </c>
      <c r="N1689" s="5" t="inlineStr">
        <is>
          <t>ENT</t>
        </is>
      </c>
      <c r="O1689" s="5" t="inlineStr">
        <is>
          <t>ENT</t>
        </is>
      </c>
      <c r="P1689" s="16" t="n">
        <v>0</v>
      </c>
      <c r="Q1689" s="16" t="n">
        <v>0</v>
      </c>
      <c r="R1689" s="5" t="inlineStr">
        <is>
          <t>347-2023-12-31</t>
        </is>
      </c>
    </row>
    <row r="1690">
      <c r="A1690" s="5" t="n">
        <v>347</v>
      </c>
      <c r="B1690" s="5" t="inlineStr">
        <is>
          <t>Legalizaciones y anticipos</t>
        </is>
      </c>
      <c r="C1690" s="5" t="inlineStr">
        <is>
          <t>Contabilidad</t>
        </is>
      </c>
      <c r="D1690" s="5" t="inlineStr">
        <is>
          <t>Trimestral</t>
        </is>
      </c>
      <c r="E1690" s="5" t="inlineStr">
        <is>
          <t>Negativo</t>
        </is>
      </c>
      <c r="F1690" s="144" t="n">
        <v>45382</v>
      </c>
      <c r="G1690" s="5" t="n">
        <v>2024</v>
      </c>
      <c r="H1690" s="5" t="inlineStr">
        <is>
          <t>Marzo</t>
        </is>
      </c>
      <c r="I1690" s="6" t="inlineStr">
        <is>
          <t>2024-1</t>
        </is>
      </c>
      <c r="J1690" s="5" t="n">
        <v>5</v>
      </c>
      <c r="K1690" s="5" t="n">
        <v>0</v>
      </c>
      <c r="L1690" s="28">
        <f>IFERROR(IF(OR(J1690=0,K1690=""),"",IF(E1690="Positivo",MIN(MAX(K1690/J1690,0),1.3),MIN(MAX(J1690/K1690,0),1.3))),"") </f>
        <v/>
      </c>
      <c r="M1690" s="28">
        <f>IFERROR(IF(OR(J1690=0,K1690=""),"",IF(E1690="Positivo",MAX(K1690/J1690,0),MAX(J1690/K1690,0))),"") </f>
        <v/>
      </c>
      <c r="N1690" s="5" t="inlineStr">
        <is>
          <t>ENT</t>
        </is>
      </c>
      <c r="O1690" s="5" t="inlineStr">
        <is>
          <t>ENT</t>
        </is>
      </c>
      <c r="P1690" s="5" t="n">
        <v>0</v>
      </c>
      <c r="Q1690" s="5" t="n">
        <v>0</v>
      </c>
      <c r="R1690" s="5" t="inlineStr">
        <is>
          <t>347-2024-03-31</t>
        </is>
      </c>
    </row>
    <row r="1691">
      <c r="A1691" s="39" t="n">
        <v>347</v>
      </c>
      <c r="B1691" s="5" t="inlineStr">
        <is>
          <t>Legalizaciones y anticipos</t>
        </is>
      </c>
      <c r="C1691" s="5" t="inlineStr">
        <is>
          <t>Contabilidad</t>
        </is>
      </c>
      <c r="D1691" s="5" t="inlineStr">
        <is>
          <t>Trimestral</t>
        </is>
      </c>
      <c r="E1691" s="5" t="inlineStr">
        <is>
          <t>Negativo</t>
        </is>
      </c>
      <c r="F1691" s="144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5" t="n">
        <v>5</v>
      </c>
      <c r="K1691" s="123" t="n">
        <v>3</v>
      </c>
      <c r="L1691" s="28">
        <f>IFERROR(IF(OR(J1691=0,K1691=""),"",IF(E1691="Positivo",MIN(MAX(K1691/J1691,0),1.3),MIN(MAX(J1691/K1691,0),1.3))),"") </f>
        <v/>
      </c>
      <c r="M1691" s="28">
        <f>IFERROR(IF(OR(J1691=0,K1691=""),"",IF(E1691="Positivo",MAX(K1691/J1691,0),MAX(J1691/K1691,0))),"") </f>
        <v/>
      </c>
      <c r="N1691" s="5" t="inlineStr">
        <is>
          <t>ENT</t>
        </is>
      </c>
      <c r="O1691" s="5" t="inlineStr">
        <is>
          <t>ENT</t>
        </is>
      </c>
      <c r="P1691" s="16" t="n">
        <v>0</v>
      </c>
      <c r="Q1691" s="16" t="n">
        <v>0</v>
      </c>
      <c r="R1691" s="5" t="inlineStr">
        <is>
          <t>347-2024-06-30</t>
        </is>
      </c>
    </row>
    <row r="1692">
      <c r="A1692" s="26" t="n">
        <v>347</v>
      </c>
      <c r="B1692" s="5" t="inlineStr">
        <is>
          <t>Legalizaciones y anticipos</t>
        </is>
      </c>
      <c r="C1692" s="5" t="inlineStr">
        <is>
          <t>Contabilidad</t>
        </is>
      </c>
      <c r="D1692" s="5" t="inlineStr">
        <is>
          <t>Trimestral</t>
        </is>
      </c>
      <c r="E1692" s="5" t="inlineStr">
        <is>
          <t>Negativo</t>
        </is>
      </c>
      <c r="F1692" s="144" t="n">
        <v>45565</v>
      </c>
      <c r="G1692" s="5" t="n">
        <v>2024</v>
      </c>
      <c r="H1692" s="5" t="inlineStr">
        <is>
          <t>Septiembre</t>
        </is>
      </c>
      <c r="I1692" s="6" t="inlineStr">
        <is>
          <t>2024-2</t>
        </is>
      </c>
      <c r="J1692" s="5" t="n">
        <v>5</v>
      </c>
      <c r="K1692" s="10" t="n">
        <v>0</v>
      </c>
      <c r="L1692" s="28">
        <f>IFERROR(IF(OR(J1692=0,K1692=""),"",IF(E1692="Positivo",MIN(MAX(K1692/J1692,0),1.3),MIN(MAX(J1692/K1692,0),1.3))),"") </f>
        <v/>
      </c>
      <c r="M1692" s="28">
        <f>IFERROR(IF(OR(J1692=0,K1692=""),"",IF(E1692="Positivo",MAX(K1692/J1692,0),MAX(J1692/K1692,0))),"") </f>
        <v/>
      </c>
      <c r="N1692" s="5" t="inlineStr">
        <is>
          <t>ENT</t>
        </is>
      </c>
      <c r="O1692" s="5" t="inlineStr">
        <is>
          <t>ENT</t>
        </is>
      </c>
      <c r="P1692" s="16" t="n">
        <v>0</v>
      </c>
      <c r="Q1692" s="16" t="n">
        <v>0</v>
      </c>
      <c r="R1692" s="5" t="inlineStr">
        <is>
          <t>347-2024-09-30</t>
        </is>
      </c>
    </row>
    <row r="1693">
      <c r="A1693" s="39" t="n">
        <v>347</v>
      </c>
      <c r="B1693" s="5" t="inlineStr">
        <is>
          <t>Legalizaciones y anticipos</t>
        </is>
      </c>
      <c r="C1693" s="5" t="inlineStr">
        <is>
          <t>Contabilidad</t>
        </is>
      </c>
      <c r="D1693" s="5" t="inlineStr">
        <is>
          <t>Trimestral</t>
        </is>
      </c>
      <c r="E1693" s="5" t="inlineStr">
        <is>
          <t>Negativo</t>
        </is>
      </c>
      <c r="F1693" s="144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5</v>
      </c>
      <c r="K1693" s="5" t="n">
        <v>0</v>
      </c>
      <c r="L1693" s="28">
        <f>IFERROR(IF(OR(J1693=0,K1693=""),"",IF(E1693="Positivo",MIN(MAX(K1693/J1693,0),1.3),MIN(MAX(J1693/K1693,0),1.3))),"") </f>
        <v/>
      </c>
      <c r="M1693" s="28">
        <f>IFERROR(IF(OR(J1693=0,K1693=""),"",IF(E1693="Positivo",MAX(K1693/J1693,0),MAX(J1693/K1693,0))),"") </f>
        <v/>
      </c>
      <c r="N1693" s="5" t="inlineStr">
        <is>
          <t>ENT</t>
        </is>
      </c>
      <c r="O1693" s="5" t="inlineStr">
        <is>
          <t>ENT</t>
        </is>
      </c>
      <c r="P1693" s="16" t="n">
        <v>0</v>
      </c>
      <c r="Q1693" s="16" t="n">
        <v>0</v>
      </c>
      <c r="R1693" s="5" t="inlineStr">
        <is>
          <t>347-2024-12-31</t>
        </is>
      </c>
    </row>
    <row r="1694">
      <c r="A1694" s="39" t="n">
        <v>347</v>
      </c>
      <c r="B1694" s="5" t="inlineStr">
        <is>
          <t>Legalizaciones y anticipos</t>
        </is>
      </c>
      <c r="C1694" s="5" t="inlineStr">
        <is>
          <t>Contabilidad</t>
        </is>
      </c>
      <c r="D1694" s="5" t="inlineStr">
        <is>
          <t>Trimestral</t>
        </is>
      </c>
      <c r="E1694" s="5" t="inlineStr">
        <is>
          <t>Negativo</t>
        </is>
      </c>
      <c r="F1694" s="144" t="n">
        <v>45747</v>
      </c>
      <c r="G1694" s="5" t="n">
        <v>2025</v>
      </c>
      <c r="H1694" s="5" t="inlineStr">
        <is>
          <t>Marzo</t>
        </is>
      </c>
      <c r="I1694" s="6" t="inlineStr">
        <is>
          <t>2025-1</t>
        </is>
      </c>
      <c r="J1694" s="5" t="n">
        <v>5</v>
      </c>
      <c r="K1694" s="5" t="n">
        <v>1</v>
      </c>
      <c r="L1694" s="28">
        <f>IFERROR(IF(OR(J1694=0,K1694=""),"",IF(E1694="Positivo",MIN(MAX(K1694/J1694,0),1.3),MIN(MAX(J1694/K1694,0),1.3))),"") </f>
        <v/>
      </c>
      <c r="M1694" s="28">
        <f>IFERROR(IF(OR(J1694=0,K1694=""),"",IF(E1694="Positivo",MAX(K1694/J1694,0),MAX(J1694/K1694,0))),"") </f>
        <v/>
      </c>
      <c r="N1694" s="5" t="inlineStr">
        <is>
          <t>ENT</t>
        </is>
      </c>
      <c r="O1694" s="5" t="inlineStr">
        <is>
          <t>ENT</t>
        </is>
      </c>
      <c r="P1694" s="16" t="n">
        <v>0</v>
      </c>
      <c r="Q1694" s="16" t="n">
        <v>0</v>
      </c>
      <c r="R1694" s="5" t="inlineStr">
        <is>
          <t>347-2025-03-31</t>
        </is>
      </c>
    </row>
    <row r="1695">
      <c r="A1695" s="5" t="n">
        <v>347</v>
      </c>
      <c r="B1695" s="5" t="inlineStr">
        <is>
          <t>Legalizaciones y anticipos</t>
        </is>
      </c>
      <c r="C1695" s="5" t="inlineStr">
        <is>
          <t>Contabilidad</t>
        </is>
      </c>
      <c r="D1695" s="5" t="inlineStr">
        <is>
          <t>Trimestral</t>
        </is>
      </c>
      <c r="E1695" s="5" t="inlineStr">
        <is>
          <t>Negativo</t>
        </is>
      </c>
      <c r="F1695" s="144" t="n">
        <v>45838</v>
      </c>
      <c r="G1695" s="5" t="n">
        <v>2025</v>
      </c>
      <c r="H1695" s="5" t="inlineStr">
        <is>
          <t>Junio</t>
        </is>
      </c>
      <c r="I1695" s="6" t="inlineStr">
        <is>
          <t>2025-1</t>
        </is>
      </c>
      <c r="J1695" s="5" t="n">
        <v>5</v>
      </c>
      <c r="K1695" s="5" t="n">
        <v>1</v>
      </c>
      <c r="L1695" s="28">
        <f>IFERROR(IF(OR(J1695=0,K1695=""),"",IF(E1695="Positivo",MIN(MAX(K1695/J1695,0),1.3),MIN(MAX(J1695/K1695,0),1.3))),"") </f>
        <v/>
      </c>
      <c r="M1695" s="28">
        <f>IFERROR(IF(OR(J1695=0,K1695=""),"",IF(E1695="Positivo",MAX(K1695/J1695,0),MAX(J1695/K1695,0))),"") </f>
        <v/>
      </c>
      <c r="N1695" s="5" t="inlineStr">
        <is>
          <t>ENT</t>
        </is>
      </c>
      <c r="O1695" s="5" t="inlineStr">
        <is>
          <t>ENT</t>
        </is>
      </c>
      <c r="P1695" s="5" t="n">
        <v>0</v>
      </c>
      <c r="Q1695" s="5" t="n">
        <v>0</v>
      </c>
      <c r="R1695" s="5" t="inlineStr">
        <is>
          <t>347-2025-06-30</t>
        </is>
      </c>
    </row>
    <row r="1696">
      <c r="A1696" s="5" t="n">
        <v>347</v>
      </c>
      <c r="B1696" s="5" t="inlineStr">
        <is>
          <t>Legalizaciones y anticipos</t>
        </is>
      </c>
      <c r="C1696" s="5" t="inlineStr">
        <is>
          <t>Contabilidad</t>
        </is>
      </c>
      <c r="D1696" s="5" t="inlineStr">
        <is>
          <t>Semestral</t>
        </is>
      </c>
      <c r="E1696" s="5" t="inlineStr">
        <is>
          <t>Negativo</t>
        </is>
      </c>
      <c r="F1696" s="144" t="n">
        <v>45930</v>
      </c>
      <c r="G1696" s="5" t="n">
        <v>2025</v>
      </c>
      <c r="H1696" s="5" t="inlineStr">
        <is>
          <t>Septiembre</t>
        </is>
      </c>
      <c r="I1696" s="6" t="inlineStr">
        <is>
          <t>2025-2</t>
        </is>
      </c>
      <c r="J1696" s="5" t="n">
        <v>5</v>
      </c>
      <c r="K1696" s="5" t="n">
        <v>6</v>
      </c>
      <c r="L1696" s="28">
        <f>IFERROR(IF(OR(J1696=0,K1696=""),"",IF(E1696="Positivo",MIN(MAX(K1696/J1696,0),1.3),MIN(MAX(J1696/K1696,0),1.3))),"") </f>
        <v/>
      </c>
      <c r="M1696" s="28">
        <f>IFERROR(IF(OR(J1696=0,K1696=""),"",IF(E1696="Positivo",MAX(K1696/J1696,0),MAX(J1696/K1696,0))),"") </f>
        <v/>
      </c>
      <c r="N1696" s="5" t="inlineStr">
        <is>
          <t>ENT</t>
        </is>
      </c>
      <c r="O1696" s="5" t="inlineStr">
        <is>
          <t>ENT</t>
        </is>
      </c>
      <c r="P1696" s="5" t="n">
        <v>0</v>
      </c>
      <c r="Q1696" s="5" t="n">
        <v>0</v>
      </c>
      <c r="R1696" s="5" t="inlineStr">
        <is>
          <t>347-2025-09-30</t>
        </is>
      </c>
    </row>
    <row r="1697">
      <c r="A1697" s="5" t="n">
        <v>347</v>
      </c>
      <c r="B1697" s="5" t="inlineStr">
        <is>
          <t>Legalizaciones y anticipos</t>
        </is>
      </c>
      <c r="C1697" s="5" t="inlineStr">
        <is>
          <t>Contabilidad</t>
        </is>
      </c>
      <c r="D1697" s="5" t="inlineStr">
        <is>
          <t>Semestral</t>
        </is>
      </c>
      <c r="E1697" s="5" t="inlineStr">
        <is>
          <t>Negativo</t>
        </is>
      </c>
      <c r="F1697" s="144" t="n">
        <v>46022</v>
      </c>
      <c r="G1697" s="5" t="n">
        <v>2025</v>
      </c>
      <c r="H1697" s="5" t="inlineStr">
        <is>
          <t>Diciembre</t>
        </is>
      </c>
      <c r="I1697" s="6" t="inlineStr">
        <is>
          <t>2025-2</t>
        </is>
      </c>
      <c r="J1697" s="5" t="n">
        <v>5</v>
      </c>
      <c r="K1697" s="5" t="n">
        <v>1</v>
      </c>
      <c r="L1697" s="28">
        <f>IFERROR(IF(OR(J1697=0,K1697=""),"",IF(E1697="Positivo",MIN(MAX(K1697/J1697,0),1.3),MIN(MAX(J1697/K1697,0),1.3))),"") </f>
        <v/>
      </c>
      <c r="M1697" s="28">
        <f>IFERROR(IF(OR(J1697=0,K1697=""),"",IF(E1697="Positivo",MAX(K1697/J1697,0),MAX(J1697/K1697,0))),"") </f>
        <v/>
      </c>
      <c r="N1697" s="5" t="inlineStr">
        <is>
          <t>ENT</t>
        </is>
      </c>
      <c r="O1697" s="5" t="inlineStr">
        <is>
          <t>ENT</t>
        </is>
      </c>
      <c r="P1697" s="5" t="n">
        <v>0</v>
      </c>
      <c r="Q1697" s="5" t="n">
        <v>0</v>
      </c>
      <c r="R1697" s="5" t="inlineStr">
        <is>
          <t>347-2025-12-31</t>
        </is>
      </c>
    </row>
    <row r="1698">
      <c r="A1698" s="5" t="n">
        <v>348</v>
      </c>
      <c r="B1698" s="5" t="inlineStr">
        <is>
          <t>Cuentas por pagar</t>
        </is>
      </c>
      <c r="C1698" s="5" t="inlineStr">
        <is>
          <t>Contabilidad</t>
        </is>
      </c>
      <c r="D1698" s="5" t="inlineStr">
        <is>
          <t>Trimestral</t>
        </is>
      </c>
      <c r="E1698" s="5" t="inlineStr">
        <is>
          <t>Positivo</t>
        </is>
      </c>
      <c r="F1698" s="144" t="n">
        <v>45016</v>
      </c>
      <c r="G1698" s="5" t="n">
        <v>2023</v>
      </c>
      <c r="H1698" s="5" t="inlineStr">
        <is>
          <t>Marzo</t>
        </is>
      </c>
      <c r="I1698" s="6" t="inlineStr">
        <is>
          <t>2023-1</t>
        </is>
      </c>
      <c r="J1698" s="5" t="n">
        <v>99</v>
      </c>
      <c r="K1698" s="5" t="n">
        <v>99.936143039591</v>
      </c>
      <c r="L1698" s="28">
        <f>IFERROR(IF(OR(J1698=0,K1698=""),"",IF(E1698="Positivo",MIN(MAX(K1698/J1698,0),1.3),MIN(MAX(J1698/K1698,0),1.3))),"") </f>
        <v/>
      </c>
      <c r="M1698" s="28">
        <f>IFERROR(IF(OR(J1698=0,K1698=""),"",IF(E1698="Positivo",MAX(K1698/J1698,0),MAX(J1698/K1698,0))),"") </f>
        <v/>
      </c>
      <c r="N1698" s="5" t="inlineStr">
        <is>
          <t>%</t>
        </is>
      </c>
      <c r="O1698" s="5" t="inlineStr">
        <is>
          <t>%</t>
        </is>
      </c>
      <c r="P1698" s="5" t="n">
        <v>0</v>
      </c>
      <c r="Q1698" s="5" t="n">
        <v>0</v>
      </c>
      <c r="R1698" s="5" t="inlineStr">
        <is>
          <t>348-2023-03-31</t>
        </is>
      </c>
    </row>
    <row r="1699">
      <c r="A1699" s="26" t="n">
        <v>348</v>
      </c>
      <c r="B1699" s="5" t="inlineStr">
        <is>
          <t>Cuentas por pagar</t>
        </is>
      </c>
      <c r="C1699" s="5" t="inlineStr">
        <is>
          <t>Contabilidad</t>
        </is>
      </c>
      <c r="D1699" s="5" t="inlineStr">
        <is>
          <t>Trimestral</t>
        </is>
      </c>
      <c r="E1699" s="5" t="inlineStr">
        <is>
          <t>Positivo</t>
        </is>
      </c>
      <c r="F1699" s="144" t="n">
        <v>45107</v>
      </c>
      <c r="G1699" s="5" t="n">
        <v>2023</v>
      </c>
      <c r="H1699" s="5" t="inlineStr">
        <is>
          <t>Junio</t>
        </is>
      </c>
      <c r="I1699" s="6" t="inlineStr">
        <is>
          <t>2023-1</t>
        </is>
      </c>
      <c r="J1699" s="5" t="n">
        <v>99</v>
      </c>
      <c r="K1699" s="10" t="n">
        <v>99.69924812030099</v>
      </c>
      <c r="L1699" s="28">
        <f>IFERROR(IF(OR(J1699=0,K1699=""),"",IF(E1699="Positivo",MIN(MAX(K1699/J1699,0),1.3),MIN(MAX(J1699/K1699,0),1.3))),"") </f>
        <v/>
      </c>
      <c r="M1699" s="28">
        <f>IFERROR(IF(OR(J1699=0,K1699=""),"",IF(E1699="Positivo",MAX(K1699/J1699,0),MAX(J1699/K1699,0))),"") </f>
        <v/>
      </c>
      <c r="N1699" s="5" t="inlineStr">
        <is>
          <t>%</t>
        </is>
      </c>
      <c r="O1699" s="5" t="inlineStr">
        <is>
          <t>%</t>
        </is>
      </c>
      <c r="P1699" s="16" t="n">
        <v>0</v>
      </c>
      <c r="Q1699" s="16" t="n">
        <v>0</v>
      </c>
      <c r="R1699" s="5" t="inlineStr">
        <is>
          <t>348-2023-06-30</t>
        </is>
      </c>
    </row>
    <row r="1700">
      <c r="A1700" s="5" t="n">
        <v>348</v>
      </c>
      <c r="B1700" s="5" t="inlineStr">
        <is>
          <t>Cuentas por pagar</t>
        </is>
      </c>
      <c r="C1700" s="5" t="inlineStr">
        <is>
          <t>Contabilidad</t>
        </is>
      </c>
      <c r="D1700" s="5" t="inlineStr">
        <is>
          <t>Trimestral</t>
        </is>
      </c>
      <c r="E1700" s="5" t="inlineStr">
        <is>
          <t>Positivo</t>
        </is>
      </c>
      <c r="F1700" s="144" t="n">
        <v>45199</v>
      </c>
      <c r="G1700" s="5" t="n">
        <v>2023</v>
      </c>
      <c r="H1700" s="5" t="inlineStr">
        <is>
          <t>Septiembre</t>
        </is>
      </c>
      <c r="I1700" s="6" t="inlineStr">
        <is>
          <t>2023-2</t>
        </is>
      </c>
      <c r="J1700" s="5" t="n">
        <v>99</v>
      </c>
      <c r="K1700" s="5" t="n">
        <v>100</v>
      </c>
      <c r="L1700" s="28">
        <f>IFERROR(IF(OR(J1700=0,K1700=""),"",IF(E1700="Positivo",MIN(MAX(K1700/J1700,0),1.3),MIN(MAX(J1700/K1700,0),1.3))),"") </f>
        <v/>
      </c>
      <c r="M1700" s="28">
        <f>IFERROR(IF(OR(J1700=0,K1700=""),"",IF(E1700="Positivo",MAX(K1700/J1700,0),MAX(J1700/K1700,0))),"") </f>
        <v/>
      </c>
      <c r="N1700" s="5" t="inlineStr">
        <is>
          <t>%</t>
        </is>
      </c>
      <c r="O1700" s="5" t="inlineStr">
        <is>
          <t>%</t>
        </is>
      </c>
      <c r="P1700" s="5" t="n">
        <v>0</v>
      </c>
      <c r="Q1700" s="5" t="n">
        <v>0</v>
      </c>
      <c r="R1700" s="5" t="inlineStr">
        <is>
          <t>348-2023-09-30</t>
        </is>
      </c>
    </row>
    <row r="1701">
      <c r="A1701" s="5" t="n">
        <v>348</v>
      </c>
      <c r="B1701" s="5" t="inlineStr">
        <is>
          <t>Cuentas por pagar</t>
        </is>
      </c>
      <c r="C1701" s="5" t="inlineStr">
        <is>
          <t>Contabilidad</t>
        </is>
      </c>
      <c r="D1701" s="5" t="inlineStr">
        <is>
          <t>Trimestral</t>
        </is>
      </c>
      <c r="E1701" s="5" t="inlineStr">
        <is>
          <t>Positivo</t>
        </is>
      </c>
      <c r="F1701" s="144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>
        <v>99</v>
      </c>
      <c r="K1701" s="5" t="n">
        <v>100</v>
      </c>
      <c r="L1701" s="28">
        <f>IFERROR(IF(OR(J1701=0,K1701=""),"",IF(E1701="Positivo",MIN(MAX(K1701/J1701,0),1.3),MIN(MAX(J1701/K1701,0),1.3))),"") </f>
        <v/>
      </c>
      <c r="M1701" s="28">
        <f>IFERROR(IF(OR(J1701=0,K1701=""),"",IF(E1701="Positivo",MAX(K1701/J1701,0),MAX(J1701/K1701,0))),"") </f>
        <v/>
      </c>
      <c r="N1701" s="5" t="inlineStr">
        <is>
          <t>%</t>
        </is>
      </c>
      <c r="O1701" s="5" t="inlineStr">
        <is>
          <t>%</t>
        </is>
      </c>
      <c r="P1701" s="5" t="n">
        <v>0</v>
      </c>
      <c r="Q1701" s="5" t="n">
        <v>0</v>
      </c>
      <c r="R1701" s="5" t="inlineStr">
        <is>
          <t>348-2023-12-31</t>
        </is>
      </c>
    </row>
    <row r="1702">
      <c r="A1702" s="5" t="n">
        <v>348</v>
      </c>
      <c r="B1702" s="5" t="inlineStr">
        <is>
          <t>Cuentas por pagar</t>
        </is>
      </c>
      <c r="C1702" s="5" t="inlineStr">
        <is>
          <t>Contabilidad</t>
        </is>
      </c>
      <c r="D1702" s="5" t="inlineStr">
        <is>
          <t>Trimestral</t>
        </is>
      </c>
      <c r="E1702" s="5" t="inlineStr">
        <is>
          <t>Positivo</t>
        </is>
      </c>
      <c r="F1702" s="144" t="n">
        <v>45382</v>
      </c>
      <c r="G1702" s="5" t="n">
        <v>2024</v>
      </c>
      <c r="H1702" s="5" t="inlineStr">
        <is>
          <t>Marzo</t>
        </is>
      </c>
      <c r="I1702" s="6" t="inlineStr">
        <is>
          <t>2024-1</t>
        </is>
      </c>
      <c r="J1702" s="5" t="n">
        <v>99</v>
      </c>
      <c r="K1702" s="5" t="n">
        <v>99.95</v>
      </c>
      <c r="L1702" s="28">
        <f>IFERROR(IF(OR(J1702=0,K1702=""),"",IF(E1702="Positivo",MIN(MAX(K1702/J1702,0),1.3),MIN(MAX(J1702/K1702,0),1.3))),"") </f>
        <v/>
      </c>
      <c r="M1702" s="28">
        <f>IFERROR(IF(OR(J1702=0,K1702=""),"",IF(E1702="Positivo",MAX(K1702/J1702,0),MAX(J1702/K1702,0))),"") </f>
        <v/>
      </c>
      <c r="N1702" s="5" t="inlineStr">
        <is>
          <t>%</t>
        </is>
      </c>
      <c r="O1702" s="5" t="inlineStr">
        <is>
          <t>%</t>
        </is>
      </c>
      <c r="P1702" s="5" t="n">
        <v>0</v>
      </c>
      <c r="Q1702" s="5" t="n">
        <v>0</v>
      </c>
      <c r="R1702" s="5" t="inlineStr">
        <is>
          <t>348-2024-03-31</t>
        </is>
      </c>
    </row>
    <row r="1703">
      <c r="A1703" s="35" t="n">
        <v>348</v>
      </c>
      <c r="B1703" s="18" t="inlineStr">
        <is>
          <t>Cuentas por pagar</t>
        </is>
      </c>
      <c r="C1703" s="18" t="inlineStr">
        <is>
          <t>Contabilidad</t>
        </is>
      </c>
      <c r="D1703" s="18" t="inlineStr">
        <is>
          <t>Trimestral</t>
        </is>
      </c>
      <c r="E1703" s="18" t="inlineStr">
        <is>
          <t>Positivo</t>
        </is>
      </c>
      <c r="F1703" s="146" t="n">
        <v>45473</v>
      </c>
      <c r="G1703" s="5" t="n">
        <v>2024</v>
      </c>
      <c r="H1703" s="5" t="inlineStr">
        <is>
          <t>Junio</t>
        </is>
      </c>
      <c r="I1703" s="6" t="inlineStr">
        <is>
          <t>2024-1</t>
        </is>
      </c>
      <c r="J1703" s="5" t="n">
        <v>99</v>
      </c>
      <c r="K1703" s="5" t="n">
        <v>99.90000000000001</v>
      </c>
      <c r="L1703" s="28">
        <f>IFERROR(IF(OR(J1703=0,K1703=""),"",IF(E1703="Positivo",MIN(MAX(K1703/J1703,0),1.3),MIN(MAX(J1703/K1703,0),1.3))),"") </f>
        <v/>
      </c>
      <c r="M1703" s="28">
        <f>IFERROR(IF(OR(J1703=0,K1703=""),"",IF(E1703="Positivo",MAX(K1703/J1703,0),MAX(J1703/K1703,0))),"") </f>
        <v/>
      </c>
      <c r="N1703" s="18" t="inlineStr">
        <is>
          <t>%</t>
        </is>
      </c>
      <c r="O1703" s="18" t="inlineStr">
        <is>
          <t>%</t>
        </is>
      </c>
      <c r="P1703" s="16" t="n">
        <v>1</v>
      </c>
      <c r="Q1703" s="16" t="n">
        <v>1</v>
      </c>
      <c r="R1703" s="5" t="inlineStr">
        <is>
          <t>348-2024-06-30</t>
        </is>
      </c>
    </row>
    <row r="1704">
      <c r="A1704" s="5" t="n">
        <v>348</v>
      </c>
      <c r="B1704" s="5" t="inlineStr">
        <is>
          <t>Cuentas por pagar</t>
        </is>
      </c>
      <c r="C1704" s="5" t="inlineStr">
        <is>
          <t>Contabilidad</t>
        </is>
      </c>
      <c r="D1704" s="5" t="inlineStr">
        <is>
          <t>Trimestral</t>
        </is>
      </c>
      <c r="E1704" s="5" t="inlineStr">
        <is>
          <t>Positivo</t>
        </is>
      </c>
      <c r="F1704" s="144" t="n">
        <v>45565</v>
      </c>
      <c r="G1704" s="5" t="n">
        <v>2024</v>
      </c>
      <c r="H1704" s="5" t="inlineStr">
        <is>
          <t>Septiembre</t>
        </is>
      </c>
      <c r="I1704" s="6" t="inlineStr">
        <is>
          <t>2024-2</t>
        </is>
      </c>
      <c r="J1704" s="5" t="n">
        <v>99</v>
      </c>
      <c r="K1704" s="5" t="n">
        <v>100</v>
      </c>
      <c r="L1704" s="28">
        <f>IFERROR(IF(OR(J1704=0,K1704=""),"",IF(E1704="Positivo",MIN(MAX(K1704/J1704,0),1.3),MIN(MAX(J1704/K1704,0),1.3))),"") </f>
        <v/>
      </c>
      <c r="M1704" s="28">
        <f>IFERROR(IF(OR(J1704=0,K1704=""),"",IF(E1704="Positivo",MAX(K1704/J1704,0),MAX(J1704/K1704,0))),"") </f>
        <v/>
      </c>
      <c r="N1704" s="5" t="inlineStr">
        <is>
          <t>%</t>
        </is>
      </c>
      <c r="O1704" s="5" t="inlineStr">
        <is>
          <t>%</t>
        </is>
      </c>
      <c r="P1704" s="5" t="n">
        <v>1</v>
      </c>
      <c r="Q1704" s="5" t="n">
        <v>1</v>
      </c>
      <c r="R1704" s="5" t="inlineStr">
        <is>
          <t>348-2024-09-30</t>
        </is>
      </c>
    </row>
    <row r="1705">
      <c r="A1705" s="26" t="n">
        <v>348</v>
      </c>
      <c r="B1705" s="5" t="inlineStr">
        <is>
          <t>Cuentas por pagar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Positivo</t>
        </is>
      </c>
      <c r="F1705" s="143" t="n">
        <v>45657</v>
      </c>
      <c r="G1705" s="5" t="n">
        <v>2024</v>
      </c>
      <c r="H1705" s="5" t="inlineStr">
        <is>
          <t>Diciembre</t>
        </is>
      </c>
      <c r="I1705" s="6" t="inlineStr">
        <is>
          <t>2024-2</t>
        </is>
      </c>
      <c r="J1705" s="5" t="n">
        <v>99</v>
      </c>
      <c r="K1705" s="5" t="n">
        <v>100</v>
      </c>
      <c r="L1705" s="28">
        <f>IFERROR(IF(OR(J1705=0,K1705=""),"",IF(E1705="Positivo",MIN(MAX(K1705/J1705,0),1.3),MIN(MAX(J1705/K1705,0),1.3))),"") </f>
        <v/>
      </c>
      <c r="M1705" s="28">
        <f>IFERROR(IF(OR(J1705=0,K1705=""),"",IF(E1705="Positivo",MAX(K1705/J1705,0),MAX(J1705/K1705,0))),"") </f>
        <v/>
      </c>
      <c r="N1705" s="5" t="inlineStr">
        <is>
          <t>%</t>
        </is>
      </c>
      <c r="O1705" s="5" t="inlineStr">
        <is>
          <t>%</t>
        </is>
      </c>
      <c r="P1705" s="16" t="n">
        <v>1</v>
      </c>
      <c r="Q1705" s="16" t="n">
        <v>1</v>
      </c>
      <c r="R1705" s="5" t="inlineStr">
        <is>
          <t>348-2024-12-31</t>
        </is>
      </c>
    </row>
    <row r="1706">
      <c r="A1706" s="5" t="n">
        <v>348</v>
      </c>
      <c r="B1706" s="5" t="inlineStr">
        <is>
          <t>Cuentas por pagar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Positivo</t>
        </is>
      </c>
      <c r="F1706" s="144" t="n">
        <v>45747</v>
      </c>
      <c r="G1706" s="5" t="n">
        <v>2025</v>
      </c>
      <c r="H1706" s="5" t="inlineStr">
        <is>
          <t>Marzo</t>
        </is>
      </c>
      <c r="I1706" s="6" t="inlineStr">
        <is>
          <t>2025-1</t>
        </is>
      </c>
      <c r="J1706" s="5" t="n">
        <v>99</v>
      </c>
      <c r="K1706" s="5" t="n">
        <v>100</v>
      </c>
      <c r="L1706" s="28">
        <f>IFERROR(IF(OR(J1706=0,K1706=""),"",IF(E1706="Positivo",MIN(MAX(K1706/J1706,0),1.3),MIN(MAX(J1706/K1706,0),1.3))),"") </f>
        <v/>
      </c>
      <c r="M1706" s="28">
        <f>IFERROR(IF(OR(J1706=0,K1706=""),"",IF(E1706="Positivo",MAX(K1706/J1706,0),MAX(J1706/K1706,0))),"") </f>
        <v/>
      </c>
      <c r="N1706" s="5" t="inlineStr">
        <is>
          <t>%</t>
        </is>
      </c>
      <c r="O1706" s="5" t="inlineStr">
        <is>
          <t>%</t>
        </is>
      </c>
      <c r="P1706" s="5" t="n">
        <v>0</v>
      </c>
      <c r="Q1706" s="5" t="n">
        <v>0</v>
      </c>
      <c r="R1706" s="5" t="inlineStr">
        <is>
          <t>348-2025-03-31</t>
        </is>
      </c>
    </row>
    <row r="1707">
      <c r="A1707" s="5" t="n">
        <v>348</v>
      </c>
      <c r="B1707" s="5" t="inlineStr">
        <is>
          <t>Cuentas por pagar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Positivo</t>
        </is>
      </c>
      <c r="F1707" s="144" t="n">
        <v>45838</v>
      </c>
      <c r="G1707" s="5" t="n">
        <v>2025</v>
      </c>
      <c r="H1707" s="5" t="inlineStr">
        <is>
          <t>Junio</t>
        </is>
      </c>
      <c r="I1707" s="6" t="inlineStr">
        <is>
          <t>2025-1</t>
        </is>
      </c>
      <c r="J1707" s="5" t="n">
        <v>99</v>
      </c>
      <c r="K1707" s="5" t="n">
        <v>100</v>
      </c>
      <c r="L1707" s="28">
        <f>IFERROR(IF(OR(J1707=0,K1707=""),"",IF(E1707="Positivo",MIN(MAX(K1707/J1707,0),1.3),MIN(MAX(J1707/K1707,0),1.3))),"") </f>
        <v/>
      </c>
      <c r="M1707" s="28">
        <f>IFERROR(IF(OR(J1707=0,K1707=""),"",IF(E1707="Positivo",MAX(K1707/J1707,0),MAX(J1707/K1707,0))),"") </f>
        <v/>
      </c>
      <c r="N1707" s="5" t="inlineStr">
        <is>
          <t>%</t>
        </is>
      </c>
      <c r="O1707" s="5" t="inlineStr">
        <is>
          <t>%</t>
        </is>
      </c>
      <c r="P1707" s="5" t="n">
        <v>1</v>
      </c>
      <c r="Q1707" s="5" t="n">
        <v>1</v>
      </c>
      <c r="R1707" s="5" t="inlineStr">
        <is>
          <t>348-2025-06-30</t>
        </is>
      </c>
    </row>
    <row r="1708">
      <c r="A1708" s="5" t="n">
        <v>348</v>
      </c>
      <c r="B1708" s="5" t="inlineStr">
        <is>
          <t>Cuentas por pagar</t>
        </is>
      </c>
      <c r="C1708" s="5" t="inlineStr">
        <is>
          <t>Contabilidad</t>
        </is>
      </c>
      <c r="D1708" s="5" t="inlineStr">
        <is>
          <t>Semestral</t>
        </is>
      </c>
      <c r="E1708" s="5" t="inlineStr">
        <is>
          <t>Positivo</t>
        </is>
      </c>
      <c r="F1708" s="144" t="n">
        <v>45930</v>
      </c>
      <c r="G1708" s="5" t="n">
        <v>2025</v>
      </c>
      <c r="H1708" s="5" t="inlineStr">
        <is>
          <t>Septiembre</t>
        </is>
      </c>
      <c r="I1708" s="6" t="inlineStr">
        <is>
          <t>2025-2</t>
        </is>
      </c>
      <c r="J1708" s="5" t="n">
        <v>99</v>
      </c>
      <c r="K1708" s="5" t="n">
        <v>100</v>
      </c>
      <c r="L1708" s="28">
        <f>IFERROR(IF(OR(J1708=0,K1708=""),"",IF(E1708="Positivo",MIN(MAX(K1708/J1708,0),1.3),MIN(MAX(J1708/K1708,0),1.3))),"") </f>
        <v/>
      </c>
      <c r="M1708" s="28">
        <f>IFERROR(IF(OR(J1708=0,K1708=""),"",IF(E1708="Positivo",MAX(K1708/J1708,0),MAX(J1708/K1708,0))),"") </f>
        <v/>
      </c>
      <c r="N1708" s="5" t="inlineStr">
        <is>
          <t>%</t>
        </is>
      </c>
      <c r="O1708" s="5" t="inlineStr">
        <is>
          <t>%</t>
        </is>
      </c>
      <c r="P1708" s="5" t="n">
        <v>0</v>
      </c>
      <c r="Q1708" s="5" t="n">
        <v>0</v>
      </c>
      <c r="R1708" s="5" t="inlineStr">
        <is>
          <t>348-2025-09-30</t>
        </is>
      </c>
    </row>
    <row r="1709">
      <c r="A1709" s="26" t="n">
        <v>348</v>
      </c>
      <c r="B1709" s="5" t="inlineStr">
        <is>
          <t>Cuentas por pagar</t>
        </is>
      </c>
      <c r="C1709" s="5" t="inlineStr">
        <is>
          <t>Contabilidad</t>
        </is>
      </c>
      <c r="D1709" s="5" t="inlineStr">
        <is>
          <t>Semestral</t>
        </is>
      </c>
      <c r="E1709" s="5" t="inlineStr">
        <is>
          <t>Positivo</t>
        </is>
      </c>
      <c r="F1709" s="144" t="n">
        <v>46022</v>
      </c>
      <c r="G1709" s="5" t="n">
        <v>2025</v>
      </c>
      <c r="H1709" s="5" t="inlineStr">
        <is>
          <t>Diciembre</t>
        </is>
      </c>
      <c r="I1709" s="6" t="inlineStr">
        <is>
          <t>2025-2</t>
        </is>
      </c>
      <c r="J1709" s="5" t="n">
        <v>99</v>
      </c>
      <c r="K1709" s="10" t="n">
        <v>100</v>
      </c>
      <c r="L1709" s="28">
        <f>IFERROR(IF(OR(J1709=0,K1709=""),"",IF(E1709="Positivo",MIN(MAX(K1709/J1709,0),1.3),MIN(MAX(J1709/K1709,0),1.3))),"") </f>
        <v/>
      </c>
      <c r="M1709" s="28">
        <f>IFERROR(IF(OR(J1709=0,K1709=""),"",IF(E1709="Positivo",MAX(K1709/J1709,0),MAX(J1709/K1709,0))),"") </f>
        <v/>
      </c>
      <c r="N1709" s="5" t="inlineStr">
        <is>
          <t>%</t>
        </is>
      </c>
      <c r="O1709" s="5" t="inlineStr">
        <is>
          <t>%</t>
        </is>
      </c>
      <c r="P1709" s="16" t="n">
        <v>0</v>
      </c>
      <c r="Q1709" s="16" t="n">
        <v>0</v>
      </c>
      <c r="R1709" s="5" t="inlineStr">
        <is>
          <t>348-2025-12-31</t>
        </is>
      </c>
    </row>
    <row r="1710">
      <c r="A1710" s="26" t="n">
        <v>351</v>
      </c>
      <c r="B1710" s="5" t="inlineStr">
        <is>
          <t>Partidas conciliatorias de bancos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44" t="n">
        <v>45016</v>
      </c>
      <c r="G1710" s="5" t="n">
        <v>2023</v>
      </c>
      <c r="H1710" s="5" t="inlineStr">
        <is>
          <t>Marzo</t>
        </is>
      </c>
      <c r="I1710" s="6" t="inlineStr">
        <is>
          <t>2023-1</t>
        </is>
      </c>
      <c r="J1710" s="5" t="n">
        <v>0</v>
      </c>
      <c r="K1710" s="10" t="n">
        <v>11.41868512110727</v>
      </c>
      <c r="L1710" s="28">
        <f>IFERROR(IF(OR(J1710=0,K1710=""),"",IF(E1710="Positivo",MIN(MAX(K1710/J1710,0),1.3),MIN(MAX(J1710/K1710,0),1.3))),"") </f>
        <v/>
      </c>
      <c r="M1710" s="28">
        <f>IFERROR(IF(OR(J1710=0,K1710=""),"",IF(E1710="Positivo",MAX(K1710/J1710,0),MAX(J1710/K1710,0))),"") </f>
        <v/>
      </c>
      <c r="N1710" s="5" t="inlineStr">
        <is>
          <t>ENT</t>
        </is>
      </c>
      <c r="O1710" s="5" t="inlineStr">
        <is>
          <t>DEC</t>
        </is>
      </c>
      <c r="P1710" s="16" t="n">
        <v>0</v>
      </c>
      <c r="Q1710" s="16" t="n">
        <v>0</v>
      </c>
      <c r="R1710" s="5" t="inlineStr">
        <is>
          <t>351-2023-03-31</t>
        </is>
      </c>
    </row>
    <row r="1711">
      <c r="A1711" s="5" t="n">
        <v>351</v>
      </c>
      <c r="B1711" s="5" t="inlineStr">
        <is>
          <t>Partidas conciliatorias de bancos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44" t="n">
        <v>45107</v>
      </c>
      <c r="G1711" s="5" t="n">
        <v>2023</v>
      </c>
      <c r="H1711" s="5" t="inlineStr">
        <is>
          <t>Junio</t>
        </is>
      </c>
      <c r="I1711" s="6" t="inlineStr">
        <is>
          <t>2023-1</t>
        </is>
      </c>
      <c r="J1711" s="5" t="n">
        <v>0</v>
      </c>
      <c r="K1711" s="5" t="n">
        <v>8.233398961875784</v>
      </c>
      <c r="L1711" s="28">
        <f>IFERROR(IF(OR(J1711=0,K1711=""),"",IF(E1711="Positivo",MIN(MAX(K1711/J1711,0),1.3),MIN(MAX(J1711/K1711,0),1.3))),"") </f>
        <v/>
      </c>
      <c r="M1711" s="28">
        <f>IFERROR(IF(OR(J1711=0,K1711=""),"",IF(E1711="Positivo",MAX(K1711/J1711,0),MAX(J1711/K1711,0))),"") </f>
        <v/>
      </c>
      <c r="N1711" s="5" t="inlineStr">
        <is>
          <t>ENT</t>
        </is>
      </c>
      <c r="O1711" s="5" t="inlineStr">
        <is>
          <t>DEC</t>
        </is>
      </c>
      <c r="P1711" s="5" t="n">
        <v>0</v>
      </c>
      <c r="Q1711" s="5" t="n">
        <v>0</v>
      </c>
      <c r="R1711" s="5" t="inlineStr">
        <is>
          <t>351-2023-06-30</t>
        </is>
      </c>
    </row>
    <row r="1712">
      <c r="A1712" s="26" t="n">
        <v>351</v>
      </c>
      <c r="B1712" s="5" t="inlineStr">
        <is>
          <t>Partidas conciliatorias de bancos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44" t="n">
        <v>45199</v>
      </c>
      <c r="G1712" s="5" t="n">
        <v>2023</v>
      </c>
      <c r="H1712" s="5" t="inlineStr">
        <is>
          <t>Septiembre</t>
        </is>
      </c>
      <c r="I1712" s="6" t="inlineStr">
        <is>
          <t>2023-2</t>
        </is>
      </c>
      <c r="J1712" s="5" t="n">
        <v>0</v>
      </c>
      <c r="K1712" s="10" t="n">
        <v>10.29796131730267</v>
      </c>
      <c r="L1712" s="28">
        <f>IFERROR(IF(OR(J1712=0,K1712=""),"",IF(E1712="Positivo",MIN(MAX(K1712/J1712,0),1.3),MIN(MAX(J1712/K1712,0),1.3))),"") </f>
        <v/>
      </c>
      <c r="M1712" s="28">
        <f>IFERROR(IF(OR(J1712=0,K1712=""),"",IF(E1712="Positivo",MAX(K1712/J1712,0),MAX(J1712/K1712,0))),"") </f>
        <v/>
      </c>
      <c r="N1712" s="5" t="inlineStr">
        <is>
          <t>ENT</t>
        </is>
      </c>
      <c r="O1712" s="5" t="inlineStr">
        <is>
          <t>DEC</t>
        </is>
      </c>
      <c r="P1712" s="16" t="n">
        <v>0</v>
      </c>
      <c r="Q1712" s="16" t="n">
        <v>0</v>
      </c>
      <c r="R1712" s="5" t="inlineStr">
        <is>
          <t>351-2023-09-30</t>
        </is>
      </c>
    </row>
    <row r="1713">
      <c r="A1713" s="5" t="n">
        <v>351</v>
      </c>
      <c r="B1713" s="5" t="inlineStr">
        <is>
          <t>Partidas conciliatorias de bancos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44" t="n">
        <v>45291</v>
      </c>
      <c r="G1713" s="5" t="n">
        <v>2023</v>
      </c>
      <c r="H1713" s="5" t="inlineStr">
        <is>
          <t>Diciembre</t>
        </is>
      </c>
      <c r="I1713" s="6" t="inlineStr">
        <is>
          <t>2023-2</t>
        </is>
      </c>
      <c r="J1713" s="5" t="n">
        <v>0</v>
      </c>
      <c r="K1713" s="5" t="n">
        <v>3.544282881692003</v>
      </c>
      <c r="L1713" s="28">
        <f>IFERROR(IF(OR(J1713=0,K1713=""),"",IF(E1713="Positivo",MIN(MAX(K1713/J1713,0),1.3),MIN(MAX(J1713/K1713,0),1.3))),"") </f>
        <v/>
      </c>
      <c r="M1713" s="28">
        <f>IFERROR(IF(OR(J1713=0,K1713=""),"",IF(E1713="Positivo",MAX(K1713/J1713,0),MAX(J1713/K1713,0))),"") </f>
        <v/>
      </c>
      <c r="N1713" s="5" t="inlineStr">
        <is>
          <t>ENT</t>
        </is>
      </c>
      <c r="O1713" s="5" t="inlineStr">
        <is>
          <t>DEC</t>
        </is>
      </c>
      <c r="P1713" s="5" t="n">
        <v>0</v>
      </c>
      <c r="Q1713" s="5" t="n">
        <v>0</v>
      </c>
      <c r="R1713" s="5" t="inlineStr">
        <is>
          <t>351-2023-12-31</t>
        </is>
      </c>
    </row>
    <row r="1714">
      <c r="A1714" s="5" t="n">
        <v>351</v>
      </c>
      <c r="B1714" s="5" t="inlineStr">
        <is>
          <t>Partidas conciliatorias de bancos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44" t="n">
        <v>45382</v>
      </c>
      <c r="G1714" s="5" t="n">
        <v>2024</v>
      </c>
      <c r="H1714" s="5" t="inlineStr">
        <is>
          <t>Marzo</t>
        </is>
      </c>
      <c r="I1714" s="6" t="inlineStr">
        <is>
          <t>2024-1</t>
        </is>
      </c>
      <c r="J1714" s="5" t="n">
        <v>0</v>
      </c>
      <c r="K1714" s="5" t="n">
        <v>4.999240813847555</v>
      </c>
      <c r="L1714" s="28">
        <f>IFERROR(IF(OR(J1714=0,K1714=""),"",IF(E1714="Positivo",MIN(MAX(K1714/J1714,0),1.3),MIN(MAX(J1714/K1714,0),1.3))),"") </f>
        <v/>
      </c>
      <c r="M1714" s="28">
        <f>IFERROR(IF(OR(J1714=0,K1714=""),"",IF(E1714="Positivo",MAX(K1714/J1714,0),MAX(J1714/K1714,0))),"") </f>
        <v/>
      </c>
      <c r="N1714" s="5" t="inlineStr">
        <is>
          <t>ENT</t>
        </is>
      </c>
      <c r="O1714" s="5" t="inlineStr">
        <is>
          <t>DEC</t>
        </is>
      </c>
      <c r="P1714" s="5" t="n">
        <v>0</v>
      </c>
      <c r="Q1714" s="5" t="n">
        <v>0</v>
      </c>
      <c r="R1714" s="5" t="inlineStr">
        <is>
          <t>351-2024-03-31</t>
        </is>
      </c>
    </row>
    <row r="1715">
      <c r="A1715" s="5" t="n">
        <v>351</v>
      </c>
      <c r="B1715" s="5" t="inlineStr">
        <is>
          <t>Partidas conciliatorias de bancos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44" t="n">
        <v>45473</v>
      </c>
      <c r="G1715" s="5" t="n">
        <v>2024</v>
      </c>
      <c r="H1715" s="5" t="inlineStr">
        <is>
          <t>Junio</t>
        </is>
      </c>
      <c r="I1715" s="6" t="inlineStr">
        <is>
          <t>2024-1</t>
        </is>
      </c>
      <c r="J1715" s="5" t="n">
        <v>0</v>
      </c>
      <c r="K1715" s="5" t="n">
        <v>12.52996115381436</v>
      </c>
      <c r="L1715" s="28">
        <f>IFERROR(IF(OR(J1715=0,K1715=""),"",IF(E1715="Positivo",MIN(MAX(K1715/J1715,0),1.3),MIN(MAX(J1715/K1715,0),1.3))),"") </f>
        <v/>
      </c>
      <c r="M1715" s="28">
        <f>IFERROR(IF(OR(J1715=0,K1715=""),"",IF(E1715="Positivo",MAX(K1715/J1715,0),MAX(J1715/K1715,0))),"") </f>
        <v/>
      </c>
      <c r="N1715" s="5" t="inlineStr">
        <is>
          <t>ENT</t>
        </is>
      </c>
      <c r="O1715" s="5" t="inlineStr">
        <is>
          <t>DEC</t>
        </is>
      </c>
      <c r="P1715" s="5" t="n">
        <v>0</v>
      </c>
      <c r="Q1715" s="5" t="n">
        <v>1</v>
      </c>
      <c r="R1715" s="5" t="inlineStr">
        <is>
          <t>351-2024-06-30</t>
        </is>
      </c>
    </row>
    <row r="1716">
      <c r="A1716" s="26" t="n">
        <v>351</v>
      </c>
      <c r="B1716" s="5" t="inlineStr">
        <is>
          <t>Partidas conciliatorias de bancos</t>
        </is>
      </c>
      <c r="C1716" s="5" t="inlineStr">
        <is>
          <t>Contabilidad</t>
        </is>
      </c>
      <c r="D1716" s="5" t="inlineStr">
        <is>
          <t>Trimestral</t>
        </is>
      </c>
      <c r="E1716" s="5" t="inlineStr">
        <is>
          <t>Negativo</t>
        </is>
      </c>
      <c r="F1716" s="143" t="n">
        <v>45565</v>
      </c>
      <c r="G1716" s="5" t="n">
        <v>2024</v>
      </c>
      <c r="H1716" s="5" t="inlineStr">
        <is>
          <t>Septiembre</t>
        </is>
      </c>
      <c r="I1716" s="6" t="inlineStr">
        <is>
          <t>2024-2</t>
        </is>
      </c>
      <c r="J1716" s="5" t="n">
        <v>0</v>
      </c>
      <c r="K1716" s="123" t="n">
        <v>3.179572169536261</v>
      </c>
      <c r="L1716" s="28">
        <f>IFERROR(IF(OR(J1716=0,K1716=""),"",IF(E1716="Positivo",MIN(MAX(K1716/J1716,0),1.3),MIN(MAX(J1716/K1716,0),1.3))),"") </f>
        <v/>
      </c>
      <c r="M1716" s="28">
        <f>IFERROR(IF(OR(J1716=0,K1716=""),"",IF(E1716="Positivo",MAX(K1716/J1716,0),MAX(J1716/K1716,0))),"") </f>
        <v/>
      </c>
      <c r="N1716" s="5" t="inlineStr">
        <is>
          <t>ENT</t>
        </is>
      </c>
      <c r="O1716" s="5" t="inlineStr">
        <is>
          <t>DEC</t>
        </is>
      </c>
      <c r="P1716" s="16" t="n">
        <v>0</v>
      </c>
      <c r="Q1716" s="16" t="n">
        <v>1</v>
      </c>
      <c r="R1716" s="5" t="inlineStr">
        <is>
          <t>351-2024-09-30</t>
        </is>
      </c>
    </row>
    <row r="1717">
      <c r="A1717" s="26" t="n">
        <v>351</v>
      </c>
      <c r="B1717" s="5" t="inlineStr">
        <is>
          <t>Partidas conciliatorias de bancos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Negativo</t>
        </is>
      </c>
      <c r="F1717" s="143" t="n">
        <v>45657</v>
      </c>
      <c r="G1717" s="5" t="n">
        <v>2024</v>
      </c>
      <c r="H1717" s="5" t="inlineStr">
        <is>
          <t>Diciembre</t>
        </is>
      </c>
      <c r="I1717" s="6" t="inlineStr">
        <is>
          <t>2024-2</t>
        </is>
      </c>
      <c r="J1717" s="5" t="n">
        <v>0</v>
      </c>
      <c r="K1717" s="124" t="n">
        <v>1.497983483771846</v>
      </c>
      <c r="L1717" s="28">
        <f>IFERROR(IF(OR(J1717=0,K1717=""),"",IF(E1717="Positivo",MIN(MAX(K1717/J1717,0),1.3),MIN(MAX(J1717/K1717,0),1.3))),"") </f>
        <v/>
      </c>
      <c r="M1717" s="28">
        <f>IFERROR(IF(OR(J1717=0,K1717=""),"",IF(E1717="Positivo",MAX(K1717/J1717,0),MAX(J1717/K1717,0))),"") </f>
        <v/>
      </c>
      <c r="N1717" s="5" t="inlineStr">
        <is>
          <t>ENT</t>
        </is>
      </c>
      <c r="O1717" s="5" t="inlineStr">
        <is>
          <t>DEC</t>
        </is>
      </c>
      <c r="P1717" s="16" t="n">
        <v>0</v>
      </c>
      <c r="Q1717" s="16" t="n">
        <v>1</v>
      </c>
      <c r="R1717" s="5" t="inlineStr">
        <is>
          <t>351-2024-12-31</t>
        </is>
      </c>
    </row>
    <row r="1718">
      <c r="A1718" s="5" t="n">
        <v>351</v>
      </c>
      <c r="B1718" s="5" t="inlineStr">
        <is>
          <t>Partidas conciliatorias de bancos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Negativo</t>
        </is>
      </c>
      <c r="F1718" s="144" t="n">
        <v>45747</v>
      </c>
      <c r="G1718" s="5" t="n">
        <v>2025</v>
      </c>
      <c r="H1718" s="5" t="inlineStr">
        <is>
          <t>Marzo</t>
        </is>
      </c>
      <c r="I1718" s="6" t="inlineStr">
        <is>
          <t>2025-1</t>
        </is>
      </c>
      <c r="J1718" s="5" t="n">
        <v>0</v>
      </c>
      <c r="K1718" s="5" t="n">
        <v>0.47</v>
      </c>
      <c r="L1718" s="28">
        <f>IFERROR(IF(OR(J1718=0,K1718=""),"",IF(E1718="Positivo",MIN(MAX(K1718/J1718,0),1.3),MIN(MAX(J1718/K1718,0),1.3))),"") </f>
        <v/>
      </c>
      <c r="M1718" s="28">
        <f>IFERROR(IF(OR(J1718=0,K1718=""),"",IF(E1718="Positivo",MAX(K1718/J1718,0),MAX(J1718/K1718,0))),"") </f>
        <v/>
      </c>
      <c r="N1718" s="5" t="inlineStr">
        <is>
          <t>ENT</t>
        </is>
      </c>
      <c r="O1718" s="5" t="inlineStr">
        <is>
          <t>DEC</t>
        </is>
      </c>
      <c r="P1718" s="5" t="n">
        <v>0</v>
      </c>
      <c r="Q1718" s="5" t="n">
        <v>0</v>
      </c>
      <c r="R1718" s="5" t="inlineStr">
        <is>
          <t>351-2025-03-31</t>
        </is>
      </c>
    </row>
    <row r="1719">
      <c r="A1719" s="5" t="n">
        <v>351</v>
      </c>
      <c r="B1719" s="5" t="inlineStr">
        <is>
          <t>Partidas conciliatorias de bancos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Negativo</t>
        </is>
      </c>
      <c r="F1719" s="144" t="n">
        <v>45838</v>
      </c>
      <c r="G1719" s="5" t="n">
        <v>2025</v>
      </c>
      <c r="H1719" s="5" t="inlineStr">
        <is>
          <t>Junio</t>
        </is>
      </c>
      <c r="I1719" s="6" t="inlineStr">
        <is>
          <t>2025-1</t>
        </is>
      </c>
      <c r="J1719" s="119" t="n">
        <v>0</v>
      </c>
      <c r="K1719" s="123" t="n">
        <v>0.65</v>
      </c>
      <c r="L1719" s="28">
        <f>IFERROR(IF(OR(J1719=0,K1719=""),"",IF(E1719="Positivo",MIN(MAX(K1719/J1719,0),1.3),MIN(MAX(J1719/K1719,0),1.3))),"") </f>
        <v/>
      </c>
      <c r="M1719" s="28">
        <f>IFERROR(IF(OR(J1719=0,K1719=""),"",IF(E1719="Positivo",MAX(K1719/J1719,0),MAX(J1719/K1719,0))),"") </f>
        <v/>
      </c>
      <c r="N1719" s="5" t="inlineStr">
        <is>
          <t>ENT</t>
        </is>
      </c>
      <c r="O1719" s="5" t="inlineStr">
        <is>
          <t>DEC</t>
        </is>
      </c>
      <c r="P1719" s="5" t="n">
        <v>0</v>
      </c>
      <c r="Q1719" s="5" t="n">
        <v>1</v>
      </c>
      <c r="R1719" s="5" t="inlineStr">
        <is>
          <t>351-2025-06-30</t>
        </is>
      </c>
    </row>
    <row r="1720">
      <c r="A1720" s="5" t="n">
        <v>351</v>
      </c>
      <c r="B1720" s="5" t="inlineStr">
        <is>
          <t>Partidas conciliatorias de bancos</t>
        </is>
      </c>
      <c r="C1720" s="5" t="inlineStr">
        <is>
          <t>Contabilidad</t>
        </is>
      </c>
      <c r="D1720" s="5" t="inlineStr">
        <is>
          <t>Semestral</t>
        </is>
      </c>
      <c r="E1720" s="5" t="inlineStr">
        <is>
          <t>Negativo</t>
        </is>
      </c>
      <c r="F1720" s="144" t="n">
        <v>45930</v>
      </c>
      <c r="G1720" s="5" t="n">
        <v>2025</v>
      </c>
      <c r="H1720" s="5" t="inlineStr">
        <is>
          <t>Septiembre</t>
        </is>
      </c>
      <c r="I1720" s="6" t="inlineStr">
        <is>
          <t>2025-2</t>
        </is>
      </c>
      <c r="J1720" s="5" t="n">
        <v>0</v>
      </c>
      <c r="K1720" s="5" t="n">
        <v>0.26</v>
      </c>
      <c r="L1720" s="28">
        <f>IFERROR(IF(OR(J1720=0,K1720=""),"",IF(E1720="Positivo",MIN(MAX(K1720/J1720,0),1.3),MIN(MAX(J1720/K1720,0),1.3))),"") </f>
        <v/>
      </c>
      <c r="M1720" s="28">
        <f>IFERROR(IF(OR(J1720=0,K1720=""),"",IF(E1720="Positivo",MAX(K1720/J1720,0),MAX(J1720/K1720,0))),"") </f>
        <v/>
      </c>
      <c r="N1720" s="5" t="inlineStr">
        <is>
          <t>ENT</t>
        </is>
      </c>
      <c r="O1720" s="5" t="inlineStr">
        <is>
          <t>DEC</t>
        </is>
      </c>
      <c r="P1720" s="5" t="n">
        <v>0</v>
      </c>
      <c r="Q1720" s="5" t="n">
        <v>1</v>
      </c>
      <c r="R1720" s="5" t="inlineStr">
        <is>
          <t>351-2025-09-30</t>
        </is>
      </c>
    </row>
    <row r="1721">
      <c r="A1721" s="26" t="n">
        <v>352</v>
      </c>
      <c r="B1721" s="5" t="inlineStr">
        <is>
          <t>Nivel de facturas generadas con error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Negativo</t>
        </is>
      </c>
      <c r="F1721" s="144" t="n">
        <v>45016</v>
      </c>
      <c r="G1721" s="5" t="n">
        <v>2023</v>
      </c>
      <c r="H1721" s="5" t="inlineStr">
        <is>
          <t>Marzo</t>
        </is>
      </c>
      <c r="I1721" s="6" t="inlineStr">
        <is>
          <t>2023-1</t>
        </is>
      </c>
      <c r="J1721" s="5" t="n">
        <v>0</v>
      </c>
      <c r="K1721" s="10" t="n">
        <v>0.0103859685564802</v>
      </c>
      <c r="L1721" s="28">
        <f>IFERROR(IF(OR(J1721=0,K1721=""),"",IF(E1721="Positivo",MIN(MAX(K1721/J1721,0),1.3),MIN(MAX(J1721/K1721,0),1.3))),"") </f>
        <v/>
      </c>
      <c r="M1721" s="28">
        <f>IFERROR(IF(OR(J1721=0,K1721=""),"",IF(E1721="Positivo",MAX(K1721/J1721,0),MAX(J1721/K1721,0))),"") </f>
        <v/>
      </c>
      <c r="N1721" s="5" t="inlineStr">
        <is>
          <t>%</t>
        </is>
      </c>
      <c r="O1721" s="5" t="inlineStr">
        <is>
          <t>%</t>
        </is>
      </c>
      <c r="P1721" s="16" t="n">
        <v>0</v>
      </c>
      <c r="Q1721" s="16" t="n">
        <v>2</v>
      </c>
      <c r="R1721" s="5" t="inlineStr">
        <is>
          <t>352-2023-03-31</t>
        </is>
      </c>
    </row>
    <row r="1722">
      <c r="A1722" s="5" t="n">
        <v>352</v>
      </c>
      <c r="B1722" s="5" t="inlineStr">
        <is>
          <t>Nivel de facturas generadas con error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Negativo</t>
        </is>
      </c>
      <c r="F1722" s="144" t="n">
        <v>45107</v>
      </c>
      <c r="G1722" s="5" t="n">
        <v>2023</v>
      </c>
      <c r="H1722" s="5" t="inlineStr">
        <is>
          <t>Junio</t>
        </is>
      </c>
      <c r="I1722" s="6" t="inlineStr">
        <is>
          <t>2023-1</t>
        </is>
      </c>
      <c r="J1722" s="5" t="n">
        <v>0</v>
      </c>
      <c r="K1722" s="5" t="n">
        <v>0.0277008310249307</v>
      </c>
      <c r="L1722" s="28">
        <f>IFERROR(IF(OR(J1722=0,K1722=""),"",IF(E1722="Positivo",MIN(MAX(K1722/J1722,0),1.3),MIN(MAX(J1722/K1722,0),1.3))),"") </f>
        <v/>
      </c>
      <c r="M1722" s="28">
        <f>IFERROR(IF(OR(J1722=0,K1722=""),"",IF(E1722="Positivo",MAX(K1722/J1722,0),MAX(J1722/K1722,0))),"") </f>
        <v/>
      </c>
      <c r="N1722" s="5" t="inlineStr">
        <is>
          <t>%</t>
        </is>
      </c>
      <c r="O1722" s="5" t="inlineStr">
        <is>
          <t>%</t>
        </is>
      </c>
      <c r="P1722" s="5" t="n">
        <v>0</v>
      </c>
      <c r="Q1722" s="5" t="n">
        <v>2</v>
      </c>
      <c r="R1722" s="5" t="inlineStr">
        <is>
          <t>352-2023-06-30</t>
        </is>
      </c>
    </row>
    <row r="1723">
      <c r="A1723" s="26" t="n">
        <v>352</v>
      </c>
      <c r="B1723" s="5" t="inlineStr">
        <is>
          <t>Nivel de facturas generadas con error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Negativo</t>
        </is>
      </c>
      <c r="F1723" s="144" t="n">
        <v>45199</v>
      </c>
      <c r="G1723" s="5" t="n">
        <v>2023</v>
      </c>
      <c r="H1723" s="5" t="inlineStr">
        <is>
          <t>Septiembre</t>
        </is>
      </c>
      <c r="I1723" s="6" t="inlineStr">
        <is>
          <t>2023-2</t>
        </is>
      </c>
      <c r="J1723" s="5" t="n">
        <v>0</v>
      </c>
      <c r="K1723" s="10" t="n">
        <v>0.0251173450966232</v>
      </c>
      <c r="L1723" s="28">
        <f>IFERROR(IF(OR(J1723=0,K1723=""),"",IF(E1723="Positivo",MIN(MAX(K1723/J1723,0),1.3),MIN(MAX(J1723/K1723,0),1.3))),"") </f>
        <v/>
      </c>
      <c r="M1723" s="28">
        <f>IFERROR(IF(OR(J1723=0,K1723=""),"",IF(E1723="Positivo",MAX(K1723/J1723,0),MAX(J1723/K1723,0))),"") </f>
        <v/>
      </c>
      <c r="N1723" s="5" t="inlineStr">
        <is>
          <t>%</t>
        </is>
      </c>
      <c r="O1723" s="5" t="inlineStr">
        <is>
          <t>%</t>
        </is>
      </c>
      <c r="P1723" s="16" t="n">
        <v>0</v>
      </c>
      <c r="Q1723" s="16" t="n">
        <v>2</v>
      </c>
      <c r="R1723" s="5" t="inlineStr">
        <is>
          <t>352-2023-09-30</t>
        </is>
      </c>
    </row>
    <row r="1724">
      <c r="A1724" s="5" t="n">
        <v>352</v>
      </c>
      <c r="B1724" s="5" t="inlineStr">
        <is>
          <t>Nivel de facturas generadas con error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Negativo</t>
        </is>
      </c>
      <c r="F1724" s="144" t="n">
        <v>45291</v>
      </c>
      <c r="G1724" s="5" t="n">
        <v>2023</v>
      </c>
      <c r="H1724" s="5" t="inlineStr">
        <is>
          <t>Diciembre</t>
        </is>
      </c>
      <c r="I1724" s="6" t="inlineStr">
        <is>
          <t>2023-2</t>
        </is>
      </c>
      <c r="J1724" s="5" t="n">
        <v>0</v>
      </c>
      <c r="K1724" s="5" t="n">
        <v>0.2832748164698372</v>
      </c>
      <c r="L1724" s="28">
        <f>IFERROR(IF(OR(J1724=0,K1724=""),"",IF(E1724="Positivo",MIN(MAX(K1724/J1724,0),1.3),MIN(MAX(J1724/K1724,0),1.3))),"") </f>
        <v/>
      </c>
      <c r="M1724" s="28">
        <f>IFERROR(IF(OR(J1724=0,K1724=""),"",IF(E1724="Positivo",MAX(K1724/J1724,0),MAX(J1724/K1724,0))),"") </f>
        <v/>
      </c>
      <c r="N1724" s="5" t="inlineStr">
        <is>
          <t>%</t>
        </is>
      </c>
      <c r="O1724" s="5" t="inlineStr">
        <is>
          <t>%</t>
        </is>
      </c>
      <c r="P1724" s="5" t="n">
        <v>0</v>
      </c>
      <c r="Q1724" s="5" t="n">
        <v>2</v>
      </c>
      <c r="R1724" s="5" t="inlineStr">
        <is>
          <t>352-2023-12-31</t>
        </is>
      </c>
    </row>
    <row r="1725">
      <c r="A1725" s="26" t="n">
        <v>352</v>
      </c>
      <c r="B1725" s="5" t="inlineStr">
        <is>
          <t>Nivel de facturas generadas con error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Negativo</t>
        </is>
      </c>
      <c r="F1725" s="144" t="n">
        <v>45382</v>
      </c>
      <c r="G1725" s="5" t="n">
        <v>2024</v>
      </c>
      <c r="H1725" s="5" t="inlineStr">
        <is>
          <t>Marzo</t>
        </is>
      </c>
      <c r="I1725" s="6" t="inlineStr">
        <is>
          <t>2024-1</t>
        </is>
      </c>
      <c r="J1725" s="5" t="n">
        <v>0</v>
      </c>
      <c r="K1725" s="10" t="n">
        <v>0.0244043805863152</v>
      </c>
      <c r="L1725" s="28">
        <f>IFERROR(IF(OR(J1725=0,K1725=""),"",IF(E1725="Positivo",MIN(MAX(K1725/J1725,0),1.3),MIN(MAX(J1725/K1725,0),1.3))),"") </f>
        <v/>
      </c>
      <c r="M1725" s="28">
        <f>IFERROR(IF(OR(J1725=0,K1725=""),"",IF(E1725="Positivo",MAX(K1725/J1725,0),MAX(J1725/K1725,0))),"") </f>
        <v/>
      </c>
      <c r="N1725" s="5" t="inlineStr">
        <is>
          <t>%</t>
        </is>
      </c>
      <c r="O1725" s="5" t="inlineStr">
        <is>
          <t>%</t>
        </is>
      </c>
      <c r="P1725" s="16" t="n">
        <v>0</v>
      </c>
      <c r="Q1725" s="16" t="n">
        <v>2</v>
      </c>
      <c r="R1725" s="5" t="inlineStr">
        <is>
          <t>352-2024-03-31</t>
        </is>
      </c>
    </row>
    <row r="1726">
      <c r="A1726" s="5" t="n">
        <v>352</v>
      </c>
      <c r="B1726" s="5" t="inlineStr">
        <is>
          <t>Nivel de facturas generadas con error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Negativo</t>
        </is>
      </c>
      <c r="F1726" s="144" t="n">
        <v>45473</v>
      </c>
      <c r="G1726" s="5" t="n">
        <v>2024</v>
      </c>
      <c r="H1726" s="5" t="inlineStr">
        <is>
          <t>Junio</t>
        </is>
      </c>
      <c r="I1726" s="6" t="inlineStr">
        <is>
          <t>2024-1</t>
        </is>
      </c>
      <c r="J1726" s="5" t="n">
        <v>0</v>
      </c>
      <c r="K1726" s="5" t="n">
        <v>0.1487989796641394</v>
      </c>
      <c r="L1726" s="28">
        <f>IFERROR(IF(OR(J1726=0,K1726=""),"",IF(E1726="Positivo",MIN(MAX(K1726/J1726,0),1.3),MIN(MAX(J1726/K1726,0),1.3))),"") </f>
        <v/>
      </c>
      <c r="M1726" s="28">
        <f>IFERROR(IF(OR(J1726=0,K1726=""),"",IF(E1726="Positivo",MAX(K1726/J1726,0),MAX(J1726/K1726,0))),"") </f>
        <v/>
      </c>
      <c r="N1726" s="5" t="inlineStr">
        <is>
          <t>%</t>
        </is>
      </c>
      <c r="O1726" s="5" t="inlineStr">
        <is>
          <t>%</t>
        </is>
      </c>
      <c r="P1726" s="16" t="n">
        <v>0</v>
      </c>
      <c r="Q1726" s="5" t="n">
        <v>2</v>
      </c>
      <c r="R1726" s="5" t="inlineStr">
        <is>
          <t>352-2024-06-30</t>
        </is>
      </c>
    </row>
    <row r="1727">
      <c r="A1727" s="26" t="n">
        <v>352</v>
      </c>
      <c r="B1727" s="5" t="inlineStr">
        <is>
          <t>Nivel de facturas generadas con error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Negativo</t>
        </is>
      </c>
      <c r="F1727" s="144" t="n">
        <v>45565</v>
      </c>
      <c r="G1727" s="5" t="n">
        <v>2024</v>
      </c>
      <c r="H1727" s="5" t="inlineStr">
        <is>
          <t>Septiembre</t>
        </is>
      </c>
      <c r="I1727" s="6" t="inlineStr">
        <is>
          <t>2024-2</t>
        </is>
      </c>
      <c r="J1727" s="5" t="n">
        <v>0</v>
      </c>
      <c r="K1727" s="134" t="n">
        <v>0.0009651857499975</v>
      </c>
      <c r="L1727" s="28">
        <f>IFERROR(IF(OR(J1727=0,K1727=""),"",IF(E1727="Positivo",MIN(MAX(K1727/J1727,0),1.3),MIN(MAX(J1727/K1727,0),1.3))),"") </f>
        <v/>
      </c>
      <c r="M1727" s="28">
        <f>IFERROR(IF(OR(J1727=0,K1727=""),"",IF(E1727="Positivo",MAX(K1727/J1727,0),MAX(J1727/K1727,0))),"") </f>
        <v/>
      </c>
      <c r="N1727" s="5" t="inlineStr">
        <is>
          <t>%</t>
        </is>
      </c>
      <c r="O1727" s="5" t="inlineStr">
        <is>
          <t>%</t>
        </is>
      </c>
      <c r="P1727" s="16" t="n">
        <v>0</v>
      </c>
      <c r="Q1727" s="16" t="n">
        <v>2</v>
      </c>
      <c r="R1727" s="5" t="inlineStr">
        <is>
          <t>352-2024-09-30</t>
        </is>
      </c>
    </row>
    <row r="1728">
      <c r="A1728" s="5" t="n">
        <v>352</v>
      </c>
      <c r="B1728" s="5" t="inlineStr">
        <is>
          <t>Nivel de facturas generadas con error</t>
        </is>
      </c>
      <c r="C1728" s="5" t="inlineStr">
        <is>
          <t>Contabilidad</t>
        </is>
      </c>
      <c r="D1728" s="5" t="inlineStr">
        <is>
          <t>Trimestral</t>
        </is>
      </c>
      <c r="E1728" s="5" t="inlineStr">
        <is>
          <t>Negativo</t>
        </is>
      </c>
      <c r="F1728" s="144" t="n">
        <v>45657</v>
      </c>
      <c r="G1728" s="5" t="n">
        <v>2024</v>
      </c>
      <c r="H1728" s="5" t="inlineStr">
        <is>
          <t>Diciembre</t>
        </is>
      </c>
      <c r="I1728" s="6" t="inlineStr">
        <is>
          <t>2024-2</t>
        </is>
      </c>
      <c r="J1728" s="5" t="n">
        <v>0</v>
      </c>
      <c r="K1728" s="134" t="n">
        <v>0</v>
      </c>
      <c r="L1728" s="28">
        <f>IFERROR(IF(OR(J1728=0,K1728=""),"",IF(E1728="Positivo",MIN(MAX(K1728/J1728,0),1.3),MIN(MAX(J1728/K1728,0),1.3))),"") </f>
        <v/>
      </c>
      <c r="M1728" s="28">
        <f>IFERROR(IF(OR(J1728=0,K1728=""),"",IF(E1728="Positivo",MAX(K1728/J1728,0),MAX(J1728/K1728,0))),"") </f>
        <v/>
      </c>
      <c r="N1728" s="5" t="inlineStr">
        <is>
          <t>%</t>
        </is>
      </c>
      <c r="O1728" s="5" t="inlineStr">
        <is>
          <t>%</t>
        </is>
      </c>
      <c r="P1728" s="16" t="n">
        <v>0</v>
      </c>
      <c r="Q1728" s="5" t="n">
        <v>2</v>
      </c>
      <c r="R1728" s="5" t="inlineStr">
        <is>
          <t>352-2024-12-31</t>
        </is>
      </c>
    </row>
    <row r="1729">
      <c r="A1729" s="26" t="n">
        <v>352</v>
      </c>
      <c r="B1729" s="5" t="inlineStr">
        <is>
          <t>Nivel de facturas generadas con error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44" t="n">
        <v>45747</v>
      </c>
      <c r="G1729" s="5" t="n">
        <v>2025</v>
      </c>
      <c r="H1729" s="5" t="inlineStr">
        <is>
          <t>Marzo</t>
        </is>
      </c>
      <c r="I1729" s="6" t="inlineStr">
        <is>
          <t>2025-1</t>
        </is>
      </c>
      <c r="J1729" s="5" t="n">
        <v>0</v>
      </c>
      <c r="K1729" s="10" t="n">
        <v>0</v>
      </c>
      <c r="L1729" s="28">
        <f>IFERROR(IF(OR(J1729=0,K1729=""),"",IF(E1729="Positivo",MIN(MAX(K1729/J1729,0),1.3),MIN(MAX(J1729/K1729,0),1.3))),"") </f>
        <v/>
      </c>
      <c r="M1729" s="28">
        <f>IFERROR(IF(OR(J1729=0,K1729=""),"",IF(E1729="Positivo",MAX(K1729/J1729,0),MAX(J1729/K1729,0))),"") </f>
        <v/>
      </c>
      <c r="N1729" s="11" t="inlineStr">
        <is>
          <t>%</t>
        </is>
      </c>
      <c r="O1729" s="11" t="inlineStr">
        <is>
          <t>%</t>
        </is>
      </c>
      <c r="P1729" s="16" t="n">
        <v>0</v>
      </c>
      <c r="Q1729" s="16" t="n">
        <v>2</v>
      </c>
      <c r="R1729" s="5" t="inlineStr">
        <is>
          <t>352-2025-03-31</t>
        </is>
      </c>
    </row>
    <row r="1730">
      <c r="A1730" s="5" t="n">
        <v>352</v>
      </c>
      <c r="B1730" s="5" t="inlineStr">
        <is>
          <t>Nivel de facturas generadas con error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44" t="n">
        <v>45838</v>
      </c>
      <c r="G1730" s="5" t="n">
        <v>2025</v>
      </c>
      <c r="H1730" s="5" t="inlineStr">
        <is>
          <t>Junio</t>
        </is>
      </c>
      <c r="I1730" s="6" t="inlineStr">
        <is>
          <t>2025-1</t>
        </is>
      </c>
      <c r="J1730" s="5" t="n">
        <v>0</v>
      </c>
      <c r="K1730" s="5" t="n">
        <v>0.01</v>
      </c>
      <c r="L1730" s="28">
        <f>IFERROR(IF(OR(J1730=0,K1730=""),"",IF(E1730="Positivo",MIN(MAX(K1730/J1730,0),1.3),MIN(MAX(J1730/K1730,0),1.3))),"") </f>
        <v/>
      </c>
      <c r="M1730" s="28">
        <f>IFERROR(IF(OR(J1730=0,K1730=""),"",IF(E1730="Positivo",MAX(K1730/J1730,0),MAX(J1730/K1730,0))),"") </f>
        <v/>
      </c>
      <c r="N1730" s="5" t="inlineStr">
        <is>
          <t>%</t>
        </is>
      </c>
      <c r="O1730" s="20" t="inlineStr">
        <is>
          <t>%</t>
        </is>
      </c>
      <c r="P1730" s="5" t="n">
        <v>0</v>
      </c>
      <c r="Q1730" s="5" t="n">
        <v>2</v>
      </c>
      <c r="R1730" s="5" t="inlineStr">
        <is>
          <t>352-2025-06-30</t>
        </is>
      </c>
    </row>
    <row r="1731">
      <c r="A1731" s="26" t="n">
        <v>352</v>
      </c>
      <c r="B1731" s="5" t="inlineStr">
        <is>
          <t>Nivel de facturas generadas con error</t>
        </is>
      </c>
      <c r="C1731" s="5" t="inlineStr">
        <is>
          <t>Contabilidad</t>
        </is>
      </c>
      <c r="D1731" s="5" t="inlineStr">
        <is>
          <t>Semestral</t>
        </is>
      </c>
      <c r="E1731" s="5" t="inlineStr">
        <is>
          <t>Negativo</t>
        </is>
      </c>
      <c r="F1731" s="144" t="n">
        <v>45930</v>
      </c>
      <c r="G1731" s="5" t="n">
        <v>2025</v>
      </c>
      <c r="H1731" s="5" t="inlineStr">
        <is>
          <t>Septiembre</t>
        </is>
      </c>
      <c r="I1731" s="6" t="inlineStr">
        <is>
          <t>2025-2</t>
        </is>
      </c>
      <c r="J1731" s="5" t="n">
        <v>0</v>
      </c>
      <c r="K1731" s="10" t="n">
        <v>0.01</v>
      </c>
      <c r="L1731" s="28">
        <f>IFERROR(IF(OR(J1731=0,K1731=""),"",IF(E1731="Positivo",MIN(MAX(K1731/J1731,0),1.3),MIN(MAX(J1731/K1731,0),1.3))),"") </f>
        <v/>
      </c>
      <c r="M1731" s="28">
        <f>IFERROR(IF(OR(J1731=0,K1731=""),"",IF(E1731="Positivo",MAX(K1731/J1731,0),MAX(J1731/K1731,0))),"") </f>
        <v/>
      </c>
      <c r="N1731" s="5" t="inlineStr">
        <is>
          <t>%</t>
        </is>
      </c>
      <c r="O1731" s="5" t="inlineStr">
        <is>
          <t>%</t>
        </is>
      </c>
      <c r="P1731" s="16" t="n">
        <v>0</v>
      </c>
      <c r="Q1731" s="16" t="n">
        <v>2</v>
      </c>
      <c r="R1731" s="5" t="inlineStr">
        <is>
          <t>352-2025-09-30</t>
        </is>
      </c>
    </row>
    <row r="1732">
      <c r="A1732" s="26" t="n">
        <v>353</v>
      </c>
      <c r="B1732" s="5" t="inlineStr">
        <is>
          <t>Cobertura de tableros BI en procesos</t>
        </is>
      </c>
      <c r="C1732" s="5" t="inlineStr">
        <is>
          <t>DATOS Y ANALÍTICA</t>
        </is>
      </c>
      <c r="D1732" s="5" t="inlineStr">
        <is>
          <t>Semestral</t>
        </is>
      </c>
      <c r="E1732" s="5" t="inlineStr">
        <is>
          <t>Positivo</t>
        </is>
      </c>
      <c r="F1732" s="144" t="n">
        <v>45107</v>
      </c>
      <c r="G1732" s="5" t="n">
        <v>2023</v>
      </c>
      <c r="H1732" s="5" t="inlineStr">
        <is>
          <t>Junio</t>
        </is>
      </c>
      <c r="I1732" s="6" t="inlineStr">
        <is>
          <t>2023-1</t>
        </is>
      </c>
      <c r="J1732" s="5" t="n">
        <v>35</v>
      </c>
      <c r="K1732" s="10" t="n">
        <v>40.384615384615</v>
      </c>
      <c r="L1732" s="28">
        <f>IFERROR(IF(OR(J1732=0,K1732=""),"",IF(E1732="Positivo",MIN(MAX(K1732/J1732,0),1.3),MIN(MAX(J1732/K1732,0),1.3))),"") </f>
        <v/>
      </c>
      <c r="M1732" s="28">
        <f>IFERROR(IF(OR(J1732=0,K1732=""),"",IF(E1732="Positivo",MAX(K1732/J1732,0),MAX(J1732/K1732,0))),"") </f>
        <v/>
      </c>
      <c r="N1732" s="5" t="inlineStr">
        <is>
          <t>DEC</t>
        </is>
      </c>
      <c r="O1732" s="5" t="inlineStr">
        <is>
          <t>DEC</t>
        </is>
      </c>
      <c r="P1732" s="16" t="n">
        <v>0</v>
      </c>
      <c r="Q1732" s="16" t="n">
        <v>0</v>
      </c>
      <c r="R1732" s="5" t="inlineStr">
        <is>
          <t>353-2023-06-30</t>
        </is>
      </c>
    </row>
    <row r="1733">
      <c r="A1733" s="26" t="n">
        <v>353</v>
      </c>
      <c r="B1733" s="5" t="inlineStr">
        <is>
          <t>Cobertura de tableros BI en procesos</t>
        </is>
      </c>
      <c r="C1733" s="5" t="inlineStr">
        <is>
          <t>DATOS Y ANALÍTICA</t>
        </is>
      </c>
      <c r="D1733" s="5" t="inlineStr">
        <is>
          <t>Semestral</t>
        </is>
      </c>
      <c r="E1733" s="5" t="inlineStr">
        <is>
          <t>Positivo</t>
        </is>
      </c>
      <c r="F1733" s="144" t="n">
        <v>45291</v>
      </c>
      <c r="G1733" s="5" t="n">
        <v>2023</v>
      </c>
      <c r="H1733" s="5" t="inlineStr">
        <is>
          <t>Diciembre</t>
        </is>
      </c>
      <c r="I1733" s="6" t="inlineStr">
        <is>
          <t>2023-2</t>
        </is>
      </c>
      <c r="J1733" s="5" t="n">
        <v>35</v>
      </c>
      <c r="K1733" s="5" t="n">
        <v>40.3846153846154</v>
      </c>
      <c r="L1733" s="28">
        <f>IFERROR(IF(OR(J1733=0,K1733=""),"",IF(E1733="Positivo",MIN(MAX(K1733/J1733,0),1.3),MIN(MAX(J1733/K1733,0),1.3))),"") </f>
        <v/>
      </c>
      <c r="M1733" s="28">
        <f>IFERROR(IF(OR(J1733=0,K1733=""),"",IF(E1733="Positivo",MAX(K1733/J1733,0),MAX(J1733/K1733,0))),"") </f>
        <v/>
      </c>
      <c r="N1733" s="5" t="inlineStr">
        <is>
          <t>DEC</t>
        </is>
      </c>
      <c r="O1733" s="5" t="inlineStr">
        <is>
          <t>DEC</t>
        </is>
      </c>
      <c r="P1733" s="16" t="n">
        <v>0</v>
      </c>
      <c r="Q1733" s="16" t="n">
        <v>0</v>
      </c>
      <c r="R1733" s="5" t="inlineStr">
        <is>
          <t>353-2023-12-31</t>
        </is>
      </c>
    </row>
    <row r="1734">
      <c r="A1734" s="26" t="n">
        <v>354</v>
      </c>
      <c r="B1734" s="5" t="inlineStr">
        <is>
          <t>Plan de formación en analitica</t>
        </is>
      </c>
      <c r="C1734" s="5" t="inlineStr">
        <is>
          <t>DATOS Y ANALÍTICA</t>
        </is>
      </c>
      <c r="D1734" s="5" t="inlineStr">
        <is>
          <t>Semestral</t>
        </is>
      </c>
      <c r="E1734" s="5" t="inlineStr">
        <is>
          <t>Positivo</t>
        </is>
      </c>
      <c r="F1734" s="144" t="n">
        <v>45107</v>
      </c>
      <c r="G1734" s="5" t="n">
        <v>2023</v>
      </c>
      <c r="H1734" s="5" t="inlineStr">
        <is>
          <t>Junio</t>
        </is>
      </c>
      <c r="I1734" s="6" t="inlineStr">
        <is>
          <t>2023-1</t>
        </is>
      </c>
      <c r="J1734" s="5" t="n">
        <v>10</v>
      </c>
      <c r="K1734" s="10" t="n">
        <v>5.07</v>
      </c>
      <c r="L1734" s="28">
        <f>IFERROR(IF(OR(J1734=0,K1734=""),"",IF(E1734="Positivo",MIN(MAX(K1734/J1734,0),1.3),MIN(MAX(J1734/K1734,0),1.3))),"") </f>
        <v/>
      </c>
      <c r="M1734" s="28">
        <f>IFERROR(IF(OR(J1734=0,K1734=""),"",IF(E1734="Positivo",MAX(K1734/J1734,0),MAX(J1734/K1734,0))),"") </f>
        <v/>
      </c>
      <c r="N1734" s="5" t="inlineStr">
        <is>
          <t>DEC</t>
        </is>
      </c>
      <c r="O1734" s="5" t="inlineStr">
        <is>
          <t>DEC</t>
        </is>
      </c>
      <c r="P1734" s="16" t="n">
        <v>2</v>
      </c>
      <c r="Q1734" s="16" t="n">
        <v>2</v>
      </c>
      <c r="R1734" s="5" t="inlineStr">
        <is>
          <t>354-2023-06-30</t>
        </is>
      </c>
    </row>
    <row r="1735">
      <c r="A1735" s="5" t="n">
        <v>354</v>
      </c>
      <c r="B1735" s="5" t="inlineStr">
        <is>
          <t>Plan de formación en analitica</t>
        </is>
      </c>
      <c r="C1735" s="5" t="inlineStr">
        <is>
          <t>DATOS Y ANALÍTICA</t>
        </is>
      </c>
      <c r="D1735" s="5" t="inlineStr">
        <is>
          <t>Semestral</t>
        </is>
      </c>
      <c r="E1735" s="5" t="inlineStr">
        <is>
          <t>Positivo</t>
        </is>
      </c>
      <c r="F1735" s="144" t="n">
        <v>45291</v>
      </c>
      <c r="G1735" s="5" t="n">
        <v>2023</v>
      </c>
      <c r="H1735" s="5" t="inlineStr">
        <is>
          <t>Diciembre</t>
        </is>
      </c>
      <c r="I1735" s="6" t="inlineStr">
        <is>
          <t>2023-2</t>
        </is>
      </c>
      <c r="J1735" s="5" t="n">
        <v>10</v>
      </c>
      <c r="K1735" s="5" t="n">
        <v>31.77</v>
      </c>
      <c r="L1735" s="28">
        <f>IFERROR(IF(OR(J1735=0,K1735=""),"",IF(E1735="Positivo",MIN(MAX(K1735/J1735,0),1.3),MIN(MAX(J1735/K1735,0),1.3))),"") </f>
        <v/>
      </c>
      <c r="M1735" s="28">
        <f>IFERROR(IF(OR(J1735=0,K1735=""),"",IF(E1735="Positivo",MAX(K1735/J1735,0),MAX(J1735/K1735,0))),"") </f>
        <v/>
      </c>
      <c r="N1735" s="5" t="inlineStr">
        <is>
          <t>DEC</t>
        </is>
      </c>
      <c r="O1735" s="5" t="inlineStr">
        <is>
          <t>DEC</t>
        </is>
      </c>
      <c r="P1735" s="5" t="n">
        <v>0</v>
      </c>
      <c r="Q1735" s="5" t="n">
        <v>0</v>
      </c>
      <c r="R1735" s="5" t="inlineStr">
        <is>
          <t>354-2023-12-31</t>
        </is>
      </c>
    </row>
    <row r="1736">
      <c r="A1736" s="26" t="n">
        <v>355</v>
      </c>
      <c r="B1736" s="5" t="inlineStr">
        <is>
          <t>Indice de liquidez</t>
        </is>
      </c>
      <c r="C1736" s="5" t="inlineStr">
        <is>
          <t>Tesorería</t>
        </is>
      </c>
      <c r="D1736" s="5" t="inlineStr">
        <is>
          <t>Anual</t>
        </is>
      </c>
      <c r="E1736" s="5" t="inlineStr">
        <is>
          <t>Positivo</t>
        </is>
      </c>
      <c r="F1736" s="144" t="n">
        <v>45107</v>
      </c>
      <c r="G1736" s="5" t="n">
        <v>2023</v>
      </c>
      <c r="H1736" s="5" t="inlineStr">
        <is>
          <t>Junio</t>
        </is>
      </c>
      <c r="I1736" s="6" t="inlineStr">
        <is>
          <t>2023-1</t>
        </is>
      </c>
      <c r="J1736" s="5" t="n">
        <v>1</v>
      </c>
      <c r="K1736" s="10" t="n">
        <v>0.31754780991781</v>
      </c>
      <c r="L1736" s="28">
        <f>IFERROR(IF(OR(J1736=0,K1736=""),"",IF(E1736="Positivo",MIN(MAX(K1736/J1736,0),1.3),MIN(MAX(J1736/K1736,0),1.3))),"") </f>
        <v/>
      </c>
      <c r="M1736" s="28">
        <f>IFERROR(IF(OR(J1736=0,K1736=""),"",IF(E1736="Positivo",MAX(K1736/J1736,0),MAX(J1736/K1736,0))),"") </f>
        <v/>
      </c>
      <c r="N1736" s="5" t="inlineStr">
        <is>
          <t>ENT</t>
        </is>
      </c>
      <c r="O1736" s="5" t="inlineStr">
        <is>
          <t>DEC</t>
        </is>
      </c>
      <c r="P1736" s="16" t="n">
        <v>1</v>
      </c>
      <c r="Q1736" s="16" t="n">
        <v>1</v>
      </c>
      <c r="R1736" s="5" t="inlineStr">
        <is>
          <t>355-2023-06-30</t>
        </is>
      </c>
    </row>
    <row r="1737">
      <c r="A1737" s="26" t="n">
        <v>355</v>
      </c>
      <c r="B1737" s="5" t="inlineStr">
        <is>
          <t>Indice de liquidez</t>
        </is>
      </c>
      <c r="C1737" s="5" t="inlineStr">
        <is>
          <t>Tesorería</t>
        </is>
      </c>
      <c r="D1737" s="5" t="inlineStr">
        <is>
          <t>Anual</t>
        </is>
      </c>
      <c r="E1737" s="5" t="inlineStr">
        <is>
          <t>Positivo</t>
        </is>
      </c>
      <c r="F1737" s="144" t="n">
        <v>45291</v>
      </c>
      <c r="G1737" s="5" t="n">
        <v>2023</v>
      </c>
      <c r="H1737" s="5" t="inlineStr">
        <is>
          <t>Diciembre</t>
        </is>
      </c>
      <c r="I1737" s="6" t="inlineStr">
        <is>
          <t>2023-2</t>
        </is>
      </c>
      <c r="J1737" s="5" t="n">
        <v>1</v>
      </c>
      <c r="K1737" s="10" t="n">
        <v>1.64916004403234</v>
      </c>
      <c r="L1737" s="28">
        <f>IFERROR(IF(OR(J1737=0,K1737=""),"",IF(E1737="Positivo",MIN(MAX(K1737/J1737,0),1.3),MIN(MAX(J1737/K1737,0),1.3))),"") </f>
        <v/>
      </c>
      <c r="M1737" s="28">
        <f>IFERROR(IF(OR(J1737=0,K1737=""),"",IF(E1737="Positivo",MAX(K1737/J1737,0),MAX(J1737/K1737,0))),"") </f>
        <v/>
      </c>
      <c r="N1737" s="5" t="inlineStr">
        <is>
          <t>DEC</t>
        </is>
      </c>
      <c r="O1737" s="5" t="inlineStr">
        <is>
          <t>DEC</t>
        </is>
      </c>
      <c r="P1737" s="16" t="n">
        <v>0</v>
      </c>
      <c r="Q1737" s="16" t="n">
        <v>0</v>
      </c>
      <c r="R1737" s="5" t="inlineStr">
        <is>
          <t>355-2023-12-31</t>
        </is>
      </c>
    </row>
    <row r="1738">
      <c r="A1738" s="5" t="n">
        <v>355</v>
      </c>
      <c r="B1738" s="5" t="inlineStr">
        <is>
          <t>Indice de liquidez</t>
        </is>
      </c>
      <c r="C1738" s="5" t="inlineStr">
        <is>
          <t>Tesorería</t>
        </is>
      </c>
      <c r="D1738" s="5" t="inlineStr">
        <is>
          <t>Anual</t>
        </is>
      </c>
      <c r="E1738" s="5" t="inlineStr">
        <is>
          <t>Positivo</t>
        </is>
      </c>
      <c r="F1738" s="144" t="n">
        <v>45657</v>
      </c>
      <c r="G1738" s="5" t="n">
        <v>2024</v>
      </c>
      <c r="H1738" s="5" t="inlineStr">
        <is>
          <t>Diciembre</t>
        </is>
      </c>
      <c r="I1738" s="6" t="inlineStr">
        <is>
          <t>2024-2</t>
        </is>
      </c>
      <c r="J1738" s="5" t="n">
        <v>1.7</v>
      </c>
      <c r="K1738" s="5" t="n">
        <v>1.69</v>
      </c>
      <c r="L1738" s="28">
        <f>IFERROR(IF(OR(J1738=0,K1738=""),"",IF(E1738="Positivo",MIN(MAX(K1738/J1738,0),1.3),MIN(MAX(J1738/K1738,0),1.3))),"") </f>
        <v/>
      </c>
      <c r="M1738" s="28">
        <f>IFERROR(IF(OR(J1738=0,K1738=""),"",IF(E1738="Positivo",MAX(K1738/J1738,0),MAX(J1738/K1738,0))),"") </f>
        <v/>
      </c>
      <c r="N1738" s="5" t="n"/>
      <c r="O1738" s="5" t="n"/>
      <c r="P1738" s="5" t="n">
        <v>0</v>
      </c>
      <c r="Q1738" s="5" t="n">
        <v>0</v>
      </c>
      <c r="R1738" s="5" t="inlineStr">
        <is>
          <t>355-2024-12-31</t>
        </is>
      </c>
    </row>
    <row r="1739">
      <c r="A1739" s="5" t="n">
        <v>355</v>
      </c>
      <c r="B1739" s="5" t="inlineStr">
        <is>
          <t>Indice de liquidez</t>
        </is>
      </c>
      <c r="C1739" s="5" t="inlineStr">
        <is>
          <t>Tesorería</t>
        </is>
      </c>
      <c r="D1739" s="5" t="inlineStr">
        <is>
          <t>Anual</t>
        </is>
      </c>
      <c r="E1739" s="5" t="inlineStr">
        <is>
          <t>Positivo</t>
        </is>
      </c>
      <c r="F1739" s="144" t="n">
        <v>46022</v>
      </c>
      <c r="G1739" s="5" t="n">
        <v>2025</v>
      </c>
      <c r="H1739" s="5" t="inlineStr">
        <is>
          <t>Diciembre</t>
        </is>
      </c>
      <c r="I1739" s="6" t="inlineStr">
        <is>
          <t>2025-2</t>
        </is>
      </c>
      <c r="J1739" s="5" t="n">
        <v>1.4</v>
      </c>
      <c r="K1739" s="5" t="n">
        <v>1.56</v>
      </c>
      <c r="L1739" s="28">
        <f>IFERROR(IF(OR(J1739=0,K1739=""),"",IF(E1739="Positivo",MIN(MAX(K1739/J1739,0),1.3),MIN(MAX(J1739/K1739,0),1.3))),"") </f>
        <v/>
      </c>
      <c r="M1739" s="28">
        <f>IFERROR(IF(OR(J1739=0,K1739=""),"",IF(E1739="Positivo",MAX(K1739/J1739,0),MAX(J1739/K1739,0))),"") </f>
        <v/>
      </c>
      <c r="N1739" s="5" t="inlineStr">
        <is>
          <t>ENT</t>
        </is>
      </c>
      <c r="O1739" s="5" t="inlineStr">
        <is>
          <t>DEC</t>
        </is>
      </c>
      <c r="P1739" s="16" t="n">
        <v>1</v>
      </c>
      <c r="Q1739" s="5" t="n">
        <v>1</v>
      </c>
      <c r="R1739" s="5" t="inlineStr">
        <is>
          <t>355-2025-12-31</t>
        </is>
      </c>
    </row>
    <row r="1740">
      <c r="A1740" s="26" t="n">
        <v>356</v>
      </c>
      <c r="B1740" s="5" t="inlineStr">
        <is>
          <t>Indice de Endeudamiento</t>
        </is>
      </c>
      <c r="C1740" s="5" t="inlineStr">
        <is>
          <t>Tesorería</t>
        </is>
      </c>
      <c r="D1740" s="5" t="inlineStr">
        <is>
          <t>Semestral</t>
        </is>
      </c>
      <c r="E1740" s="5" t="inlineStr">
        <is>
          <t>Negativo</t>
        </is>
      </c>
      <c r="F1740" s="144" t="n">
        <v>45107</v>
      </c>
      <c r="G1740" s="5" t="n">
        <v>2023</v>
      </c>
      <c r="H1740" s="5" t="inlineStr">
        <is>
          <t>Junio</t>
        </is>
      </c>
      <c r="I1740" s="6" t="inlineStr">
        <is>
          <t>2023-1</t>
        </is>
      </c>
      <c r="J1740" s="119" t="n">
        <v>60</v>
      </c>
      <c r="K1740" s="123" t="n">
        <v>49.213961407602</v>
      </c>
      <c r="L1740" s="28">
        <f>IFERROR(IF(OR(J1740=0,K1740=""),"",IF(E1740="Positivo",MIN(MAX(K1740/J1740,0),1.3),MIN(MAX(J1740/K1740,0),1.3))),"") </f>
        <v/>
      </c>
      <c r="M1740" s="28">
        <f>IFERROR(IF(OR(J1740=0,K1740=""),"",IF(E1740="Positivo",MAX(K1740/J1740,0),MAX(J1740/K1740,0))),"") </f>
        <v/>
      </c>
      <c r="N1740" s="5" t="inlineStr">
        <is>
          <t>%</t>
        </is>
      </c>
      <c r="O1740" s="5" t="inlineStr">
        <is>
          <t>%</t>
        </is>
      </c>
      <c r="P1740" s="16" t="n">
        <v>0</v>
      </c>
      <c r="Q1740" s="16" t="n">
        <v>0</v>
      </c>
      <c r="R1740" s="5" t="inlineStr">
        <is>
          <t>356-2023-06-30</t>
        </is>
      </c>
    </row>
    <row r="1741">
      <c r="A1741" s="26" t="n">
        <v>356</v>
      </c>
      <c r="B1741" s="5" t="inlineStr">
        <is>
          <t>Indice de Endeudamiento</t>
        </is>
      </c>
      <c r="C1741" s="5" t="inlineStr">
        <is>
          <t>Tesorería</t>
        </is>
      </c>
      <c r="D1741" s="5" t="inlineStr">
        <is>
          <t>Semestral</t>
        </is>
      </c>
      <c r="E1741" s="5" t="inlineStr">
        <is>
          <t>Negativo</t>
        </is>
      </c>
      <c r="F1741" s="144" t="n">
        <v>45291</v>
      </c>
      <c r="G1741" s="5" t="n">
        <v>2023</v>
      </c>
      <c r="H1741" s="5" t="inlineStr">
        <is>
          <t>Diciembre</t>
        </is>
      </c>
      <c r="I1741" s="6" t="inlineStr">
        <is>
          <t>2023-2</t>
        </is>
      </c>
      <c r="J1741" s="5" t="n">
        <v>60</v>
      </c>
      <c r="K1741" s="5" t="n">
        <v>61.54</v>
      </c>
      <c r="L1741" s="28">
        <f>IFERROR(IF(OR(J1741=0,K1741=""),"",IF(E1741="Positivo",MIN(MAX(K1741/J1741,0),1.3),MIN(MAX(J1741/K1741,0),1.3))),"") </f>
        <v/>
      </c>
      <c r="M1741" s="28">
        <f>IFERROR(IF(OR(J1741=0,K1741=""),"",IF(E1741="Positivo",MAX(K1741/J1741,0),MAX(J1741/K1741,0))),"") </f>
        <v/>
      </c>
      <c r="N1741" s="5" t="inlineStr">
        <is>
          <t>%</t>
        </is>
      </c>
      <c r="O1741" s="5" t="inlineStr">
        <is>
          <t>%</t>
        </is>
      </c>
      <c r="P1741" s="16" t="n">
        <v>0</v>
      </c>
      <c r="Q1741" s="16" t="n">
        <v>0</v>
      </c>
      <c r="R1741" s="5" t="inlineStr">
        <is>
          <t>356-2023-12-31</t>
        </is>
      </c>
    </row>
    <row r="1742">
      <c r="A1742" s="26" t="n">
        <v>356</v>
      </c>
      <c r="B1742" s="5" t="inlineStr">
        <is>
          <t>Indice de Endeudamiento</t>
        </is>
      </c>
      <c r="C1742" s="5" t="inlineStr">
        <is>
          <t>Tesorería</t>
        </is>
      </c>
      <c r="D1742" s="5" t="inlineStr">
        <is>
          <t>Semestral</t>
        </is>
      </c>
      <c r="E1742" s="5" t="inlineStr">
        <is>
          <t>Negativo</t>
        </is>
      </c>
      <c r="F1742" s="144" t="n">
        <v>45473</v>
      </c>
      <c r="G1742" s="5" t="n">
        <v>2024</v>
      </c>
      <c r="H1742" s="5" t="inlineStr">
        <is>
          <t>Junio</t>
        </is>
      </c>
      <c r="I1742" s="6" t="inlineStr">
        <is>
          <t>2024-1</t>
        </is>
      </c>
      <c r="J1742" s="5" t="n">
        <v>60</v>
      </c>
      <c r="K1742" s="5" t="n">
        <v>54.08</v>
      </c>
      <c r="L1742" s="28">
        <f>IFERROR(IF(OR(J1742=0,K1742=""),"",IF(E1742="Positivo",MIN(MAX(K1742/J1742,0),1.3),MIN(MAX(J1742/K1742,0),1.3))),"") </f>
        <v/>
      </c>
      <c r="M1742" s="28">
        <f>IFERROR(IF(OR(J1742=0,K1742=""),"",IF(E1742="Positivo",MAX(K1742/J1742,0),MAX(J1742/K1742,0))),"") </f>
        <v/>
      </c>
      <c r="N1742" s="5" t="inlineStr">
        <is>
          <t>%</t>
        </is>
      </c>
      <c r="O1742" s="5" t="inlineStr">
        <is>
          <t>%</t>
        </is>
      </c>
      <c r="P1742" s="16" t="n">
        <v>1</v>
      </c>
      <c r="Q1742" s="16" t="n">
        <v>1</v>
      </c>
      <c r="R1742" s="5" t="inlineStr">
        <is>
          <t>356-2024-06-30</t>
        </is>
      </c>
    </row>
    <row r="1743">
      <c r="A1743" s="5" t="n">
        <v>356</v>
      </c>
      <c r="B1743" s="5" t="inlineStr">
        <is>
          <t>Indice de Endeudamiento</t>
        </is>
      </c>
      <c r="C1743" s="5" t="inlineStr">
        <is>
          <t>Tesorería</t>
        </is>
      </c>
      <c r="D1743" s="5" t="inlineStr">
        <is>
          <t>Semestral</t>
        </is>
      </c>
      <c r="E1743" s="5" t="inlineStr">
        <is>
          <t>Negativo</t>
        </is>
      </c>
      <c r="F1743" s="143" t="n">
        <v>45657</v>
      </c>
      <c r="G1743" s="5" t="n">
        <v>2024</v>
      </c>
      <c r="H1743" s="5" t="inlineStr">
        <is>
          <t>Diciembre</t>
        </is>
      </c>
      <c r="I1743" s="6" t="inlineStr">
        <is>
          <t>2024-2</t>
        </is>
      </c>
      <c r="J1743" s="5" t="n">
        <v>60</v>
      </c>
      <c r="K1743" s="123" t="n">
        <v>65.55</v>
      </c>
      <c r="L1743" s="28">
        <f>IFERROR(IF(OR(J1743=0,K1743=""),"",IF(E1743="Positivo",MIN(MAX(K1743/J1743,0),1.3),MIN(MAX(J1743/K1743,0),1.3))),"") </f>
        <v/>
      </c>
      <c r="M1743" s="28">
        <f>IFERROR(IF(OR(J1743=0,K1743=""),"",IF(E1743="Positivo",MAX(K1743/J1743,0),MAX(J1743/K1743,0))),"") </f>
        <v/>
      </c>
      <c r="N1743" s="5" t="inlineStr">
        <is>
          <t>%</t>
        </is>
      </c>
      <c r="O1743" s="5" t="inlineStr">
        <is>
          <t>%</t>
        </is>
      </c>
      <c r="P1743" s="16" t="n">
        <v>1</v>
      </c>
      <c r="Q1743" s="16" t="n">
        <v>1</v>
      </c>
      <c r="R1743" s="5" t="inlineStr">
        <is>
          <t>356-2024-12-31</t>
        </is>
      </c>
    </row>
    <row r="1744">
      <c r="A1744" s="43" t="n">
        <v>356</v>
      </c>
      <c r="B1744" s="5" t="inlineStr">
        <is>
          <t>Indice de Endeudamiento</t>
        </is>
      </c>
      <c r="C1744" s="5" t="inlineStr">
        <is>
          <t>Tesorería</t>
        </is>
      </c>
      <c r="D1744" s="5" t="inlineStr">
        <is>
          <t>Semestral</t>
        </is>
      </c>
      <c r="E1744" s="5" t="inlineStr">
        <is>
          <t>Negativo</t>
        </is>
      </c>
      <c r="F1744" s="143" t="n">
        <v>45838</v>
      </c>
      <c r="G1744" s="5" t="n">
        <v>2025</v>
      </c>
      <c r="H1744" s="5" t="inlineStr">
        <is>
          <t>Junio</t>
        </is>
      </c>
      <c r="I1744" s="6" t="inlineStr">
        <is>
          <t>2025-1</t>
        </is>
      </c>
      <c r="J1744" s="3" t="n">
        <v>60</v>
      </c>
      <c r="K1744" s="123" t="n">
        <v>49.14</v>
      </c>
      <c r="L1744" s="28">
        <f>IFERROR(IF(OR(J1744=0,K1744=""),"",IF(E1744="Positivo",MIN(MAX(K1744/J1744,0),1.3),MIN(MAX(J1744/K1744,0),1.3))),"") </f>
        <v/>
      </c>
      <c r="M1744" s="28">
        <f>IFERROR(IF(OR(J1744=0,K1744=""),"",IF(E1744="Positivo",MAX(K1744/J1744,0),MAX(J1744/K1744,0))),"") </f>
        <v/>
      </c>
      <c r="N1744" s="5" t="inlineStr">
        <is>
          <t>%</t>
        </is>
      </c>
      <c r="O1744" s="5" t="inlineStr">
        <is>
          <t>%</t>
        </is>
      </c>
      <c r="P1744" s="16" t="n">
        <v>1</v>
      </c>
      <c r="Q1744" s="16" t="n">
        <v>1</v>
      </c>
      <c r="R1744" s="5" t="inlineStr">
        <is>
          <t>356-2025-06-30</t>
        </is>
      </c>
    </row>
    <row r="1745">
      <c r="A1745" s="26" t="n">
        <v>356</v>
      </c>
      <c r="B1745" s="5" t="inlineStr">
        <is>
          <t>Indice de Endeudamiento</t>
        </is>
      </c>
      <c r="C1745" s="5" t="inlineStr">
        <is>
          <t>Tesorería</t>
        </is>
      </c>
      <c r="D1745" s="5" t="inlineStr">
        <is>
          <t>Trimestral</t>
        </is>
      </c>
      <c r="E1745" s="5" t="inlineStr">
        <is>
          <t>Negativo</t>
        </is>
      </c>
      <c r="F1745" s="144" t="n">
        <v>46022</v>
      </c>
      <c r="G1745" s="5" t="n">
        <v>2025</v>
      </c>
      <c r="H1745" s="5" t="inlineStr">
        <is>
          <t>Diciembre</t>
        </is>
      </c>
      <c r="I1745" s="6" t="inlineStr">
        <is>
          <t>2025-2</t>
        </is>
      </c>
      <c r="J1745" s="5" t="n">
        <v>60</v>
      </c>
      <c r="K1745" s="10" t="n">
        <v>64.77</v>
      </c>
      <c r="L1745" s="28">
        <f>IFERROR(IF(OR(J1745=0,K1745=""),"",IF(E1745="Positivo",MIN(MAX(K1745/J1745,0),1.3),MIN(MAX(J1745/K1745,0),1.3))),"") </f>
        <v/>
      </c>
      <c r="M1745" s="28">
        <f>IFERROR(IF(OR(J1745=0,K1745=""),"",IF(E1745="Positivo",MAX(K1745/J1745,0),MAX(J1745/K1745,0))),"") </f>
        <v/>
      </c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1</v>
      </c>
      <c r="R1745" s="5" t="inlineStr">
        <is>
          <t>356-2025-12-31</t>
        </is>
      </c>
    </row>
    <row r="1746">
      <c r="A1746" s="43" t="n">
        <v>357</v>
      </c>
      <c r="B1746" s="5" t="inlineStr">
        <is>
          <t>Cartera</t>
        </is>
      </c>
      <c r="C1746" s="5" t="inlineStr">
        <is>
          <t>Tesorería</t>
        </is>
      </c>
      <c r="D1746" s="5" t="inlineStr">
        <is>
          <t>Semestral</t>
        </is>
      </c>
      <c r="E1746" s="5" t="inlineStr">
        <is>
          <t>Positivo</t>
        </is>
      </c>
      <c r="F1746" s="144" t="n">
        <v>45107</v>
      </c>
      <c r="G1746" s="5" t="n">
        <v>2023</v>
      </c>
      <c r="H1746" s="5" t="inlineStr">
        <is>
          <t>Junio</t>
        </is>
      </c>
      <c r="I1746" s="6" t="inlineStr">
        <is>
          <t>2023-1</t>
        </is>
      </c>
      <c r="J1746" s="5" t="n"/>
      <c r="K1746" s="5" t="n">
        <v>3.0055354363176</v>
      </c>
      <c r="L1746" s="28" t="n"/>
      <c r="M1746" s="28" t="n"/>
      <c r="N1746" s="5" t="inlineStr">
        <is>
          <t>Metrica</t>
        </is>
      </c>
      <c r="O1746" s="5" t="inlineStr">
        <is>
          <t>DEC</t>
        </is>
      </c>
      <c r="P1746" s="16" t="n">
        <v>2</v>
      </c>
      <c r="Q1746" s="16" t="n">
        <v>2</v>
      </c>
      <c r="R1746" s="5" t="inlineStr">
        <is>
          <t>357-2023-06-30</t>
        </is>
      </c>
    </row>
    <row r="1747">
      <c r="A1747" s="26" t="n">
        <v>357</v>
      </c>
      <c r="B1747" s="5" t="inlineStr">
        <is>
          <t>Cartera</t>
        </is>
      </c>
      <c r="C1747" s="5" t="inlineStr">
        <is>
          <t>Tesorería</t>
        </is>
      </c>
      <c r="D1747" s="5" t="inlineStr">
        <is>
          <t>Semestral</t>
        </is>
      </c>
      <c r="E1747" s="5" t="inlineStr">
        <is>
          <t>Positivo</t>
        </is>
      </c>
      <c r="F1747" s="144" t="n">
        <v>45291</v>
      </c>
      <c r="G1747" s="5" t="n">
        <v>2023</v>
      </c>
      <c r="H1747" s="5" t="inlineStr">
        <is>
          <t>Diciembre</t>
        </is>
      </c>
      <c r="I1747" s="6" t="inlineStr">
        <is>
          <t>2023-2</t>
        </is>
      </c>
      <c r="J1747" s="119" t="n"/>
      <c r="K1747" s="123" t="n">
        <v>4.45</v>
      </c>
      <c r="L1747" s="28" t="n"/>
      <c r="M1747" s="28" t="n"/>
      <c r="N1747" s="5" t="inlineStr">
        <is>
          <t>Metrica</t>
        </is>
      </c>
      <c r="O1747" s="5" t="inlineStr">
        <is>
          <t>DEC</t>
        </is>
      </c>
      <c r="P1747" s="16" t="n">
        <v>0</v>
      </c>
      <c r="Q1747" s="16" t="n">
        <v>0</v>
      </c>
      <c r="R1747" s="5" t="inlineStr">
        <is>
          <t>357-2023-12-31</t>
        </is>
      </c>
    </row>
    <row r="1748">
      <c r="A1748" s="26" t="n">
        <v>357</v>
      </c>
      <c r="B1748" s="5" t="inlineStr">
        <is>
          <t>Cartera</t>
        </is>
      </c>
      <c r="C1748" s="5" t="inlineStr">
        <is>
          <t>Tesorería</t>
        </is>
      </c>
      <c r="D1748" s="5" t="inlineStr">
        <is>
          <t>Semestral</t>
        </is>
      </c>
      <c r="E1748" s="5" t="inlineStr">
        <is>
          <t>Positivo</t>
        </is>
      </c>
      <c r="F1748" s="144" t="n">
        <v>45473</v>
      </c>
      <c r="G1748" s="5" t="n">
        <v>2024</v>
      </c>
      <c r="H1748" s="5" t="inlineStr">
        <is>
          <t>Junio</t>
        </is>
      </c>
      <c r="I1748" s="6" t="inlineStr">
        <is>
          <t>2024-1</t>
        </is>
      </c>
      <c r="J1748" s="5" t="n"/>
      <c r="K1748" s="10" t="n">
        <v>3.87</v>
      </c>
      <c r="L1748" s="28" t="n"/>
      <c r="M1748" s="28" t="n"/>
      <c r="N1748" s="5" t="inlineStr">
        <is>
          <t>Metrica</t>
        </is>
      </c>
      <c r="O1748" s="5" t="inlineStr">
        <is>
          <t>DEC</t>
        </is>
      </c>
      <c r="P1748" s="16" t="n">
        <v>2</v>
      </c>
      <c r="Q1748" s="16" t="n">
        <v>2</v>
      </c>
      <c r="R1748" s="5" t="inlineStr">
        <is>
          <t>357-2024-06-30</t>
        </is>
      </c>
    </row>
    <row r="1749">
      <c r="A1749" s="26" t="n">
        <v>357</v>
      </c>
      <c r="B1749" s="5" t="inlineStr">
        <is>
          <t>Cartera</t>
        </is>
      </c>
      <c r="C1749" s="5" t="inlineStr">
        <is>
          <t>Tesorería</t>
        </is>
      </c>
      <c r="D1749" s="5" t="inlineStr">
        <is>
          <t>Semestral</t>
        </is>
      </c>
      <c r="E1749" s="5" t="inlineStr">
        <is>
          <t>Positivo</t>
        </is>
      </c>
      <c r="F1749" s="144" t="n">
        <v>45657</v>
      </c>
      <c r="G1749" s="5" t="n">
        <v>2024</v>
      </c>
      <c r="H1749" s="5" t="inlineStr">
        <is>
          <t>Diciembre</t>
        </is>
      </c>
      <c r="I1749" s="6" t="inlineStr">
        <is>
          <t>2024-2</t>
        </is>
      </c>
      <c r="J1749" s="5" t="n"/>
      <c r="K1749" s="10" t="n">
        <v>0.51</v>
      </c>
      <c r="L1749" s="28" t="n"/>
      <c r="M1749" s="28" t="n"/>
      <c r="N1749" s="5" t="inlineStr">
        <is>
          <t>Metrica</t>
        </is>
      </c>
      <c r="O1749" s="5" t="inlineStr">
        <is>
          <t>DEC</t>
        </is>
      </c>
      <c r="P1749" s="16" t="n">
        <v>2</v>
      </c>
      <c r="Q1749" s="16" t="n">
        <v>2</v>
      </c>
      <c r="R1749" s="5" t="inlineStr">
        <is>
          <t>357-2024-12-31</t>
        </is>
      </c>
    </row>
    <row r="1750">
      <c r="A1750" s="5" t="n">
        <v>357</v>
      </c>
      <c r="B1750" s="5" t="inlineStr">
        <is>
          <t>Cartera</t>
        </is>
      </c>
      <c r="C1750" s="5" t="inlineStr">
        <is>
          <t>Tesorería</t>
        </is>
      </c>
      <c r="D1750" s="5" t="inlineStr">
        <is>
          <t>Semestral</t>
        </is>
      </c>
      <c r="E1750" s="5" t="inlineStr">
        <is>
          <t>Positivo</t>
        </is>
      </c>
      <c r="F1750" s="144" t="n">
        <v>45838</v>
      </c>
      <c r="G1750" s="5" t="n">
        <v>2025</v>
      </c>
      <c r="H1750" s="5" t="inlineStr">
        <is>
          <t>Junio</t>
        </is>
      </c>
      <c r="I1750" s="6" t="inlineStr">
        <is>
          <t>2025-1</t>
        </is>
      </c>
      <c r="J1750" s="5" t="n"/>
      <c r="K1750" s="5" t="n">
        <v>0.85</v>
      </c>
      <c r="L1750" s="8" t="n"/>
      <c r="M1750" s="28" t="n"/>
      <c r="N1750" s="5" t="inlineStr">
        <is>
          <t>Metrica</t>
        </is>
      </c>
      <c r="O1750" s="5" t="inlineStr">
        <is>
          <t>DEC</t>
        </is>
      </c>
      <c r="P1750" s="5" t="n">
        <v>2</v>
      </c>
      <c r="Q1750" s="5" t="n">
        <v>2</v>
      </c>
      <c r="R1750" s="5" t="inlineStr">
        <is>
          <t>357-2025-06-30</t>
        </is>
      </c>
    </row>
    <row r="1751">
      <c r="A1751" s="5" t="n">
        <v>357</v>
      </c>
      <c r="B1751" s="5" t="inlineStr">
        <is>
          <t>Cartera - Metrica</t>
        </is>
      </c>
      <c r="C1751" s="5" t="inlineStr">
        <is>
          <t>Tesorería</t>
        </is>
      </c>
      <c r="D1751" s="5" t="inlineStr">
        <is>
          <t>Trimestral</t>
        </is>
      </c>
      <c r="E1751" s="5" t="inlineStr">
        <is>
          <t>Positivo</t>
        </is>
      </c>
      <c r="F1751" s="144" t="n">
        <v>46022</v>
      </c>
      <c r="G1751" s="5" t="n">
        <v>2025</v>
      </c>
      <c r="H1751" s="5" t="inlineStr">
        <is>
          <t>Diciembre</t>
        </is>
      </c>
      <c r="I1751" s="6" t="inlineStr">
        <is>
          <t>2025-2</t>
        </is>
      </c>
      <c r="J1751" s="5" t="n">
        <v>10049277970</v>
      </c>
      <c r="K1751" s="5" t="n">
        <v>0.44</v>
      </c>
      <c r="L1751" s="8" t="n"/>
      <c r="M1751" s="28" t="n"/>
      <c r="N1751" s="5" t="inlineStr">
        <is>
          <t>Metrica</t>
        </is>
      </c>
      <c r="O1751" s="5" t="n"/>
      <c r="P1751" s="5" t="n">
        <v>0</v>
      </c>
      <c r="Q1751" s="5" t="n">
        <v>2</v>
      </c>
      <c r="R1751" s="5" t="inlineStr">
        <is>
          <t>357-2025-12-31</t>
        </is>
      </c>
      <c r="S1751" t="inlineStr">
        <is>
          <t>Metrica</t>
        </is>
      </c>
    </row>
    <row r="1752">
      <c r="A1752" s="5" t="n">
        <v>358</v>
      </c>
      <c r="B1752" s="5" t="inlineStr">
        <is>
          <t>Acompañamiento a estudiantes en practicas</t>
        </is>
      </c>
      <c r="C1752" s="5" t="inlineStr">
        <is>
          <t>Prácticas</t>
        </is>
      </c>
      <c r="D1752" s="5" t="inlineStr">
        <is>
          <t>Semestral</t>
        </is>
      </c>
      <c r="E1752" s="5" t="inlineStr">
        <is>
          <t>Positivo</t>
        </is>
      </c>
      <c r="F1752" s="144" t="n">
        <v>45107</v>
      </c>
      <c r="G1752" s="5" t="n">
        <v>2023</v>
      </c>
      <c r="H1752" s="5" t="inlineStr">
        <is>
          <t>Junio</t>
        </is>
      </c>
      <c r="I1752" s="6" t="inlineStr">
        <is>
          <t>2023-1</t>
        </is>
      </c>
      <c r="J1752" s="5" t="n">
        <v>87</v>
      </c>
      <c r="K1752" s="5" t="n">
        <v>86.98453608247399</v>
      </c>
      <c r="L1752" s="28">
        <f>IFERROR(IF(OR(J1752=0,K1752=""),"",IF(E1752="Positivo",MIN(MAX(K1752/J1752,0),1.3),MIN(MAX(J1752/K1752,0),1.3))),"") </f>
        <v/>
      </c>
      <c r="M1752" s="28">
        <f>IFERROR(IF(OR(J1752=0,K1752=""),"",IF(E1752="Positivo",MAX(K1752/J1752,0),MAX(J1752/K1752,0))),"") </f>
        <v/>
      </c>
      <c r="N1752" s="5" t="inlineStr">
        <is>
          <t>%</t>
        </is>
      </c>
      <c r="O1752" s="5" t="inlineStr">
        <is>
          <t>%</t>
        </is>
      </c>
      <c r="P1752" s="5" t="n">
        <v>0</v>
      </c>
      <c r="Q1752" s="5" t="n">
        <v>0</v>
      </c>
      <c r="R1752" s="5" t="inlineStr">
        <is>
          <t>358-2023-06-30</t>
        </is>
      </c>
    </row>
    <row r="1753">
      <c r="A1753" s="5" t="n">
        <v>358</v>
      </c>
      <c r="B1753" s="5" t="inlineStr">
        <is>
          <t>Acompañamiento a estudiantes en practicas</t>
        </is>
      </c>
      <c r="C1753" s="5" t="inlineStr">
        <is>
          <t>Prácticas</t>
        </is>
      </c>
      <c r="D1753" s="5" t="inlineStr">
        <is>
          <t>Semestral</t>
        </is>
      </c>
      <c r="E1753" s="5" t="inlineStr">
        <is>
          <t>Positivo</t>
        </is>
      </c>
      <c r="F1753" s="144" t="n">
        <v>45291</v>
      </c>
      <c r="G1753" s="5" t="n">
        <v>2023</v>
      </c>
      <c r="H1753" s="5" t="inlineStr">
        <is>
          <t>Diciembre</t>
        </is>
      </c>
      <c r="I1753" s="6" t="inlineStr">
        <is>
          <t>2023-2</t>
        </is>
      </c>
      <c r="J1753" s="5" t="n">
        <v>87</v>
      </c>
      <c r="K1753" s="5" t="n">
        <v>95</v>
      </c>
      <c r="L1753" s="28">
        <f>IFERROR(IF(OR(J1753=0,K1753=""),"",IF(E1753="Positivo",MIN(MAX(K1753/J1753,0),1.3),MIN(MAX(J1753/K1753,0),1.3))),"") </f>
        <v/>
      </c>
      <c r="M1753" s="28">
        <f>IFERROR(IF(OR(J1753=0,K1753=""),"",IF(E1753="Positivo",MAX(K1753/J1753,0),MAX(J1753/K1753,0))),"") </f>
        <v/>
      </c>
      <c r="N1753" s="5" t="inlineStr">
        <is>
          <t>%</t>
        </is>
      </c>
      <c r="O1753" s="5" t="inlineStr">
        <is>
          <t>%</t>
        </is>
      </c>
      <c r="P1753" s="5" t="n">
        <v>0</v>
      </c>
      <c r="Q1753" s="5" t="n">
        <v>0</v>
      </c>
      <c r="R1753" s="5" t="inlineStr">
        <is>
          <t>358-2023-12-31</t>
        </is>
      </c>
    </row>
    <row r="1754">
      <c r="A1754" s="5" t="n">
        <v>358</v>
      </c>
      <c r="B1754" s="5" t="inlineStr">
        <is>
          <t>Acompañamiento a estudiantes en practicas</t>
        </is>
      </c>
      <c r="C1754" s="5" t="inlineStr">
        <is>
          <t>Prácticas</t>
        </is>
      </c>
      <c r="D1754" s="5" t="inlineStr">
        <is>
          <t>Semestral</t>
        </is>
      </c>
      <c r="E1754" s="5" t="inlineStr">
        <is>
          <t>Positivo</t>
        </is>
      </c>
      <c r="F1754" s="144" t="n">
        <v>45473</v>
      </c>
      <c r="G1754" s="5" t="n">
        <v>2024</v>
      </c>
      <c r="H1754" s="5" t="inlineStr">
        <is>
          <t>Junio</t>
        </is>
      </c>
      <c r="I1754" s="6" t="inlineStr">
        <is>
          <t>2024-1</t>
        </is>
      </c>
      <c r="J1754" s="5" t="n">
        <v>87</v>
      </c>
      <c r="K1754" s="5" t="n">
        <v>97.98999999999999</v>
      </c>
      <c r="L1754" s="28">
        <f>IFERROR(IF(OR(J1754=0,K1754=""),"",IF(E1754="Positivo",MIN(MAX(K1754/J1754,0),1.3),MIN(MAX(J1754/K1754,0),1.3))),"") </f>
        <v/>
      </c>
      <c r="M1754" s="28">
        <f>IFERROR(IF(OR(J1754=0,K1754=""),"",IF(E1754="Positivo",MAX(K1754/J1754,0),MAX(J1754/K1754,0))),"") </f>
        <v/>
      </c>
      <c r="N1754" s="5" t="inlineStr">
        <is>
          <t>%</t>
        </is>
      </c>
      <c r="O1754" s="5" t="inlineStr">
        <is>
          <t>%</t>
        </is>
      </c>
      <c r="P1754" s="5" t="n">
        <v>0</v>
      </c>
      <c r="Q1754" s="5" t="n">
        <v>0</v>
      </c>
      <c r="R1754" s="5" t="inlineStr">
        <is>
          <t>358-2024-06-30</t>
        </is>
      </c>
    </row>
    <row r="1755">
      <c r="A1755" s="26" t="n">
        <v>358</v>
      </c>
      <c r="B1755" s="5" t="inlineStr">
        <is>
          <t>Acompañamiento a estudiantes en practicas</t>
        </is>
      </c>
      <c r="C1755" s="5" t="inlineStr">
        <is>
          <t>Prácticas</t>
        </is>
      </c>
      <c r="D1755" s="5" t="inlineStr">
        <is>
          <t>Semestral</t>
        </is>
      </c>
      <c r="E1755" s="5" t="inlineStr">
        <is>
          <t>Positivo</t>
        </is>
      </c>
      <c r="F1755" s="144" t="n">
        <v>45657</v>
      </c>
      <c r="G1755" s="5" t="n">
        <v>2024</v>
      </c>
      <c r="H1755" s="5" t="inlineStr">
        <is>
          <t>Diciembre</t>
        </is>
      </c>
      <c r="I1755" s="6" t="inlineStr">
        <is>
          <t>2024-2</t>
        </is>
      </c>
      <c r="J1755" s="5" t="n">
        <v>87</v>
      </c>
      <c r="K1755" s="10" t="n">
        <v>100</v>
      </c>
      <c r="L1755" s="28">
        <f>IFERROR(IF(OR(J1755=0,K1755=""),"",IF(E1755="Positivo",MIN(MAX(K1755/J1755,0),1.3),MIN(MAX(J1755/K1755,0),1.3))),"") </f>
        <v/>
      </c>
      <c r="M1755" s="93">
        <f>IFERROR(IF(OR(J1755=0,K1755=""),"",IF(E1755="Positivo",MAX(K1755/J1755,0),MAX(J1755/K1755,0))),"") </f>
        <v/>
      </c>
      <c r="N1755" s="5" t="inlineStr">
        <is>
          <t>%</t>
        </is>
      </c>
      <c r="O1755" s="5" t="inlineStr">
        <is>
          <t>%</t>
        </is>
      </c>
      <c r="P1755" s="16" t="n">
        <v>0</v>
      </c>
      <c r="Q1755" s="16" t="n">
        <v>0</v>
      </c>
      <c r="R1755" s="5" t="inlineStr">
        <is>
          <t>358-2024-12-31</t>
        </is>
      </c>
    </row>
    <row r="1756">
      <c r="A1756" s="5" t="n">
        <v>358</v>
      </c>
      <c r="B1756" s="5" t="inlineStr">
        <is>
          <t>Nivel de acompañamiento a estudiantes en práctica</t>
        </is>
      </c>
      <c r="C1756" s="5" t="inlineStr">
        <is>
          <t>Prácticas</t>
        </is>
      </c>
      <c r="D1756" s="5" t="inlineStr">
        <is>
          <t>Trimestral</t>
        </is>
      </c>
      <c r="E1756" s="5" t="inlineStr">
        <is>
          <t>Positivo</t>
        </is>
      </c>
      <c r="F1756" s="144" t="n">
        <v>45838</v>
      </c>
      <c r="G1756" s="5" t="n">
        <v>2025</v>
      </c>
      <c r="H1756" s="5" t="inlineStr">
        <is>
          <t>Junio</t>
        </is>
      </c>
      <c r="I1756" s="6" t="inlineStr">
        <is>
          <t>2025-1</t>
        </is>
      </c>
      <c r="J1756" s="5" t="n">
        <v>100</v>
      </c>
      <c r="K1756" s="5" t="n">
        <v>100</v>
      </c>
      <c r="L1756" s="28">
        <f>IFERROR(IF(OR(J1756=0,K1756=""),"",IF(E1756="Positivo",MIN(MAX(K1756/J1756,0),1.3),MIN(MAX(J1756/K1756,0),1.3))),"") </f>
        <v/>
      </c>
      <c r="M1756" s="28">
        <f>IFERROR(IF(OR(J1756=0,K1756=""),"",IF(E1756="Positivo",MAX(K1756/J1756,0),MAX(J1756/K1756,0))),"") </f>
        <v/>
      </c>
      <c r="N1756" s="5" t="inlineStr">
        <is>
          <t>%</t>
        </is>
      </c>
      <c r="O1756" s="5" t="inlineStr">
        <is>
          <t>%</t>
        </is>
      </c>
      <c r="P1756" s="5" t="n">
        <v>0</v>
      </c>
      <c r="Q1756" s="5" t="n">
        <v>0</v>
      </c>
      <c r="R1756" s="5" t="inlineStr">
        <is>
          <t>358-2025-06-30</t>
        </is>
      </c>
    </row>
    <row r="1757">
      <c r="A1757" s="5" t="n">
        <v>358</v>
      </c>
      <c r="B1757" s="5" t="inlineStr">
        <is>
          <t>Acompañamiento a estudiantes en practicas</t>
        </is>
      </c>
      <c r="C1757" s="5" t="inlineStr">
        <is>
          <t>Prácticas</t>
        </is>
      </c>
      <c r="D1757" s="5" t="inlineStr">
        <is>
          <t>Semestral</t>
        </is>
      </c>
      <c r="E1757" s="5" t="inlineStr">
        <is>
          <t>Positivo</t>
        </is>
      </c>
      <c r="F1757" s="144" t="n">
        <v>46022</v>
      </c>
      <c r="G1757" s="5" t="n">
        <v>2025</v>
      </c>
      <c r="H1757" s="5" t="inlineStr">
        <is>
          <t>Diciembre</t>
        </is>
      </c>
      <c r="I1757" s="6" t="inlineStr">
        <is>
          <t>2025-2</t>
        </is>
      </c>
      <c r="J1757" s="5" t="n">
        <v>100</v>
      </c>
      <c r="K1757" s="5" t="n">
        <v>100</v>
      </c>
      <c r="L1757" s="28">
        <f>IFERROR(IF(OR(J1757=0,K1757=""),"",IF(E1757="Positivo",MIN(MAX(K1757/J1757,0),1.3),MIN(MAX(J1757/K1757,0),1.3))),"") </f>
        <v/>
      </c>
      <c r="M1757" s="28">
        <f>IFERROR(IF(OR(J1757=0,K1757=""),"",IF(E1757="Positivo",MAX(K1757/J1757,0),MAX(J1757/K1757,0))),"") </f>
        <v/>
      </c>
      <c r="N1757" s="5" t="inlineStr">
        <is>
          <t>%</t>
        </is>
      </c>
      <c r="O1757" s="5" t="inlineStr">
        <is>
          <t>%</t>
        </is>
      </c>
      <c r="P1757" s="5" t="n">
        <v>0</v>
      </c>
      <c r="Q1757" s="5" t="n">
        <v>0</v>
      </c>
      <c r="R1757" s="5" t="inlineStr">
        <is>
          <t>358-2025-12-31</t>
        </is>
      </c>
    </row>
    <row r="1758">
      <c r="A1758" s="26" t="n">
        <v>359</v>
      </c>
      <c r="B1758" s="5" t="inlineStr">
        <is>
          <t>Satisfacción Institucional CSAT</t>
        </is>
      </c>
      <c r="C1758" s="5" t="inlineStr">
        <is>
          <t>EXPERIENCIA INSTITUCIONAL</t>
        </is>
      </c>
      <c r="D1758" s="5" t="inlineStr">
        <is>
          <t>Trimestral</t>
        </is>
      </c>
      <c r="E1758" s="5" t="inlineStr">
        <is>
          <t>Positivo</t>
        </is>
      </c>
      <c r="F1758" s="144" t="n">
        <v>45473</v>
      </c>
      <c r="G1758" s="5" t="n">
        <v>2024</v>
      </c>
      <c r="H1758" s="5" t="inlineStr">
        <is>
          <t>Junio</t>
        </is>
      </c>
      <c r="I1758" s="6" t="inlineStr">
        <is>
          <t>2024-1</t>
        </is>
      </c>
      <c r="J1758" s="5" t="n">
        <v>80</v>
      </c>
      <c r="K1758" s="135" t="n">
        <v>0</v>
      </c>
      <c r="L1758" s="28">
        <f>IFERROR(IF(OR(J1758=0,K1758=""),"",IF(E1758="Positivo",MIN(MAX(K1758/J1758,0),1.3),MIN(MAX(J1758/K1758,0),1.3))),"") </f>
        <v/>
      </c>
      <c r="M1758" s="28">
        <f>IFERROR(IF(OR(J1758=0,K1758=""),"",IF(E1758="Positivo",MAX(K1758/J1758,0),MAX(J1758/K1758,0))),"") </f>
        <v/>
      </c>
      <c r="N1758" s="5" t="inlineStr">
        <is>
          <t>%</t>
        </is>
      </c>
      <c r="O1758" s="5" t="inlineStr">
        <is>
          <t>%</t>
        </is>
      </c>
      <c r="P1758" s="16" t="n">
        <v>0</v>
      </c>
      <c r="Q1758" s="16" t="n">
        <v>0</v>
      </c>
      <c r="R1758" s="5" t="inlineStr">
        <is>
          <t>359-2024-06-30</t>
        </is>
      </c>
    </row>
    <row r="1759">
      <c r="A1759" s="26" t="n">
        <v>359</v>
      </c>
      <c r="B1759" s="5" t="inlineStr">
        <is>
          <t>Satisfacción Institucional</t>
        </is>
      </c>
      <c r="C1759" s="5" t="inlineStr">
        <is>
          <t>EXPERIENCIA INSTITUCIONAL</t>
        </is>
      </c>
      <c r="D1759" s="5" t="inlineStr">
        <is>
          <t>Semestral</t>
        </is>
      </c>
      <c r="E1759" s="5" t="inlineStr">
        <is>
          <t>Positivo</t>
        </is>
      </c>
      <c r="F1759" s="144" t="n">
        <v>45657</v>
      </c>
      <c r="G1759" s="5" t="n">
        <v>2024</v>
      </c>
      <c r="H1759" s="5" t="inlineStr">
        <is>
          <t>Diciembre</t>
        </is>
      </c>
      <c r="I1759" s="6" t="inlineStr">
        <is>
          <t>2024-2</t>
        </is>
      </c>
      <c r="J1759" s="5" t="n">
        <v>80</v>
      </c>
      <c r="K1759" s="135" t="n">
        <v>86</v>
      </c>
      <c r="L1759" s="28">
        <f>IFERROR(IF(OR(J1759=0,K1759=""),"",IF(E1759="Positivo",MIN(MAX(K1759/J1759,0),1.3),MIN(MAX(J1759/K1759,0),1.3))),"") </f>
        <v/>
      </c>
      <c r="M1759" s="28">
        <f>IFERROR(IF(OR(J1759=0,K1759=""),"",IF(E1759="Positivo",MAX(K1759/J1759,0),MAX(J1759/K1759,0))),"") </f>
        <v/>
      </c>
      <c r="N1759" s="5" t="inlineStr">
        <is>
          <t>%</t>
        </is>
      </c>
      <c r="O1759" s="5" t="inlineStr">
        <is>
          <t>%</t>
        </is>
      </c>
      <c r="P1759" s="16" t="n">
        <v>0</v>
      </c>
      <c r="Q1759" s="16" t="n">
        <v>0</v>
      </c>
      <c r="R1759" s="5" t="inlineStr">
        <is>
          <t>359-2024-12-31</t>
        </is>
      </c>
    </row>
    <row r="1760">
      <c r="A1760" s="26" t="n">
        <v>359</v>
      </c>
      <c r="B1760" s="5" t="inlineStr">
        <is>
          <t>Satisfacción Institucional</t>
        </is>
      </c>
      <c r="C1760" s="5" t="inlineStr">
        <is>
          <t>EXPERIENCIA INSTITUCIONAL</t>
        </is>
      </c>
      <c r="D1760" s="5" t="inlineStr">
        <is>
          <t>Semestral</t>
        </is>
      </c>
      <c r="E1760" s="5" t="inlineStr">
        <is>
          <t>Positivo</t>
        </is>
      </c>
      <c r="F1760" s="144" t="n">
        <v>45838</v>
      </c>
      <c r="G1760" s="5" t="n">
        <v>2025</v>
      </c>
      <c r="H1760" s="5" t="inlineStr">
        <is>
          <t>Junio</t>
        </is>
      </c>
      <c r="I1760" s="6" t="inlineStr">
        <is>
          <t>2025-1</t>
        </is>
      </c>
      <c r="J1760" s="5" t="n">
        <v>80</v>
      </c>
      <c r="K1760" s="135" t="n">
        <v>90</v>
      </c>
      <c r="L1760" s="28">
        <f>IFERROR(IF(OR(J1760=0,K1760=""),"",IF(E1760="Positivo",MIN(MAX(K1760/J1760,0),1.3),MIN(MAX(J1760/K1760,0),1.3))),"") </f>
        <v/>
      </c>
      <c r="M1760" s="28">
        <f>IFERROR(IF(OR(J1760=0,K1760=""),"",IF(E1760="Positivo",MAX(K1760/J1760,0),MAX(J1760/K1760,0))),"") </f>
        <v/>
      </c>
      <c r="N1760" s="5" t="inlineStr">
        <is>
          <t>%</t>
        </is>
      </c>
      <c r="O1760" s="5" t="inlineStr">
        <is>
          <t>%</t>
        </is>
      </c>
      <c r="P1760" s="16" t="n">
        <v>0</v>
      </c>
      <c r="Q1760" s="16" t="n">
        <v>0</v>
      </c>
      <c r="R1760" s="5" t="inlineStr">
        <is>
          <t>359-2025-06-30</t>
        </is>
      </c>
    </row>
    <row r="1761">
      <c r="A1761" s="26" t="n">
        <v>359</v>
      </c>
      <c r="B1761" s="5" t="inlineStr">
        <is>
          <t>Satisfacción Institucional CSAT</t>
        </is>
      </c>
      <c r="C1761" s="5" t="inlineStr">
        <is>
          <t>EXPERIENCIA INSTITUCIONAL</t>
        </is>
      </c>
      <c r="D1761" s="5" t="inlineStr">
        <is>
          <t>Trimestral</t>
        </is>
      </c>
      <c r="E1761" s="5" t="inlineStr">
        <is>
          <t>Positivo</t>
        </is>
      </c>
      <c r="F1761" s="144" t="n">
        <v>46022</v>
      </c>
      <c r="G1761" s="5" t="n">
        <v>2025</v>
      </c>
      <c r="H1761" s="5" t="inlineStr">
        <is>
          <t>Diciembre</t>
        </is>
      </c>
      <c r="I1761" s="6" t="inlineStr">
        <is>
          <t>2025-2</t>
        </is>
      </c>
      <c r="J1761" s="5" t="n">
        <v>85</v>
      </c>
      <c r="K1761" s="135" t="n">
        <v>89.90000000000001</v>
      </c>
      <c r="L1761" s="28">
        <f>IFERROR(IF(OR(J1761=0,K1761=""),"",IF(E1761="Positivo",MIN(MAX(K1761/J1761,0),1.3),MIN(MAX(J1761/K1761,0),1.3))),"") </f>
        <v/>
      </c>
      <c r="M1761" s="28">
        <f>IFERROR(IF(OR(J1761=0,K1761=""),"",IF(E1761="Positivo",MAX(K1761/J1761,0),MAX(J1761/K1761,0))),"") </f>
        <v/>
      </c>
      <c r="N1761" s="5" t="inlineStr">
        <is>
          <t>%</t>
        </is>
      </c>
      <c r="O1761" s="5" t="inlineStr">
        <is>
          <t>%</t>
        </is>
      </c>
      <c r="P1761" s="16" t="n">
        <v>0</v>
      </c>
      <c r="Q1761" s="16" t="n">
        <v>0</v>
      </c>
      <c r="R1761" s="5" t="inlineStr">
        <is>
          <t>359-2025-12-31</t>
        </is>
      </c>
    </row>
    <row r="1762">
      <c r="A1762" s="26" t="n">
        <v>360</v>
      </c>
      <c r="B1762" s="5" t="inlineStr">
        <is>
          <t>Cumplimiento de cronogramas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144" t="n">
        <v>45107</v>
      </c>
      <c r="G1762" s="5" t="n">
        <v>2023</v>
      </c>
      <c r="H1762" s="5" t="inlineStr">
        <is>
          <t>Junio</t>
        </is>
      </c>
      <c r="I1762" s="6" t="inlineStr">
        <is>
          <t>2023-1</t>
        </is>
      </c>
      <c r="J1762" s="5" t="n">
        <v>0</v>
      </c>
      <c r="K1762" s="135" t="n">
        <v>0</v>
      </c>
      <c r="L1762" s="28">
        <f>IFERROR(IF(OR(J1762=0,K1762=""),"",IF(E1762="Positivo",MIN(MAX(K1762/J1762,0),1.3),MIN(MAX(J1762/K1762,0),1.3))),"") </f>
        <v/>
      </c>
      <c r="M1762" s="28">
        <f>IFERROR(IF(OR(J1762=0,K1762=""),"",IF(E1762="Positivo",MAX(K1762/J1762,0),MAX(J1762/K1762,0))),"") </f>
        <v/>
      </c>
      <c r="N1762" s="5" t="n"/>
      <c r="O1762" s="5" t="n"/>
      <c r="P1762" s="16" t="n">
        <v>0</v>
      </c>
      <c r="Q1762" s="16" t="n">
        <v>0</v>
      </c>
      <c r="R1762" s="5" t="inlineStr">
        <is>
          <t>360-2023-06-30</t>
        </is>
      </c>
    </row>
    <row r="1763">
      <c r="A1763" s="26" t="n">
        <v>360</v>
      </c>
      <c r="B1763" s="5" t="inlineStr">
        <is>
          <t>Cumplimiento de cronogramas</t>
        </is>
      </c>
      <c r="C1763" s="5" t="inlineStr">
        <is>
          <t>EXPERIENCIA INSTITUCIONAL</t>
        </is>
      </c>
      <c r="D1763" s="5" t="inlineStr">
        <is>
          <t>Semestral</t>
        </is>
      </c>
      <c r="E1763" s="5" t="inlineStr">
        <is>
          <t>Positivo</t>
        </is>
      </c>
      <c r="F1763" s="144" t="n">
        <v>45291</v>
      </c>
      <c r="G1763" s="5" t="n">
        <v>2023</v>
      </c>
      <c r="H1763" s="5" t="inlineStr">
        <is>
          <t>Diciembre</t>
        </is>
      </c>
      <c r="I1763" s="6" t="inlineStr">
        <is>
          <t>2023-2</t>
        </is>
      </c>
      <c r="J1763" s="5" t="n">
        <v>0</v>
      </c>
      <c r="K1763" s="135" t="n">
        <v>0</v>
      </c>
      <c r="L1763" s="28">
        <f>IFERROR(IF(OR(J1763=0,K1763=""),"",IF(E1763="Positivo",MIN(MAX(K1763/J1763,0),1.3),MIN(MAX(J1763/K1763,0),1.3))),"") </f>
        <v/>
      </c>
      <c r="M1763" s="28">
        <f>IFERROR(IF(OR(J1763=0,K1763=""),"",IF(E1763="Positivo",MAX(K1763/J1763,0),MAX(J1763/K1763,0))),"") </f>
        <v/>
      </c>
      <c r="N1763" s="5" t="n"/>
      <c r="O1763" s="5" t="n"/>
      <c r="P1763" s="16" t="n">
        <v>0</v>
      </c>
      <c r="Q1763" s="16" t="n">
        <v>0</v>
      </c>
      <c r="R1763" s="5" t="inlineStr">
        <is>
          <t>360-2023-12-31</t>
        </is>
      </c>
    </row>
    <row r="1764">
      <c r="A1764" s="26" t="n">
        <v>361</v>
      </c>
      <c r="B1764" s="5" t="inlineStr">
        <is>
          <t>% Inclusión</t>
        </is>
      </c>
      <c r="C1764" s="5" t="inlineStr">
        <is>
          <t>Gestión de la Responsabilidad Social</t>
        </is>
      </c>
      <c r="D1764" s="5" t="inlineStr">
        <is>
          <t>Anual</t>
        </is>
      </c>
      <c r="E1764" s="5" t="inlineStr">
        <is>
          <t>Positivo</t>
        </is>
      </c>
      <c r="F1764" s="144" t="n">
        <v>45291</v>
      </c>
      <c r="G1764" s="5" t="n">
        <v>2023</v>
      </c>
      <c r="H1764" s="5" t="inlineStr">
        <is>
          <t>Diciembre</t>
        </is>
      </c>
      <c r="I1764" s="6" t="inlineStr">
        <is>
          <t>2023-2</t>
        </is>
      </c>
      <c r="J1764" s="5" t="n">
        <v>4.5</v>
      </c>
      <c r="K1764" s="135" t="n">
        <v>4.56</v>
      </c>
      <c r="L1764" s="28">
        <f>IFERROR(IF(OR(J1764=0,K1764=""),"",IF(E1764="Positivo",MIN(MAX(K1764/J1764,0),1.3),MIN(MAX(J1764/K1764,0),1.3))),"") </f>
        <v/>
      </c>
      <c r="M1764" s="28">
        <f>IFERROR(IF(OR(J1764=0,K1764=""),"",IF(E1764="Positivo",MAX(K1764/J1764,0),MAX(J1764/K1764,0))),"") </f>
        <v/>
      </c>
      <c r="N1764" s="5" t="n"/>
      <c r="O1764" s="5" t="n"/>
      <c r="P1764" s="16" t="n">
        <v>2</v>
      </c>
      <c r="Q1764" s="16" t="n">
        <v>2</v>
      </c>
      <c r="R1764" s="5" t="inlineStr">
        <is>
          <t>361-2023-12-31</t>
        </is>
      </c>
    </row>
    <row r="1765">
      <c r="A1765" s="26" t="n">
        <v>361</v>
      </c>
      <c r="B1765" s="5" t="inlineStr">
        <is>
          <t>Índice de Inclusión</t>
        </is>
      </c>
      <c r="C1765" s="5" t="inlineStr">
        <is>
          <t>Gestión de la Responsabilidad Social</t>
        </is>
      </c>
      <c r="D1765" s="5" t="inlineStr">
        <is>
          <t>Anual</t>
        </is>
      </c>
      <c r="E1765" s="5" t="inlineStr">
        <is>
          <t>Positivo</t>
        </is>
      </c>
      <c r="F1765" s="144" t="n">
        <v>45657</v>
      </c>
      <c r="G1765" s="5" t="n">
        <v>2024</v>
      </c>
      <c r="H1765" s="5" t="inlineStr">
        <is>
          <t>Diciembre</t>
        </is>
      </c>
      <c r="I1765" s="6" t="inlineStr">
        <is>
          <t>2024-2</t>
        </is>
      </c>
      <c r="J1765" s="5" t="n"/>
      <c r="K1765" s="10" t="n"/>
      <c r="L1765" s="28" t="n"/>
      <c r="M1765" s="28" t="n"/>
      <c r="N1765" s="5" t="inlineStr">
        <is>
          <t>DEC</t>
        </is>
      </c>
      <c r="O1765" s="5" t="inlineStr">
        <is>
          <t>No Aplica</t>
        </is>
      </c>
      <c r="P1765" s="16" t="n">
        <v>1</v>
      </c>
      <c r="Q1765" s="16" t="n">
        <v>2</v>
      </c>
      <c r="R1765" s="5" t="inlineStr">
        <is>
          <t>361-2024-12-31</t>
        </is>
      </c>
      <c r="S1765" t="inlineStr">
        <is>
          <t>No Aplica</t>
        </is>
      </c>
    </row>
    <row r="1766">
      <c r="A1766" s="26" t="n">
        <v>361</v>
      </c>
      <c r="B1766" s="5" t="inlineStr">
        <is>
          <t>Índice de Inclusión</t>
        </is>
      </c>
      <c r="C1766" s="5" t="inlineStr">
        <is>
          <t>Gestión de la Responsabilidad Social</t>
        </is>
      </c>
      <c r="D1766" s="5" t="inlineStr">
        <is>
          <t>Anual</t>
        </is>
      </c>
      <c r="E1766" s="5" t="inlineStr">
        <is>
          <t>Positivo</t>
        </is>
      </c>
      <c r="F1766" s="144" t="n">
        <v>46022</v>
      </c>
      <c r="G1766" s="5" t="n">
        <v>2025</v>
      </c>
      <c r="H1766" s="5" t="inlineStr">
        <is>
          <t>Diciembre</t>
        </is>
      </c>
      <c r="I1766" s="6" t="inlineStr">
        <is>
          <t>2025-2</t>
        </is>
      </c>
      <c r="J1766" s="5" t="n">
        <v>4.6</v>
      </c>
      <c r="K1766" s="10" t="n">
        <v>4.78</v>
      </c>
      <c r="L1766" s="28">
        <f>IFERROR(IF(OR(J1766=0,K1766=""),"",IF(E1766="Positivo",MIN(MAX(K1766/J1766,0),1.3),MIN(MAX(J1766/K1766,0),1.3))),"") </f>
        <v/>
      </c>
      <c r="M1766" s="28">
        <f>IFERROR(IF(OR(J1766=0,K1766=""),"",IF(E1766="Positivo",MAX(K1766/J1766,0),MAX(J1766/K1766,0))),"") </f>
        <v/>
      </c>
      <c r="N1766" s="5" t="inlineStr">
        <is>
          <t>DEC</t>
        </is>
      </c>
      <c r="O1766" s="5" t="inlineStr">
        <is>
          <t>DEC</t>
        </is>
      </c>
      <c r="P1766" s="16" t="n">
        <v>1</v>
      </c>
      <c r="Q1766" s="16" t="n">
        <v>2</v>
      </c>
      <c r="R1766" s="5" t="inlineStr">
        <is>
          <t>361-2025-12-31</t>
        </is>
      </c>
    </row>
    <row r="1767">
      <c r="A1767" s="26" t="n">
        <v>362</v>
      </c>
      <c r="B1767" s="5" t="inlineStr">
        <is>
          <t>Aseguramiento de matricula académica presencial</t>
        </is>
      </c>
      <c r="C1767" s="5" t="inlineStr">
        <is>
          <t>Operaciones Académicas</t>
        </is>
      </c>
      <c r="D1767" s="5" t="inlineStr">
        <is>
          <t>Trimestral</t>
        </is>
      </c>
      <c r="E1767" s="5" t="inlineStr">
        <is>
          <t>Positivo</t>
        </is>
      </c>
      <c r="F1767" s="144" t="n">
        <v>45016</v>
      </c>
      <c r="G1767" s="5" t="n">
        <v>2023</v>
      </c>
      <c r="H1767" s="5" t="inlineStr">
        <is>
          <t>Marzo</t>
        </is>
      </c>
      <c r="I1767" s="6" t="inlineStr">
        <is>
          <t>2023-1</t>
        </is>
      </c>
      <c r="J1767" s="5" t="n"/>
      <c r="K1767" s="10" t="n"/>
      <c r="L1767" s="28" t="n"/>
      <c r="M1767" s="28" t="n"/>
      <c r="N1767" s="5" t="inlineStr">
        <is>
          <t>%</t>
        </is>
      </c>
      <c r="O1767" s="5" t="inlineStr">
        <is>
          <t>No Aplica</t>
        </is>
      </c>
      <c r="P1767" s="16" t="n">
        <v>0</v>
      </c>
      <c r="Q1767" s="16" t="n">
        <v>0</v>
      </c>
      <c r="R1767" s="5" t="inlineStr">
        <is>
          <t>362-2023-03-31</t>
        </is>
      </c>
      <c r="S1767" t="inlineStr">
        <is>
          <t>No Aplica</t>
        </is>
      </c>
    </row>
    <row r="1768">
      <c r="A1768" s="26" t="n">
        <v>362</v>
      </c>
      <c r="B1768" s="5" t="inlineStr">
        <is>
          <t>Aseguramiento de matricula académica presencial</t>
        </is>
      </c>
      <c r="C1768" s="5" t="inlineStr">
        <is>
          <t>Operaciones Académicas</t>
        </is>
      </c>
      <c r="D1768" s="5" t="inlineStr">
        <is>
          <t>Trimestral</t>
        </is>
      </c>
      <c r="E1768" s="5" t="inlineStr">
        <is>
          <t>Positivo</t>
        </is>
      </c>
      <c r="F1768" s="144" t="n">
        <v>45107</v>
      </c>
      <c r="G1768" s="5" t="n">
        <v>2023</v>
      </c>
      <c r="H1768" s="5" t="inlineStr">
        <is>
          <t>Junio</t>
        </is>
      </c>
      <c r="I1768" s="6" t="inlineStr">
        <is>
          <t>2023-1</t>
        </is>
      </c>
      <c r="J1768" s="5" t="n"/>
      <c r="K1768" s="10" t="n"/>
      <c r="L1768" s="28" t="n"/>
      <c r="M1768" s="28" t="n"/>
      <c r="N1768" s="5" t="inlineStr">
        <is>
          <t>%</t>
        </is>
      </c>
      <c r="O1768" s="5" t="inlineStr">
        <is>
          <t>No Aplica</t>
        </is>
      </c>
      <c r="P1768" s="16" t="n">
        <v>0</v>
      </c>
      <c r="Q1768" s="16" t="n">
        <v>0</v>
      </c>
      <c r="R1768" s="5" t="inlineStr">
        <is>
          <t>362-2023-06-30</t>
        </is>
      </c>
      <c r="S1768" t="inlineStr">
        <is>
          <t>No Aplica</t>
        </is>
      </c>
    </row>
    <row r="1769">
      <c r="A1769" s="26" t="n">
        <v>362</v>
      </c>
      <c r="B1769" s="5" t="inlineStr">
        <is>
          <t>Aseguramiento de matricula académica presencial</t>
        </is>
      </c>
      <c r="C1769" s="5" t="inlineStr">
        <is>
          <t>Operaciones Académicas</t>
        </is>
      </c>
      <c r="D1769" s="5" t="inlineStr">
        <is>
          <t>Semestral</t>
        </is>
      </c>
      <c r="E1769" s="5" t="inlineStr">
        <is>
          <t>Positivo</t>
        </is>
      </c>
      <c r="F1769" s="144" t="n">
        <v>45291</v>
      </c>
      <c r="G1769" s="5" t="n">
        <v>2023</v>
      </c>
      <c r="H1769" s="5" t="inlineStr">
        <is>
          <t>Diciembre</t>
        </is>
      </c>
      <c r="I1769" s="6" t="inlineStr">
        <is>
          <t>2023-2</t>
        </is>
      </c>
      <c r="J1769" s="5" t="n">
        <v>100</v>
      </c>
      <c r="K1769" s="10" t="n">
        <v>99.156641448592</v>
      </c>
      <c r="L1769" s="28">
        <f>IFERROR(IF(OR(J1769=0,K1769=""),"",IF(E1769="Positivo",MIN(MAX(K1769/J1769,0),1.3),MIN(MAX(J1769/K1769,0),1.3))),"") </f>
        <v/>
      </c>
      <c r="M1769" s="28">
        <f>IFERROR(IF(OR(J1769=0,K1769=""),"",IF(E1769="Positivo",MAX(K1769/J1769,0),MAX(J1769/K1769,0))),"") </f>
        <v/>
      </c>
      <c r="N1769" s="5" t="inlineStr">
        <is>
          <t>%</t>
        </is>
      </c>
      <c r="O1769" s="5" t="inlineStr">
        <is>
          <t>%</t>
        </is>
      </c>
      <c r="P1769" s="16" t="n">
        <v>0</v>
      </c>
      <c r="Q1769" s="16" t="n">
        <v>0</v>
      </c>
      <c r="R1769" s="5" t="inlineStr">
        <is>
          <t>362-2023-12-31</t>
        </is>
      </c>
    </row>
    <row r="1770">
      <c r="A1770" s="26" t="n">
        <v>362</v>
      </c>
      <c r="B1770" s="5" t="inlineStr">
        <is>
          <t>Aseguramiento de matricula académica presencial</t>
        </is>
      </c>
      <c r="C1770" s="5" t="inlineStr">
        <is>
          <t>Operaciones Académicas</t>
        </is>
      </c>
      <c r="D1770" s="5" t="inlineStr">
        <is>
          <t>Semestral</t>
        </is>
      </c>
      <c r="E1770" s="5" t="inlineStr">
        <is>
          <t>Positivo</t>
        </is>
      </c>
      <c r="F1770" s="144" t="n">
        <v>45473</v>
      </c>
      <c r="G1770" s="5" t="n">
        <v>2024</v>
      </c>
      <c r="H1770" s="5" t="inlineStr">
        <is>
          <t>Junio</t>
        </is>
      </c>
      <c r="I1770" s="6" t="inlineStr">
        <is>
          <t>2024-1</t>
        </is>
      </c>
      <c r="J1770" s="5" t="n">
        <v>98</v>
      </c>
      <c r="K1770" s="10" t="n">
        <v>99.58432304038006</v>
      </c>
      <c r="L1770" s="28">
        <f>IFERROR(IF(OR(J1770=0,K1770=""),"",IF(E1770="Positivo",MIN(MAX(K1770/J1770,0),1.3),MIN(MAX(J1770/K1770,0),1.3))),"") </f>
        <v/>
      </c>
      <c r="M1770" s="28">
        <f>IFERROR(IF(OR(J1770=0,K1770=""),"",IF(E1770="Positivo",MAX(K1770/J1770,0),MAX(J1770/K1770,0))),"") </f>
        <v/>
      </c>
      <c r="N1770" s="5" t="inlineStr">
        <is>
          <t>%</t>
        </is>
      </c>
      <c r="O1770" s="5" t="inlineStr">
        <is>
          <t>%</t>
        </is>
      </c>
      <c r="P1770" s="16" t="n">
        <v>0</v>
      </c>
      <c r="Q1770" s="16" t="n">
        <v>0</v>
      </c>
      <c r="R1770" s="5" t="inlineStr">
        <is>
          <t>362-2024-06-30</t>
        </is>
      </c>
    </row>
    <row r="1771">
      <c r="A1771" s="26" t="n">
        <v>362</v>
      </c>
      <c r="B1771" s="5" t="inlineStr">
        <is>
          <t>Aseguramiento de matricula académica presencial</t>
        </is>
      </c>
      <c r="C1771" s="5" t="inlineStr">
        <is>
          <t>Operaciones Académicas</t>
        </is>
      </c>
      <c r="D1771" s="5" t="inlineStr">
        <is>
          <t>Semestral</t>
        </is>
      </c>
      <c r="E1771" s="5" t="inlineStr">
        <is>
          <t>Positivo</t>
        </is>
      </c>
      <c r="F1771" s="144" t="n">
        <v>45657</v>
      </c>
      <c r="G1771" s="5" t="n">
        <v>2024</v>
      </c>
      <c r="H1771" s="5" t="inlineStr">
        <is>
          <t>Diciembre</t>
        </is>
      </c>
      <c r="I1771" s="6" t="inlineStr">
        <is>
          <t>2024-2</t>
        </is>
      </c>
      <c r="J1771" s="5" t="n">
        <v>98</v>
      </c>
      <c r="K1771" s="10" t="n">
        <v>99.48999999999999</v>
      </c>
      <c r="L1771" s="28">
        <f>IFERROR(IF(OR(J1771=0,K1771=""),"",IF(E1771="Positivo",MIN(MAX(K1771/J1771,0),1.3),MIN(MAX(J1771/K1771,0),1.3))),"") </f>
        <v/>
      </c>
      <c r="M1771" s="28">
        <f>IFERROR(IF(OR(J1771=0,K1771=""),"",IF(E1771="Positivo",MAX(K1771/J1771,0),MAX(J1771/K1771,0))),"") </f>
        <v/>
      </c>
      <c r="N1771" s="5" t="inlineStr">
        <is>
          <t>%</t>
        </is>
      </c>
      <c r="O1771" s="5" t="inlineStr">
        <is>
          <t>%</t>
        </is>
      </c>
      <c r="P1771" s="16" t="n">
        <v>0</v>
      </c>
      <c r="Q1771" s="16" t="n">
        <v>0</v>
      </c>
      <c r="R1771" s="5" t="inlineStr">
        <is>
          <t>362-2024-12-31</t>
        </is>
      </c>
    </row>
    <row r="1772">
      <c r="A1772" s="26" t="n">
        <v>362</v>
      </c>
      <c r="B1772" s="5" t="inlineStr">
        <is>
          <t>Aseguramiento de matricula académica presencial</t>
        </is>
      </c>
      <c r="C1772" s="5" t="inlineStr">
        <is>
          <t>Operaciones Académicas</t>
        </is>
      </c>
      <c r="D1772" s="5" t="inlineStr">
        <is>
          <t>Semestral</t>
        </is>
      </c>
      <c r="E1772" s="5" t="inlineStr">
        <is>
          <t>Positivo</t>
        </is>
      </c>
      <c r="F1772" s="144" t="n">
        <v>45838</v>
      </c>
      <c r="G1772" s="5" t="n">
        <v>2025</v>
      </c>
      <c r="H1772" s="5" t="inlineStr">
        <is>
          <t>Junio</t>
        </is>
      </c>
      <c r="I1772" s="6" t="inlineStr">
        <is>
          <t>2025-1</t>
        </is>
      </c>
      <c r="J1772" s="5" t="n">
        <v>98</v>
      </c>
      <c r="K1772" s="10" t="n">
        <v>99.63</v>
      </c>
      <c r="L1772" s="28">
        <f>IFERROR(IF(OR(J1772=0,K1772=""),"",IF(E1772="Positivo",MIN(MAX(K1772/J1772,0),1.3),MIN(MAX(J1772/K1772,0),1.3))),"") </f>
        <v/>
      </c>
      <c r="M1772" s="28">
        <f>IFERROR(IF(OR(J1772=0,K1772=""),"",IF(E1772="Positivo",MAX(K1772/J1772,0),MAX(J1772/K1772,0))),"") </f>
        <v/>
      </c>
      <c r="N1772" s="5" t="inlineStr">
        <is>
          <t>%</t>
        </is>
      </c>
      <c r="O1772" s="5" t="inlineStr">
        <is>
          <t>%</t>
        </is>
      </c>
      <c r="P1772" s="16" t="n">
        <v>0</v>
      </c>
      <c r="Q1772" s="16" t="n">
        <v>0</v>
      </c>
      <c r="R1772" s="5" t="inlineStr">
        <is>
          <t>362-2025-06-30</t>
        </is>
      </c>
    </row>
    <row r="1773">
      <c r="A1773" s="26" t="n">
        <v>362</v>
      </c>
      <c r="B1773" s="5" t="inlineStr">
        <is>
          <t>Aseguramiento de matricula académica presencial</t>
        </is>
      </c>
      <c r="C1773" s="5" t="inlineStr">
        <is>
          <t>Operaciones Académicas</t>
        </is>
      </c>
      <c r="D1773" s="5" t="inlineStr">
        <is>
          <t>Trimestral</t>
        </is>
      </c>
      <c r="E1773" s="5" t="inlineStr">
        <is>
          <t>Positivo</t>
        </is>
      </c>
      <c r="F1773" s="144" t="n">
        <v>46022</v>
      </c>
      <c r="G1773" s="5" t="n">
        <v>2025</v>
      </c>
      <c r="H1773" s="5" t="inlineStr">
        <is>
          <t>Diciembre</t>
        </is>
      </c>
      <c r="I1773" s="6" t="inlineStr">
        <is>
          <t>2025-2</t>
        </is>
      </c>
      <c r="J1773" s="5" t="n">
        <v>98</v>
      </c>
      <c r="K1773" s="10" t="n">
        <v>99.7</v>
      </c>
      <c r="L1773" s="28">
        <f>IFERROR(IF(OR(J1773=0,K1773=""),"",IF(E1773="Positivo",MIN(MAX(K1773/J1773,0),1.3),MIN(MAX(J1773/K1773,0),1.3))),"") </f>
        <v/>
      </c>
      <c r="M1773" s="28">
        <f>IFERROR(IF(OR(J1773=0,K1773=""),"",IF(E1773="Positivo",MAX(K1773/J1773,0),MAX(J1773/K1773,0))),"") </f>
        <v/>
      </c>
      <c r="N1773" s="5" t="inlineStr">
        <is>
          <t>%</t>
        </is>
      </c>
      <c r="O1773" s="5" t="inlineStr">
        <is>
          <t>%</t>
        </is>
      </c>
      <c r="P1773" s="16" t="n">
        <v>0</v>
      </c>
      <c r="Q1773" s="16" t="n">
        <v>0</v>
      </c>
      <c r="R1773" s="5" t="inlineStr">
        <is>
          <t>362-2025-12-31</t>
        </is>
      </c>
    </row>
    <row r="1774">
      <c r="A1774" s="26" t="n">
        <v>363</v>
      </c>
      <c r="B1774" s="5" t="inlineStr">
        <is>
          <t>Seguimiento a la parametrización de aulas master y secciones de asignaturas</t>
        </is>
      </c>
      <c r="C1774" s="5" t="inlineStr">
        <is>
          <t>Operaciones Académicas</t>
        </is>
      </c>
      <c r="D1774" s="5" t="inlineStr">
        <is>
          <t>Semestral</t>
        </is>
      </c>
      <c r="E1774" s="5" t="inlineStr">
        <is>
          <t>Positivo</t>
        </is>
      </c>
      <c r="F1774" s="144" t="n">
        <v>45291</v>
      </c>
      <c r="G1774" s="5" t="n">
        <v>2023</v>
      </c>
      <c r="H1774" s="5" t="inlineStr">
        <is>
          <t>Diciembre</t>
        </is>
      </c>
      <c r="I1774" s="6" t="inlineStr">
        <is>
          <t>2023-2</t>
        </is>
      </c>
      <c r="J1774" s="5" t="n">
        <v>100</v>
      </c>
      <c r="K1774" s="10" t="n">
        <v>100</v>
      </c>
      <c r="L1774" s="28">
        <f>IFERROR(IF(OR(J1774=0,K1774=""),"",IF(E1774="Positivo",MIN(MAX(K1774/J1774,0),1.3),MIN(MAX(J1774/K1774,0),1.3))),"") </f>
        <v/>
      </c>
      <c r="M1774" s="28">
        <f>IFERROR(IF(OR(J1774=0,K1774=""),"",IF(E1774="Positivo",MAX(K1774/J1774,0),MAX(J1774/K1774,0))),"") </f>
        <v/>
      </c>
      <c r="N1774" s="5" t="inlineStr">
        <is>
          <t>%</t>
        </is>
      </c>
      <c r="O1774" s="5" t="inlineStr">
        <is>
          <t>%</t>
        </is>
      </c>
      <c r="P1774" s="16" t="n">
        <v>0</v>
      </c>
      <c r="Q1774" s="16" t="n">
        <v>0</v>
      </c>
      <c r="R1774" s="5" t="inlineStr">
        <is>
          <t>363-2023-12-31</t>
        </is>
      </c>
    </row>
    <row r="1775">
      <c r="A1775" s="26" t="n">
        <v>363</v>
      </c>
      <c r="B1775" s="5" t="inlineStr">
        <is>
          <t>Seguimiento a la parametrización de aulas master y secciones de asignaturas</t>
        </is>
      </c>
      <c r="C1775" s="5" t="inlineStr">
        <is>
          <t>Operaciones Académicas</t>
        </is>
      </c>
      <c r="D1775" s="5" t="inlineStr">
        <is>
          <t>Semestral</t>
        </is>
      </c>
      <c r="E1775" s="5" t="inlineStr">
        <is>
          <t>Positivo</t>
        </is>
      </c>
      <c r="F1775" s="144" t="n">
        <v>45473</v>
      </c>
      <c r="G1775" s="5" t="n">
        <v>2024</v>
      </c>
      <c r="H1775" s="5" t="inlineStr">
        <is>
          <t>Junio</t>
        </is>
      </c>
      <c r="I1775" s="6" t="inlineStr">
        <is>
          <t>2024-1</t>
        </is>
      </c>
      <c r="J1775" s="5" t="n">
        <v>100</v>
      </c>
      <c r="K1775" s="10" t="n">
        <v>100</v>
      </c>
      <c r="L1775" s="28">
        <f>IFERROR(IF(OR(J1775=0,K1775=""),"",IF(E1775="Positivo",MIN(MAX(K1775/J1775,0),1.3),MIN(MAX(J1775/K1775,0),1.3))),"") </f>
        <v/>
      </c>
      <c r="M1775" s="28">
        <f>IFERROR(IF(OR(J1775=0,K1775=""),"",IF(E1775="Positivo",MAX(K1775/J1775,0),MAX(J1775/K1775,0))),"") </f>
        <v/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 t="inlineStr">
        <is>
          <t>363-2024-06-30</t>
        </is>
      </c>
    </row>
    <row r="1776">
      <c r="A1776" s="26" t="n">
        <v>363</v>
      </c>
      <c r="B1776" s="5" t="inlineStr">
        <is>
          <t>Seguimiento a la parametrización de aulas master y secciones de asignaturas</t>
        </is>
      </c>
      <c r="C1776" s="5" t="inlineStr">
        <is>
          <t>Operaciones Académicas</t>
        </is>
      </c>
      <c r="D1776" s="5" t="inlineStr">
        <is>
          <t>Semestral</t>
        </is>
      </c>
      <c r="E1776" s="5" t="inlineStr">
        <is>
          <t>Positivo</t>
        </is>
      </c>
      <c r="F1776" s="144" t="n">
        <v>45657</v>
      </c>
      <c r="G1776" s="5" t="n">
        <v>2024</v>
      </c>
      <c r="H1776" s="5" t="inlineStr">
        <is>
          <t>Diciembre</t>
        </is>
      </c>
      <c r="I1776" s="6" t="inlineStr">
        <is>
          <t>2024-2</t>
        </is>
      </c>
      <c r="J1776" s="5" t="n">
        <v>100</v>
      </c>
      <c r="K1776" s="10" t="n">
        <v>100</v>
      </c>
      <c r="L1776" s="28">
        <f>IFERROR(IF(OR(J1776=0,K1776=""),"",IF(E1776="Positivo",MIN(MAX(K1776/J1776,0),1.3),MIN(MAX(J1776/K1776,0),1.3))),"") </f>
        <v/>
      </c>
      <c r="M1776" s="28">
        <f>IFERROR(IF(OR(J1776=0,K1776=""),"",IF(E1776="Positivo",MAX(K1776/J1776,0),MAX(J1776/K1776,0))),"") </f>
        <v/>
      </c>
      <c r="N1776" s="5" t="inlineStr">
        <is>
          <t>%</t>
        </is>
      </c>
      <c r="O1776" s="5" t="inlineStr">
        <is>
          <t>%</t>
        </is>
      </c>
      <c r="P1776" s="16" t="n">
        <v>0</v>
      </c>
      <c r="Q1776" s="16" t="n">
        <v>0</v>
      </c>
      <c r="R1776" s="5" t="inlineStr">
        <is>
          <t>363-2024-12-31</t>
        </is>
      </c>
    </row>
    <row r="1777">
      <c r="A1777" s="26" t="n">
        <v>363</v>
      </c>
      <c r="B1777" s="5" t="inlineStr">
        <is>
          <t>Seguimiento a la parametrización de aulas master y secciones de asignaturas</t>
        </is>
      </c>
      <c r="C1777" s="5" t="inlineStr">
        <is>
          <t>Operaciones Académicas</t>
        </is>
      </c>
      <c r="D1777" s="5" t="inlineStr">
        <is>
          <t>Trimestral</t>
        </is>
      </c>
      <c r="E1777" s="5" t="inlineStr">
        <is>
          <t>Positivo</t>
        </is>
      </c>
      <c r="F1777" s="144" t="n">
        <v>45838</v>
      </c>
      <c r="G1777" s="5" t="n">
        <v>2025</v>
      </c>
      <c r="H1777" s="5" t="inlineStr">
        <is>
          <t>Junio</t>
        </is>
      </c>
      <c r="I1777" s="6" t="inlineStr">
        <is>
          <t>2025-1</t>
        </is>
      </c>
      <c r="J1777" s="5" t="n">
        <v>100</v>
      </c>
      <c r="K1777" s="10" t="n">
        <v>100</v>
      </c>
      <c r="L1777" s="28">
        <f>IFERROR(IF(OR(J1777=0,K1777=""),"",IF(E1777="Positivo",MIN(MAX(K1777/J1777,0),1.3),MIN(MAX(J1777/K1777,0),1.3))),"") </f>
        <v/>
      </c>
      <c r="M1777" s="28">
        <f>IFERROR(IF(OR(J1777=0,K1777=""),"",IF(E1777="Positivo",MAX(K1777/J1777,0),MAX(J1777/K1777,0))),"") </f>
        <v/>
      </c>
      <c r="N1777" s="5" t="inlineStr">
        <is>
          <t>%</t>
        </is>
      </c>
      <c r="O1777" s="5" t="inlineStr">
        <is>
          <t>%</t>
        </is>
      </c>
      <c r="P1777" s="16" t="n">
        <v>0</v>
      </c>
      <c r="Q1777" s="16" t="n">
        <v>0</v>
      </c>
      <c r="R1777" s="5" t="inlineStr">
        <is>
          <t>363-2025-06-30</t>
        </is>
      </c>
    </row>
    <row r="1778">
      <c r="A1778" s="26" t="n">
        <v>363</v>
      </c>
      <c r="B1778" s="5" t="inlineStr">
        <is>
          <t>Seguimiento a la parametrización de aulas master y secciones de asignaturas</t>
        </is>
      </c>
      <c r="C1778" s="5" t="inlineStr">
        <is>
          <t>Operaciones Académicas</t>
        </is>
      </c>
      <c r="D1778" s="5" t="inlineStr">
        <is>
          <t>Trimestral</t>
        </is>
      </c>
      <c r="E1778" s="5" t="inlineStr">
        <is>
          <t>Positivo</t>
        </is>
      </c>
      <c r="F1778" s="144" t="n">
        <v>46022</v>
      </c>
      <c r="G1778" s="5" t="n">
        <v>2025</v>
      </c>
      <c r="H1778" s="5" t="inlineStr">
        <is>
          <t>Diciembre</t>
        </is>
      </c>
      <c r="I1778" s="6" t="inlineStr">
        <is>
          <t>2025-2</t>
        </is>
      </c>
      <c r="J1778" s="5" t="n">
        <v>100</v>
      </c>
      <c r="K1778" s="10" t="n">
        <v>100</v>
      </c>
      <c r="L1778" s="28">
        <f>IFERROR(IF(OR(J1778=0,K1778=""),"",IF(E1778="Positivo",MIN(MAX(K1778/J1778,0),1.3),MIN(MAX(J1778/K1778,0),1.3))),"") </f>
        <v/>
      </c>
      <c r="M1778" s="28">
        <f>IFERROR(IF(OR(J1778=0,K1778=""),"",IF(E1778="Positivo",MAX(K1778/J1778,0),MAX(J1778/K1778,0))),"") </f>
        <v/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 t="inlineStr">
        <is>
          <t>363-2025-12-31</t>
        </is>
      </c>
    </row>
    <row r="1779">
      <c r="A1779" s="26" t="n">
        <v>364</v>
      </c>
      <c r="B1779" s="5" t="inlineStr">
        <is>
          <t>Impacto de actividades de Responsabilidad y proyección</t>
        </is>
      </c>
      <c r="C1779" s="5" t="inlineStr">
        <is>
          <t>Gestión de la Responsabilidad Social</t>
        </is>
      </c>
      <c r="D1779" s="5" t="inlineStr">
        <is>
          <t>Semestral</t>
        </is>
      </c>
      <c r="E1779" s="5" t="inlineStr">
        <is>
          <t>Negativo</t>
        </is>
      </c>
      <c r="F1779" s="144" t="n">
        <v>45107</v>
      </c>
      <c r="G1779" s="5" t="n">
        <v>2023</v>
      </c>
      <c r="H1779" s="5" t="inlineStr">
        <is>
          <t>Junio</t>
        </is>
      </c>
      <c r="I1779" s="6" t="inlineStr">
        <is>
          <t>2023-1</t>
        </is>
      </c>
      <c r="J1779" s="5" t="n">
        <v>0</v>
      </c>
      <c r="K1779" s="10" t="n">
        <v>30244</v>
      </c>
      <c r="L1779" s="28">
        <f>IFERROR(IF(OR(J1779=0,K1779=""),"",IF(E1779="Positivo",MIN(MAX(K1779/J1779,0),1.3),MIN(MAX(J1779/K1779,0),1.3))),"") </f>
        <v/>
      </c>
      <c r="M1779" s="28">
        <f>IFERROR(IF(OR(J1779=0,K1779=""),"",IF(E1779="Positivo",MAX(K1779/J1779,0),MAX(J1779/K1779,0))),"") </f>
        <v/>
      </c>
      <c r="N1779" s="5" t="n"/>
      <c r="O1779" s="5" t="n"/>
      <c r="P1779" s="16" t="n">
        <v>0</v>
      </c>
      <c r="Q1779" s="16" t="n">
        <v>0</v>
      </c>
      <c r="R1779" s="5" t="inlineStr">
        <is>
          <t>364-2023-06-30</t>
        </is>
      </c>
    </row>
    <row r="1780">
      <c r="A1780" s="26" t="n">
        <v>364</v>
      </c>
      <c r="B1780" s="5" t="inlineStr">
        <is>
          <t>Impacto de actividades de Responsabilidad y proyección</t>
        </is>
      </c>
      <c r="C1780" s="5" t="inlineStr">
        <is>
          <t>Gestión de la Responsabilidad Social</t>
        </is>
      </c>
      <c r="D1780" s="5" t="inlineStr">
        <is>
          <t>Semestral</t>
        </is>
      </c>
      <c r="E1780" s="5" t="inlineStr">
        <is>
          <t>Negativo</t>
        </is>
      </c>
      <c r="F1780" s="144" t="n">
        <v>45291</v>
      </c>
      <c r="G1780" s="5" t="n">
        <v>2023</v>
      </c>
      <c r="H1780" s="5" t="inlineStr">
        <is>
          <t>Diciembre</t>
        </is>
      </c>
      <c r="I1780" s="6" t="inlineStr">
        <is>
          <t>2023-2</t>
        </is>
      </c>
      <c r="J1780" s="5" t="n">
        <v>0</v>
      </c>
      <c r="K1780" s="10" t="n">
        <v>78450</v>
      </c>
      <c r="L1780" s="28">
        <f>IFERROR(IF(OR(J1780=0,K1780=""),"",IF(E1780="Positivo",MIN(MAX(K1780/J1780,0),1.3),MIN(MAX(J1780/K1780,0),1.3))),"") </f>
        <v/>
      </c>
      <c r="M1780" s="28">
        <f>IFERROR(IF(OR(J1780=0,K1780=""),"",IF(E1780="Positivo",MAX(K1780/J1780,0),MAX(J1780/K1780,0))),"") </f>
        <v/>
      </c>
      <c r="N1780" s="5" t="n"/>
      <c r="O1780" s="5" t="n"/>
      <c r="P1780" s="16" t="n">
        <v>0</v>
      </c>
      <c r="Q1780" s="16" t="n">
        <v>0</v>
      </c>
      <c r="R1780" s="5" t="inlineStr">
        <is>
          <t>364-2023-12-31</t>
        </is>
      </c>
    </row>
    <row r="1781">
      <c r="A1781" s="26" t="n">
        <v>364</v>
      </c>
      <c r="B1781" s="5" t="inlineStr">
        <is>
          <t>Impacto de actividades de Responsabilidad y proyección</t>
        </is>
      </c>
      <c r="C1781" s="5" t="inlineStr">
        <is>
          <t>Gestión de la Responsabilidad Social</t>
        </is>
      </c>
      <c r="D1781" s="5" t="inlineStr">
        <is>
          <t>Semestral</t>
        </is>
      </c>
      <c r="E1781" s="5" t="inlineStr">
        <is>
          <t>Negativo</t>
        </is>
      </c>
      <c r="F1781" s="144" t="n">
        <v>45473</v>
      </c>
      <c r="G1781" s="5" t="n">
        <v>2024</v>
      </c>
      <c r="H1781" s="5" t="inlineStr">
        <is>
          <t>Junio</t>
        </is>
      </c>
      <c r="I1781" s="6" t="inlineStr">
        <is>
          <t>2024-1</t>
        </is>
      </c>
      <c r="J1781" s="5" t="n">
        <v>100</v>
      </c>
      <c r="K1781" s="10" t="n">
        <v>132.73</v>
      </c>
      <c r="L1781" s="28">
        <f>IFERROR(IF(OR(J1781=0,K1781=""),"",IF(E1781="Positivo",MIN(MAX(K1781/J1781,0),1.3),MIN(MAX(J1781/K1781,0),1.3))),"") </f>
        <v/>
      </c>
      <c r="M1781" s="28">
        <f>IFERROR(IF(OR(J1781=0,K1781=""),"",IF(E1781="Positivo",MAX(K1781/J1781,0),MAX(J1781/K1781,0))),"") </f>
        <v/>
      </c>
      <c r="N1781" s="5" t="n"/>
      <c r="O1781" s="5" t="n"/>
      <c r="P1781" s="16" t="n">
        <v>0</v>
      </c>
      <c r="Q1781" s="16" t="n">
        <v>0</v>
      </c>
      <c r="R1781" s="5" t="inlineStr">
        <is>
          <t>364-2024-06-30</t>
        </is>
      </c>
    </row>
    <row r="1782">
      <c r="A1782" s="26" t="n">
        <v>364</v>
      </c>
      <c r="B1782" s="5" t="inlineStr">
        <is>
          <t>Impacto de actividades de Responsabilidad y proyección</t>
        </is>
      </c>
      <c r="C1782" s="5" t="inlineStr">
        <is>
          <t>Gestión de la Responsabilidad Social</t>
        </is>
      </c>
      <c r="D1782" s="5" t="inlineStr">
        <is>
          <t>Semestral</t>
        </is>
      </c>
      <c r="E1782" s="5" t="inlineStr">
        <is>
          <t>Positivo</t>
        </is>
      </c>
      <c r="F1782" s="144" t="n">
        <v>45657</v>
      </c>
      <c r="G1782" s="5" t="n">
        <v>2024</v>
      </c>
      <c r="H1782" s="5" t="inlineStr">
        <is>
          <t>Diciembre</t>
        </is>
      </c>
      <c r="I1782" s="6" t="inlineStr">
        <is>
          <t>2024-2</t>
        </is>
      </c>
      <c r="J1782" s="5" t="n">
        <v>100</v>
      </c>
      <c r="K1782" s="10" t="n">
        <v>98.09</v>
      </c>
      <c r="L1782" s="28">
        <f>IFERROR(IF(OR(J1782=0,K1782=""),"",IF(E1782="Positivo",MIN(MAX(K1782/J1782,0),1.3),MIN(MAX(J1782/K1782,0),1.3))),"") </f>
        <v/>
      </c>
      <c r="M1782" s="28">
        <f>IFERROR(IF(OR(J1782=0,K1782=""),"",IF(E1782="Positivo",MAX(K1782/J1782,0),MAX(J1782/K1782,0))),"") </f>
        <v/>
      </c>
      <c r="N1782" s="5" t="n"/>
      <c r="O1782" s="5" t="n"/>
      <c r="P1782" s="16" t="n">
        <v>0</v>
      </c>
      <c r="Q1782" s="16" t="n">
        <v>0</v>
      </c>
      <c r="R1782" s="5" t="inlineStr">
        <is>
          <t>364-2024-12-31</t>
        </is>
      </c>
    </row>
    <row r="1783">
      <c r="A1783" s="26" t="n">
        <v>364</v>
      </c>
      <c r="B1783" s="5" t="inlineStr">
        <is>
          <t>Impacto de actividades de Responsabilidad y proyección</t>
        </is>
      </c>
      <c r="C1783" s="5" t="inlineStr">
        <is>
          <t>Gestión de la Responsabilidad Social</t>
        </is>
      </c>
      <c r="D1783" s="5" t="inlineStr">
        <is>
          <t>Trimestral</t>
        </is>
      </c>
      <c r="E1783" s="5" t="inlineStr">
        <is>
          <t>Positivo</t>
        </is>
      </c>
      <c r="F1783" s="144" t="n">
        <v>45838</v>
      </c>
      <c r="G1783" s="5" t="n">
        <v>2025</v>
      </c>
      <c r="H1783" s="5" t="inlineStr">
        <is>
          <t>Junio</t>
        </is>
      </c>
      <c r="I1783" s="6" t="inlineStr">
        <is>
          <t>2025-1</t>
        </is>
      </c>
      <c r="J1783" s="5" t="n">
        <v>100</v>
      </c>
      <c r="K1783" s="10" t="n">
        <v>93.89</v>
      </c>
      <c r="L1783" s="28">
        <f>IFERROR(IF(OR(J1783=0,K1783=""),"",IF(E1783="Positivo",MIN(MAX(K1783/J1783,0),1.3),MIN(MAX(J1783/K1783,0),1.3))),"") </f>
        <v/>
      </c>
      <c r="M1783" s="28">
        <f>IFERROR(IF(OR(J1783=0,K1783=""),"",IF(E1783="Positivo",MAX(K1783/J1783,0),MAX(J1783/K1783,0))),"") </f>
        <v/>
      </c>
      <c r="N1783" s="5" t="inlineStr">
        <is>
          <t>ENT</t>
        </is>
      </c>
      <c r="O1783" s="5" t="inlineStr">
        <is>
          <t>ENT</t>
        </is>
      </c>
      <c r="P1783" s="16" t="n">
        <v>0</v>
      </c>
      <c r="Q1783" s="16" t="n">
        <v>0</v>
      </c>
      <c r="R1783" s="5" t="inlineStr">
        <is>
          <t>364-2025-06-30</t>
        </is>
      </c>
    </row>
    <row r="1784">
      <c r="A1784" s="26" t="n">
        <v>364</v>
      </c>
      <c r="B1784" s="5" t="inlineStr">
        <is>
          <t>Impacto de actividades de Responsabilidad y proyección</t>
        </is>
      </c>
      <c r="C1784" s="5" t="inlineStr">
        <is>
          <t>Gestión de la Responsabilidad Social</t>
        </is>
      </c>
      <c r="D1784" s="5" t="inlineStr">
        <is>
          <t>Trimestral</t>
        </is>
      </c>
      <c r="E1784" s="5" t="inlineStr">
        <is>
          <t>Positivo</t>
        </is>
      </c>
      <c r="F1784" s="144" t="n">
        <v>46022</v>
      </c>
      <c r="G1784" s="5" t="n">
        <v>2025</v>
      </c>
      <c r="H1784" s="5" t="inlineStr">
        <is>
          <t>Diciembre</t>
        </is>
      </c>
      <c r="I1784" s="6" t="inlineStr">
        <is>
          <t>2025-2</t>
        </is>
      </c>
      <c r="J1784" s="5" t="n">
        <v>100</v>
      </c>
      <c r="K1784" s="10" t="n">
        <v>78.11</v>
      </c>
      <c r="L1784" s="28">
        <f>IFERROR(IF(OR(J1784=0,K1784=""),"",IF(E1784="Positivo",MIN(MAX(K1784/J1784,0),1.3),MIN(MAX(J1784/K1784,0),1.3))),"") </f>
        <v/>
      </c>
      <c r="M1784" s="28">
        <f>IFERROR(IF(OR(J1784=0,K1784=""),"",IF(E1784="Positivo",MAX(K1784/J1784,0),MAX(J1784/K1784,0))),"") </f>
        <v/>
      </c>
      <c r="N1784" s="5" t="inlineStr">
        <is>
          <t>ENT</t>
        </is>
      </c>
      <c r="O1784" s="5" t="inlineStr">
        <is>
          <t>ENT</t>
        </is>
      </c>
      <c r="P1784" s="16" t="n">
        <v>0</v>
      </c>
      <c r="Q1784" s="16" t="n">
        <v>0</v>
      </c>
      <c r="R1784" s="5" t="inlineStr">
        <is>
          <t>364-2025-12-31</t>
        </is>
      </c>
    </row>
    <row r="1785">
      <c r="A1785" s="26" t="n">
        <v>365</v>
      </c>
      <c r="B1785" s="5" t="inlineStr">
        <is>
          <t>Seguimiento de asignación docente a NRC Pregrado-Posgrado Presencial</t>
        </is>
      </c>
      <c r="C1785" s="5" t="inlineStr">
        <is>
          <t>Operaciones Académicas</t>
        </is>
      </c>
      <c r="D1785" s="5" t="inlineStr">
        <is>
          <t>Semestral</t>
        </is>
      </c>
      <c r="E1785" s="5" t="inlineStr">
        <is>
          <t>Positivo</t>
        </is>
      </c>
      <c r="F1785" s="144" t="n">
        <v>45291</v>
      </c>
      <c r="G1785" s="5" t="n">
        <v>2023</v>
      </c>
      <c r="H1785" s="5" t="inlineStr">
        <is>
          <t>Diciembre</t>
        </is>
      </c>
      <c r="I1785" s="6" t="inlineStr">
        <is>
          <t>2023-2</t>
        </is>
      </c>
      <c r="J1785" s="5" t="n">
        <v>100</v>
      </c>
      <c r="K1785" s="10" t="n">
        <v>100</v>
      </c>
      <c r="L1785" s="28">
        <f>IFERROR(IF(OR(J1785=0,K1785=""),"",IF(E1785="Positivo",MIN(MAX(K1785/J1785,0),1.3),MIN(MAX(J1785/K1785,0),1.3))),"") </f>
        <v/>
      </c>
      <c r="M1785" s="28">
        <f>IFERROR(IF(OR(J1785=0,K1785=""),"",IF(E1785="Positivo",MAX(K1785/J1785,0),MAX(J1785/K1785,0))),"") </f>
        <v/>
      </c>
      <c r="N1785" s="5" t="inlineStr">
        <is>
          <t>%</t>
        </is>
      </c>
      <c r="O1785" s="5" t="inlineStr">
        <is>
          <t>%</t>
        </is>
      </c>
      <c r="P1785" s="16" t="n">
        <v>0</v>
      </c>
      <c r="Q1785" s="16" t="n">
        <v>0</v>
      </c>
      <c r="R1785" s="5" t="inlineStr">
        <is>
          <t>365-2023-12-31</t>
        </is>
      </c>
    </row>
    <row r="1786">
      <c r="A1786" s="26" t="n">
        <v>366</v>
      </c>
      <c r="B1786" s="5" t="inlineStr">
        <is>
          <t>Normalización de cobros pecuniarios</t>
        </is>
      </c>
      <c r="C1786" s="5" t="inlineStr">
        <is>
          <t>Operaciones Académicas</t>
        </is>
      </c>
      <c r="D1786" s="5" t="inlineStr">
        <is>
          <t>Anual</t>
        </is>
      </c>
      <c r="E1786" s="5" t="inlineStr">
        <is>
          <t>Positivo</t>
        </is>
      </c>
      <c r="F1786" s="144" t="n">
        <v>45291</v>
      </c>
      <c r="G1786" s="5" t="n">
        <v>2023</v>
      </c>
      <c r="H1786" s="5" t="inlineStr">
        <is>
          <t>Diciembre</t>
        </is>
      </c>
      <c r="I1786" s="6" t="inlineStr">
        <is>
          <t>2023-2</t>
        </is>
      </c>
      <c r="J1786" s="5" t="n">
        <v>100</v>
      </c>
      <c r="K1786" s="10" t="n">
        <v>100</v>
      </c>
      <c r="L1786" s="28">
        <f>IFERROR(IF(OR(J1786=0,K1786=""),"",IF(E1786="Positivo",MIN(MAX(K1786/J1786,0),1.3),MIN(MAX(J1786/K1786,0),1.3))),"") </f>
        <v/>
      </c>
      <c r="M1786" s="28">
        <f>IFERROR(IF(OR(J1786=0,K1786=""),"",IF(E1786="Positivo",MAX(K1786/J1786,0),MAX(J1786/K1786,0))),"") </f>
        <v/>
      </c>
      <c r="N1786" s="5" t="inlineStr">
        <is>
          <t>%</t>
        </is>
      </c>
      <c r="O1786" s="5" t="inlineStr">
        <is>
          <t>%</t>
        </is>
      </c>
      <c r="P1786" s="16" t="n">
        <v>0</v>
      </c>
      <c r="Q1786" s="16" t="n">
        <v>0</v>
      </c>
      <c r="R1786" s="5" t="inlineStr">
        <is>
          <t>366-2023-12-31</t>
        </is>
      </c>
    </row>
    <row r="1787">
      <c r="A1787" s="26" t="n">
        <v>366</v>
      </c>
      <c r="B1787" s="5" t="inlineStr">
        <is>
          <t>Normalización de cobros pecuniarios</t>
        </is>
      </c>
      <c r="C1787" s="5" t="inlineStr">
        <is>
          <t>Operaciones Académicas</t>
        </is>
      </c>
      <c r="D1787" s="5" t="inlineStr">
        <is>
          <t>Anual</t>
        </is>
      </c>
      <c r="E1787" s="5" t="inlineStr">
        <is>
          <t>Positivo</t>
        </is>
      </c>
      <c r="F1787" s="144" t="n">
        <v>45657</v>
      </c>
      <c r="G1787" s="5" t="n">
        <v>2024</v>
      </c>
      <c r="H1787" s="5" t="inlineStr">
        <is>
          <t>Diciembre</t>
        </is>
      </c>
      <c r="I1787" s="6" t="inlineStr">
        <is>
          <t>2024-2</t>
        </is>
      </c>
      <c r="J1787" s="5" t="n">
        <v>100</v>
      </c>
      <c r="K1787" s="10" t="n">
        <v>100</v>
      </c>
      <c r="L1787" s="28">
        <f>IFERROR(IF(OR(J1787=0,K1787=""),"",IF(E1787="Positivo",MIN(MAX(K1787/J1787,0),1.3),MIN(MAX(J1787/K1787,0),1.3))),"") </f>
        <v/>
      </c>
      <c r="M1787" s="28">
        <f>IFERROR(IF(OR(J1787=0,K1787=""),"",IF(E1787="Positivo",MAX(K1787/J1787,0),MAX(J1787/K1787,0))),"") </f>
        <v/>
      </c>
      <c r="N1787" s="5" t="inlineStr">
        <is>
          <t>%</t>
        </is>
      </c>
      <c r="O1787" s="5" t="inlineStr">
        <is>
          <t>%</t>
        </is>
      </c>
      <c r="P1787" s="16" t="n">
        <v>0</v>
      </c>
      <c r="Q1787" s="16" t="n">
        <v>0</v>
      </c>
      <c r="R1787" s="5" t="inlineStr">
        <is>
          <t>366-2024-12-31</t>
        </is>
      </c>
    </row>
    <row r="1788">
      <c r="A1788" s="26" t="n">
        <v>366</v>
      </c>
      <c r="B1788" s="5" t="inlineStr">
        <is>
          <t>Normalización de cobros pecuniarios</t>
        </is>
      </c>
      <c r="C1788" s="5" t="inlineStr">
        <is>
          <t>Operaciones Académicas</t>
        </is>
      </c>
      <c r="D1788" s="5" t="inlineStr">
        <is>
          <t>Anual</t>
        </is>
      </c>
      <c r="E1788" s="5" t="inlineStr">
        <is>
          <t>Positivo</t>
        </is>
      </c>
      <c r="F1788" s="144" t="n">
        <v>46022</v>
      </c>
      <c r="G1788" s="5" t="n">
        <v>2025</v>
      </c>
      <c r="H1788" s="5" t="inlineStr">
        <is>
          <t>Diciembre</t>
        </is>
      </c>
      <c r="I1788" s="6" t="inlineStr">
        <is>
          <t>2025-2</t>
        </is>
      </c>
      <c r="J1788" s="5" t="n">
        <v>100</v>
      </c>
      <c r="K1788" s="10" t="n">
        <v>100</v>
      </c>
      <c r="L1788" s="28">
        <f>IFERROR(IF(OR(J1788=0,K1788=""),"",IF(E1788="Positivo",MIN(MAX(K1788/J1788,0),1.3),MIN(MAX(J1788/K1788,0),1.3))),"") </f>
        <v/>
      </c>
      <c r="M1788" s="28">
        <f>IFERROR(IF(OR(J1788=0,K1788=""),"",IF(E1788="Positivo",MAX(K1788/J1788,0),MAX(J1788/K1788,0))),"") </f>
        <v/>
      </c>
      <c r="N1788" s="5" t="inlineStr">
        <is>
          <t>ENT</t>
        </is>
      </c>
      <c r="O1788" s="5" t="inlineStr">
        <is>
          <t>ENT</t>
        </is>
      </c>
      <c r="P1788" s="16" t="n">
        <v>0</v>
      </c>
      <c r="Q1788" s="16" t="n">
        <v>0</v>
      </c>
      <c r="R1788" s="5" t="inlineStr">
        <is>
          <t>366-2025-12-31</t>
        </is>
      </c>
    </row>
    <row r="1789">
      <c r="A1789" s="26" t="n">
        <v>367</v>
      </c>
      <c r="B1789" s="5" t="inlineStr">
        <is>
          <t>% Estudiantes con Becas</t>
        </is>
      </c>
      <c r="C1789" s="5" t="inlineStr">
        <is>
          <t>Gestión de la Responsabilidad Social</t>
        </is>
      </c>
      <c r="D1789" s="5" t="inlineStr">
        <is>
          <t>Anual</t>
        </is>
      </c>
      <c r="E1789" s="5" t="inlineStr">
        <is>
          <t>Positivo</t>
        </is>
      </c>
      <c r="F1789" s="144" t="n">
        <v>45291</v>
      </c>
      <c r="G1789" s="5" t="n">
        <v>2023</v>
      </c>
      <c r="H1789" s="5" t="inlineStr">
        <is>
          <t>Diciembre</t>
        </is>
      </c>
      <c r="I1789" s="6" t="inlineStr">
        <is>
          <t>2023-2</t>
        </is>
      </c>
      <c r="J1789" s="5" t="n">
        <v>5</v>
      </c>
      <c r="K1789" s="10" t="n">
        <v>6.249756705204562</v>
      </c>
      <c r="L1789" s="28">
        <f>IFERROR(IF(OR(J1789=0,K1789=""),"",IF(E1789="Positivo",MIN(MAX(K1789/J1789,0),1.3),MIN(MAX(J1789/K1789,0),1.3))),"") </f>
        <v/>
      </c>
      <c r="M1789" s="28">
        <f>IFERROR(IF(OR(J1789=0,K1789=""),"",IF(E1789="Positivo",MAX(K1789/J1789,0),MAX(J1789/K1789,0))),"") </f>
        <v/>
      </c>
      <c r="N1789" s="5" t="inlineStr">
        <is>
          <t>%</t>
        </is>
      </c>
      <c r="O1789" s="5" t="inlineStr">
        <is>
          <t>%</t>
        </is>
      </c>
      <c r="P1789" s="16" t="n">
        <v>2</v>
      </c>
      <c r="Q1789" s="16" t="n">
        <v>2</v>
      </c>
      <c r="R1789" s="5" t="inlineStr">
        <is>
          <t>367-2023-12-31</t>
        </is>
      </c>
    </row>
    <row r="1790">
      <c r="A1790" s="26" t="n">
        <v>367</v>
      </c>
      <c r="B1790" s="5" t="inlineStr">
        <is>
          <t>Estudiantes con Becas</t>
        </is>
      </c>
      <c r="C1790" s="5" t="inlineStr">
        <is>
          <t>Gestión de la Responsabilidad Social</t>
        </is>
      </c>
      <c r="D1790" s="5" t="inlineStr">
        <is>
          <t>Anual</t>
        </is>
      </c>
      <c r="E1790" s="5" t="inlineStr">
        <is>
          <t>Positivo</t>
        </is>
      </c>
      <c r="F1790" s="144" t="n">
        <v>45657</v>
      </c>
      <c r="G1790" s="5" t="n">
        <v>2024</v>
      </c>
      <c r="H1790" s="5" t="inlineStr">
        <is>
          <t>Diciembre</t>
        </is>
      </c>
      <c r="I1790" s="6" t="inlineStr">
        <is>
          <t>2024-2</t>
        </is>
      </c>
      <c r="J1790" s="5" t="n">
        <v>5</v>
      </c>
      <c r="K1790" s="10" t="n">
        <v>4.96</v>
      </c>
      <c r="L1790" s="28">
        <f>IFERROR(IF(OR(J1790=0,K1790=""),"",IF(E1790="Positivo",MIN(MAX(K1790/J1790,0),1.3),MIN(MAX(J1790/K1790,0),1.3))),"") </f>
        <v/>
      </c>
      <c r="M1790" s="28">
        <f>IFERROR(IF(OR(J1790=0,K1790=""),"",IF(E1790="Positivo",MAX(K1790/J1790,0),MAX(J1790/K1790,0))),"") </f>
        <v/>
      </c>
      <c r="N1790" s="5" t="inlineStr">
        <is>
          <t>%</t>
        </is>
      </c>
      <c r="O1790" s="5" t="inlineStr">
        <is>
          <t>%</t>
        </is>
      </c>
      <c r="P1790" s="16" t="n">
        <v>2</v>
      </c>
      <c r="Q1790" s="16" t="n">
        <v>2</v>
      </c>
      <c r="R1790" s="5" t="inlineStr">
        <is>
          <t>367-2024-12-31</t>
        </is>
      </c>
    </row>
    <row r="1791">
      <c r="A1791" s="26" t="n">
        <v>367</v>
      </c>
      <c r="B1791" s="5" t="inlineStr">
        <is>
          <t>Estudiantes con Becas</t>
        </is>
      </c>
      <c r="C1791" s="5" t="inlineStr">
        <is>
          <t>Gestión de la Responsabilidad Social</t>
        </is>
      </c>
      <c r="D1791" s="5" t="inlineStr">
        <is>
          <t>Anual</t>
        </is>
      </c>
      <c r="E1791" s="5" t="inlineStr">
        <is>
          <t>Positivo</t>
        </is>
      </c>
      <c r="F1791" s="144" t="n">
        <v>46022</v>
      </c>
      <c r="G1791" s="5" t="n">
        <v>2025</v>
      </c>
      <c r="H1791" s="5" t="inlineStr">
        <is>
          <t>Diciembre</t>
        </is>
      </c>
      <c r="I1791" s="6" t="inlineStr">
        <is>
          <t>2025-2</t>
        </is>
      </c>
      <c r="J1791" s="5" t="n">
        <v>5</v>
      </c>
      <c r="K1791" s="10" t="n">
        <v>3.82</v>
      </c>
      <c r="L1791" s="28">
        <f>IFERROR(IF(OR(J1791=0,K1791=""),"",IF(E1791="Positivo",MIN(MAX(K1791/J1791,0),1.3),MIN(MAX(J1791/K1791,0),1.3))),"") </f>
        <v/>
      </c>
      <c r="M1791" s="28">
        <f>IFERROR(IF(OR(J1791=0,K1791=""),"",IF(E1791="Positivo",MAX(K1791/J1791,0),MAX(J1791/K1791,0))),"") </f>
        <v/>
      </c>
      <c r="N1791" s="5" t="inlineStr">
        <is>
          <t>%</t>
        </is>
      </c>
      <c r="O1791" s="5" t="inlineStr">
        <is>
          <t>%</t>
        </is>
      </c>
      <c r="P1791" s="16" t="n">
        <v>0</v>
      </c>
      <c r="Q1791" s="16" t="n">
        <v>2</v>
      </c>
      <c r="R1791" s="5" t="inlineStr">
        <is>
          <t>367-2025-12-31</t>
        </is>
      </c>
    </row>
    <row r="1792">
      <c r="A1792" s="26" t="n">
        <v>368</v>
      </c>
      <c r="B1792" s="5" t="inlineStr">
        <is>
          <t>Satisfacción de los estudiantes de Educación para toda la vida</t>
        </is>
      </c>
      <c r="C1792" s="5" t="inlineStr">
        <is>
          <t>Operación de Educación no Formal</t>
        </is>
      </c>
      <c r="D1792" s="5" t="inlineStr">
        <is>
          <t>Trimestral</t>
        </is>
      </c>
      <c r="E1792" s="5" t="inlineStr">
        <is>
          <t>Positivo</t>
        </is>
      </c>
      <c r="F1792" s="144" t="n">
        <v>45199</v>
      </c>
      <c r="G1792" s="5" t="n">
        <v>2023</v>
      </c>
      <c r="H1792" s="5" t="inlineStr">
        <is>
          <t>Septiembre</t>
        </is>
      </c>
      <c r="I1792" s="6" t="inlineStr">
        <is>
          <t>2023-2</t>
        </is>
      </c>
      <c r="J1792" s="5" t="n">
        <v>90</v>
      </c>
      <c r="K1792" s="10" t="n">
        <v>95</v>
      </c>
      <c r="L1792" s="28">
        <f>IFERROR(IF(OR(J1792=0,K1792=""),"",IF(E1792="Positivo",MIN(MAX(K1792/J1792,0),1.3),MIN(MAX(J1792/K1792,0),1.3))),"") </f>
        <v/>
      </c>
      <c r="M1792" s="28">
        <f>IFERROR(IF(OR(J1792=0,K1792=""),"",IF(E1792="Positivo",MAX(K1792/J1792,0),MAX(J1792/K1792,0))),"") </f>
        <v/>
      </c>
      <c r="N1792" s="5" t="inlineStr">
        <is>
          <t>%</t>
        </is>
      </c>
      <c r="O1792" s="5" t="inlineStr">
        <is>
          <t>%</t>
        </is>
      </c>
      <c r="P1792" s="16" t="n">
        <v>0</v>
      </c>
      <c r="Q1792" s="16" t="n">
        <v>0</v>
      </c>
      <c r="R1792" s="5" t="inlineStr">
        <is>
          <t>368-2023-09-30</t>
        </is>
      </c>
    </row>
    <row r="1793">
      <c r="A1793" s="26" t="n">
        <v>368</v>
      </c>
      <c r="B1793" s="5" t="inlineStr">
        <is>
          <t>Satisfacción de los estudiantes de Educación para toda la vida</t>
        </is>
      </c>
      <c r="C1793" s="5" t="inlineStr">
        <is>
          <t>Operación de Educación no Formal</t>
        </is>
      </c>
      <c r="D1793" s="5" t="inlineStr">
        <is>
          <t>Trimestral</t>
        </is>
      </c>
      <c r="E1793" s="5" t="inlineStr">
        <is>
          <t>Positivo</t>
        </is>
      </c>
      <c r="F1793" s="144" t="n">
        <v>45291</v>
      </c>
      <c r="G1793" s="5" t="n">
        <v>2023</v>
      </c>
      <c r="H1793" s="5" t="inlineStr">
        <is>
          <t>Diciembre</t>
        </is>
      </c>
      <c r="I1793" s="6" t="inlineStr">
        <is>
          <t>2023-2</t>
        </is>
      </c>
      <c r="J1793" s="5" t="n">
        <v>90</v>
      </c>
      <c r="K1793" s="10" t="n">
        <v>94</v>
      </c>
      <c r="L1793" s="28">
        <f>IFERROR(IF(OR(J1793=0,K1793=""),"",IF(E1793="Positivo",MIN(MAX(K1793/J1793,0),1.3),MIN(MAX(J1793/K1793,0),1.3))),"") </f>
        <v/>
      </c>
      <c r="M1793" s="28">
        <f>IFERROR(IF(OR(J1793=0,K1793=""),"",IF(E1793="Positivo",MAX(K1793/J1793,0),MAX(J1793/K1793,0))),"") </f>
        <v/>
      </c>
      <c r="N1793" s="5" t="inlineStr">
        <is>
          <t>%</t>
        </is>
      </c>
      <c r="O1793" s="5" t="inlineStr">
        <is>
          <t>%</t>
        </is>
      </c>
      <c r="P1793" s="16" t="n">
        <v>0</v>
      </c>
      <c r="Q1793" s="16" t="n">
        <v>0</v>
      </c>
      <c r="R1793" s="5" t="inlineStr">
        <is>
          <t>368-2023-12-31</t>
        </is>
      </c>
    </row>
    <row r="1794">
      <c r="A1794" s="26" t="n">
        <v>368</v>
      </c>
      <c r="B1794" s="5" t="inlineStr">
        <is>
          <t>Satisfacción de los estudiantes de Educación para toda la vida</t>
        </is>
      </c>
      <c r="C1794" s="5" t="inlineStr">
        <is>
          <t>Operación de Educación no Formal</t>
        </is>
      </c>
      <c r="D1794" s="5" t="inlineStr">
        <is>
          <t>Trimestral</t>
        </is>
      </c>
      <c r="E1794" s="5" t="inlineStr">
        <is>
          <t>Positivo</t>
        </is>
      </c>
      <c r="F1794" s="144" t="n">
        <v>45382</v>
      </c>
      <c r="G1794" s="5" t="n">
        <v>2024</v>
      </c>
      <c r="H1794" s="5" t="inlineStr">
        <is>
          <t>Marzo</t>
        </is>
      </c>
      <c r="I1794" s="6" t="inlineStr">
        <is>
          <t>2024-1</t>
        </is>
      </c>
      <c r="J1794" s="5" t="n">
        <v>90</v>
      </c>
      <c r="K1794" s="10" t="n">
        <v>94</v>
      </c>
      <c r="L1794" s="28">
        <f>IFERROR(IF(OR(J1794=0,K1794=""),"",IF(E1794="Positivo",MIN(MAX(K1794/J1794,0),1.3),MIN(MAX(J1794/K1794,0),1.3))),"") </f>
        <v/>
      </c>
      <c r="M1794" s="28">
        <f>IFERROR(IF(OR(J1794=0,K1794=""),"",IF(E1794="Positivo",MAX(K1794/J1794,0),MAX(J1794/K1794,0))),"") </f>
        <v/>
      </c>
      <c r="N1794" s="5" t="inlineStr">
        <is>
          <t>%</t>
        </is>
      </c>
      <c r="O1794" s="5" t="inlineStr">
        <is>
          <t>%</t>
        </is>
      </c>
      <c r="P1794" s="16" t="n">
        <v>0</v>
      </c>
      <c r="Q1794" s="16" t="n">
        <v>0</v>
      </c>
      <c r="R1794" s="5" t="inlineStr">
        <is>
          <t>368-2024-03-31</t>
        </is>
      </c>
    </row>
    <row r="1795">
      <c r="A1795" s="26" t="n">
        <v>368</v>
      </c>
      <c r="B1795" s="5" t="inlineStr">
        <is>
          <t>Satisfacción de los estudiantes de Educación para toda la vida</t>
        </is>
      </c>
      <c r="C1795" s="5" t="inlineStr">
        <is>
          <t>Operación de Educación no Formal</t>
        </is>
      </c>
      <c r="D1795" s="5" t="inlineStr">
        <is>
          <t>Trimestral</t>
        </is>
      </c>
      <c r="E1795" s="5" t="inlineStr">
        <is>
          <t>Positivo</t>
        </is>
      </c>
      <c r="F1795" s="144" t="n">
        <v>45473</v>
      </c>
      <c r="G1795" s="5" t="n">
        <v>2024</v>
      </c>
      <c r="H1795" s="5" t="inlineStr">
        <is>
          <t>Junio</t>
        </is>
      </c>
      <c r="I1795" s="6" t="inlineStr">
        <is>
          <t>2024-1</t>
        </is>
      </c>
      <c r="J1795" s="5" t="n">
        <v>90</v>
      </c>
      <c r="K1795" s="10" t="n">
        <v>95</v>
      </c>
      <c r="L1795" s="28">
        <f>IFERROR(IF(OR(J1795=0,K1795=""),"",IF(E1795="Positivo",MIN(MAX(K1795/J1795,0),1.3),MIN(MAX(J1795/K1795,0),1.3))),"") </f>
        <v/>
      </c>
      <c r="M1795" s="28">
        <f>IFERROR(IF(OR(J1795=0,K1795=""),"",IF(E1795="Positivo",MAX(K1795/J1795,0),MAX(J1795/K1795,0))),"") </f>
        <v/>
      </c>
      <c r="N1795" s="5" t="inlineStr">
        <is>
          <t>%</t>
        </is>
      </c>
      <c r="O1795" s="5" t="inlineStr">
        <is>
          <t>%</t>
        </is>
      </c>
      <c r="P1795" s="16" t="n">
        <v>0</v>
      </c>
      <c r="Q1795" s="16" t="n">
        <v>0</v>
      </c>
      <c r="R1795" s="5" t="inlineStr">
        <is>
          <t>368-2024-06-30</t>
        </is>
      </c>
    </row>
    <row r="1796">
      <c r="A1796" s="26" t="n">
        <v>368</v>
      </c>
      <c r="B1796" s="5" t="inlineStr">
        <is>
          <t>Satisfacción de los estudiantes de Educación para toda la vida</t>
        </is>
      </c>
      <c r="C1796" s="5" t="inlineStr">
        <is>
          <t>Operación de Educación no Formal</t>
        </is>
      </c>
      <c r="D1796" s="5" t="inlineStr">
        <is>
          <t>Trimestral</t>
        </is>
      </c>
      <c r="E1796" s="5" t="inlineStr">
        <is>
          <t>Positivo</t>
        </is>
      </c>
      <c r="F1796" s="144" t="n">
        <v>45565</v>
      </c>
      <c r="G1796" s="5" t="n">
        <v>2024</v>
      </c>
      <c r="H1796" s="5" t="inlineStr">
        <is>
          <t>Septiembre</t>
        </is>
      </c>
      <c r="I1796" s="6" t="inlineStr">
        <is>
          <t>2024-2</t>
        </is>
      </c>
      <c r="J1796" s="5" t="n">
        <v>90</v>
      </c>
      <c r="K1796" s="10" t="n">
        <v>94</v>
      </c>
      <c r="L1796" s="28">
        <f>IFERROR(IF(OR(J1796=0,K1796=""),"",IF(E1796="Positivo",MIN(MAX(K1796/J1796,0),1.3),MIN(MAX(J1796/K1796,0),1.3))),"") </f>
        <v/>
      </c>
      <c r="M1796" s="28">
        <f>IFERROR(IF(OR(J1796=0,K1796=""),"",IF(E1796="Positivo",MAX(K1796/J1796,0),MAX(J1796/K1796,0))),"") </f>
        <v/>
      </c>
      <c r="N1796" s="5" t="inlineStr">
        <is>
          <t>%</t>
        </is>
      </c>
      <c r="O1796" s="5" t="inlineStr">
        <is>
          <t>%</t>
        </is>
      </c>
      <c r="P1796" s="16" t="n">
        <v>0</v>
      </c>
      <c r="Q1796" s="16" t="n">
        <v>0</v>
      </c>
      <c r="R1796" s="5" t="inlineStr">
        <is>
          <t>368-2024-09-30</t>
        </is>
      </c>
    </row>
    <row r="1797">
      <c r="A1797" s="26" t="n">
        <v>368</v>
      </c>
      <c r="B1797" s="5" t="inlineStr">
        <is>
          <t>Satisfacción de los estudiantes de Educación para toda la vida</t>
        </is>
      </c>
      <c r="C1797" s="5" t="inlineStr">
        <is>
          <t>Operación de Educación no Formal</t>
        </is>
      </c>
      <c r="D1797" s="5" t="inlineStr">
        <is>
          <t>Trimestral</t>
        </is>
      </c>
      <c r="E1797" s="5" t="inlineStr">
        <is>
          <t>Positivo</t>
        </is>
      </c>
      <c r="F1797" s="144" t="n">
        <v>45657</v>
      </c>
      <c r="G1797" s="5" t="n">
        <v>2024</v>
      </c>
      <c r="H1797" s="5" t="inlineStr">
        <is>
          <t>Diciembre</t>
        </is>
      </c>
      <c r="I1797" s="6" t="inlineStr">
        <is>
          <t>2024-2</t>
        </is>
      </c>
      <c r="J1797" s="5" t="n">
        <v>90</v>
      </c>
      <c r="K1797" s="10" t="n">
        <v>94</v>
      </c>
      <c r="L1797" s="28">
        <f>IFERROR(IF(OR(J1797=0,K1797=""),"",IF(E1797="Positivo",MIN(MAX(K1797/J1797,0),1.3),MIN(MAX(J1797/K1797,0),1.3))),"") </f>
        <v/>
      </c>
      <c r="M1797" s="28">
        <f>IFERROR(IF(OR(J1797=0,K1797=""),"",IF(E1797="Positivo",MAX(K1797/J1797,0),MAX(J1797/K1797,0))),"") </f>
        <v/>
      </c>
      <c r="N1797" s="5" t="inlineStr">
        <is>
          <t>%</t>
        </is>
      </c>
      <c r="O1797" s="5" t="inlineStr">
        <is>
          <t>%</t>
        </is>
      </c>
      <c r="P1797" s="16" t="n">
        <v>0</v>
      </c>
      <c r="Q1797" s="16" t="n">
        <v>0</v>
      </c>
      <c r="R1797" s="5" t="inlineStr">
        <is>
          <t>368-2024-12-31</t>
        </is>
      </c>
    </row>
    <row r="1798">
      <c r="A1798" s="26" t="n">
        <v>368</v>
      </c>
      <c r="B1798" s="5" t="inlineStr">
        <is>
          <t>Satisfacción de los estudiantes de Educación para toda la vida</t>
        </is>
      </c>
      <c r="C1798" s="5" t="inlineStr">
        <is>
          <t>Operación de Educación no Formal</t>
        </is>
      </c>
      <c r="D1798" s="5" t="inlineStr">
        <is>
          <t>Trimestral</t>
        </is>
      </c>
      <c r="E1798" s="5" t="inlineStr">
        <is>
          <t>Positivo</t>
        </is>
      </c>
      <c r="F1798" s="144" t="n">
        <v>45747</v>
      </c>
      <c r="G1798" s="5" t="n">
        <v>2025</v>
      </c>
      <c r="H1798" s="5" t="inlineStr">
        <is>
          <t>Marzo</t>
        </is>
      </c>
      <c r="I1798" s="6" t="inlineStr">
        <is>
          <t>2025-1</t>
        </is>
      </c>
      <c r="J1798" s="5" t="n">
        <v>93</v>
      </c>
      <c r="K1798" s="10" t="n">
        <v>94</v>
      </c>
      <c r="L1798" s="28">
        <f>IFERROR(IF(OR(J1798=0,K1798=""),"",IF(E1798="Positivo",MIN(MAX(K1798/J1798,0),1.3),MIN(MAX(J1798/K1798,0),1.3))),"") </f>
        <v/>
      </c>
      <c r="M1798" s="28">
        <f>IFERROR(IF(OR(J1798=0,K1798=""),"",IF(E1798="Positivo",MAX(K1798/J1798,0),MAX(J1798/K1798,0))),"") </f>
        <v/>
      </c>
      <c r="N1798" s="5" t="inlineStr">
        <is>
          <t>%</t>
        </is>
      </c>
      <c r="O1798" s="5" t="inlineStr">
        <is>
          <t>%</t>
        </is>
      </c>
      <c r="P1798" s="16" t="n">
        <v>0</v>
      </c>
      <c r="Q1798" s="16" t="n">
        <v>0</v>
      </c>
      <c r="R1798" s="5" t="inlineStr">
        <is>
          <t>368-2025-03-31</t>
        </is>
      </c>
    </row>
    <row r="1799">
      <c r="A1799" s="26" t="n">
        <v>368</v>
      </c>
      <c r="B1799" s="5" t="inlineStr">
        <is>
          <t>Satisfacción de los estudiantes de Educación para toda la vida</t>
        </is>
      </c>
      <c r="C1799" s="5" t="inlineStr">
        <is>
          <t>Operación de Educación no Formal</t>
        </is>
      </c>
      <c r="D1799" s="5" t="inlineStr">
        <is>
          <t>Trimestral</t>
        </is>
      </c>
      <c r="E1799" s="5" t="inlineStr">
        <is>
          <t>Positivo</t>
        </is>
      </c>
      <c r="F1799" s="144" t="n">
        <v>45838</v>
      </c>
      <c r="G1799" s="5" t="n">
        <v>2025</v>
      </c>
      <c r="H1799" s="5" t="inlineStr">
        <is>
          <t>Junio</t>
        </is>
      </c>
      <c r="I1799" s="6" t="inlineStr">
        <is>
          <t>2025-1</t>
        </is>
      </c>
      <c r="J1799" s="5" t="n">
        <v>93</v>
      </c>
      <c r="K1799" s="10" t="n">
        <v>96</v>
      </c>
      <c r="L1799" s="28">
        <f>IFERROR(IF(OR(J1799=0,K1799=""),"",IF(E1799="Positivo",MIN(MAX(K1799/J1799,0),1.3),MIN(MAX(J1799/K1799,0),1.3))),"") </f>
        <v/>
      </c>
      <c r="M1799" s="28">
        <f>IFERROR(IF(OR(J1799=0,K1799=""),"",IF(E1799="Positivo",MAX(K1799/J1799,0),MAX(J1799/K1799,0))),"") </f>
        <v/>
      </c>
      <c r="N1799" s="5" t="inlineStr">
        <is>
          <t>%</t>
        </is>
      </c>
      <c r="O1799" s="5" t="inlineStr">
        <is>
          <t>%</t>
        </is>
      </c>
      <c r="P1799" s="16" t="n">
        <v>0</v>
      </c>
      <c r="Q1799" s="16" t="n">
        <v>0</v>
      </c>
      <c r="R1799" s="5" t="inlineStr">
        <is>
          <t>368-2025-06-30</t>
        </is>
      </c>
    </row>
    <row r="1800">
      <c r="A1800" s="26" t="n">
        <v>368</v>
      </c>
      <c r="B1800" s="5" t="inlineStr">
        <is>
          <t>Satisfacción de los estudiantes de Educación para toda la vida</t>
        </is>
      </c>
      <c r="C1800" s="5" t="inlineStr">
        <is>
          <t>Operación de nuevos negocios y CI</t>
        </is>
      </c>
      <c r="D1800" s="5" t="inlineStr">
        <is>
          <t>Semestral</t>
        </is>
      </c>
      <c r="E1800" s="5" t="inlineStr">
        <is>
          <t>Positivo</t>
        </is>
      </c>
      <c r="F1800" s="144" t="n">
        <v>45930</v>
      </c>
      <c r="G1800" s="5" t="n">
        <v>2025</v>
      </c>
      <c r="H1800" s="5" t="inlineStr">
        <is>
          <t>Septiembre</t>
        </is>
      </c>
      <c r="I1800" s="6" t="inlineStr">
        <is>
          <t>2025-2</t>
        </is>
      </c>
      <c r="J1800" s="5" t="n">
        <v>93</v>
      </c>
      <c r="K1800" s="10" t="n">
        <v>95</v>
      </c>
      <c r="L1800" s="28">
        <f>IFERROR(IF(OR(J1800=0,K1800=""),"",IF(E1800="Positivo",MIN(MAX(K1800/J1800,0),1.3),MIN(MAX(J1800/K1800,0),1.3))),"") </f>
        <v/>
      </c>
      <c r="M1800" s="28">
        <f>IFERROR(IF(OR(J1800=0,K1800=""),"",IF(E1800="Positivo",MAX(K1800/J1800,0),MAX(J1800/K1800,0))),"") </f>
        <v/>
      </c>
      <c r="N1800" s="5" t="inlineStr">
        <is>
          <t>%</t>
        </is>
      </c>
      <c r="O1800" s="5" t="inlineStr">
        <is>
          <t>%</t>
        </is>
      </c>
      <c r="P1800" s="16" t="n">
        <v>0</v>
      </c>
      <c r="Q1800" s="16" t="n">
        <v>0</v>
      </c>
      <c r="R1800" s="5" t="inlineStr">
        <is>
          <t>368-2025-09-30</t>
        </is>
      </c>
    </row>
    <row r="1801">
      <c r="A1801" s="26" t="n">
        <v>368</v>
      </c>
      <c r="B1801" s="5" t="inlineStr">
        <is>
          <t>Satisfacción de los estudiantes de Educación para toda la vida</t>
        </is>
      </c>
      <c r="C1801" s="5" t="inlineStr">
        <is>
          <t>Operación de nuevos negocios y CI</t>
        </is>
      </c>
      <c r="D1801" s="5" t="inlineStr">
        <is>
          <t>Semestral</t>
        </is>
      </c>
      <c r="E1801" s="5" t="inlineStr">
        <is>
          <t>Positivo</t>
        </is>
      </c>
      <c r="F1801" s="144" t="n">
        <v>46022</v>
      </c>
      <c r="G1801" s="5" t="n">
        <v>2025</v>
      </c>
      <c r="H1801" s="5" t="inlineStr">
        <is>
          <t>Diciembre</t>
        </is>
      </c>
      <c r="I1801" s="6" t="inlineStr">
        <is>
          <t>2025-2</t>
        </is>
      </c>
      <c r="J1801" s="5" t="n">
        <v>93</v>
      </c>
      <c r="K1801" s="10" t="n">
        <v>95</v>
      </c>
      <c r="L1801" s="28">
        <f>IFERROR(IF(OR(J1801=0,K1801=""),"",IF(E1801="Positivo",MIN(MAX(K1801/J1801,0),1.3),MIN(MAX(J1801/K1801,0),1.3))),"") </f>
        <v/>
      </c>
      <c r="M1801" s="28">
        <f>IFERROR(IF(OR(J1801=0,K1801=""),"",IF(E1801="Positivo",MAX(K1801/J1801,0),MAX(J1801/K1801,0))),"") </f>
        <v/>
      </c>
      <c r="N1801" s="5" t="inlineStr">
        <is>
          <t>%</t>
        </is>
      </c>
      <c r="O1801" s="5" t="inlineStr">
        <is>
          <t>%</t>
        </is>
      </c>
      <c r="P1801" s="16" t="n">
        <v>0</v>
      </c>
      <c r="Q1801" s="16" t="n">
        <v>0</v>
      </c>
      <c r="R1801" s="5" t="inlineStr">
        <is>
          <t>368-2025-12-31</t>
        </is>
      </c>
    </row>
    <row r="1802">
      <c r="A1802" s="26" t="n">
        <v>369</v>
      </c>
      <c r="B1802" s="5" t="inlineStr">
        <is>
          <t>Participación de POLI- voluntariados (Estudiantes- Colaboradores)</t>
        </is>
      </c>
      <c r="C1802" s="5" t="inlineStr">
        <is>
          <t>Gestión de la Responsabilidad Social</t>
        </is>
      </c>
      <c r="D1802" s="5" t="inlineStr">
        <is>
          <t>Semestral</t>
        </is>
      </c>
      <c r="E1802" s="5" t="inlineStr">
        <is>
          <t>Positivo</t>
        </is>
      </c>
      <c r="F1802" s="144" t="n">
        <v>45107</v>
      </c>
      <c r="G1802" s="5" t="n">
        <v>2023</v>
      </c>
      <c r="H1802" s="5" t="inlineStr">
        <is>
          <t>Junio</t>
        </is>
      </c>
      <c r="I1802" s="6" t="inlineStr">
        <is>
          <t>2023-1</t>
        </is>
      </c>
      <c r="J1802" s="5" t="n">
        <v>0</v>
      </c>
      <c r="K1802" s="10" t="n">
        <v>78</v>
      </c>
      <c r="L1802" s="28">
        <f>IFERROR(IF(OR(J1802=0,K1802=""),"",IF(E1802="Positivo",MIN(MAX(K1802/J1802,0),1.3),MIN(MAX(J1802/K1802,0),1.3))),"") </f>
        <v/>
      </c>
      <c r="M1802" s="28">
        <f>IFERROR(IF(OR(J1802=0,K1802=""),"",IF(E1802="Positivo",MAX(K1802/J1802,0),MAX(J1802/K1802,0))),"") </f>
        <v/>
      </c>
      <c r="N1802" s="5" t="inlineStr">
        <is>
          <t>Linea Base</t>
        </is>
      </c>
      <c r="O1802" s="5" t="inlineStr">
        <is>
          <t>%</t>
        </is>
      </c>
      <c r="P1802" s="16" t="n">
        <v>0</v>
      </c>
      <c r="Q1802" s="16" t="n">
        <v>0</v>
      </c>
      <c r="R1802" s="5" t="inlineStr">
        <is>
          <t>369-2023-06-30</t>
        </is>
      </c>
    </row>
    <row r="1803">
      <c r="A1803" s="26" t="n">
        <v>369</v>
      </c>
      <c r="B1803" s="5" t="inlineStr">
        <is>
          <t>Participación de POLI- voluntariados (Estudiantes- Colaboradores)</t>
        </is>
      </c>
      <c r="C1803" s="5" t="inlineStr">
        <is>
          <t>Gestión de la Responsabilidad Social</t>
        </is>
      </c>
      <c r="D1803" s="5" t="inlineStr">
        <is>
          <t>Semestral</t>
        </is>
      </c>
      <c r="E1803" s="5" t="inlineStr">
        <is>
          <t>Positivo</t>
        </is>
      </c>
      <c r="F1803" s="144" t="n">
        <v>45291</v>
      </c>
      <c r="G1803" s="5" t="n">
        <v>2023</v>
      </c>
      <c r="H1803" s="5" t="inlineStr">
        <is>
          <t>Diciembre</t>
        </is>
      </c>
      <c r="I1803" s="6" t="inlineStr">
        <is>
          <t>2023-2</t>
        </is>
      </c>
      <c r="J1803" s="5" t="n">
        <v>0</v>
      </c>
      <c r="K1803" s="10" t="n">
        <v>96</v>
      </c>
      <c r="L1803" s="28">
        <f>IFERROR(IF(OR(J1803=0,K1803=""),"",IF(E1803="Positivo",MIN(MAX(K1803/J1803,0),1.3),MIN(MAX(J1803/K1803,0),1.3))),"") </f>
        <v/>
      </c>
      <c r="M1803" s="28">
        <f>IFERROR(IF(OR(J1803=0,K1803=""),"",IF(E1803="Positivo",MAX(K1803/J1803,0),MAX(J1803/K1803,0))),"") </f>
        <v/>
      </c>
      <c r="N1803" s="5" t="inlineStr">
        <is>
          <t>Linea Base</t>
        </is>
      </c>
      <c r="O1803" s="5" t="inlineStr">
        <is>
          <t>%</t>
        </is>
      </c>
      <c r="P1803" s="16" t="n">
        <v>0</v>
      </c>
      <c r="Q1803" s="16" t="n">
        <v>0</v>
      </c>
      <c r="R1803" s="5" t="inlineStr">
        <is>
          <t>369-2023-12-31</t>
        </is>
      </c>
    </row>
    <row r="1804">
      <c r="A1804" s="26" t="n">
        <v>369</v>
      </c>
      <c r="B1804" s="5" t="inlineStr">
        <is>
          <t>Participación de POLI- voluntariados (Estudiantes- Colaboradores)</t>
        </is>
      </c>
      <c r="C1804" s="5" t="inlineStr">
        <is>
          <t>Gestión de la Responsabilidad Social</t>
        </is>
      </c>
      <c r="D1804" s="5" t="inlineStr">
        <is>
          <t>Semestral</t>
        </is>
      </c>
      <c r="E1804" s="5" t="inlineStr">
        <is>
          <t>Positivo</t>
        </is>
      </c>
      <c r="F1804" s="144" t="n">
        <v>45473</v>
      </c>
      <c r="G1804" s="5" t="n">
        <v>2024</v>
      </c>
      <c r="H1804" s="5" t="inlineStr">
        <is>
          <t>Junio</t>
        </is>
      </c>
      <c r="I1804" s="6" t="inlineStr">
        <is>
          <t>2024-1</t>
        </is>
      </c>
      <c r="J1804" s="5" t="n">
        <v>100</v>
      </c>
      <c r="K1804" s="10" t="n">
        <v>76.25</v>
      </c>
      <c r="L1804" s="28">
        <f>IFERROR(IF(OR(J1804=0,K1804=""),"",IF(E1804="Positivo",MIN(MAX(K1804/J1804,0),1.3),MIN(MAX(J1804/K1804,0),1.3))),"") </f>
        <v/>
      </c>
      <c r="M1804" s="28">
        <f>IFERROR(IF(OR(J1804=0,K1804=""),"",IF(E1804="Positivo",MAX(K1804/J1804,0),MAX(J1804/K1804,0))),"") </f>
        <v/>
      </c>
      <c r="N1804" s="5" t="inlineStr">
        <is>
          <t>Linea Base</t>
        </is>
      </c>
      <c r="O1804" s="5" t="inlineStr">
        <is>
          <t>%</t>
        </is>
      </c>
      <c r="P1804" s="16" t="n">
        <v>0</v>
      </c>
      <c r="Q1804" s="16" t="n">
        <v>0</v>
      </c>
      <c r="R1804" s="5" t="inlineStr">
        <is>
          <t>369-2024-06-30</t>
        </is>
      </c>
    </row>
    <row r="1805">
      <c r="A1805" s="26" t="n">
        <v>369</v>
      </c>
      <c r="B1805" s="5" t="inlineStr">
        <is>
          <t>Participación de POLI- voluntariados (Estudiantes- Colaboradores)</t>
        </is>
      </c>
      <c r="C1805" s="5" t="inlineStr">
        <is>
          <t>Gestión de la Responsabilidad Social</t>
        </is>
      </c>
      <c r="D1805" s="5" t="inlineStr">
        <is>
          <t>Semestral</t>
        </is>
      </c>
      <c r="E1805" s="5" t="inlineStr">
        <is>
          <t>Positivo</t>
        </is>
      </c>
      <c r="F1805" s="144" t="n">
        <v>45657</v>
      </c>
      <c r="G1805" s="5" t="n">
        <v>2024</v>
      </c>
      <c r="H1805" s="5" t="inlineStr">
        <is>
          <t>Diciembre</t>
        </is>
      </c>
      <c r="I1805" s="6" t="inlineStr">
        <is>
          <t>2024-2</t>
        </is>
      </c>
      <c r="J1805" s="5" t="n">
        <v>100</v>
      </c>
      <c r="K1805" s="10" t="n">
        <v>71.3</v>
      </c>
      <c r="L1805" s="28">
        <f>IFERROR(IF(OR(J1805=0,K1805=""),"",IF(E1805="Positivo",MIN(MAX(K1805/J1805,0),1.3),MIN(MAX(J1805/K1805,0),1.3))),"") </f>
        <v/>
      </c>
      <c r="M1805" s="28">
        <f>IFERROR(IF(OR(J1805=0,K1805=""),"",IF(E1805="Positivo",MAX(K1805/J1805,0),MAX(J1805/K1805,0))),"") </f>
        <v/>
      </c>
      <c r="N1805" s="5" t="n"/>
      <c r="O1805" s="5" t="n"/>
      <c r="P1805" s="16" t="n">
        <v>0</v>
      </c>
      <c r="Q1805" s="16" t="n">
        <v>0</v>
      </c>
      <c r="R1805" s="5" t="inlineStr">
        <is>
          <t>369-2024-12-31</t>
        </is>
      </c>
    </row>
    <row r="1806">
      <c r="A1806" s="26" t="n">
        <v>369</v>
      </c>
      <c r="B1806" s="5" t="inlineStr">
        <is>
          <t>Participación de POLI- voluntariados (Estudiantes- Colaboradores)</t>
        </is>
      </c>
      <c r="C1806" s="5" t="inlineStr">
        <is>
          <t>Gestión de la Responsabilidad Social</t>
        </is>
      </c>
      <c r="D1806" s="5" t="inlineStr">
        <is>
          <t>Trimestral</t>
        </is>
      </c>
      <c r="E1806" s="5" t="inlineStr">
        <is>
          <t>Positivo</t>
        </is>
      </c>
      <c r="F1806" s="144" t="n">
        <v>45838</v>
      </c>
      <c r="G1806" s="5" t="n">
        <v>2025</v>
      </c>
      <c r="H1806" s="5" t="inlineStr">
        <is>
          <t>Junio</t>
        </is>
      </c>
      <c r="I1806" s="6" t="inlineStr">
        <is>
          <t>2025-1</t>
        </is>
      </c>
      <c r="J1806" s="5" t="n">
        <v>100</v>
      </c>
      <c r="K1806" s="10" t="n">
        <v>88.89</v>
      </c>
      <c r="L1806" s="28">
        <f>IFERROR(IF(OR(J1806=0,K1806=""),"",IF(E1806="Positivo",MIN(MAX(K1806/J1806,0),1.3),MIN(MAX(J1806/K1806,0),1.3))),"") </f>
        <v/>
      </c>
      <c r="M1806" s="28">
        <f>IFERROR(IF(OR(J1806=0,K1806=""),"",IF(E1806="Positivo",MAX(K1806/J1806,0),MAX(J1806/K1806,0))),"") </f>
        <v/>
      </c>
      <c r="N1806" s="5" t="inlineStr">
        <is>
          <t>ENT</t>
        </is>
      </c>
      <c r="O1806" s="5" t="inlineStr">
        <is>
          <t>ENT</t>
        </is>
      </c>
      <c r="P1806" s="16" t="n">
        <v>0</v>
      </c>
      <c r="Q1806" s="16" t="n">
        <v>0</v>
      </c>
      <c r="R1806" s="5" t="inlineStr">
        <is>
          <t>369-2025-06-30</t>
        </is>
      </c>
    </row>
    <row r="1807">
      <c r="A1807" s="26" t="n">
        <v>369</v>
      </c>
      <c r="B1807" s="5" t="inlineStr">
        <is>
          <t>Participación de POLI- voluntariados (Estudiantes- Colaboradores)</t>
        </is>
      </c>
      <c r="C1807" s="5" t="inlineStr">
        <is>
          <t>Gestión de la Responsabilidad Social</t>
        </is>
      </c>
      <c r="D1807" s="5" t="inlineStr">
        <is>
          <t>Trimestral</t>
        </is>
      </c>
      <c r="E1807" s="5" t="inlineStr">
        <is>
          <t>Positivo</t>
        </is>
      </c>
      <c r="F1807" s="144" t="n">
        <v>46022</v>
      </c>
      <c r="G1807" s="5" t="n">
        <v>2025</v>
      </c>
      <c r="H1807" s="5" t="inlineStr">
        <is>
          <t>Diciembre</t>
        </is>
      </c>
      <c r="I1807" s="6" t="inlineStr">
        <is>
          <t>2025-2</t>
        </is>
      </c>
      <c r="J1807" s="5" t="n">
        <v>100</v>
      </c>
      <c r="K1807" s="10" t="n">
        <v>108.26</v>
      </c>
      <c r="L1807" s="28">
        <f>IFERROR(IF(OR(J1807=0,K1807=""),"",IF(E1807="Positivo",MIN(MAX(K1807/J1807,0),1.3),MIN(MAX(J1807/K1807,0),1.3))),"") </f>
        <v/>
      </c>
      <c r="M1807" s="28">
        <f>IFERROR(IF(OR(J1807=0,K1807=""),"",IF(E1807="Positivo",MAX(K1807/J1807,0),MAX(J1807/K1807,0))),"") </f>
        <v/>
      </c>
      <c r="N1807" s="5" t="inlineStr">
        <is>
          <t>ENT</t>
        </is>
      </c>
      <c r="O1807" s="5" t="inlineStr">
        <is>
          <t>ENT</t>
        </is>
      </c>
      <c r="P1807" s="16" t="n">
        <v>0</v>
      </c>
      <c r="Q1807" s="16" t="n">
        <v>0</v>
      </c>
      <c r="R1807" s="5" t="inlineStr">
        <is>
          <t>369-2025-12-31</t>
        </is>
      </c>
    </row>
    <row r="1808">
      <c r="A1808" t="n">
        <v>370</v>
      </c>
      <c r="B1808" t="inlineStr">
        <is>
          <t>Oportunidades de mejora - Huella Verde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48" t="n">
        <v>45107</v>
      </c>
      <c r="G1808" t="n">
        <v>2023</v>
      </c>
      <c r="H1808" t="inlineStr">
        <is>
          <t>Junio</t>
        </is>
      </c>
      <c r="I1808" t="inlineStr">
        <is>
          <t>2023-1</t>
        </is>
      </c>
      <c r="J1808" t="n">
        <v>0</v>
      </c>
      <c r="K1808" t="n">
        <v>0</v>
      </c>
      <c r="L1808" s="59">
        <f>IFERROR(IF(OR(J1808=0,K1808=""),"",IF(E1808="Positivo",MIN(MAX(K1808/J1808,0),1.3),MIN(MAX(J1808/K1808,0),1.3))),"") </f>
        <v/>
      </c>
      <c r="M1808" s="59">
        <f>IFERROR(IF(OR(J1808=0,K1808=""),"",IF(E1808="Positivo",MAX(K1808/J1808,0),MAX(J1808/K1808,0))),"") </f>
        <v/>
      </c>
      <c r="P1808" t="n">
        <v>0</v>
      </c>
      <c r="Q1808" t="n">
        <v>0</v>
      </c>
      <c r="R1808" t="inlineStr">
        <is>
          <t>370-2023-06-30</t>
        </is>
      </c>
    </row>
    <row r="1809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48" t="n">
        <v>45107</v>
      </c>
      <c r="G1809" t="n">
        <v>2023</v>
      </c>
      <c r="H1809" t="inlineStr">
        <is>
          <t>Junio</t>
        </is>
      </c>
      <c r="I1809" t="inlineStr">
        <is>
          <t>2023-1</t>
        </is>
      </c>
      <c r="J1809" t="n">
        <v>100</v>
      </c>
      <c r="K1809" t="n">
        <v>157.50274243636</v>
      </c>
      <c r="L1809" s="59">
        <f>IFERROR(IF(OR(J1809=0,K1809=""),"",IF(E1809="Positivo",MIN(MAX(K1809/J1809,0),1.3),MIN(MAX(J1809/K1809,0),1.3))),"") </f>
        <v/>
      </c>
      <c r="M1809" s="59">
        <f>IFERROR(IF(OR(J1809=0,K1809=""),"",IF(E1809="Positivo",MAX(K1809/J1809,0),MAX(J1809/K1809,0))),"") </f>
        <v/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371-2023-06-30</t>
        </is>
      </c>
    </row>
    <row r="1810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Semestral</t>
        </is>
      </c>
      <c r="E1810" t="inlineStr">
        <is>
          <t>Positivo</t>
        </is>
      </c>
      <c r="F1810" s="148" t="n">
        <v>45291</v>
      </c>
      <c r="G1810" t="n">
        <v>2023</v>
      </c>
      <c r="H1810" t="inlineStr">
        <is>
          <t>Diciembre</t>
        </is>
      </c>
      <c r="I1810" t="inlineStr">
        <is>
          <t>2023-2</t>
        </is>
      </c>
      <c r="J1810" t="n">
        <v>100</v>
      </c>
      <c r="K1810" t="n">
        <v>173.07</v>
      </c>
      <c r="L1810" s="59">
        <f>IFERROR(IF(OR(J1810=0,K1810=""),"",IF(E1810="Positivo",MIN(MAX(K1810/J1810,0),1.3),MIN(MAX(J1810/K1810,0),1.3))),"") </f>
        <v/>
      </c>
      <c r="M1810" s="59">
        <f>IFERROR(IF(OR(J1810=0,K1810=""),"",IF(E1810="Positivo",MAX(K1810/J1810,0),MAX(J1810/K1810,0))),"") </f>
        <v/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371-2023-12-31</t>
        </is>
      </c>
    </row>
    <row r="181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Semestral</t>
        </is>
      </c>
      <c r="E1811" t="inlineStr">
        <is>
          <t>Positivo</t>
        </is>
      </c>
      <c r="F1811" s="148" t="n">
        <v>45473</v>
      </c>
      <c r="G1811" t="n">
        <v>2024</v>
      </c>
      <c r="H1811" t="inlineStr">
        <is>
          <t>Junio</t>
        </is>
      </c>
      <c r="I1811" t="inlineStr">
        <is>
          <t>2024-1</t>
        </is>
      </c>
      <c r="J1811" t="n">
        <v>100</v>
      </c>
      <c r="K1811" t="n">
        <v>149.72</v>
      </c>
      <c r="L1811" s="59">
        <f>IFERROR(IF(OR(J1811=0,K1811=""),"",IF(E1811="Positivo",MIN(MAX(K1811/J1811,0),1.3),MIN(MAX(J1811/K1811,0),1.3))),"") </f>
        <v/>
      </c>
      <c r="M1811" s="59">
        <f>IFERROR(IF(OR(J1811=0,K1811=""),"",IF(E1811="Positivo",MAX(K1811/J1811,0),MAX(J1811/K1811,0))),"") </f>
        <v/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371-2024-06-30</t>
        </is>
      </c>
    </row>
    <row r="1812">
      <c r="A1812" t="n">
        <v>371</v>
      </c>
      <c r="B1812" t="inlineStr">
        <is>
          <t>Recaudación de fondos</t>
        </is>
      </c>
      <c r="C1812" t="inlineStr">
        <is>
          <t>Gestión de la Responsabilidad Social</t>
        </is>
      </c>
      <c r="D1812" t="inlineStr">
        <is>
          <t>Semestral</t>
        </is>
      </c>
      <c r="E1812" t="inlineStr">
        <is>
          <t>Positivo</t>
        </is>
      </c>
      <c r="F1812" s="148" t="n">
        <v>45657</v>
      </c>
      <c r="G1812" t="n">
        <v>2024</v>
      </c>
      <c r="H1812" t="inlineStr">
        <is>
          <t>Diciembre</t>
        </is>
      </c>
      <c r="I1812" t="inlineStr">
        <is>
          <t>2024-2</t>
        </is>
      </c>
      <c r="J1812" t="n">
        <v>100</v>
      </c>
      <c r="K1812" t="n">
        <v>96.98999999999999</v>
      </c>
      <c r="L1812" s="59">
        <f>IFERROR(IF(OR(J1812=0,K1812=""),"",IF(E1812="Positivo",MIN(MAX(K1812/J1812,0),1.3),MIN(MAX(J1812/K1812,0),1.3))),"") </f>
        <v/>
      </c>
      <c r="M1812" s="59">
        <f>IFERROR(IF(OR(J1812=0,K1812=""),"",IF(E1812="Positivo",MAX(K1812/J1812,0),MAX(J1812/K1812,0))),"") </f>
        <v/>
      </c>
      <c r="N1812" t="inlineStr">
        <is>
          <t>$</t>
        </is>
      </c>
      <c r="O1812" t="inlineStr">
        <is>
          <t>$</t>
        </is>
      </c>
      <c r="P1812" t="n">
        <v>0</v>
      </c>
      <c r="Q1812" t="n">
        <v>0</v>
      </c>
      <c r="R1812" t="inlineStr">
        <is>
          <t>371-2024-12-31</t>
        </is>
      </c>
    </row>
    <row r="1813">
      <c r="A1813" t="n">
        <v>371</v>
      </c>
      <c r="B1813" t="inlineStr">
        <is>
          <t>Recaudación de fondos</t>
        </is>
      </c>
      <c r="C1813" t="inlineStr">
        <is>
          <t>Gestión de la Responsabilidad Social</t>
        </is>
      </c>
      <c r="D1813" t="inlineStr">
        <is>
          <t>Semestral</t>
        </is>
      </c>
      <c r="E1813" t="inlineStr">
        <is>
          <t>Positivo</t>
        </is>
      </c>
      <c r="F1813" s="148" t="n">
        <v>45838</v>
      </c>
      <c r="G1813" t="n">
        <v>2025</v>
      </c>
      <c r="H1813" t="inlineStr">
        <is>
          <t>Junio</t>
        </is>
      </c>
      <c r="I1813" t="inlineStr">
        <is>
          <t>2025-1</t>
        </is>
      </c>
      <c r="J1813" t="n">
        <v>100</v>
      </c>
      <c r="K1813" t="n">
        <v>73.69</v>
      </c>
      <c r="L1813" s="59">
        <f>IFERROR(IF(OR(J1813=0,K1813=""),"",IF(E1813="Positivo",MIN(MAX(K1813/J1813,0),1.3),MIN(MAX(J1813/K1813,0),1.3))),"") </f>
        <v/>
      </c>
      <c r="M1813" s="59">
        <f>IFERROR(IF(OR(J1813=0,K1813=""),"",IF(E1813="Positivo",MAX(K1813/J1813,0),MAX(J1813/K1813,0))),"") </f>
        <v/>
      </c>
      <c r="N1813" t="inlineStr">
        <is>
          <t>$</t>
        </is>
      </c>
      <c r="O1813" t="inlineStr">
        <is>
          <t>$</t>
        </is>
      </c>
      <c r="P1813" t="n">
        <v>0</v>
      </c>
      <c r="Q1813" t="n">
        <v>0</v>
      </c>
      <c r="R1813" t="inlineStr">
        <is>
          <t>371-2025-06-30</t>
        </is>
      </c>
    </row>
    <row r="1814">
      <c r="A1814" t="n">
        <v>371</v>
      </c>
      <c r="B1814" t="inlineStr">
        <is>
          <t>Recaudación de fondos</t>
        </is>
      </c>
      <c r="C1814" t="inlineStr">
        <is>
          <t>Gestión de la Responsabilidad Social</t>
        </is>
      </c>
      <c r="D1814" t="inlineStr">
        <is>
          <t>Trimestral</t>
        </is>
      </c>
      <c r="E1814" t="inlineStr">
        <is>
          <t>Positivo</t>
        </is>
      </c>
      <c r="F1814" s="148" t="n">
        <v>46022</v>
      </c>
      <c r="G1814" t="n">
        <v>2025</v>
      </c>
      <c r="H1814" t="inlineStr">
        <is>
          <t>Diciembre</t>
        </is>
      </c>
      <c r="I1814" t="inlineStr">
        <is>
          <t>2025-2</t>
        </is>
      </c>
      <c r="J1814" t="n">
        <v>100</v>
      </c>
      <c r="K1814" t="n">
        <v>83.42</v>
      </c>
      <c r="L1814" s="59">
        <f>IFERROR(IF(OR(J1814=0,K1814=""),"",IF(E1814="Positivo",MIN(MAX(K1814/J1814,0),1.3),MIN(MAX(J1814/K1814,0),1.3))),"") </f>
        <v/>
      </c>
      <c r="M1814" s="59">
        <f>IFERROR(IF(OR(J1814=0,K1814=""),"",IF(E1814="Positivo",MAX(K1814/J1814,0),MAX(J1814/K1814,0))),"") </f>
        <v/>
      </c>
      <c r="N1814" t="inlineStr">
        <is>
          <t>$</t>
        </is>
      </c>
      <c r="O1814" t="inlineStr">
        <is>
          <t>$</t>
        </is>
      </c>
      <c r="P1814" t="n">
        <v>0</v>
      </c>
      <c r="Q1814" t="n">
        <v>0</v>
      </c>
      <c r="R1814" t="inlineStr">
        <is>
          <t>371-2025-12-31</t>
        </is>
      </c>
    </row>
    <row r="1815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48" t="n">
        <v>45199</v>
      </c>
      <c r="G1815" t="n">
        <v>2023</v>
      </c>
      <c r="H1815" t="inlineStr">
        <is>
          <t>Septiembre</t>
        </is>
      </c>
      <c r="I1815" t="inlineStr">
        <is>
          <t>2023-2</t>
        </is>
      </c>
      <c r="J1815" t="n">
        <v>87</v>
      </c>
      <c r="K1815" t="n">
        <v>96</v>
      </c>
      <c r="L1815" s="59">
        <f>IFERROR(IF(OR(J1815=0,K1815=""),"",IF(E1815="Positivo",MIN(MAX(K1815/J1815,0),1.3),MIN(MAX(J1815/K1815,0),1.3))),"") </f>
        <v/>
      </c>
      <c r="M1815" s="59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372-2023-09-30</t>
        </is>
      </c>
    </row>
    <row r="1816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48" t="n">
        <v>45291</v>
      </c>
      <c r="G1816" t="n">
        <v>2023</v>
      </c>
      <c r="H1816" t="inlineStr">
        <is>
          <t>Diciembre</t>
        </is>
      </c>
      <c r="I1816" t="inlineStr">
        <is>
          <t>2023-2</t>
        </is>
      </c>
      <c r="J1816" t="n">
        <v>87</v>
      </c>
      <c r="K1816" t="n">
        <v>95</v>
      </c>
      <c r="L1816" s="59">
        <f>IFERROR(IF(OR(J1816=0,K1816=""),"",IF(E1816="Positivo",MIN(MAX(K1816/J1816,0),1.3),MIN(MAX(J1816/K1816,0),1.3))),"") </f>
        <v/>
      </c>
      <c r="M1816" s="59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372-2023-12-31</t>
        </is>
      </c>
    </row>
    <row r="1817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48" t="n">
        <v>45382</v>
      </c>
      <c r="G1817" t="n">
        <v>2024</v>
      </c>
      <c r="H1817" t="inlineStr">
        <is>
          <t>Marzo</t>
        </is>
      </c>
      <c r="I1817" t="inlineStr">
        <is>
          <t>2024-1</t>
        </is>
      </c>
      <c r="J1817" t="n">
        <v>87</v>
      </c>
      <c r="K1817" t="n">
        <v>93</v>
      </c>
      <c r="L1817" s="59">
        <f>IFERROR(IF(OR(J1817=0,K1817=""),"",IF(E1817="Positivo",MIN(MAX(K1817/J1817,0),1.3),MIN(MAX(J1817/K1817,0),1.3))),"") </f>
        <v/>
      </c>
      <c r="M1817" s="59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372-2024-03-31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48" t="n">
        <v>45473</v>
      </c>
      <c r="G1818" t="n">
        <v>2024</v>
      </c>
      <c r="H1818" t="inlineStr">
        <is>
          <t>Junio</t>
        </is>
      </c>
      <c r="I1818" t="inlineStr">
        <is>
          <t>2024-1</t>
        </is>
      </c>
      <c r="J1818" t="n">
        <v>87</v>
      </c>
      <c r="K1818" t="n">
        <v>90</v>
      </c>
      <c r="L1818" s="59">
        <f>IFERROR(IF(OR(J1818=0,K1818=""),"",IF(E1818="Positivo",MIN(MAX(K1818/J1818,0),1.3),MIN(MAX(J1818/K1818,0),1.3))),"") </f>
        <v/>
      </c>
      <c r="M1818" s="59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372-2024-06-30</t>
        </is>
      </c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48" t="n">
        <v>45565</v>
      </c>
      <c r="G1819" t="n">
        <v>2024</v>
      </c>
      <c r="H1819" t="inlineStr">
        <is>
          <t>Septiembre</t>
        </is>
      </c>
      <c r="I1819" t="inlineStr">
        <is>
          <t>2024-2</t>
        </is>
      </c>
      <c r="J1819" t="n">
        <v>87</v>
      </c>
      <c r="K1819" t="n">
        <v>91</v>
      </c>
      <c r="L1819" s="59">
        <f>IFERROR(IF(OR(J1819=0,K1819=""),"",IF(E1819="Positivo",MIN(MAX(K1819/J1819,0),1.3),MIN(MAX(J1819/K1819,0),1.3))),"") </f>
        <v/>
      </c>
      <c r="M1819" s="59">
        <f>IFERROR(IF(OR(J1819=0,K1819=""),"",IF(E1819="Positivo",MAX(K1819/J1819,0),MAX(J1819/K1819,0))),"") </f>
        <v/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372-2024-09-30</t>
        </is>
      </c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Educación no Formal</t>
        </is>
      </c>
      <c r="D1820" t="inlineStr">
        <is>
          <t>Trimestral</t>
        </is>
      </c>
      <c r="E1820" t="inlineStr">
        <is>
          <t>Positivo</t>
        </is>
      </c>
      <c r="F1820" s="148" t="n">
        <v>45657</v>
      </c>
      <c r="G1820" t="n">
        <v>2024</v>
      </c>
      <c r="H1820" t="inlineStr">
        <is>
          <t>Diciembre</t>
        </is>
      </c>
      <c r="I1820" t="inlineStr">
        <is>
          <t>2024-2</t>
        </is>
      </c>
      <c r="J1820" t="n">
        <v>87</v>
      </c>
      <c r="K1820" t="n">
        <v>93</v>
      </c>
      <c r="L1820" s="59">
        <f>IFERROR(IF(OR(J1820=0,K1820=""),"",IF(E1820="Positivo",MIN(MAX(K1820/J1820,0),1.3),MIN(MAX(J1820/K1820,0),1.3))),"") </f>
        <v/>
      </c>
      <c r="M1820" s="59">
        <f>IFERROR(IF(OR(J1820=0,K1820=""),"",IF(E1820="Positivo",MAX(K1820/J1820,0),MAX(J1820/K1820,0))),"") </f>
        <v/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372-2024-12-31</t>
        </is>
      </c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Educación no Formal</t>
        </is>
      </c>
      <c r="D1821" t="inlineStr">
        <is>
          <t>Trimestral</t>
        </is>
      </c>
      <c r="E1821" t="inlineStr">
        <is>
          <t>Positivo</t>
        </is>
      </c>
      <c r="F1821" s="148" t="n">
        <v>45747</v>
      </c>
      <c r="G1821" t="n">
        <v>2025</v>
      </c>
      <c r="H1821" t="inlineStr">
        <is>
          <t>Marzo</t>
        </is>
      </c>
      <c r="I1821" t="inlineStr">
        <is>
          <t>2025-1</t>
        </is>
      </c>
      <c r="J1821" t="n">
        <v>90</v>
      </c>
      <c r="K1821" t="n">
        <v>98</v>
      </c>
      <c r="L1821" s="59">
        <f>IFERROR(IF(OR(J1821=0,K1821=""),"",IF(E1821="Positivo",MIN(MAX(K1821/J1821,0),1.3),MIN(MAX(J1821/K1821,0),1.3))),"") </f>
        <v/>
      </c>
      <c r="M1821" s="59">
        <f>IFERROR(IF(OR(J1821=0,K1821=""),"",IF(E1821="Positivo",MAX(K1821/J1821,0),MAX(J1821/K1821,0))),"") </f>
        <v/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372-2025-03-31</t>
        </is>
      </c>
    </row>
    <row r="1822">
      <c r="A1822" t="n">
        <v>372</v>
      </c>
      <c r="B1822" t="inlineStr">
        <is>
          <t>Satisfacción de los clientes corporativos Educación para toda la vida</t>
        </is>
      </c>
      <c r="C1822" t="inlineStr">
        <is>
          <t>Operación de Educación no Formal</t>
        </is>
      </c>
      <c r="D1822" t="inlineStr">
        <is>
          <t>Trimestral</t>
        </is>
      </c>
      <c r="E1822" t="inlineStr">
        <is>
          <t>Positivo</t>
        </is>
      </c>
      <c r="F1822" s="148" t="n">
        <v>45838</v>
      </c>
      <c r="G1822" t="n">
        <v>2025</v>
      </c>
      <c r="H1822" t="inlineStr">
        <is>
          <t>Junio</t>
        </is>
      </c>
      <c r="I1822" t="inlineStr">
        <is>
          <t>2025-1</t>
        </is>
      </c>
      <c r="J1822" t="n">
        <v>90</v>
      </c>
      <c r="K1822" t="n">
        <v>90</v>
      </c>
      <c r="L1822" s="59">
        <f>IFERROR(IF(OR(J1822=0,K1822=""),"",IF(E1822="Positivo",MIN(MAX(K1822/J1822,0),1.3),MIN(MAX(J1822/K1822,0),1.3))),"") </f>
        <v/>
      </c>
      <c r="M1822" s="59">
        <f>IFERROR(IF(OR(J1822=0,K1822=""),"",IF(E1822="Positivo",MAX(K1822/J1822,0),MAX(J1822/K1822,0))),"") 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372-2025-06-30</t>
        </is>
      </c>
    </row>
    <row r="1823">
      <c r="A1823" t="n">
        <v>372</v>
      </c>
      <c r="B1823" t="inlineStr">
        <is>
          <t>Satisfacción de los clientes corporativos Educación para toda la vida</t>
        </is>
      </c>
      <c r="C1823" t="inlineStr">
        <is>
          <t>Operación de nuevos negocios y CI</t>
        </is>
      </c>
      <c r="D1823" t="inlineStr">
        <is>
          <t>Semestral</t>
        </is>
      </c>
      <c r="E1823" t="inlineStr">
        <is>
          <t>Positivo</t>
        </is>
      </c>
      <c r="F1823" s="148" t="n">
        <v>45930</v>
      </c>
      <c r="G1823" t="n">
        <v>2025</v>
      </c>
      <c r="H1823" t="inlineStr">
        <is>
          <t>Septiembre</t>
        </is>
      </c>
      <c r="I1823" t="inlineStr">
        <is>
          <t>2025-2</t>
        </is>
      </c>
      <c r="J1823" t="n">
        <v>90</v>
      </c>
      <c r="K1823" t="n">
        <v>97</v>
      </c>
      <c r="L1823" s="59">
        <f>IFERROR(IF(OR(J1823=0,K1823=""),"",IF(E1823="Positivo",MIN(MAX(K1823/J1823,0),1.3),MIN(MAX(J1823/K1823,0),1.3))),"") </f>
        <v/>
      </c>
      <c r="M1823" s="59">
        <f>IFERROR(IF(OR(J1823=0,K1823=""),"",IF(E1823="Positivo",MAX(K1823/J1823,0),MAX(J1823/K1823,0))),"") 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372-2025-09-30</t>
        </is>
      </c>
    </row>
    <row r="1824">
      <c r="A1824" t="n">
        <v>372</v>
      </c>
      <c r="B1824" t="inlineStr">
        <is>
          <t>Satisfacción de los clientes corporativos Educación para toda la vida</t>
        </is>
      </c>
      <c r="C1824" t="inlineStr">
        <is>
          <t>Operación de nuevos negocios y CI</t>
        </is>
      </c>
      <c r="D1824" t="inlineStr">
        <is>
          <t>Semestral</t>
        </is>
      </c>
      <c r="E1824" t="inlineStr">
        <is>
          <t>Positivo</t>
        </is>
      </c>
      <c r="F1824" s="148" t="n">
        <v>46022</v>
      </c>
      <c r="G1824" t="n">
        <v>2025</v>
      </c>
      <c r="H1824" t="inlineStr">
        <is>
          <t>Diciembre</t>
        </is>
      </c>
      <c r="I1824" t="inlineStr">
        <is>
          <t>2025-2</t>
        </is>
      </c>
      <c r="J1824" t="n">
        <v>90</v>
      </c>
      <c r="K1824" t="n">
        <v>97</v>
      </c>
      <c r="L1824" s="59">
        <f>IFERROR(IF(OR(J1824=0,K1824=""),"",IF(E1824="Positivo",MIN(MAX(K1824/J1824,0),1.3),MIN(MAX(J1824/K1824,0),1.3))),"") </f>
        <v/>
      </c>
      <c r="M1824" s="59">
        <f>IFERROR(IF(OR(J1824=0,K1824=""),"",IF(E1824="Positivo",MAX(K1824/J1824,0),MAX(J1824/K1824,0))),"") 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372-2025-12-31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Semestral</t>
        </is>
      </c>
      <c r="E1825" t="inlineStr">
        <is>
          <t>Positivo</t>
        </is>
      </c>
      <c r="F1825" s="148" t="n">
        <v>45016</v>
      </c>
      <c r="G1825" t="n">
        <v>2023</v>
      </c>
      <c r="H1825" t="inlineStr">
        <is>
          <t>Marzo</t>
        </is>
      </c>
      <c r="I1825" t="inlineStr">
        <is>
          <t>2023-1</t>
        </is>
      </c>
      <c r="J1825" t="n">
        <v>100</v>
      </c>
      <c r="K1825" t="n">
        <v>0</v>
      </c>
      <c r="L1825" s="59">
        <f>IFERROR(IF(OR(J1825=0,K1825=""),"",IF(E1825="Positivo",MIN(MAX(K1825/J1825,0),1.0),MIN(MAX(J1825/K1825,0),1.0))),"") </f>
        <v/>
      </c>
      <c r="M1825" s="59">
        <f>IFERROR(IF(OR(J1825=0,K1825=""),"",IF(E1825="Positivo",MAX(K1825/J1825,0),MAX(J1825/K1825,0))),"") 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373-2023-03-31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48" t="n">
        <v>45107</v>
      </c>
      <c r="G1826" t="n">
        <v>2023</v>
      </c>
      <c r="H1826" t="inlineStr">
        <is>
          <t>Junio</t>
        </is>
      </c>
      <c r="I1826" t="inlineStr">
        <is>
          <t>2023-1</t>
        </is>
      </c>
      <c r="J1826" t="n">
        <v>100</v>
      </c>
      <c r="K1826" t="n">
        <v>107.17166666667</v>
      </c>
      <c r="L1826" s="59">
        <f>IFERROR(IF(OR(J1826=0,K1826=""),"",IF(E1826="Positivo",MIN(MAX(K1826/J1826,0),1.0),MIN(MAX(J1826/K1826,0),1.0))),"") </f>
        <v/>
      </c>
      <c r="M1826" s="59">
        <f>IFERROR(IF(OR(J1826=0,K1826=""),"",IF(E1826="Positivo",MAX(K1826/J1826,0),MAX(J1826/K1826,0))),"") 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373-2023-06-30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48" t="n">
        <v>45199</v>
      </c>
      <c r="G1827" t="n">
        <v>2023</v>
      </c>
      <c r="H1827" t="inlineStr">
        <is>
          <t>Septiembre</t>
        </is>
      </c>
      <c r="I1827" t="inlineStr">
        <is>
          <t>2023-2</t>
        </is>
      </c>
      <c r="J1827" t="n">
        <v>100</v>
      </c>
      <c r="K1827" t="n">
        <v>91.508333333333</v>
      </c>
      <c r="L1827" s="59">
        <f>IFERROR(IF(OR(J1827=0,K1827=""),"",IF(E1827="Positivo",MIN(MAX(K1827/J1827,0),1.0),MIN(MAX(J1827/K1827,0),1.0))),"") </f>
        <v/>
      </c>
      <c r="M1827" s="59">
        <f>IFERROR(IF(OR(J1827=0,K1827=""),"",IF(E1827="Positivo",MAX(K1827/J1827,0),MAX(J1827/K1827,0))),"") 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373-2023-09-30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48" t="n">
        <v>45291</v>
      </c>
      <c r="G1828" t="n">
        <v>2023</v>
      </c>
      <c r="H1828" t="inlineStr">
        <is>
          <t>Diciembre</t>
        </is>
      </c>
      <c r="I1828" t="inlineStr">
        <is>
          <t>2023-2</t>
        </is>
      </c>
      <c r="J1828" t="n">
        <v>100</v>
      </c>
      <c r="K1828" t="n">
        <v>97.166666666667</v>
      </c>
      <c r="L1828" s="59">
        <f>IFERROR(IF(OR(J1828=0,K1828=""),"",IF(E1828="Positivo",MIN(MAX(K1828/J1828,0),1.0),MIN(MAX(J1828/K1828,0),1.0))),"") </f>
        <v/>
      </c>
      <c r="M1828" s="59">
        <f>IFERROR(IF(OR(J1828=0,K1828=""),"",IF(E1828="Positivo",MAX(K1828/J1828,0),MAX(J1828/K1828,0))),"") 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373-2023-12-31</t>
        </is>
      </c>
    </row>
    <row r="1829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48" t="n">
        <v>45382</v>
      </c>
      <c r="G1829" t="n">
        <v>2024</v>
      </c>
      <c r="H1829" t="inlineStr">
        <is>
          <t>Marzo</t>
        </is>
      </c>
      <c r="I1829" t="inlineStr">
        <is>
          <t>2024-1</t>
        </is>
      </c>
      <c r="J1829" t="n">
        <v>100</v>
      </c>
      <c r="K1829" t="n">
        <v>89.02</v>
      </c>
      <c r="L1829" s="59">
        <f>IFERROR(IF(OR(J1829=0,K1829=""),"",IF(E1829="Positivo",MIN(MAX(K1829/J1829,0),1.0),MIN(MAX(J1829/K1829,0),1.0))),"") </f>
        <v/>
      </c>
      <c r="M1829" s="59">
        <f>IFERROR(IF(OR(J1829=0,K1829=""),"",IF(E1829="Positivo",MAX(K1829/J1829,0),MAX(J1829/K1829,0))),"") </f>
        <v/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373-2024-03-31</t>
        </is>
      </c>
    </row>
    <row r="1830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Trimestral</t>
        </is>
      </c>
      <c r="E1830" t="inlineStr">
        <is>
          <t>Positivo</t>
        </is>
      </c>
      <c r="F1830" s="148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106.8</v>
      </c>
      <c r="L1830" s="59">
        <f>IFERROR(IF(OR(J1830=0,K1830=""),"",IF(E1830="Positivo",MIN(MAX(K1830/J1830,0),1.0),MIN(MAX(J1830/K1830,0),1.0))),"") </f>
        <v/>
      </c>
      <c r="M1830" s="59">
        <f>IFERROR(IF(OR(J1830=0,K1830=""),"",IF(E1830="Positivo",MAX(K1830/J1830,0),MAX(J1830/K1830,0))),"") 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373-2024-06-30</t>
        </is>
      </c>
    </row>
    <row r="183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Trimestral</t>
        </is>
      </c>
      <c r="E1831" t="inlineStr">
        <is>
          <t>Positivo</t>
        </is>
      </c>
      <c r="F1831" s="148" t="n">
        <v>45565</v>
      </c>
      <c r="G1831" t="n">
        <v>2024</v>
      </c>
      <c r="H1831" t="inlineStr">
        <is>
          <t>Septiembre</t>
        </is>
      </c>
      <c r="I1831" t="inlineStr">
        <is>
          <t>2024-2</t>
        </is>
      </c>
      <c r="J1831" t="n">
        <v>100</v>
      </c>
      <c r="K1831" t="n">
        <v>99.61</v>
      </c>
      <c r="L1831" s="59">
        <f>IFERROR(IF(OR(J1831=0,K1831=""),"",IF(E1831="Positivo",MIN(MAX(K1831/J1831,0),1.0),MIN(MAX(J1831/K1831,0),1.0))),"") </f>
        <v/>
      </c>
      <c r="M1831" s="59">
        <f>IFERROR(IF(OR(J1831=0,K1831=""),"",IF(E1831="Positivo",MAX(K1831/J1831,0),MAX(J1831/K1831,0))),"") 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373-2024-09-30</t>
        </is>
      </c>
    </row>
    <row r="1832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Trimestral</t>
        </is>
      </c>
      <c r="E1832" t="inlineStr">
        <is>
          <t>Positivo</t>
        </is>
      </c>
      <c r="F1832" s="148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98.67</v>
      </c>
      <c r="L1832" s="59">
        <f>IFERROR(IF(OR(J1832=0,K1832=""),"",IF(E1832="Positivo",MIN(MAX(K1832/J1832,0),1.0),MIN(MAX(J1832/K1832,0),1.0))),"") </f>
        <v/>
      </c>
      <c r="M1832" s="59">
        <f>IFERROR(IF(OR(J1832=0,K1832=""),"",IF(E1832="Positivo",MAX(K1832/J1832,0),MAX(J1832/K1832,0))),"") 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373-2024-12-31</t>
        </is>
      </c>
    </row>
    <row r="1833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48" t="n">
        <v>45747</v>
      </c>
      <c r="G1833" t="n">
        <v>2025</v>
      </c>
      <c r="H1833" t="inlineStr">
        <is>
          <t>Marzo</t>
        </is>
      </c>
      <c r="I1833" t="inlineStr">
        <is>
          <t>2025-1</t>
        </is>
      </c>
      <c r="J1833" t="n">
        <v>100</v>
      </c>
      <c r="K1833" t="n">
        <v>107.46</v>
      </c>
      <c r="L1833" s="59">
        <f>IFERROR(IF(OR(J1833=0,K1833=""),"",IF(E1833="Positivo",MIN(MAX(K1833/J1833,0),1.0),MIN(MAX(J1833/K1833,0),1.0))),"") </f>
        <v/>
      </c>
      <c r="M1833" s="59">
        <f>IFERROR(IF(OR(J1833=0,K1833=""),"",IF(E1833="Positivo",MAX(K1833/J1833,0),MAX(J1833/K1833,0))),"") 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373-2025-03-31</t>
        </is>
      </c>
    </row>
    <row r="1834">
      <c r="A1834" t="n">
        <v>373</v>
      </c>
      <c r="B1834" t="inlineStr">
        <is>
          <t>Cumplimiento de planes anuales por líneas</t>
        </is>
      </c>
      <c r="C1834" t="inlineStr">
        <is>
          <t>Planeación Estratégica</t>
        </is>
      </c>
      <c r="D1834" t="inlineStr">
        <is>
          <t>Semestral</t>
        </is>
      </c>
      <c r="E1834" t="inlineStr">
        <is>
          <t>Positivo</t>
        </is>
      </c>
      <c r="F1834" s="148" t="n">
        <v>45838</v>
      </c>
      <c r="G1834" t="n">
        <v>2025</v>
      </c>
      <c r="H1834" t="inlineStr">
        <is>
          <t>Junio</t>
        </is>
      </c>
      <c r="I1834" t="inlineStr">
        <is>
          <t>2025-1</t>
        </is>
      </c>
      <c r="J1834" t="n">
        <v>100</v>
      </c>
      <c r="K1834" t="n">
        <v>101.75</v>
      </c>
      <c r="L1834" s="59">
        <f>IFERROR(IF(OR(J1834=0,K1834=""),"",IF(E1834="Positivo",MIN(MAX(K1834/J1834,0),1.0),MIN(MAX(J1834/K1834,0),1.0))),"") </f>
        <v/>
      </c>
      <c r="M1834" s="59">
        <f>IFERROR(IF(OR(J1834=0,K1834=""),"",IF(E1834="Positivo",MAX(K1834/J1834,0),MAX(J1834/K1834,0))),"") 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373-2025-06-30</t>
        </is>
      </c>
    </row>
    <row r="1835">
      <c r="A1835" t="n">
        <v>373</v>
      </c>
      <c r="B1835" t="inlineStr">
        <is>
          <t>Cumplimiento de planes anuales por líneas</t>
        </is>
      </c>
      <c r="C1835" t="inlineStr">
        <is>
          <t>Planeación Estratégica</t>
        </is>
      </c>
      <c r="D1835" t="inlineStr">
        <is>
          <t>Semestral</t>
        </is>
      </c>
      <c r="E1835" t="inlineStr">
        <is>
          <t>Positivo</t>
        </is>
      </c>
      <c r="F1835" s="148" t="n">
        <v>45930</v>
      </c>
      <c r="G1835" t="n">
        <v>2025</v>
      </c>
      <c r="H1835" t="inlineStr">
        <is>
          <t>Septiembre</t>
        </is>
      </c>
      <c r="I1835" t="inlineStr">
        <is>
          <t>2025-2</t>
        </is>
      </c>
      <c r="J1835" t="n">
        <v>100</v>
      </c>
      <c r="K1835" t="n">
        <v>96.31999999999999</v>
      </c>
      <c r="L1835" s="59">
        <f>IFERROR(IF(OR(J1835=0,K1835=""),"",IF(E1835="Positivo",MIN(MAX(K1835/J1835,0),1.0),MIN(MAX(J1835/K1835,0),1.0))),"") </f>
        <v/>
      </c>
      <c r="M1835" s="59">
        <f>IFERROR(IF(OR(J1835=0,K1835=""),"",IF(E1835="Positivo",MAX(K1835/J1835,0),MAX(J1835/K1835,0))),"") 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373-2025-09-30</t>
        </is>
      </c>
    </row>
    <row r="1836">
      <c r="A1836" t="n">
        <v>373</v>
      </c>
      <c r="B1836" t="inlineStr">
        <is>
          <t>Cumplimiento de planes anuales por líneas</t>
        </is>
      </c>
      <c r="C1836" t="inlineStr">
        <is>
          <t>Planeación Estratégica</t>
        </is>
      </c>
      <c r="D1836" t="inlineStr">
        <is>
          <t>Semestral</t>
        </is>
      </c>
      <c r="E1836" t="inlineStr">
        <is>
          <t>Positivo</t>
        </is>
      </c>
      <c r="F1836" s="148" t="n">
        <v>46022</v>
      </c>
      <c r="G1836" t="n">
        <v>2025</v>
      </c>
      <c r="H1836" t="inlineStr">
        <is>
          <t>Diciembre</t>
        </is>
      </c>
      <c r="I1836" t="inlineStr">
        <is>
          <t>2025-2</t>
        </is>
      </c>
      <c r="J1836" t="n">
        <v>100</v>
      </c>
      <c r="K1836" t="n">
        <v>99.33</v>
      </c>
      <c r="L1836" s="59">
        <f>IFERROR(IF(OR(J1836=0,K1836=""),"",IF(E1836="Positivo",MIN(MAX(K1836/J1836,0),1.0),MIN(MAX(J1836/K1836,0),1.0))),"") </f>
        <v/>
      </c>
      <c r="M1836" s="59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373-2025-12-31</t>
        </is>
      </c>
    </row>
    <row r="1837">
      <c r="A1837" t="n">
        <v>374</v>
      </c>
      <c r="B1837" t="inlineStr">
        <is>
          <t>Disponibilidad de máster modalidad virtual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48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59">
        <f>IFERROR(IF(OR(J1837=0,K1837=""),"",IF(E1837="Positivo",MIN(MAX(K1837/J1837,0),1.3),MIN(MAX(J1837/K1837,0),1.3))),"") </f>
        <v/>
      </c>
      <c r="M1837" s="59">
        <f>IFERROR(IF(OR(J1837=0,K1837=""),"",IF(E1837="Positivo",MAX(K1837/J1837,0),MAX(J1837/K1837,0))),"") 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374-2023-12-31</t>
        </is>
      </c>
    </row>
    <row r="1838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Trimestral</t>
        </is>
      </c>
      <c r="E1838" t="inlineStr">
        <is>
          <t>Positivo</t>
        </is>
      </c>
      <c r="F1838" s="148" t="n">
        <v>45016</v>
      </c>
      <c r="G1838" t="n">
        <v>2023</v>
      </c>
      <c r="H1838" t="inlineStr">
        <is>
          <t>Marzo</t>
        </is>
      </c>
      <c r="I1838" t="inlineStr">
        <is>
          <t>2023-1</t>
        </is>
      </c>
      <c r="J1838" t="n">
        <v>100</v>
      </c>
      <c r="L1838" s="59" t="n"/>
      <c r="M1838" s="59" t="n"/>
      <c r="N1838" t="inlineStr">
        <is>
          <t>%</t>
        </is>
      </c>
      <c r="O1838" t="inlineStr">
        <is>
          <t>No Aplica</t>
        </is>
      </c>
      <c r="P1838" t="n">
        <v>0</v>
      </c>
      <c r="Q1838" t="n">
        <v>0</v>
      </c>
      <c r="R1838" t="inlineStr">
        <is>
          <t>375-2023-03-31</t>
        </is>
      </c>
      <c r="S1838" t="inlineStr">
        <is>
          <t>No Aplica</t>
        </is>
      </c>
    </row>
    <row r="1839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Trimestral</t>
        </is>
      </c>
      <c r="E1839" t="inlineStr">
        <is>
          <t>Positivo</t>
        </is>
      </c>
      <c r="F1839" s="148" t="n">
        <v>45107</v>
      </c>
      <c r="G1839" t="n">
        <v>2023</v>
      </c>
      <c r="H1839" t="inlineStr">
        <is>
          <t>Junio</t>
        </is>
      </c>
      <c r="I1839" t="inlineStr">
        <is>
          <t>2023-1</t>
        </is>
      </c>
      <c r="J1839" t="n">
        <v>100</v>
      </c>
      <c r="K1839" t="n">
        <v>0</v>
      </c>
      <c r="L1839" s="59">
        <f>IFERROR(IF(OR(J1839=0,K1839=""),"",IF(E1839="Positivo",MIN(MAX(K1839/J1839,0),1.3),MIN(MAX(J1839/K1839,0),1.3))),"") </f>
        <v/>
      </c>
      <c r="M1839" s="59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375-2023-06-30</t>
        </is>
      </c>
    </row>
    <row r="1840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Semestral</t>
        </is>
      </c>
      <c r="E1840" t="inlineStr">
        <is>
          <t>Positivo</t>
        </is>
      </c>
      <c r="F1840" s="148" t="n">
        <v>45291</v>
      </c>
      <c r="G1840" t="n">
        <v>2023</v>
      </c>
      <c r="H1840" t="inlineStr">
        <is>
          <t>Diciembre</t>
        </is>
      </c>
      <c r="I1840" t="inlineStr">
        <is>
          <t>2023-2</t>
        </is>
      </c>
      <c r="J1840" t="n">
        <v>100</v>
      </c>
      <c r="K1840" t="n">
        <v>100</v>
      </c>
      <c r="L1840" s="59">
        <f>IFERROR(IF(OR(J1840=0,K1840=""),"",IF(E1840="Positivo",MIN(MAX(K1840/J1840,0),1.3),MIN(MAX(J1840/K1840,0),1.3))),"") </f>
        <v/>
      </c>
      <c r="M1840" s="59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375-2023-12-31</t>
        </is>
      </c>
    </row>
    <row r="184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Semestral</t>
        </is>
      </c>
      <c r="E1841" t="inlineStr">
        <is>
          <t>Positivo</t>
        </is>
      </c>
      <c r="F1841" s="148" t="n">
        <v>45473</v>
      </c>
      <c r="G1841" t="n">
        <v>2024</v>
      </c>
      <c r="H1841" t="inlineStr">
        <is>
          <t>Junio</t>
        </is>
      </c>
      <c r="I1841" t="inlineStr">
        <is>
          <t>2024-1</t>
        </is>
      </c>
      <c r="J1841" t="n">
        <v>100</v>
      </c>
      <c r="K1841" t="n">
        <v>100</v>
      </c>
      <c r="L1841" s="59">
        <f>IFERROR(IF(OR(J1841=0,K1841=""),"",IF(E1841="Positivo",MIN(MAX(K1841/J1841,0),1.3),MIN(MAX(J1841/K1841,0),1.3))),"") </f>
        <v/>
      </c>
      <c r="M1841" s="59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375-2024-06-30</t>
        </is>
      </c>
    </row>
    <row r="1842">
      <c r="A1842" t="n">
        <v>375</v>
      </c>
      <c r="B1842" t="inlineStr">
        <is>
          <t>Disponibilidad de catálogo de asignaturas pregrado y posgrado presencial</t>
        </is>
      </c>
      <c r="C1842" t="inlineStr">
        <is>
          <t>Operaciones Académicas</t>
        </is>
      </c>
      <c r="D1842" t="inlineStr">
        <is>
          <t>Semestral</t>
        </is>
      </c>
      <c r="E1842" t="inlineStr">
        <is>
          <t>Positivo</t>
        </is>
      </c>
      <c r="F1842" s="148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100</v>
      </c>
      <c r="K1842" t="n">
        <v>100</v>
      </c>
      <c r="L1842" s="59">
        <f>IFERROR(IF(OR(J1842=0,K1842=""),"",IF(E1842="Positivo",MIN(MAX(K1842/J1842,0),1.3),MIN(MAX(J1842/K1842,0),1.3))),"") </f>
        <v/>
      </c>
      <c r="M1842" s="59">
        <f>IFERROR(IF(OR(J1842=0,K1842=""),"",IF(E1842="Positivo",MAX(K1842/J1842,0),MAX(J1842/K1842,0))),"") 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375-2024-12-31</t>
        </is>
      </c>
    </row>
    <row r="1843">
      <c r="A1843" t="n">
        <v>375</v>
      </c>
      <c r="B1843" t="inlineStr">
        <is>
          <t>Disponibilidad de catálogo de asignaturas pregrado y posgrado presencial</t>
        </is>
      </c>
      <c r="C1843" t="inlineStr">
        <is>
          <t>Operaciones Académicas</t>
        </is>
      </c>
      <c r="D1843" t="inlineStr">
        <is>
          <t>Semestral</t>
        </is>
      </c>
      <c r="E1843" t="inlineStr">
        <is>
          <t>Positivo</t>
        </is>
      </c>
      <c r="F1843" s="148" t="n">
        <v>45838</v>
      </c>
      <c r="G1843" t="n">
        <v>2025</v>
      </c>
      <c r="H1843" t="inlineStr">
        <is>
          <t>Junio</t>
        </is>
      </c>
      <c r="I1843" t="inlineStr">
        <is>
          <t>2025-1</t>
        </is>
      </c>
      <c r="J1843" t="n">
        <v>100</v>
      </c>
      <c r="K1843" t="n">
        <v>100</v>
      </c>
      <c r="L1843" s="59">
        <f>IFERROR(IF(OR(J1843=0,K1843=""),"",IF(E1843="Positivo",MIN(MAX(K1843/J1843,0),1.3),MIN(MAX(J1843/K1843,0),1.3))),"") </f>
        <v/>
      </c>
      <c r="M1843" s="59">
        <f>IFERROR(IF(OR(J1843=0,K1843=""),"",IF(E1843="Positivo",MAX(K1843/J1843,0),MAX(J1843/K1843,0))),"") 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375-2025-06-30</t>
        </is>
      </c>
    </row>
    <row r="1844">
      <c r="A1844" t="n">
        <v>375</v>
      </c>
      <c r="B1844" t="inlineStr">
        <is>
          <t>Disponibilidad de catálogo de asignaturas pregrado y posgrado presencial</t>
        </is>
      </c>
      <c r="C1844" t="inlineStr">
        <is>
          <t>Operaciones Académicas</t>
        </is>
      </c>
      <c r="D1844" t="inlineStr">
        <is>
          <t>Trimestral</t>
        </is>
      </c>
      <c r="E1844" t="inlineStr">
        <is>
          <t>Positivo</t>
        </is>
      </c>
      <c r="F1844" s="148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100</v>
      </c>
      <c r="K1844" t="n">
        <v>100</v>
      </c>
      <c r="L1844" s="59">
        <f>IFERROR(IF(OR(J1844=0,K1844=""),"",IF(E1844="Positivo",MIN(MAX(K1844/J1844,0),1.3),MIN(MAX(J1844/K1844,0),1.3))),"") </f>
        <v/>
      </c>
      <c r="M1844" s="59">
        <f>IFERROR(IF(OR(J1844=0,K1844=""),"",IF(E1844="Positivo",MAX(K1844/J1844,0),MAX(J1844/K1844,0))),"") 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375-2025-12-31</t>
        </is>
      </c>
    </row>
    <row r="1845">
      <c r="A1845" t="n">
        <v>376</v>
      </c>
      <c r="B1845" t="inlineStr">
        <is>
          <t>Cumplimiento EBIDTA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48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95</v>
      </c>
      <c r="K1845" t="n">
        <v>149.7223763395</v>
      </c>
      <c r="L1845" s="59">
        <f>IFERROR(IF(OR(J1845=0,K1845=""),"",IF(E1845="Positivo",MIN(MAX(K1845/J1845,0),1.3),MIN(MAX(J1845/K1845,0),1.3))),"") </f>
        <v/>
      </c>
      <c r="M1845" s="59">
        <f>IFERROR(IF(OR(J1845=0,K1845=""),"",IF(E1845="Positivo",MAX(K1845/J1845,0),MAX(J1845/K1845,0))),"") </f>
        <v/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376-2023-06-30</t>
        </is>
      </c>
    </row>
    <row r="1846">
      <c r="A1846" t="n">
        <v>376</v>
      </c>
      <c r="B1846" t="inlineStr">
        <is>
          <t>Cumplimiento EBIDTA</t>
        </is>
      </c>
      <c r="C1846" t="inlineStr">
        <is>
          <t>Planeación Financiera</t>
        </is>
      </c>
      <c r="D1846" t="inlineStr">
        <is>
          <t>Semestral</t>
        </is>
      </c>
      <c r="E1846" t="inlineStr">
        <is>
          <t>Positivo</t>
        </is>
      </c>
      <c r="F1846" s="148" t="n">
        <v>45291</v>
      </c>
      <c r="G1846" t="n">
        <v>2023</v>
      </c>
      <c r="H1846" t="inlineStr">
        <is>
          <t>Diciembre</t>
        </is>
      </c>
      <c r="I1846" t="inlineStr">
        <is>
          <t>2023-2</t>
        </is>
      </c>
      <c r="J1846" t="n">
        <v>95</v>
      </c>
      <c r="K1846" t="n">
        <v>101.26</v>
      </c>
      <c r="L1846" s="59">
        <f>IFERROR(IF(OR(J1846=0,K1846=""),"",IF(E1846="Positivo",MIN(MAX(K1846/J1846,0),1.3),MIN(MAX(J1846/K1846,0),1.3))),"") </f>
        <v/>
      </c>
      <c r="M1846" s="59">
        <f>IFERROR(IF(OR(J1846=0,K1846=""),"",IF(E1846="Positivo",MAX(K1846/J1846,0),MAX(J1846/K1846,0))),"") </f>
        <v/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376-2023-12-31</t>
        </is>
      </c>
    </row>
    <row r="1847">
      <c r="A1847" t="n">
        <v>376</v>
      </c>
      <c r="B1847" t="inlineStr">
        <is>
          <t>Cumplimiento EBIDTA</t>
        </is>
      </c>
      <c r="C1847" t="inlineStr">
        <is>
          <t>Planeación Financiera</t>
        </is>
      </c>
      <c r="D1847" t="inlineStr">
        <is>
          <t>Semestral</t>
        </is>
      </c>
      <c r="E1847" t="inlineStr">
        <is>
          <t>Positivo</t>
        </is>
      </c>
      <c r="F1847" s="148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95</v>
      </c>
      <c r="K1847" t="n">
        <v>104</v>
      </c>
      <c r="L1847" s="59">
        <f>IFERROR(IF(OR(J1847=0,K1847=""),"",IF(E1847="Positivo",MIN(MAX(K1847/J1847,0),1.3),MIN(MAX(J1847/K1847,0),1.3))),"") </f>
        <v/>
      </c>
      <c r="M1847" s="59">
        <f>IFERROR(IF(OR(J1847=0,K1847=""),"",IF(E1847="Positivo",MAX(K1847/J1847,0),MAX(J1847/K1847,0))),"") </f>
        <v/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376-2024-06-30</t>
        </is>
      </c>
    </row>
    <row r="1848">
      <c r="A1848" t="n">
        <v>376</v>
      </c>
      <c r="B1848" t="inlineStr">
        <is>
          <t>Cumplimiento EBITDA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Positivo</t>
        </is>
      </c>
      <c r="F1848" s="148" t="n">
        <v>45657</v>
      </c>
      <c r="G1848" t="n">
        <v>2024</v>
      </c>
      <c r="H1848" t="inlineStr">
        <is>
          <t>Diciembre</t>
        </is>
      </c>
      <c r="I1848" t="inlineStr">
        <is>
          <t>2024-2</t>
        </is>
      </c>
      <c r="J1848" t="n">
        <v>95</v>
      </c>
      <c r="K1848" t="n">
        <v>109.1</v>
      </c>
      <c r="L1848" s="59">
        <f>IFERROR(IF(OR(J1848=0,K1848=""),"",IF(E1848="Positivo",MIN(MAX(K1848/J1848,0),1.3),MIN(MAX(J1848/K1848,0),1.3))),"") </f>
        <v/>
      </c>
      <c r="M1848" s="59">
        <f>IFERROR(IF(OR(J1848=0,K1848=""),"",IF(E1848="Positivo",MAX(K1848/J1848,0),MAX(J1848/K1848,0))),"") </f>
        <v/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376-2024-12-31</t>
        </is>
      </c>
    </row>
    <row r="1849">
      <c r="A1849" t="n">
        <v>376</v>
      </c>
      <c r="B1849" t="inlineStr">
        <is>
          <t>Cumplimiento EBITDA</t>
        </is>
      </c>
      <c r="C1849" t="inlineStr">
        <is>
          <t>Planeación Financiera</t>
        </is>
      </c>
      <c r="D1849" t="inlineStr">
        <is>
          <t>Semestral</t>
        </is>
      </c>
      <c r="E1849" t="inlineStr">
        <is>
          <t>Positivo</t>
        </is>
      </c>
      <c r="F1849" s="148" t="n">
        <v>45838</v>
      </c>
      <c r="G1849" t="n">
        <v>2025</v>
      </c>
      <c r="H1849" t="inlineStr">
        <is>
          <t>Junio</t>
        </is>
      </c>
      <c r="I1849" t="inlineStr">
        <is>
          <t>2025-1</t>
        </is>
      </c>
      <c r="J1849" t="n">
        <v>95</v>
      </c>
      <c r="K1849" t="n">
        <v>117.87</v>
      </c>
      <c r="L1849" s="59">
        <f>IFERROR(IF(OR(J1849=0,K1849=""),"",IF(E1849="Positivo",MIN(MAX(K1849/J1849,0),1.3),MIN(MAX(J1849/K1849,0),1.3))),"") </f>
        <v/>
      </c>
      <c r="M1849" s="59">
        <f>IFERROR(IF(OR(J1849=0,K1849=""),"",IF(E1849="Positivo",MAX(K1849/J1849,0),MAX(J1849/K1849,0))),"") </f>
        <v/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376-2025-06-30</t>
        </is>
      </c>
    </row>
    <row r="1850">
      <c r="A1850" t="n">
        <v>376</v>
      </c>
      <c r="B1850" t="inlineStr">
        <is>
          <t>Cumplimiento EBITDA</t>
        </is>
      </c>
      <c r="C1850" t="inlineStr">
        <is>
          <t>Planeación Financiera</t>
        </is>
      </c>
      <c r="D1850" t="inlineStr">
        <is>
          <t>Trimestral</t>
        </is>
      </c>
      <c r="E1850" t="inlineStr">
        <is>
          <t>Positivo</t>
        </is>
      </c>
      <c r="F1850" s="148" t="n">
        <v>46022</v>
      </c>
      <c r="G1850" t="n">
        <v>2025</v>
      </c>
      <c r="H1850" t="inlineStr">
        <is>
          <t>Diciembre</t>
        </is>
      </c>
      <c r="I1850" t="inlineStr">
        <is>
          <t>2025-2</t>
        </is>
      </c>
      <c r="J1850" t="n">
        <v>95</v>
      </c>
      <c r="K1850" t="n">
        <v>117.51</v>
      </c>
      <c r="L1850" s="59">
        <f>IFERROR(IF(OR(J1850=0,K1850=""),"",IF(E1850="Positivo",MIN(MAX(K1850/J1850,0),1.3),MIN(MAX(J1850/K1850,0),1.3))),"") </f>
        <v/>
      </c>
      <c r="M1850" s="59">
        <f>IFERROR(IF(OR(J1850=0,K1850=""),"",IF(E1850="Positivo",MAX(K1850/J1850,0),MAX(J1850/K1850,0))),"") </f>
        <v/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376-2025-12-31</t>
        </is>
      </c>
    </row>
    <row r="185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48" t="n">
        <v>45107</v>
      </c>
      <c r="G1851" t="n">
        <v>2023</v>
      </c>
      <c r="H1851" t="inlineStr">
        <is>
          <t>Junio</t>
        </is>
      </c>
      <c r="I1851" t="inlineStr">
        <is>
          <t>2023-1</t>
        </is>
      </c>
      <c r="J1851" t="n">
        <v>100</v>
      </c>
      <c r="K1851" t="n">
        <v>22.314798348502</v>
      </c>
      <c r="L1851" s="59">
        <f>IFERROR(IF(OR(J1851=0,K1851=""),"",IF(E1851="Positivo",MIN(MAX(K1851/J1851,0),1.3),MIN(MAX(J1851/K1851,0),1.3))),"") </f>
        <v/>
      </c>
      <c r="M1851" s="59">
        <f>IFERROR(IF(OR(J1851=0,K1851=""),"",IF(E1851="Positivo",MAX(K1851/J1851,0),MAX(J1851/K1851,0))),"") </f>
        <v/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377-2023-06-30</t>
        </is>
      </c>
    </row>
    <row r="1852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Semestral</t>
        </is>
      </c>
      <c r="E1852" t="inlineStr">
        <is>
          <t>Negativo</t>
        </is>
      </c>
      <c r="F1852" s="148" t="n">
        <v>45291</v>
      </c>
      <c r="G1852" t="n">
        <v>2023</v>
      </c>
      <c r="H1852" t="inlineStr">
        <is>
          <t>Diciembre</t>
        </is>
      </c>
      <c r="I1852" t="inlineStr">
        <is>
          <t>2023-2</t>
        </is>
      </c>
      <c r="J1852" t="n">
        <v>100</v>
      </c>
      <c r="K1852" t="n">
        <v>60.77</v>
      </c>
      <c r="L1852" s="59">
        <f>IFERROR(IF(OR(J1852=0,K1852=""),"",IF(E1852="Positivo",MIN(MAX(K1852/J1852,0),1.3),MIN(MAX(J1852/K1852,0),1.3))),"") </f>
        <v/>
      </c>
      <c r="M1852" s="59">
        <f>IFERROR(IF(OR(J1852=0,K1852=""),"",IF(E1852="Positivo",MAX(K1852/J1852,0),MAX(J1852/K1852,0))),"") </f>
        <v/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377-2023-12-31</t>
        </is>
      </c>
    </row>
    <row r="1853">
      <c r="A1853" t="n">
        <v>377</v>
      </c>
      <c r="B1853" t="inlineStr">
        <is>
          <t>CAPEX</t>
        </is>
      </c>
      <c r="C1853" t="inlineStr">
        <is>
          <t>Planeación Financiera</t>
        </is>
      </c>
      <c r="D1853" t="inlineStr">
        <is>
          <t>Semestral</t>
        </is>
      </c>
      <c r="E1853" t="inlineStr">
        <is>
          <t>Negativo</t>
        </is>
      </c>
      <c r="F1853" s="148" t="n">
        <v>45473</v>
      </c>
      <c r="G1853" t="n">
        <v>2024</v>
      </c>
      <c r="H1853" t="inlineStr">
        <is>
          <t>Junio</t>
        </is>
      </c>
      <c r="I1853" t="inlineStr">
        <is>
          <t>2024-1</t>
        </is>
      </c>
      <c r="J1853" t="n">
        <v>100</v>
      </c>
      <c r="K1853" t="n">
        <v>48.24</v>
      </c>
      <c r="L1853" s="59">
        <f>IFERROR(IF(OR(J1853=0,K1853=""),"",IF(E1853="Positivo",MIN(MAX(K1853/J1853,0),1.3),MIN(MAX(J1853/K1853,0),1.3))),"") </f>
        <v/>
      </c>
      <c r="M1853" s="59">
        <f>IFERROR(IF(OR(J1853=0,K1853=""),"",IF(E1853="Positivo",MAX(K1853/J1853,0),MAX(J1853/K1853,0))),"") </f>
        <v/>
      </c>
      <c r="N1853" t="inlineStr">
        <is>
          <t>$</t>
        </is>
      </c>
      <c r="O1853" t="inlineStr">
        <is>
          <t>$</t>
        </is>
      </c>
      <c r="P1853" t="n">
        <v>0</v>
      </c>
      <c r="Q1853" t="n">
        <v>0</v>
      </c>
      <c r="R1853" t="inlineStr">
        <is>
          <t>377-2024-06-30</t>
        </is>
      </c>
    </row>
    <row r="1854">
      <c r="A1854" t="n">
        <v>377</v>
      </c>
      <c r="B1854" t="inlineStr">
        <is>
          <t>CAPEX</t>
        </is>
      </c>
      <c r="C1854" t="inlineStr">
        <is>
          <t>Planeación Financiera</t>
        </is>
      </c>
      <c r="D1854" t="inlineStr">
        <is>
          <t>Semestral</t>
        </is>
      </c>
      <c r="E1854" t="inlineStr">
        <is>
          <t>Negativo</t>
        </is>
      </c>
      <c r="F1854" s="148" t="n">
        <v>45657</v>
      </c>
      <c r="G1854" t="n">
        <v>2024</v>
      </c>
      <c r="H1854" t="inlineStr">
        <is>
          <t>Diciembre</t>
        </is>
      </c>
      <c r="I1854" t="inlineStr">
        <is>
          <t>2024-2</t>
        </is>
      </c>
      <c r="J1854" t="n">
        <v>100</v>
      </c>
      <c r="K1854" t="n">
        <v>125.01</v>
      </c>
      <c r="L1854" s="59">
        <f>IFERROR(IF(OR(J1854=0,K1854=""),"",IF(E1854="Positivo",MIN(MAX(K1854/J1854,0),1.3),MIN(MAX(J1854/K1854,0),1.3))),"") </f>
        <v/>
      </c>
      <c r="M1854" s="59">
        <f>IFERROR(IF(OR(J1854=0,K1854=""),"",IF(E1854="Positivo",MAX(K1854/J1854,0),MAX(J1854/K1854,0))),"") </f>
        <v/>
      </c>
      <c r="N1854" t="inlineStr">
        <is>
          <t>$</t>
        </is>
      </c>
      <c r="O1854" t="inlineStr">
        <is>
          <t>$</t>
        </is>
      </c>
      <c r="P1854" t="n">
        <v>0</v>
      </c>
      <c r="Q1854" t="n">
        <v>0</v>
      </c>
      <c r="R1854" t="inlineStr">
        <is>
          <t>377-2024-12-31</t>
        </is>
      </c>
    </row>
    <row r="1855">
      <c r="A1855" t="n">
        <v>377</v>
      </c>
      <c r="B1855" t="inlineStr">
        <is>
          <t>CAPEX</t>
        </is>
      </c>
      <c r="C1855" t="inlineStr">
        <is>
          <t>Planeación Financiera</t>
        </is>
      </c>
      <c r="D1855" t="inlineStr">
        <is>
          <t>Anual</t>
        </is>
      </c>
      <c r="E1855" t="inlineStr">
        <is>
          <t>Positivo</t>
        </is>
      </c>
      <c r="F1855" s="148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107.11</v>
      </c>
      <c r="L1855" s="59">
        <f>IFERROR(IF(OR(J1855=0,K1855=""),"",IF(E1855="Positivo",MIN(MAX(K1855/J1855,0),1.3),MIN(MAX(J1855/K1855,0),1.3))),"") </f>
        <v/>
      </c>
      <c r="M1855" s="59">
        <f>IFERROR(IF(OR(J1855=0,K1855=""),"",IF(E1855="Positivo",MAX(K1855/J1855,0),MAX(J1855/K1855,0))),"") </f>
        <v/>
      </c>
      <c r="N1855" t="inlineStr">
        <is>
          <t>$</t>
        </is>
      </c>
      <c r="O1855" t="inlineStr">
        <is>
          <t>$</t>
        </is>
      </c>
      <c r="P1855" t="n">
        <v>0</v>
      </c>
      <c r="Q1855" t="n">
        <v>0</v>
      </c>
      <c r="R1855" t="inlineStr">
        <is>
          <t>377-2025-12-31</t>
        </is>
      </c>
    </row>
    <row r="1856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48" t="n">
        <v>44957</v>
      </c>
      <c r="G1856" t="n">
        <v>2023</v>
      </c>
      <c r="H1856" t="inlineStr">
        <is>
          <t>Enero</t>
        </is>
      </c>
      <c r="I1856" t="inlineStr">
        <is>
          <t>2023-1</t>
        </is>
      </c>
      <c r="J1856" t="n">
        <v>92</v>
      </c>
      <c r="K1856" t="n">
        <v>100</v>
      </c>
      <c r="L1856" s="59">
        <f>IFERROR(IF(OR(J1856=0,K1856=""),"",IF(E1856="Positivo",MIN(MAX(K1856/J1856,0),1.3),MIN(MAX(J1856/K1856,0),1.3))),"") </f>
        <v/>
      </c>
      <c r="M1856" s="59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378-2023-01-31</t>
        </is>
      </c>
    </row>
    <row r="1857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48" t="n">
        <v>44985</v>
      </c>
      <c r="G1857" t="n">
        <v>2023</v>
      </c>
      <c r="H1857" t="inlineStr">
        <is>
          <t>Febrero</t>
        </is>
      </c>
      <c r="I1857" t="inlineStr">
        <is>
          <t>2023-1</t>
        </is>
      </c>
      <c r="J1857" t="n">
        <v>92</v>
      </c>
      <c r="K1857" t="n">
        <v>100</v>
      </c>
      <c r="L1857" s="59">
        <f>IFERROR(IF(OR(J1857=0,K1857=""),"",IF(E1857="Positivo",MIN(MAX(K1857/J1857,0),1.3),MIN(MAX(J1857/K1857,0),1.3))),"") </f>
        <v/>
      </c>
      <c r="M1857" s="59">
        <f>IFERROR(IF(OR(J1857=0,K1857=""),"",IF(E1857="Positivo",MAX(K1857/J1857,0),MAX(J1857/K1857,0))),"") 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378-2023-02-28</t>
        </is>
      </c>
    </row>
    <row r="1858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48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92</v>
      </c>
      <c r="K1858" t="n">
        <v>100</v>
      </c>
      <c r="L1858" s="59">
        <f>IFERROR(IF(OR(J1858=0,K1858=""),"",IF(E1858="Positivo",MIN(MAX(K1858/J1858,0),1.3),MIN(MAX(J1858/K1858,0),1.3))),"") </f>
        <v/>
      </c>
      <c r="M1858" s="59">
        <f>IFERROR(IF(OR(J1858=0,K1858=""),"",IF(E1858="Positivo",MAX(K1858/J1858,0),MAX(J1858/K1858,0))),"") 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378-2023-03-31</t>
        </is>
      </c>
    </row>
    <row r="1859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48" t="n">
        <v>45046</v>
      </c>
      <c r="G1859" t="n">
        <v>2023</v>
      </c>
      <c r="H1859" t="inlineStr">
        <is>
          <t>Abril</t>
        </is>
      </c>
      <c r="I1859" t="inlineStr">
        <is>
          <t>2023-1</t>
        </is>
      </c>
      <c r="J1859" t="n">
        <v>92</v>
      </c>
      <c r="K1859" t="n">
        <v>90.5</v>
      </c>
      <c r="L1859" s="59">
        <f>IFERROR(IF(OR(J1859=0,K1859=""),"",IF(E1859="Positivo",MIN(MAX(K1859/J1859,0),1.3),MIN(MAX(J1859/K1859,0),1.3))),"") </f>
        <v/>
      </c>
      <c r="M1859" s="59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1</v>
      </c>
      <c r="Q1859" t="n">
        <v>1</v>
      </c>
      <c r="R1859" t="inlineStr">
        <is>
          <t>378-2023-04-30</t>
        </is>
      </c>
    </row>
    <row r="1860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48" t="n">
        <v>45077</v>
      </c>
      <c r="G1860" t="n">
        <v>2023</v>
      </c>
      <c r="H1860" t="inlineStr">
        <is>
          <t>Mayo</t>
        </is>
      </c>
      <c r="I1860" t="inlineStr">
        <is>
          <t>2023-1</t>
        </is>
      </c>
      <c r="J1860" t="n">
        <v>92</v>
      </c>
      <c r="K1860" t="n">
        <v>83.5</v>
      </c>
      <c r="L1860" s="59">
        <f>IFERROR(IF(OR(J1860=0,K1860=""),"",IF(E1860="Positivo",MIN(MAX(K1860/J1860,0),1.3),MIN(MAX(J1860/K1860,0),1.3))),"") </f>
        <v/>
      </c>
      <c r="M1860" s="59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1</v>
      </c>
      <c r="Q1860" t="n">
        <v>1</v>
      </c>
      <c r="R1860" t="inlineStr">
        <is>
          <t>378-2023-05-31</t>
        </is>
      </c>
    </row>
    <row r="186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48" t="n">
        <v>45107</v>
      </c>
      <c r="G1861" t="n">
        <v>2023</v>
      </c>
      <c r="H1861" t="inlineStr">
        <is>
          <t>Junio</t>
        </is>
      </c>
      <c r="I1861" t="inlineStr">
        <is>
          <t>2023-1</t>
        </is>
      </c>
      <c r="J1861" t="n">
        <v>92</v>
      </c>
      <c r="K1861" t="n">
        <v>89</v>
      </c>
      <c r="L1861" s="59">
        <f>IFERROR(IF(OR(J1861=0,K1861=""),"",IF(E1861="Positivo",MIN(MAX(K1861/J1861,0),1.3),MIN(MAX(J1861/K1861,0),1.3))),"") </f>
        <v/>
      </c>
      <c r="M1861" s="59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378-2023-06-30</t>
        </is>
      </c>
    </row>
    <row r="1862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48" t="n">
        <v>45138</v>
      </c>
      <c r="G1862" t="n">
        <v>2023</v>
      </c>
      <c r="H1862" t="inlineStr">
        <is>
          <t>Julio</t>
        </is>
      </c>
      <c r="I1862" t="inlineStr">
        <is>
          <t>2023-2</t>
        </is>
      </c>
      <c r="J1862" t="n">
        <v>92</v>
      </c>
      <c r="K1862" t="n">
        <v>94</v>
      </c>
      <c r="L1862" s="59">
        <f>IFERROR(IF(OR(J1862=0,K1862=""),"",IF(E1862="Positivo",MIN(MAX(K1862/J1862,0),1.3),MIN(MAX(J1862/K1862,0),1.3))),"") </f>
        <v/>
      </c>
      <c r="M1862" s="59">
        <f>IFERROR(IF(OR(J1862=0,K1862=""),"",IF(E1862="Positivo",MAX(K1862/J1862,0),MAX(J1862/K1862,0))),"") 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378-2023-07-31</t>
        </is>
      </c>
    </row>
    <row r="1863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48" t="n">
        <v>45169</v>
      </c>
      <c r="G1863" t="n">
        <v>2023</v>
      </c>
      <c r="H1863" t="inlineStr">
        <is>
          <t>Agosto</t>
        </is>
      </c>
      <c r="I1863" t="inlineStr">
        <is>
          <t>2023-2</t>
        </is>
      </c>
      <c r="J1863" t="n">
        <v>92</v>
      </c>
      <c r="K1863" t="n">
        <v>97.5</v>
      </c>
      <c r="L1863" s="59">
        <f>IFERROR(IF(OR(J1863=0,K1863=""),"",IF(E1863="Positivo",MIN(MAX(K1863/J1863,0),1.3),MIN(MAX(J1863/K1863,0),1.3))),"") </f>
        <v/>
      </c>
      <c r="M1863" s="59">
        <f>IFERROR(IF(OR(J1863=0,K1863=""),"",IF(E1863="Positivo",MAX(K1863/J1863,0),MAX(J1863/K1863,0))),"") </f>
        <v/>
      </c>
      <c r="N1863" t="inlineStr">
        <is>
          <t>%</t>
        </is>
      </c>
      <c r="O1863" t="inlineStr">
        <is>
          <t>%</t>
        </is>
      </c>
      <c r="P1863" t="n">
        <v>1</v>
      </c>
      <c r="Q1863" t="n">
        <v>1</v>
      </c>
      <c r="R1863" t="inlineStr">
        <is>
          <t>378-2023-08-31</t>
        </is>
      </c>
    </row>
    <row r="1864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48" t="n">
        <v>45199</v>
      </c>
      <c r="G1864" t="n">
        <v>2023</v>
      </c>
      <c r="H1864" t="inlineStr">
        <is>
          <t>Septiembre</t>
        </is>
      </c>
      <c r="I1864" t="inlineStr">
        <is>
          <t>2023-2</t>
        </is>
      </c>
      <c r="J1864" t="n">
        <v>92</v>
      </c>
      <c r="K1864" t="n">
        <v>99</v>
      </c>
      <c r="L1864" s="59">
        <f>IFERROR(IF(OR(J1864=0,K1864=""),"",IF(E1864="Positivo",MIN(MAX(K1864/J1864,0),1.3),MIN(MAX(J1864/K1864,0),1.3))),"") </f>
        <v/>
      </c>
      <c r="M1864" s="59">
        <f>IFERROR(IF(OR(J1864=0,K1864=""),"",IF(E1864="Positivo",MAX(K1864/J1864,0),MAX(J1864/K1864,0))),"") </f>
        <v/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378-2023-09-30</t>
        </is>
      </c>
    </row>
    <row r="1865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48" t="n">
        <v>45230</v>
      </c>
      <c r="G1865" t="n">
        <v>2023</v>
      </c>
      <c r="H1865" t="inlineStr">
        <is>
          <t>Octubre</t>
        </is>
      </c>
      <c r="I1865" t="inlineStr">
        <is>
          <t>2023-2</t>
        </is>
      </c>
      <c r="J1865" t="n">
        <v>92</v>
      </c>
      <c r="K1865" t="n">
        <v>96</v>
      </c>
      <c r="L1865" s="59">
        <f>IFERROR(IF(OR(J1865=0,K1865=""),"",IF(E1865="Positivo",MIN(MAX(K1865/J1865,0),1.3),MIN(MAX(J1865/K1865,0),1.3))),"") </f>
        <v/>
      </c>
      <c r="M1865" s="59">
        <f>IFERROR(IF(OR(J1865=0,K1865=""),"",IF(E1865="Positivo",MAX(K1865/J1865,0),MAX(J1865/K1865,0))),"") </f>
        <v/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378-2023-10-31</t>
        </is>
      </c>
    </row>
    <row r="1866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48" t="n">
        <v>45260</v>
      </c>
      <c r="G1866" t="n">
        <v>2023</v>
      </c>
      <c r="H1866" t="inlineStr">
        <is>
          <t>Noviembre</t>
        </is>
      </c>
      <c r="I1866" t="inlineStr">
        <is>
          <t>2023-2</t>
        </is>
      </c>
      <c r="J1866" t="n">
        <v>92</v>
      </c>
      <c r="K1866" t="n">
        <v>96.91</v>
      </c>
      <c r="L1866" s="59">
        <f>IFERROR(IF(OR(J1866=0,K1866=""),"",IF(E1866="Positivo",MIN(MAX(K1866/J1866,0),1.3),MIN(MAX(J1866/K1866,0),1.3))),"") </f>
        <v/>
      </c>
      <c r="M1866" s="59">
        <f>IFERROR(IF(OR(J1866=0,K1866=""),"",IF(E1866="Positivo",MAX(K1866/J1866,0),MAX(J1866/K1866,0))),"") </f>
        <v/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378-2023-11-30</t>
        </is>
      </c>
    </row>
    <row r="1867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48" t="n">
        <v>45291</v>
      </c>
      <c r="G1867" t="n">
        <v>2023</v>
      </c>
      <c r="H1867" t="inlineStr">
        <is>
          <t>Diciembre</t>
        </is>
      </c>
      <c r="I1867" t="inlineStr">
        <is>
          <t>2023-2</t>
        </is>
      </c>
      <c r="J1867" t="n">
        <v>92</v>
      </c>
      <c r="K1867" t="n">
        <v>100.52</v>
      </c>
      <c r="L1867" s="59">
        <f>IFERROR(IF(OR(J1867=0,K1867=""),"",IF(E1867="Positivo",MIN(MAX(K1867/J1867,0),1.3),MIN(MAX(J1867/K1867,0),1.3))),"") </f>
        <v/>
      </c>
      <c r="M1867" s="59">
        <f>IFERROR(IF(OR(J1867=0,K1867=""),"",IF(E1867="Positivo",MAX(K1867/J1867,0),MAX(J1867/K1867,0))),"") </f>
        <v/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378-2023-12-31</t>
        </is>
      </c>
    </row>
    <row r="1868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48" t="n">
        <v>45322</v>
      </c>
      <c r="G1868" t="n">
        <v>2024</v>
      </c>
      <c r="H1868" t="inlineStr">
        <is>
          <t>Enero</t>
        </is>
      </c>
      <c r="I1868" t="inlineStr">
        <is>
          <t>2024-1</t>
        </is>
      </c>
      <c r="J1868" t="n">
        <v>92</v>
      </c>
      <c r="K1868" t="n">
        <v>0</v>
      </c>
      <c r="L1868" s="59">
        <f>IFERROR(IF(OR(J1868=0,K1868=""),"",IF(E1868="Positivo",MIN(MAX(K1868/J1868,0),1.3),MIN(MAX(J1868/K1868,0),1.3))),"") </f>
        <v/>
      </c>
      <c r="M1868" s="59">
        <f>IFERROR(IF(OR(J1868=0,K1868=""),"",IF(E1868="Positivo",MAX(K1868/J1868,0),MAX(J1868/K1868,0))),"") </f>
        <v/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378-2024-01-31</t>
        </is>
      </c>
    </row>
    <row r="1869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48" t="n">
        <v>45351</v>
      </c>
      <c r="G1869" t="n">
        <v>2024</v>
      </c>
      <c r="H1869" t="inlineStr">
        <is>
          <t>Febrero</t>
        </is>
      </c>
      <c r="I1869" t="inlineStr">
        <is>
          <t>2024-1</t>
        </is>
      </c>
      <c r="J1869" t="n">
        <v>92</v>
      </c>
      <c r="K1869" t="n">
        <v>0</v>
      </c>
      <c r="L1869" s="59">
        <f>IFERROR(IF(OR(J1869=0,K1869=""),"",IF(E1869="Positivo",MIN(MAX(K1869/J1869,0),1.3),MIN(MAX(J1869/K1869,0),1.3))),"") </f>
        <v/>
      </c>
      <c r="M1869" s="59">
        <f>IFERROR(IF(OR(J1869=0,K1869=""),"",IF(E1869="Positivo",MAX(K1869/J1869,0),MAX(J1869/K1869,0))),"") </f>
        <v/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378-2024-02-29</t>
        </is>
      </c>
    </row>
    <row r="1870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48" t="n">
        <v>45382</v>
      </c>
      <c r="G1870" t="n">
        <v>2024</v>
      </c>
      <c r="H1870" t="inlineStr">
        <is>
          <t>Marzo</t>
        </is>
      </c>
      <c r="I1870" t="inlineStr">
        <is>
          <t>2024-1</t>
        </is>
      </c>
      <c r="J1870" t="n">
        <v>92</v>
      </c>
      <c r="K1870" t="n">
        <v>0</v>
      </c>
      <c r="L1870" s="59">
        <f>IFERROR(IF(OR(J1870=0,K1870=""),"",IF(E1870="Positivo",MIN(MAX(K1870/J1870,0),1.3),MIN(MAX(J1870/K1870,0),1.3))),"") </f>
        <v/>
      </c>
      <c r="M1870" s="59">
        <f>IFERROR(IF(OR(J1870=0,K1870=""),"",IF(E1870="Positivo",MAX(K1870/J1870,0),MAX(J1870/K1870,0))),"") </f>
        <v/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378-2024-03-31</t>
        </is>
      </c>
    </row>
    <row r="187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48" t="n">
        <v>45412</v>
      </c>
      <c r="G1871" t="n">
        <v>2024</v>
      </c>
      <c r="H1871" t="inlineStr">
        <is>
          <t>Abril</t>
        </is>
      </c>
      <c r="I1871" t="inlineStr">
        <is>
          <t>2024-1</t>
        </is>
      </c>
      <c r="J1871" t="n">
        <v>92</v>
      </c>
      <c r="K1871" t="n">
        <v>0</v>
      </c>
      <c r="L1871" s="59">
        <f>IFERROR(IF(OR(J1871=0,K1871=""),"",IF(E1871="Positivo",MIN(MAX(K1871/J1871,0),1.3),MIN(MAX(J1871/K1871,0),1.3))),"") </f>
        <v/>
      </c>
      <c r="M1871" s="59">
        <f>IFERROR(IF(OR(J1871=0,K1871=""),"",IF(E1871="Positivo",MAX(K1871/J1871,0),MAX(J1871/K1871,0))),"") </f>
        <v/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378-2024-04-30</t>
        </is>
      </c>
    </row>
    <row r="1872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48" t="n">
        <v>45443</v>
      </c>
      <c r="G1872" t="n">
        <v>2024</v>
      </c>
      <c r="H1872" t="inlineStr">
        <is>
          <t>Mayo</t>
        </is>
      </c>
      <c r="I1872" t="inlineStr">
        <is>
          <t>2024-1</t>
        </is>
      </c>
      <c r="J1872" t="n">
        <v>92</v>
      </c>
      <c r="K1872" t="n">
        <v>98.5</v>
      </c>
      <c r="L1872" s="59">
        <f>IFERROR(IF(OR(J1872=0,K1872=""),"",IF(E1872="Positivo",MIN(MAX(K1872/J1872,0),1.3),MIN(MAX(J1872/K1872,0),1.3))),"") </f>
        <v/>
      </c>
      <c r="M1872" s="59">
        <f>IFERROR(IF(OR(J1872=0,K1872=""),"",IF(E1872="Positivo",MAX(K1872/J1872,0),MAX(J1872/K1872,0))),"") </f>
        <v/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378-2024-05-31</t>
        </is>
      </c>
    </row>
    <row r="1873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48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92</v>
      </c>
      <c r="K1873" t="n">
        <v>98.5</v>
      </c>
      <c r="L1873" s="59">
        <f>IFERROR(IF(OR(J1873=0,K1873=""),"",IF(E1873="Positivo",MIN(MAX(K1873/J1873,0),1.3),MIN(MAX(J1873/K1873,0),1.3))),"") </f>
        <v/>
      </c>
      <c r="M1873" s="59">
        <f>IFERROR(IF(OR(J1873=0,K1873=""),"",IF(E1873="Positivo",MAX(K1873/J1873,0),MAX(J1873/K1873,0))),"") </f>
        <v/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378-2024-06-30</t>
        </is>
      </c>
    </row>
    <row r="1874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48" t="n">
        <v>45504</v>
      </c>
      <c r="G1874" t="n">
        <v>2024</v>
      </c>
      <c r="H1874" t="inlineStr">
        <is>
          <t>Julio</t>
        </is>
      </c>
      <c r="I1874" t="inlineStr">
        <is>
          <t>2024-2</t>
        </is>
      </c>
      <c r="J1874" t="n">
        <v>92</v>
      </c>
      <c r="K1874" t="n">
        <v>0</v>
      </c>
      <c r="L1874" s="59">
        <f>IFERROR(IF(OR(J1874=0,K1874=""),"",IF(E1874="Positivo",MIN(MAX(K1874/J1874,0),1.3),MIN(MAX(J1874/K1874,0),1.3))),"") </f>
        <v/>
      </c>
      <c r="M1874" s="59">
        <f>IFERROR(IF(OR(J1874=0,K1874=""),"",IF(E1874="Positivo",MAX(K1874/J1874,0),MAX(J1874/K1874,0))),"") </f>
        <v/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378-2024-07-31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48" t="n">
        <v>45535</v>
      </c>
      <c r="G1875" t="n">
        <v>2024</v>
      </c>
      <c r="H1875" t="inlineStr">
        <is>
          <t>Agosto</t>
        </is>
      </c>
      <c r="I1875" t="inlineStr">
        <is>
          <t>2024-2</t>
        </is>
      </c>
      <c r="J1875" t="n">
        <v>92</v>
      </c>
      <c r="K1875" t="n">
        <v>0</v>
      </c>
      <c r="L1875" s="59">
        <f>IFERROR(IF(OR(J1875=0,K1875=""),"",IF(E1875="Positivo",MIN(MAX(K1875/J1875,0),1.3),MIN(MAX(J1875/K1875,0),1.3))),"") </f>
        <v/>
      </c>
      <c r="M1875" s="59">
        <f>IFERROR(IF(OR(J1875=0,K1875=""),"",IF(E1875="Positivo",MAX(K1875/J1875,0),MAX(J1875/K1875,0))),"") </f>
        <v/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378-2024-08-31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48" t="n">
        <v>45565</v>
      </c>
      <c r="G1876" t="n">
        <v>2024</v>
      </c>
      <c r="H1876" t="inlineStr">
        <is>
          <t>Septiembre</t>
        </is>
      </c>
      <c r="I1876" t="inlineStr">
        <is>
          <t>2024-2</t>
        </is>
      </c>
      <c r="J1876" t="n">
        <v>92</v>
      </c>
      <c r="K1876" t="n">
        <v>0</v>
      </c>
      <c r="L1876" s="59">
        <f>IFERROR(IF(OR(J1876=0,K1876=""),"",IF(E1876="Positivo",MIN(MAX(K1876/J1876,0),1.3),MIN(MAX(J1876/K1876,0),1.3))),"") </f>
        <v/>
      </c>
      <c r="M1876" s="5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378-2024-09-30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48" t="n">
        <v>45596</v>
      </c>
      <c r="G1877" t="n">
        <v>2024</v>
      </c>
      <c r="H1877" t="inlineStr">
        <is>
          <t>Octubre</t>
        </is>
      </c>
      <c r="I1877" t="inlineStr">
        <is>
          <t>2024-2</t>
        </is>
      </c>
      <c r="J1877" t="n">
        <v>92</v>
      </c>
      <c r="K1877" t="n">
        <v>0</v>
      </c>
      <c r="L1877" s="59">
        <f>IFERROR(IF(OR(J1877=0,K1877=""),"",IF(E1877="Positivo",MIN(MAX(K1877/J1877,0),1.3),MIN(MAX(J1877/K1877,0),1.3))),"") </f>
        <v/>
      </c>
      <c r="M1877" s="59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378-2024-10-31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48" t="n">
        <v>45626</v>
      </c>
      <c r="G1878" t="n">
        <v>2024</v>
      </c>
      <c r="H1878" t="inlineStr">
        <is>
          <t>Noviembre</t>
        </is>
      </c>
      <c r="I1878" t="inlineStr">
        <is>
          <t>2024-2</t>
        </is>
      </c>
      <c r="J1878" t="n">
        <v>92</v>
      </c>
      <c r="K1878" t="n">
        <v>0</v>
      </c>
      <c r="L1878" s="59">
        <f>IFERROR(IF(OR(J1878=0,K1878=""),"",IF(E1878="Positivo",MIN(MAX(K1878/J1878,0),1.3),MIN(MAX(J1878/K1878,0),1.3))),"") </f>
        <v/>
      </c>
      <c r="M1878" s="59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378-2024-11-30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48" t="n">
        <v>45657</v>
      </c>
      <c r="G1879" t="n">
        <v>2024</v>
      </c>
      <c r="H1879" t="inlineStr">
        <is>
          <t>Diciembre</t>
        </is>
      </c>
      <c r="I1879" t="inlineStr">
        <is>
          <t>2024-2</t>
        </is>
      </c>
      <c r="J1879" t="n">
        <v>0</v>
      </c>
      <c r="K1879" t="n">
        <v>0</v>
      </c>
      <c r="L1879" s="59">
        <f>IFERROR(IF(OR(J1879=0,K1879=""),"",IF(E1879="Positivo",MIN(MAX(K1879/J1879,0),1.3),MIN(MAX(J1879/K1879,0),1.3))),"") </f>
        <v/>
      </c>
      <c r="M1879" s="59">
        <f>IFERROR(IF(OR(J1879=0,K1879=""),"",IF(E1879="Positivo",MAX(K1879/J1879,0),MAX(J1879/K1879,0))),"") </f>
        <v/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378-2024-12-31</t>
        </is>
      </c>
    </row>
    <row r="1880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48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100</v>
      </c>
      <c r="K1880" t="n">
        <v>102.72877164056</v>
      </c>
      <c r="L1880" s="59">
        <f>IFERROR(IF(OR(J1880=0,K1880=""),"",IF(E1880="Positivo",MIN(MAX(K1880/J1880,0),1.3),MIN(MAX(J1880/K1880,0),1.3))),"") </f>
        <v/>
      </c>
      <c r="M1880" s="59">
        <f>IFERROR(IF(OR(J1880=0,K1880=""),"",IF(E1880="Positivo",MAX(K1880/J1880,0),MAX(J1880/K1880,0))),"") </f>
        <v/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379-2023-06-30</t>
        </is>
      </c>
    </row>
    <row r="188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Semestral</t>
        </is>
      </c>
      <c r="E1881" t="inlineStr">
        <is>
          <t>Positivo</t>
        </is>
      </c>
      <c r="F1881" s="148" t="n">
        <v>45291</v>
      </c>
      <c r="G1881" t="n">
        <v>2023</v>
      </c>
      <c r="H1881" t="inlineStr">
        <is>
          <t>Diciembre</t>
        </is>
      </c>
      <c r="I1881" t="inlineStr">
        <is>
          <t>2023-2</t>
        </is>
      </c>
      <c r="J1881" t="n">
        <v>100</v>
      </c>
      <c r="K1881" t="n">
        <v>108.65</v>
      </c>
      <c r="L1881" s="59">
        <f>IFERROR(IF(OR(J1881=0,K1881=""),"",IF(E1881="Positivo",MIN(MAX(K1881/J1881,0),1.3),MIN(MAX(J1881/K1881,0),1.3))),"") </f>
        <v/>
      </c>
      <c r="M1881" s="59">
        <f>IFERROR(IF(OR(J1881=0,K1881=""),"",IF(E1881="Positivo",MAX(K1881/J1881,0),MAX(J1881/K1881,0))),"") </f>
        <v/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379-2023-12-31</t>
        </is>
      </c>
    </row>
    <row r="1882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Semestral</t>
        </is>
      </c>
      <c r="E1882" t="inlineStr">
        <is>
          <t>Positivo</t>
        </is>
      </c>
      <c r="F1882" s="148" t="n">
        <v>45473</v>
      </c>
      <c r="G1882" t="n">
        <v>2024</v>
      </c>
      <c r="H1882" t="inlineStr">
        <is>
          <t>Junio</t>
        </is>
      </c>
      <c r="I1882" t="inlineStr">
        <is>
          <t>2024-1</t>
        </is>
      </c>
      <c r="J1882" t="n">
        <v>100</v>
      </c>
      <c r="K1882" t="n">
        <v>95.92</v>
      </c>
      <c r="L1882" s="59">
        <f>IFERROR(IF(OR(J1882=0,K1882=""),"",IF(E1882="Positivo",MIN(MAX(K1882/J1882,0),1.3),MIN(MAX(J1882/K1882,0),1.3))),"") </f>
        <v/>
      </c>
      <c r="M1882" s="59">
        <f>IFERROR(IF(OR(J1882=0,K1882=""),"",IF(E1882="Positivo",MAX(K1882/J1882,0),MAX(J1882/K1882,0))),"") </f>
        <v/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379-2024-06-30</t>
        </is>
      </c>
    </row>
    <row r="1883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48" t="n">
        <v>45657</v>
      </c>
      <c r="G1883" t="n">
        <v>2024</v>
      </c>
      <c r="H1883" t="inlineStr">
        <is>
          <t>Diciembre</t>
        </is>
      </c>
      <c r="I1883" t="inlineStr">
        <is>
          <t>2024-2</t>
        </is>
      </c>
      <c r="J1883" t="n">
        <v>100</v>
      </c>
      <c r="K1883" t="n">
        <v>99.31</v>
      </c>
      <c r="L1883" s="59">
        <f>IFERROR(IF(OR(J1883=0,K1883=""),"",IF(E1883="Positivo",MIN(MAX(K1883/J1883,0),1.3),MIN(MAX(J1883/K1883,0),1.3))),"") </f>
        <v/>
      </c>
      <c r="M1883" s="59">
        <f>IFERROR(IF(OR(J1883=0,K1883=""),"",IF(E1883="Positivo",MAX(K1883/J1883,0),MAX(J1883/K1883,0))),"") </f>
        <v/>
      </c>
      <c r="N1883" t="inlineStr">
        <is>
          <t>ENT</t>
        </is>
      </c>
      <c r="O1883" t="inlineStr">
        <is>
          <t>ENT</t>
        </is>
      </c>
      <c r="P1883" t="n">
        <v>0</v>
      </c>
      <c r="Q1883" t="n">
        <v>0</v>
      </c>
      <c r="R1883" t="inlineStr">
        <is>
          <t>379-2024-12-31</t>
        </is>
      </c>
    </row>
    <row r="1884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Semestral</t>
        </is>
      </c>
      <c r="E1884" t="inlineStr">
        <is>
          <t>Positivo</t>
        </is>
      </c>
      <c r="F1884" s="148" t="n">
        <v>45838</v>
      </c>
      <c r="G1884" t="n">
        <v>2025</v>
      </c>
      <c r="H1884" t="inlineStr">
        <is>
          <t>Junio</t>
        </is>
      </c>
      <c r="I1884" t="inlineStr">
        <is>
          <t>2025-1</t>
        </is>
      </c>
      <c r="J1884" t="n">
        <v>100</v>
      </c>
      <c r="K1884" t="n">
        <v>104.11</v>
      </c>
      <c r="L1884" s="59">
        <f>IFERROR(IF(OR(J1884=0,K1884=""),"",IF(E1884="Positivo",MIN(MAX(K1884/J1884,0),1.3),MIN(MAX(J1884/K1884,0),1.3))),"") </f>
        <v/>
      </c>
      <c r="M1884" s="59">
        <f>IFERROR(IF(OR(J1884=0,K1884=""),"",IF(E1884="Positivo",MAX(K1884/J1884,0),MAX(J1884/K1884,0))),"") </f>
        <v/>
      </c>
      <c r="N1884" t="inlineStr">
        <is>
          <t>ENT</t>
        </is>
      </c>
      <c r="O1884" t="inlineStr">
        <is>
          <t>ENT</t>
        </is>
      </c>
      <c r="P1884" t="n">
        <v>0</v>
      </c>
      <c r="Q1884" t="n">
        <v>0</v>
      </c>
      <c r="R1884" t="inlineStr">
        <is>
          <t>379-2025-06-30</t>
        </is>
      </c>
    </row>
    <row r="1885">
      <c r="A1885" t="n">
        <v>379</v>
      </c>
      <c r="B1885" t="inlineStr">
        <is>
          <t>Total estudiantes nuevos</t>
        </is>
      </c>
      <c r="C1885" t="inlineStr">
        <is>
          <t>Inscripción, admisión y matrícula de estudiantes nuevos</t>
        </is>
      </c>
      <c r="D1885" t="inlineStr">
        <is>
          <t>Trimestral</t>
        </is>
      </c>
      <c r="E1885" t="inlineStr">
        <is>
          <t>Positivo</t>
        </is>
      </c>
      <c r="F1885" s="148" t="n">
        <v>46022</v>
      </c>
      <c r="G1885" t="n">
        <v>2025</v>
      </c>
      <c r="H1885" t="inlineStr">
        <is>
          <t>Diciembre</t>
        </is>
      </c>
      <c r="I1885" t="inlineStr">
        <is>
          <t>2025-2</t>
        </is>
      </c>
      <c r="J1885" t="n">
        <v>100</v>
      </c>
      <c r="K1885" t="n">
        <v>102.41</v>
      </c>
      <c r="L1885" s="59">
        <f>IFERROR(IF(OR(J1885=0,K1885=""),"",IF(E1885="Positivo",MIN(MAX(K1885/J1885,0),1.3),MIN(MAX(J1885/K1885,0),1.3))),"") </f>
        <v/>
      </c>
      <c r="M1885" s="59">
        <f>IFERROR(IF(OR(J1885=0,K1885=""),"",IF(E1885="Positivo",MAX(K1885/J1885,0),MAX(J1885/K1885,0))),"") </f>
        <v/>
      </c>
      <c r="N1885" t="inlineStr">
        <is>
          <t>ENT</t>
        </is>
      </c>
      <c r="O1885" t="inlineStr">
        <is>
          <t>ENT</t>
        </is>
      </c>
      <c r="P1885" t="n">
        <v>0</v>
      </c>
      <c r="Q1885" t="n">
        <v>0</v>
      </c>
      <c r="R1885" t="inlineStr">
        <is>
          <t>379-2025-12-31</t>
        </is>
      </c>
    </row>
    <row r="1886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48" t="n">
        <v>45107</v>
      </c>
      <c r="G1886" t="n">
        <v>2023</v>
      </c>
      <c r="H1886" t="inlineStr">
        <is>
          <t>Junio</t>
        </is>
      </c>
      <c r="I1886" t="inlineStr">
        <is>
          <t>2023-1</t>
        </is>
      </c>
      <c r="J1886">
        <f>24659314309/1000000</f>
        <v/>
      </c>
      <c r="K1886">
        <f>25754085546/1000000</f>
        <v/>
      </c>
      <c r="L1886" s="59">
        <f>IFERROR(IF(OR(J1886=0,K1886=""),"",IF(E1886="Positivo",MIN(MAX(K1886/J1886,0),1.3),MIN(MAX(J1886/K1886,0),1.3))),"") </f>
        <v/>
      </c>
      <c r="M1886" s="59">
        <f>IFERROR(IF(OR(J1886=0,K1886=""),"",IF(E1886="Positivo",MAX(K1886/J1886,0),MAX(J1886/K1886,0))),"") </f>
        <v/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380-2023-06-30</t>
        </is>
      </c>
    </row>
    <row r="1887">
      <c r="A1887" t="n">
        <v>380</v>
      </c>
      <c r="B1887" t="inlineStr">
        <is>
          <t>Ingresos de matriculas de estudiantes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48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>
        <f>24724802794/1000000</f>
        <v/>
      </c>
      <c r="K1887">
        <f>25340546506/1000000</f>
        <v/>
      </c>
      <c r="L1887" s="59">
        <f>IFERROR(IF(OR(J1887=0,K1887=""),"",IF(E1887="Positivo",MIN(MAX(K1887/J1887,0),1.3),MIN(MAX(J1887/K1887,0),1.3))),"") </f>
        <v/>
      </c>
      <c r="M1887" s="59">
        <f>IFERROR(IF(OR(J1887=0,K1887=""),"",IF(E1887="Positivo",MAX(K1887/J1887,0),MAX(J1887/K1887,0))),"") </f>
        <v/>
      </c>
      <c r="N1887" t="inlineStr">
        <is>
          <t>$</t>
        </is>
      </c>
      <c r="O1887" t="inlineStr">
        <is>
          <t>$</t>
        </is>
      </c>
      <c r="P1887" t="n">
        <v>0</v>
      </c>
      <c r="Q1887" t="n">
        <v>0</v>
      </c>
      <c r="R1887" t="inlineStr">
        <is>
          <t>380-2023-12-31</t>
        </is>
      </c>
    </row>
    <row r="1888">
      <c r="A1888" t="n">
        <v>380</v>
      </c>
      <c r="B1888" t="inlineStr">
        <is>
          <t>Ingresos de matriculas de estudiantes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48" t="n">
        <v>45473</v>
      </c>
      <c r="G1888" t="n">
        <v>2024</v>
      </c>
      <c r="H1888" t="inlineStr">
        <is>
          <t>Junio</t>
        </is>
      </c>
      <c r="I1888" t="inlineStr">
        <is>
          <t>2024-1</t>
        </is>
      </c>
      <c r="J1888">
        <f>29596269870/1000000</f>
        <v/>
      </c>
      <c r="K1888">
        <f>28449632913/1000000</f>
        <v/>
      </c>
      <c r="L1888" s="59">
        <f>IFERROR(IF(OR(J1888=0,K1888=""),"",IF(E1888="Positivo",MIN(MAX(K1888/J1888,0),1.3),MIN(MAX(J1888/K1888,0),1.3))),"") </f>
        <v/>
      </c>
      <c r="M1888" s="59">
        <f>IFERROR(IF(OR(J1888=0,K1888=""),"",IF(E1888="Positivo",MAX(K1888/J1888,0),MAX(J1888/K1888,0))),"") </f>
        <v/>
      </c>
      <c r="N1888" t="inlineStr">
        <is>
          <t>$</t>
        </is>
      </c>
      <c r="O1888" t="inlineStr">
        <is>
          <t>$</t>
        </is>
      </c>
      <c r="P1888" t="n">
        <v>0</v>
      </c>
      <c r="Q1888" t="n">
        <v>0</v>
      </c>
      <c r="R1888" t="inlineStr">
        <is>
          <t>380-2024-06-30</t>
        </is>
      </c>
    </row>
    <row r="1889">
      <c r="A1889" t="n">
        <v>380</v>
      </c>
      <c r="B1889" t="inlineStr">
        <is>
          <t>Ingresos de matriculas de estudiantes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48" t="n">
        <v>45657</v>
      </c>
      <c r="G1889" t="n">
        <v>2024</v>
      </c>
      <c r="H1889" t="inlineStr">
        <is>
          <t>Diciembre</t>
        </is>
      </c>
      <c r="I1889" t="inlineStr">
        <is>
          <t>2024-2</t>
        </is>
      </c>
      <c r="J1889" t="n">
        <v>100</v>
      </c>
      <c r="K1889" t="n">
        <v>78.92</v>
      </c>
      <c r="L1889" s="59">
        <f>IFERROR(IF(OR(J1889=0,K1889=""),"",IF(E1889="Positivo",MIN(MAX(K1889/J1889,0),1.3),MIN(MAX(J1889/K1889,0),1.3))),"") </f>
        <v/>
      </c>
      <c r="M1889" s="59">
        <f>IFERROR(IF(OR(J1889=0,K1889=""),"",IF(E1889="Positivo",MAX(K1889/J1889,0),MAX(J1889/K1889,0))),"") </f>
        <v/>
      </c>
      <c r="N1889" t="inlineStr">
        <is>
          <t>$</t>
        </is>
      </c>
      <c r="O1889" t="inlineStr">
        <is>
          <t>$</t>
        </is>
      </c>
      <c r="P1889" t="n">
        <v>0</v>
      </c>
      <c r="Q1889" t="n">
        <v>0</v>
      </c>
      <c r="R1889" t="inlineStr">
        <is>
          <t>380-2024-12-31</t>
        </is>
      </c>
    </row>
    <row r="1890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48" t="n">
        <v>45107</v>
      </c>
      <c r="G1890" t="n">
        <v>2023</v>
      </c>
      <c r="H1890" t="inlineStr">
        <is>
          <t>Junio</t>
        </is>
      </c>
      <c r="I1890" t="inlineStr">
        <is>
          <t>2023-1</t>
        </is>
      </c>
      <c r="J1890" t="n">
        <v>100</v>
      </c>
      <c r="K1890" t="n">
        <v>104.27170868347</v>
      </c>
      <c r="L1890" s="59">
        <f>IFERROR(IF(OR(J1890=0,K1890=""),"",IF(E1890="Positivo",MIN(MAX(K1890/J1890,0),1.3),MIN(MAX(J1890/K1890,0),1.3))),"") </f>
        <v/>
      </c>
      <c r="M1890" s="59">
        <f>IFERROR(IF(OR(J1890=0,K1890=""),"",IF(E1890="Positivo",MAX(K1890/J1890,0),MAX(J1890/K1890,0))),"") </f>
        <v/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381-2023-06-30</t>
        </is>
      </c>
    </row>
    <row r="189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Semestral</t>
        </is>
      </c>
      <c r="E1891" t="inlineStr">
        <is>
          <t>Positivo</t>
        </is>
      </c>
      <c r="F1891" s="148" t="n">
        <v>45291</v>
      </c>
      <c r="G1891" t="n">
        <v>2023</v>
      </c>
      <c r="H1891" t="inlineStr">
        <is>
          <t>Diciembre</t>
        </is>
      </c>
      <c r="I1891" t="inlineStr">
        <is>
          <t>2023-2</t>
        </is>
      </c>
      <c r="J1891" t="n">
        <v>100</v>
      </c>
      <c r="K1891" t="n">
        <v>113.7</v>
      </c>
      <c r="L1891" s="59">
        <f>IFERROR(IF(OR(J1891=0,K1891=""),"",IF(E1891="Positivo",MIN(MAX(K1891/J1891,0),1.3),MIN(MAX(J1891/K1891,0),1.3))),"") </f>
        <v/>
      </c>
      <c r="M1891" s="59">
        <f>IFERROR(IF(OR(J1891=0,K1891=""),"",IF(E1891="Positivo",MAX(K1891/J1891,0),MAX(J1891/K1891,0))),"") </f>
        <v/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381-2023-12-31</t>
        </is>
      </c>
    </row>
    <row r="1892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Semestral</t>
        </is>
      </c>
      <c r="E1892" t="inlineStr">
        <is>
          <t>Positivo</t>
        </is>
      </c>
      <c r="F1892" s="148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100</v>
      </c>
      <c r="K1892" t="n">
        <v>105.26</v>
      </c>
      <c r="L1892" s="59">
        <f>IFERROR(IF(OR(J1892=0,K1892=""),"",IF(E1892="Positivo",MIN(MAX(K1892/J1892,0),1.3),MIN(MAX(J1892/K1892,0),1.3))),"") </f>
        <v/>
      </c>
      <c r="M1892" s="59">
        <f>IFERROR(IF(OR(J1892=0,K1892=""),"",IF(E1892="Positivo",MAX(K1892/J1892,0),MAX(J1892/K1892,0))),"") </f>
        <v/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381-2024-06-30</t>
        </is>
      </c>
    </row>
    <row r="1893">
      <c r="A1893" t="n">
        <v>381</v>
      </c>
      <c r="B1893" t="inlineStr">
        <is>
          <t>Cumplimiento de matrículas pregrado presencial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48" t="n">
        <v>45657</v>
      </c>
      <c r="G1893" t="n">
        <v>2024</v>
      </c>
      <c r="H1893" t="inlineStr">
        <is>
          <t>Diciembre</t>
        </is>
      </c>
      <c r="I1893" t="inlineStr">
        <is>
          <t>2024-2</t>
        </is>
      </c>
      <c r="J1893" t="n">
        <v>100</v>
      </c>
      <c r="K1893" t="n">
        <v>89.19</v>
      </c>
      <c r="L1893" s="59">
        <f>IFERROR(IF(OR(J1893=0,K1893=""),"",IF(E1893="Positivo",MIN(MAX(K1893/J1893,0),1.3),MIN(MAX(J1893/K1893,0),1.3))),"") </f>
        <v/>
      </c>
      <c r="M1893" s="59">
        <f>IFERROR(IF(OR(J1893=0,K1893=""),"",IF(E1893="Positivo",MAX(K1893/J1893,0),MAX(J1893/K1893,0))),"") </f>
        <v/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381-2024-12-31</t>
        </is>
      </c>
    </row>
    <row r="1894">
      <c r="A1894" t="n">
        <v>381</v>
      </c>
      <c r="B1894" t="inlineStr">
        <is>
          <t>Cumplimiento de matrículas pregrado presencial nuevos</t>
        </is>
      </c>
      <c r="C1894" t="inlineStr">
        <is>
          <t>Inscripción, admisión y matrícula de estudiantes nuevos</t>
        </is>
      </c>
      <c r="D1894" t="inlineStr">
        <is>
          <t>Semestral</t>
        </is>
      </c>
      <c r="E1894" t="inlineStr">
        <is>
          <t>Positivo</t>
        </is>
      </c>
      <c r="F1894" s="148" t="n">
        <v>45838</v>
      </c>
      <c r="G1894" t="n">
        <v>2025</v>
      </c>
      <c r="H1894" t="inlineStr">
        <is>
          <t>Junio</t>
        </is>
      </c>
      <c r="I1894" t="inlineStr">
        <is>
          <t>2025-1</t>
        </is>
      </c>
      <c r="J1894" t="n">
        <v>100</v>
      </c>
      <c r="K1894" t="n">
        <v>98.22</v>
      </c>
      <c r="L1894" s="59">
        <f>IFERROR(IF(OR(J1894=0,K1894=""),"",IF(E1894="Positivo",MIN(MAX(K1894/J1894,0),1.3),MIN(MAX(J1894/K1894,0),1.3))),"") </f>
        <v/>
      </c>
      <c r="M1894" s="59">
        <f>IFERROR(IF(OR(J1894=0,K1894=""),"",IF(E1894="Positivo",MAX(K1894/J1894,0),MAX(J1894/K1894,0))),"") </f>
        <v/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381-2025-06-30</t>
        </is>
      </c>
    </row>
    <row r="1895">
      <c r="A1895" t="n">
        <v>381</v>
      </c>
      <c r="B1895" t="inlineStr">
        <is>
          <t>Cumplimiento de matrículas pregrado presencial nuevos</t>
        </is>
      </c>
      <c r="C1895" t="inlineStr">
        <is>
          <t>Inscripción, admisión y matrícula de estudiantes nuevos</t>
        </is>
      </c>
      <c r="D1895" t="inlineStr">
        <is>
          <t>Trimestral</t>
        </is>
      </c>
      <c r="E1895" t="inlineStr">
        <is>
          <t>Positivo</t>
        </is>
      </c>
      <c r="F1895" s="148" t="n">
        <v>46022</v>
      </c>
      <c r="G1895" t="n">
        <v>2025</v>
      </c>
      <c r="H1895" t="inlineStr">
        <is>
          <t>Diciembre</t>
        </is>
      </c>
      <c r="I1895" t="inlineStr">
        <is>
          <t>2025-2</t>
        </is>
      </c>
      <c r="J1895" t="n">
        <v>100</v>
      </c>
      <c r="K1895" t="n">
        <v>113.66</v>
      </c>
      <c r="L1895" s="59">
        <f>IFERROR(IF(OR(J1895=0,K1895=""),"",IF(E1895="Positivo",MIN(MAX(K1895/J1895,0),1.3),MIN(MAX(J1895/K1895,0),1.3))),"") </f>
        <v/>
      </c>
      <c r="M1895" s="59">
        <f>IFERROR(IF(OR(J1895=0,K1895=""),"",IF(E1895="Positivo",MAX(K1895/J1895,0),MAX(J1895/K1895,0))),"") </f>
        <v/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381-2025-12-31</t>
        </is>
      </c>
    </row>
    <row r="1896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48" t="n">
        <v>45107</v>
      </c>
      <c r="G1896" t="n">
        <v>2023</v>
      </c>
      <c r="H1896" t="inlineStr">
        <is>
          <t>Junio</t>
        </is>
      </c>
      <c r="I1896" t="inlineStr">
        <is>
          <t>2023-1</t>
        </is>
      </c>
      <c r="J1896" t="n">
        <v>100</v>
      </c>
      <c r="K1896" t="n">
        <v>101.25041131951</v>
      </c>
      <c r="L1896" s="59">
        <f>IFERROR(IF(OR(J1896=0,K1896=""),"",IF(E1896="Positivo",MIN(MAX(K1896/J1896,0),1.3),MIN(MAX(J1896/K1896,0),1.3))),"") </f>
        <v/>
      </c>
      <c r="M1896" s="59">
        <f>IFERROR(IF(OR(J1896=0,K1896=""),"",IF(E1896="Positivo",MAX(K1896/J1896,0),MAX(J1896/K1896,0))),"") </f>
        <v/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382-2023-06-30</t>
        </is>
      </c>
    </row>
    <row r="1897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148" t="n">
        <v>45291</v>
      </c>
      <c r="G1897" t="n">
        <v>2023</v>
      </c>
      <c r="H1897" t="inlineStr">
        <is>
          <t>Diciembre</t>
        </is>
      </c>
      <c r="I1897" t="inlineStr">
        <is>
          <t>2023-2</t>
        </is>
      </c>
      <c r="J1897" t="n">
        <v>100</v>
      </c>
      <c r="K1897" t="n">
        <v>103.01</v>
      </c>
      <c r="L1897" s="59">
        <f>IFERROR(IF(OR(J1897=0,K1897=""),"",IF(E1897="Positivo",MIN(MAX(K1897/J1897,0),1.3),MIN(MAX(J1897/K1897,0),1.3))),"") </f>
        <v/>
      </c>
      <c r="M1897" s="59">
        <f>IFERROR(IF(OR(J1897=0,K1897=""),"",IF(E1897="Positivo",MAX(K1897/J1897,0),MAX(J1897/K1897,0))),"") </f>
        <v/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382-2023-12-31</t>
        </is>
      </c>
    </row>
    <row r="1898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148" t="n">
        <v>45473</v>
      </c>
      <c r="G1898" t="n">
        <v>2024</v>
      </c>
      <c r="H1898" t="inlineStr">
        <is>
          <t>Junio</t>
        </is>
      </c>
      <c r="I1898" t="inlineStr">
        <is>
          <t>2024-1</t>
        </is>
      </c>
      <c r="J1898" t="n">
        <v>100</v>
      </c>
      <c r="K1898" t="n">
        <v>93.7</v>
      </c>
      <c r="L1898" s="59">
        <f>IFERROR(IF(OR(J1898=0,K1898=""),"",IF(E1898="Positivo",MIN(MAX(K1898/J1898,0),1.3),MIN(MAX(J1898/K1898,0),1.3))),"") </f>
        <v/>
      </c>
      <c r="M1898" s="59">
        <f>IFERROR(IF(OR(J1898=0,K1898=""),"",IF(E1898="Positivo",MAX(K1898/J1898,0),MAX(J1898/K1898,0))),"") </f>
        <v/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382-2024-06-30</t>
        </is>
      </c>
    </row>
    <row r="1899">
      <c r="A1899" t="n">
        <v>382</v>
      </c>
      <c r="B1899" t="inlineStr">
        <is>
          <t>Cumplimiento de matrículas pregrado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48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100</v>
      </c>
      <c r="K1899" t="n">
        <v>98.13</v>
      </c>
      <c r="L1899" s="59">
        <f>IFERROR(IF(OR(J1899=0,K1899=""),"",IF(E1899="Positivo",MIN(MAX(K1899/J1899,0),1.3),MIN(MAX(J1899/K1899,0),1.3))),"") </f>
        <v/>
      </c>
      <c r="M1899" s="59">
        <f>IFERROR(IF(OR(J1899=0,K1899=""),"",IF(E1899="Positivo",MAX(K1899/J1899,0),MAX(J1899/K1899,0))),"") </f>
        <v/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382-2024-12-31</t>
        </is>
      </c>
    </row>
    <row r="1900">
      <c r="A1900" t="n">
        <v>382</v>
      </c>
      <c r="B1900" t="inlineStr">
        <is>
          <t>Cumplimiento de matrículas pregrado virtual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48" t="n">
        <v>45838</v>
      </c>
      <c r="G1900" t="n">
        <v>2025</v>
      </c>
      <c r="H1900" t="inlineStr">
        <is>
          <t>Junio</t>
        </is>
      </c>
      <c r="I1900" t="inlineStr">
        <is>
          <t>2025-1</t>
        </is>
      </c>
      <c r="J1900" t="n">
        <v>100</v>
      </c>
      <c r="K1900" t="n">
        <v>99.84999999999999</v>
      </c>
      <c r="L1900" s="59">
        <f>IFERROR(IF(OR(J1900=0,K1900=""),"",IF(E1900="Positivo",MIN(MAX(K1900/J1900,0),1.3),MIN(MAX(J1900/K1900,0),1.3))),"") </f>
        <v/>
      </c>
      <c r="M1900" s="59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382-2025-06-30</t>
        </is>
      </c>
    </row>
    <row r="1901">
      <c r="A1901" t="n">
        <v>382</v>
      </c>
      <c r="B1901" t="inlineStr">
        <is>
          <t>Cumplimiento de matrículas pregrado virtual nuevos</t>
        </is>
      </c>
      <c r="C1901" t="inlineStr">
        <is>
          <t>Inscripción, admisión y matrícula de estudiantes nuevos</t>
        </is>
      </c>
      <c r="D1901" t="inlineStr">
        <is>
          <t>Trimestral</t>
        </is>
      </c>
      <c r="E1901" t="inlineStr">
        <is>
          <t>Positivo</t>
        </is>
      </c>
      <c r="F1901" s="148" t="n">
        <v>46022</v>
      </c>
      <c r="G1901" t="n">
        <v>2025</v>
      </c>
      <c r="H1901" t="inlineStr">
        <is>
          <t>Diciembre</t>
        </is>
      </c>
      <c r="I1901" t="inlineStr">
        <is>
          <t>2025-2</t>
        </is>
      </c>
      <c r="J1901" t="n">
        <v>100</v>
      </c>
      <c r="K1901" t="n">
        <v>97.20999999999999</v>
      </c>
      <c r="L1901" s="59">
        <f>IFERROR(IF(OR(J1901=0,K1901=""),"",IF(E1901="Positivo",MIN(MAX(K1901/J1901,0),1.3),MIN(MAX(J1901/K1901,0),1.3))),"") </f>
        <v/>
      </c>
      <c r="M1901" s="59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382-2025-12-31</t>
        </is>
      </c>
    </row>
    <row r="1902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48" t="n">
        <v>45107</v>
      </c>
      <c r="G1902" t="n">
        <v>2023</v>
      </c>
      <c r="H1902" t="inlineStr">
        <is>
          <t>Junio</t>
        </is>
      </c>
      <c r="I1902" t="inlineStr">
        <is>
          <t>2023-1</t>
        </is>
      </c>
      <c r="J1902" t="n">
        <v>100</v>
      </c>
      <c r="K1902" t="n">
        <v>109.38232994527</v>
      </c>
      <c r="L1902" s="59">
        <f>IFERROR(IF(OR(J1902=0,K1902=""),"",IF(E1902="Positivo",MIN(MAX(K1902/J1902,0),1.3),MIN(MAX(J1902/K1902,0),1.3))),"") </f>
        <v/>
      </c>
      <c r="M1902" s="59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383-2023-06-30</t>
        </is>
      </c>
    </row>
    <row r="1903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48" t="n">
        <v>45291</v>
      </c>
      <c r="G1903" t="n">
        <v>2023</v>
      </c>
      <c r="H1903" t="inlineStr">
        <is>
          <t>Diciembre</t>
        </is>
      </c>
      <c r="I1903" t="inlineStr">
        <is>
          <t>2023-2</t>
        </is>
      </c>
      <c r="J1903" t="n">
        <v>100</v>
      </c>
      <c r="K1903" t="n">
        <v>148.66</v>
      </c>
      <c r="L1903" s="59">
        <f>IFERROR(IF(OR(J1903=0,K1903=""),"",IF(E1903="Positivo",MIN(MAX(K1903/J1903,0),1.3),MIN(MAX(J1903/K1903,0),1.3))),"") </f>
        <v/>
      </c>
      <c r="M1903" s="59">
        <f>IFERROR(IF(OR(J1903=0,K1903=""),"",IF(E1903="Positivo",MAX(K1903/J1903,0),MAX(J1903/K1903,0))),"") </f>
        <v/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383-2023-12-31</t>
        </is>
      </c>
    </row>
    <row r="1904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48" t="n">
        <v>45473</v>
      </c>
      <c r="G1904" t="n">
        <v>2024</v>
      </c>
      <c r="H1904" t="inlineStr">
        <is>
          <t>Junio</t>
        </is>
      </c>
      <c r="I1904" t="inlineStr">
        <is>
          <t>2024-1</t>
        </is>
      </c>
      <c r="J1904" t="n">
        <v>100</v>
      </c>
      <c r="K1904" t="n">
        <v>100.2</v>
      </c>
      <c r="L1904" s="59">
        <f>IFERROR(IF(OR(J1904=0,K1904=""),"",IF(E1904="Positivo",MIN(MAX(K1904/J1904,0),1.3),MIN(MAX(J1904/K1904,0),1.3))),"") </f>
        <v/>
      </c>
      <c r="M1904" s="59">
        <f>IFERROR(IF(OR(J1904=0,K1904=""),"",IF(E1904="Positivo",MAX(K1904/J1904,0),MAX(J1904/K1904,0))),"") </f>
        <v/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383-2024-06-30</t>
        </is>
      </c>
    </row>
    <row r="1905">
      <c r="A1905" t="n">
        <v>383</v>
      </c>
      <c r="B1905" t="inlineStr">
        <is>
          <t>Cumplimiento de matrículas posgrado virtual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48" t="n">
        <v>45657</v>
      </c>
      <c r="G1905" t="n">
        <v>2024</v>
      </c>
      <c r="H1905" t="inlineStr">
        <is>
          <t>Diciembre</t>
        </is>
      </c>
      <c r="I1905" t="inlineStr">
        <is>
          <t>2024-2</t>
        </is>
      </c>
      <c r="J1905" t="n">
        <v>100</v>
      </c>
      <c r="K1905" t="n">
        <v>120.71</v>
      </c>
      <c r="L1905" s="59">
        <f>IFERROR(IF(OR(J1905=0,K1905=""),"",IF(E1905="Positivo",MIN(MAX(K1905/J1905,0),1.3),MIN(MAX(J1905/K1905,0),1.3))),"") </f>
        <v/>
      </c>
      <c r="M1905" s="59">
        <f>IFERROR(IF(OR(J1905=0,K1905=""),"",IF(E1905="Positivo",MAX(K1905/J1905,0),MAX(J1905/K1905,0))),"") </f>
        <v/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383-2024-12-31</t>
        </is>
      </c>
    </row>
    <row r="1906">
      <c r="A1906" t="n">
        <v>383</v>
      </c>
      <c r="B1906" t="inlineStr">
        <is>
          <t>Cumplimiento de matrículas posgrado virtual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48" t="n">
        <v>45838</v>
      </c>
      <c r="G1906" t="n">
        <v>2025</v>
      </c>
      <c r="H1906" t="inlineStr">
        <is>
          <t>Junio</t>
        </is>
      </c>
      <c r="I1906" t="inlineStr">
        <is>
          <t>2025-1</t>
        </is>
      </c>
      <c r="J1906" t="n">
        <v>100</v>
      </c>
      <c r="K1906" t="n">
        <v>136.96</v>
      </c>
      <c r="L1906" s="59">
        <f>IFERROR(IF(OR(J1906=0,K1906=""),"",IF(E1906="Positivo",MIN(MAX(K1906/J1906,0),1.3),MIN(MAX(J1906/K1906,0),1.3))),"") </f>
        <v/>
      </c>
      <c r="M1906" s="59">
        <f>IFERROR(IF(OR(J1906=0,K1906=""),"",IF(E1906="Positivo",MAX(K1906/J1906,0),MAX(J1906/K1906,0))),"") </f>
        <v/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383-2025-06-30</t>
        </is>
      </c>
    </row>
    <row r="1907">
      <c r="A1907" t="n">
        <v>383</v>
      </c>
      <c r="B1907" t="inlineStr">
        <is>
          <t>Cumplimiento de matrículas posgrado virtual nuevos</t>
        </is>
      </c>
      <c r="C1907" t="inlineStr">
        <is>
          <t>Inscripción, admisión y matrícula de estudiantes nuevos</t>
        </is>
      </c>
      <c r="D1907" t="inlineStr">
        <is>
          <t>Trimestral</t>
        </is>
      </c>
      <c r="E1907" t="inlineStr">
        <is>
          <t>Positivo</t>
        </is>
      </c>
      <c r="F1907" s="148" t="n">
        <v>46022</v>
      </c>
      <c r="G1907" t="n">
        <v>2025</v>
      </c>
      <c r="H1907" t="inlineStr">
        <is>
          <t>Diciembre</t>
        </is>
      </c>
      <c r="I1907" t="inlineStr">
        <is>
          <t>2025-2</t>
        </is>
      </c>
      <c r="J1907" t="n">
        <v>100</v>
      </c>
      <c r="K1907" t="n">
        <v>127.87</v>
      </c>
      <c r="L1907" s="59">
        <f>IFERROR(IF(OR(J1907=0,K1907=""),"",IF(E1907="Positivo",MIN(MAX(K1907/J1907,0),1.3),MIN(MAX(J1907/K1907,0),1.3))),"") </f>
        <v/>
      </c>
      <c r="M1907" s="59">
        <f>IFERROR(IF(OR(J1907=0,K1907=""),"",IF(E1907="Positivo",MAX(K1907/J1907,0),MAX(J1907/K1907,0))),"") </f>
        <v/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383-2025-12-31</t>
        </is>
      </c>
    </row>
    <row r="1908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48" t="n">
        <v>45107</v>
      </c>
      <c r="G1908" t="n">
        <v>2023</v>
      </c>
      <c r="H1908" t="inlineStr">
        <is>
          <t>Junio</t>
        </is>
      </c>
      <c r="I1908" t="inlineStr">
        <is>
          <t>2023-1</t>
        </is>
      </c>
      <c r="J1908" t="n">
        <v>100</v>
      </c>
      <c r="K1908" t="n">
        <v>111.76470588235</v>
      </c>
      <c r="L1908" s="59">
        <f>IFERROR(IF(OR(J1908=0,K1908=""),"",IF(E1908="Positivo",MIN(MAX(K1908/J1908,0),1.3),MIN(MAX(J1908/K1908,0),1.3))),"") </f>
        <v/>
      </c>
      <c r="M1908" s="59">
        <f>IFERROR(IF(OR(J1908=0,K1908=""),"",IF(E1908="Positivo",MAX(K1908/J1908,0),MAX(J1908/K1908,0))),"") </f>
        <v/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384-2023-06-30</t>
        </is>
      </c>
    </row>
    <row r="1909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48" t="n">
        <v>45291</v>
      </c>
      <c r="G1909" t="n">
        <v>2023</v>
      </c>
      <c r="H1909" t="inlineStr">
        <is>
          <t>Diciembre</t>
        </is>
      </c>
      <c r="I1909" t="inlineStr">
        <is>
          <t>2023-2</t>
        </is>
      </c>
      <c r="J1909" t="n">
        <v>100</v>
      </c>
      <c r="K1909" t="n">
        <v>115.38</v>
      </c>
      <c r="L1909" s="59">
        <f>IFERROR(IF(OR(J1909=0,K1909=""),"",IF(E1909="Positivo",MIN(MAX(K1909/J1909,0),1.3),MIN(MAX(J1909/K1909,0),1.3))),"") </f>
        <v/>
      </c>
      <c r="M1909" s="59">
        <f>IFERROR(IF(OR(J1909=0,K1909=""),"",IF(E1909="Positivo",MAX(K1909/J1909,0),MAX(J1909/K1909,0))),"") </f>
        <v/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384-2023-12-31</t>
        </is>
      </c>
    </row>
    <row r="1910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48" t="n">
        <v>45473</v>
      </c>
      <c r="G1910" t="n">
        <v>2024</v>
      </c>
      <c r="H1910" t="inlineStr">
        <is>
          <t>Junio</t>
        </is>
      </c>
      <c r="I1910" t="inlineStr">
        <is>
          <t>2024-1</t>
        </is>
      </c>
      <c r="J1910" t="n">
        <v>100</v>
      </c>
      <c r="K1910" t="n">
        <v>102.2</v>
      </c>
      <c r="L1910" s="59">
        <f>IFERROR(IF(OR(J1910=0,K1910=""),"",IF(E1910="Positivo",MIN(MAX(K1910/J1910,0),1.3),MIN(MAX(J1910/K1910,0),1.3))),"") </f>
        <v/>
      </c>
      <c r="M1910" s="59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384-2024-06-30</t>
        </is>
      </c>
    </row>
    <row r="1911">
      <c r="A1911" t="n">
        <v>384</v>
      </c>
      <c r="B1911" t="inlineStr">
        <is>
          <t>Cumplimiento de matrículas posgrado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48" t="n">
        <v>45657</v>
      </c>
      <c r="G1911" t="n">
        <v>2024</v>
      </c>
      <c r="H1911" t="inlineStr">
        <is>
          <t>Diciembre</t>
        </is>
      </c>
      <c r="I1911" t="inlineStr">
        <is>
          <t>2024-2</t>
        </is>
      </c>
      <c r="J1911" t="n">
        <v>100</v>
      </c>
      <c r="K1911" t="n">
        <v>87.90000000000001</v>
      </c>
      <c r="L1911" s="59">
        <f>IFERROR(IF(OR(J1911=0,K1911=""),"",IF(E1911="Positivo",MIN(MAX(K1911/J1911,0),1.3),MIN(MAX(J1911/K1911,0),1.3))),"") </f>
        <v/>
      </c>
      <c r="M1911" s="59">
        <f>IFERROR(IF(OR(J1911=0,K1911=""),"",IF(E1911="Positivo",MAX(K1911/J1911,0),MAX(J1911/K1911,0))),"") </f>
        <v/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384-2024-12-31</t>
        </is>
      </c>
    </row>
    <row r="1912">
      <c r="A1912" t="n">
        <v>384</v>
      </c>
      <c r="B1912" t="inlineStr">
        <is>
          <t>Cumplimiento de matrículas posgrado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48" t="n">
        <v>45838</v>
      </c>
      <c r="G1912" t="n">
        <v>2025</v>
      </c>
      <c r="H1912" t="inlineStr">
        <is>
          <t>Junio</t>
        </is>
      </c>
      <c r="I1912" t="inlineStr">
        <is>
          <t>2025-1</t>
        </is>
      </c>
      <c r="J1912" t="n">
        <v>100</v>
      </c>
      <c r="K1912" t="n">
        <v>103.23</v>
      </c>
      <c r="L1912" s="59">
        <f>IFERROR(IF(OR(J1912=0,K1912=""),"",IF(E1912="Positivo",MIN(MAX(K1912/J1912,0),1.3),MIN(MAX(J1912/K1912,0),1.3))),"") </f>
        <v/>
      </c>
      <c r="M1912" s="59">
        <f>IFERROR(IF(OR(J1912=0,K1912=""),"",IF(E1912="Positivo",MAX(K1912/J1912,0),MAX(J1912/K1912,0))),"") </f>
        <v/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384-2025-06-30</t>
        </is>
      </c>
    </row>
    <row r="1913">
      <c r="A1913" t="n">
        <v>384</v>
      </c>
      <c r="B1913" t="inlineStr">
        <is>
          <t>Cumplimiento de matrículas posgrado presencial nuevos</t>
        </is>
      </c>
      <c r="C1913" t="inlineStr">
        <is>
          <t>Inscripción, admisión y matrícula de estudiantes nuevos</t>
        </is>
      </c>
      <c r="D1913" t="inlineStr">
        <is>
          <t>Trimestral</t>
        </is>
      </c>
      <c r="E1913" t="inlineStr">
        <is>
          <t>Positivo</t>
        </is>
      </c>
      <c r="F1913" s="148" t="n">
        <v>46022</v>
      </c>
      <c r="G1913" t="n">
        <v>2025</v>
      </c>
      <c r="H1913" t="inlineStr">
        <is>
          <t>Diciembre</t>
        </is>
      </c>
      <c r="I1913" t="inlineStr">
        <is>
          <t>2025-2</t>
        </is>
      </c>
      <c r="J1913" t="n">
        <v>100</v>
      </c>
      <c r="K1913" t="n">
        <v>100.93</v>
      </c>
      <c r="L1913" s="59">
        <f>IFERROR(IF(OR(J1913=0,K1913=""),"",IF(E1913="Positivo",MIN(MAX(K1913/J1913,0),1.3),MIN(MAX(J1913/K1913,0),1.3))),"") </f>
        <v/>
      </c>
      <c r="M1913" s="59">
        <f>IFERROR(IF(OR(J1913=0,K1913=""),"",IF(E1913="Positivo",MAX(K1913/J1913,0),MAX(J1913/K1913,0))),"") </f>
        <v/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384-2025-12-31</t>
        </is>
      </c>
    </row>
    <row r="1914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48" t="n">
        <v>45107</v>
      </c>
      <c r="G1914" t="n">
        <v>2023</v>
      </c>
      <c r="H1914" t="inlineStr">
        <is>
          <t>Junio</t>
        </is>
      </c>
      <c r="I1914" t="inlineStr">
        <is>
          <t>2023-1</t>
        </is>
      </c>
      <c r="J1914" t="n">
        <v>100</v>
      </c>
      <c r="K1914" t="n">
        <v>102.98486566654</v>
      </c>
      <c r="L1914" s="59">
        <f>IFERROR(IF(OR(J1914=0,K1914=""),"",IF(E1914="Positivo",MIN(MAX(K1914/J1914,0),1.3),MIN(MAX(J1914/K1914,0),1.3))),"") </f>
        <v/>
      </c>
      <c r="M1914" s="59">
        <f>IFERROR(IF(OR(J1914=0,K1914=""),"",IF(E1914="Positivo",MAX(K1914/J1914,0),MAX(J1914/K1914,0))),"") </f>
        <v/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385-2023-06-30</t>
        </is>
      </c>
    </row>
    <row r="1915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Semestral</t>
        </is>
      </c>
      <c r="E1915" t="inlineStr">
        <is>
          <t>Positivo</t>
        </is>
      </c>
      <c r="F1915" s="148" t="n">
        <v>45291</v>
      </c>
      <c r="G1915" t="n">
        <v>2023</v>
      </c>
      <c r="H1915" t="inlineStr">
        <is>
          <t>Diciembre</t>
        </is>
      </c>
      <c r="I1915" t="inlineStr">
        <is>
          <t>2023-2</t>
        </is>
      </c>
      <c r="J1915" t="n">
        <v>100</v>
      </c>
      <c r="K1915" t="n">
        <v>124.93</v>
      </c>
      <c r="L1915" s="59">
        <f>IFERROR(IF(OR(J1915=0,K1915=""),"",IF(E1915="Positivo",MIN(MAX(K1915/J1915,0),1.3),MIN(MAX(J1915/K1915,0),1.3))),"") </f>
        <v/>
      </c>
      <c r="M1915" s="59">
        <f>IFERROR(IF(OR(J1915=0,K1915=""),"",IF(E1915="Positivo",MAX(K1915/J1915,0),MAX(J1915/K1915,0))),"") </f>
        <v/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385-2023-12-31</t>
        </is>
      </c>
    </row>
    <row r="1916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Semestral</t>
        </is>
      </c>
      <c r="E1916" t="inlineStr">
        <is>
          <t>Positivo</t>
        </is>
      </c>
      <c r="F1916" s="148" t="n">
        <v>45473</v>
      </c>
      <c r="G1916" t="n">
        <v>2024</v>
      </c>
      <c r="H1916" t="inlineStr">
        <is>
          <t>Junio</t>
        </is>
      </c>
      <c r="I1916" t="inlineStr">
        <is>
          <t>2024-1</t>
        </is>
      </c>
      <c r="J1916" t="n">
        <v>100</v>
      </c>
      <c r="K1916" t="n">
        <v>113.63</v>
      </c>
      <c r="L1916" s="59">
        <f>IFERROR(IF(OR(J1916=0,K1916=""),"",IF(E1916="Positivo",MIN(MAX(K1916/J1916,0),1.3),MIN(MAX(J1916/K1916,0),1.3))),"") </f>
        <v/>
      </c>
      <c r="M1916" s="59">
        <f>IFERROR(IF(OR(J1916=0,K1916=""),"",IF(E1916="Positivo",MAX(K1916/J1916,0),MAX(J1916/K1916,0))),"") </f>
        <v/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385-2024-06-30</t>
        </is>
      </c>
    </row>
    <row r="1917">
      <c r="A1917" t="n">
        <v>385</v>
      </c>
      <c r="B1917" t="inlineStr">
        <is>
          <t>Ingresos totales de educación para la vida</t>
        </is>
      </c>
      <c r="C1917" t="inlineStr">
        <is>
          <t>Mercadeo y venta de educación para la vida</t>
        </is>
      </c>
      <c r="D1917" t="inlineStr">
        <is>
          <t>Semestral</t>
        </is>
      </c>
      <c r="E1917" t="inlineStr">
        <is>
          <t>Positivo</t>
        </is>
      </c>
      <c r="F1917" s="148" t="n">
        <v>45657</v>
      </c>
      <c r="G1917" t="n">
        <v>2024</v>
      </c>
      <c r="H1917" t="inlineStr">
        <is>
          <t>Diciembre</t>
        </is>
      </c>
      <c r="I1917" t="inlineStr">
        <is>
          <t>2024-2</t>
        </is>
      </c>
      <c r="J1917" t="n">
        <v>100</v>
      </c>
      <c r="K1917" t="n">
        <v>88.56</v>
      </c>
      <c r="L1917" s="59">
        <f>IFERROR(IF(OR(J1917=0,K1917=""),"",IF(E1917="Positivo",MIN(MAX(K1917/J1917,0),1.3),MIN(MAX(J1917/K1917,0),1.3))),"") </f>
        <v/>
      </c>
      <c r="M1917" s="59">
        <f>IFERROR(IF(OR(J1917=0,K1917=""),"",IF(E1917="Positivo",MAX(K1917/J1917,0),MAX(J1917/K1917,0))),"") </f>
        <v/>
      </c>
      <c r="N1917" t="inlineStr">
        <is>
          <t>$</t>
        </is>
      </c>
      <c r="O1917" t="inlineStr">
        <is>
          <t>$</t>
        </is>
      </c>
      <c r="P1917" t="n">
        <v>0</v>
      </c>
      <c r="Q1917" t="n">
        <v>0</v>
      </c>
      <c r="R1917" t="inlineStr">
        <is>
          <t>385-2024-12-31</t>
        </is>
      </c>
    </row>
    <row r="1918">
      <c r="A1918" t="n">
        <v>385</v>
      </c>
      <c r="B1918" t="inlineStr">
        <is>
          <t>Ingresos totales de educación para la vida</t>
        </is>
      </c>
      <c r="C1918" t="inlineStr">
        <is>
          <t>Mercadeo y venta de educación para la vida</t>
        </is>
      </c>
      <c r="D1918" t="inlineStr">
        <is>
          <t>Semestral</t>
        </is>
      </c>
      <c r="E1918" t="inlineStr">
        <is>
          <t>Positivo</t>
        </is>
      </c>
      <c r="F1918" s="148" t="n">
        <v>45838</v>
      </c>
      <c r="G1918" t="n">
        <v>2025</v>
      </c>
      <c r="H1918" t="inlineStr">
        <is>
          <t>Junio</t>
        </is>
      </c>
      <c r="I1918" t="inlineStr">
        <is>
          <t>2025-1</t>
        </is>
      </c>
      <c r="J1918" t="n">
        <v>100</v>
      </c>
      <c r="K1918" t="n">
        <v>118.92</v>
      </c>
      <c r="L1918" s="59">
        <f>IFERROR(IF(OR(J1918=0,K1918=""),"",IF(E1918="Positivo",MIN(MAX(K1918/J1918,0),1.3),MIN(MAX(J1918/K1918,0),1.3))),"") </f>
        <v/>
      </c>
      <c r="M1918" s="59">
        <f>IFERROR(IF(OR(J1918=0,K1918=""),"",IF(E1918="Positivo",MAX(K1918/J1918,0),MAX(J1918/K1918,0))),"") </f>
        <v/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385-2025-06-30</t>
        </is>
      </c>
    </row>
    <row r="1919">
      <c r="A1919" t="n">
        <v>385</v>
      </c>
      <c r="B1919" t="inlineStr">
        <is>
          <t>Ingresos totales de educación para la vida</t>
        </is>
      </c>
      <c r="C1919" t="inlineStr">
        <is>
          <t>Mercadeo y venta de educación para la vida</t>
        </is>
      </c>
      <c r="D1919" t="inlineStr">
        <is>
          <t>Trimestral</t>
        </is>
      </c>
      <c r="E1919" t="inlineStr">
        <is>
          <t>Positivo</t>
        </is>
      </c>
      <c r="F1919" s="148" t="n">
        <v>46022</v>
      </c>
      <c r="G1919" t="n">
        <v>2025</v>
      </c>
      <c r="H1919" t="inlineStr">
        <is>
          <t>Diciembre</t>
        </is>
      </c>
      <c r="I1919" t="inlineStr">
        <is>
          <t>2025-2</t>
        </is>
      </c>
      <c r="J1919" t="n">
        <v>100</v>
      </c>
      <c r="K1919" t="n">
        <v>108.89</v>
      </c>
      <c r="L1919" s="59">
        <f>IFERROR(IF(OR(J1919=0,K1919=""),"",IF(E1919="Positivo",MIN(MAX(K1919/J1919,0),1.3),MIN(MAX(J1919/K1919,0),1.3))),"") </f>
        <v/>
      </c>
      <c r="M1919" s="59">
        <f>IFERROR(IF(OR(J1919=0,K1919=""),"",IF(E1919="Positivo",MAX(K1919/J1919,0),MAX(J1919/K1919,0))),"") </f>
        <v/>
      </c>
      <c r="N1919" t="inlineStr">
        <is>
          <t>$</t>
        </is>
      </c>
      <c r="O1919" t="inlineStr">
        <is>
          <t>$</t>
        </is>
      </c>
      <c r="P1919" t="n">
        <v>0</v>
      </c>
      <c r="Q1919" t="n">
        <v>0</v>
      </c>
      <c r="R1919" t="inlineStr">
        <is>
          <t>385-2025-12-31</t>
        </is>
      </c>
    </row>
    <row r="1920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Trimestral</t>
        </is>
      </c>
      <c r="E1920" t="inlineStr">
        <is>
          <t>Positivo</t>
        </is>
      </c>
      <c r="F1920" s="148" t="n">
        <v>45107</v>
      </c>
      <c r="G1920" t="n">
        <v>2023</v>
      </c>
      <c r="H1920" t="inlineStr">
        <is>
          <t>Junio</t>
        </is>
      </c>
      <c r="I1920" t="inlineStr">
        <is>
          <t>2023-1</t>
        </is>
      </c>
      <c r="J1920" t="n">
        <v>100</v>
      </c>
      <c r="K1920" t="n">
        <v>102.98486566654</v>
      </c>
      <c r="L1920" s="59">
        <f>IFERROR(IF(OR(J1920=0,K1920=""),"",IF(E1920="Positivo",MIN(MAX(K1920/J1920,0),1.3),MIN(MAX(J1920/K1920,0),1.3))),"") </f>
        <v/>
      </c>
      <c r="M1920" s="59">
        <f>IFERROR(IF(OR(J1920=0,K1920=""),"",IF(E1920="Positivo",MAX(K1920/J1920,0),MAX(J1920/K1920,0))),"") </f>
        <v/>
      </c>
      <c r="N1920" t="inlineStr">
        <is>
          <t>%</t>
        </is>
      </c>
      <c r="O1920" t="inlineStr">
        <is>
          <t>%</t>
        </is>
      </c>
      <c r="P1920" t="n">
        <v>0</v>
      </c>
      <c r="Q1920" t="n">
        <v>0</v>
      </c>
      <c r="R1920" t="inlineStr">
        <is>
          <t>386-2023-06-30</t>
        </is>
      </c>
    </row>
    <row r="192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Semestral</t>
        </is>
      </c>
      <c r="E1921" t="inlineStr">
        <is>
          <t>Positivo</t>
        </is>
      </c>
      <c r="F1921" s="148" t="n">
        <v>45291</v>
      </c>
      <c r="G1921" t="n">
        <v>2023</v>
      </c>
      <c r="H1921" t="inlineStr">
        <is>
          <t>Diciembre</t>
        </is>
      </c>
      <c r="I1921" t="inlineStr">
        <is>
          <t>2023-2</t>
        </is>
      </c>
      <c r="J1921" t="n">
        <v>100</v>
      </c>
      <c r="K1921" t="n">
        <v>138.22</v>
      </c>
      <c r="L1921" s="59">
        <f>IFERROR(IF(OR(J1921=0,K1921=""),"",IF(E1921="Positivo",MIN(MAX(K1921/J1921,0),1.3),MIN(MAX(J1921/K1921,0),1.3))),"") </f>
        <v/>
      </c>
      <c r="M1921" s="59">
        <f>IFERROR(IF(OR(J1921=0,K1921=""),"",IF(E1921="Positivo",MAX(K1921/J1921,0),MAX(J1921/K1921,0))),"") </f>
        <v/>
      </c>
      <c r="N1921" t="inlineStr">
        <is>
          <t>$</t>
        </is>
      </c>
      <c r="O1921" t="inlineStr">
        <is>
          <t>$</t>
        </is>
      </c>
      <c r="P1921" t="n">
        <v>0</v>
      </c>
      <c r="Q1921" t="n">
        <v>0</v>
      </c>
      <c r="R1921" t="inlineStr">
        <is>
          <t>386-2023-12-31</t>
        </is>
      </c>
    </row>
    <row r="1922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Semestral</t>
        </is>
      </c>
      <c r="E1922" t="inlineStr">
        <is>
          <t>Positivo</t>
        </is>
      </c>
      <c r="F1922" s="148" t="n">
        <v>45473</v>
      </c>
      <c r="G1922" t="n">
        <v>2024</v>
      </c>
      <c r="H1922" t="inlineStr">
        <is>
          <t>Junio</t>
        </is>
      </c>
      <c r="I1922" t="inlineStr">
        <is>
          <t>2024-1</t>
        </is>
      </c>
      <c r="J1922" t="n">
        <v>100</v>
      </c>
      <c r="K1922" t="n">
        <v>113.63</v>
      </c>
      <c r="L1922" s="59">
        <f>IFERROR(IF(OR(J1922=0,K1922=""),"",IF(E1922="Positivo",MIN(MAX(K1922/J1922,0),1.3),MIN(MAX(J1922/K1922,0),1.3))),"") </f>
        <v/>
      </c>
      <c r="M1922" s="59">
        <f>IFERROR(IF(OR(J1922=0,K1922=""),"",IF(E1922="Positivo",MAX(K1922/J1922,0),MAX(J1922/K1922,0))),"") </f>
        <v/>
      </c>
      <c r="N1922" t="inlineStr">
        <is>
          <t>$</t>
        </is>
      </c>
      <c r="O1922" t="inlineStr">
        <is>
          <t>$</t>
        </is>
      </c>
      <c r="P1922" t="n">
        <v>0</v>
      </c>
      <c r="Q1922" t="n">
        <v>0</v>
      </c>
      <c r="R1922" t="inlineStr">
        <is>
          <t>386-2024-06-30</t>
        </is>
      </c>
    </row>
    <row r="1923">
      <c r="A1923" t="n">
        <v>386</v>
      </c>
      <c r="B1923" t="inlineStr">
        <is>
          <t>Cumplimiento Meta comercial Educación para toda la vida por linea</t>
        </is>
      </c>
      <c r="C1923" t="inlineStr">
        <is>
          <t>Mercadeo y venta de educación para la vida</t>
        </is>
      </c>
      <c r="D1923" t="inlineStr">
        <is>
          <t>Semestral</t>
        </is>
      </c>
      <c r="E1923" t="inlineStr">
        <is>
          <t>Positivo</t>
        </is>
      </c>
      <c r="F1923" s="148" t="n">
        <v>45657</v>
      </c>
      <c r="G1923" t="n">
        <v>2024</v>
      </c>
      <c r="H1923" t="inlineStr">
        <is>
          <t>Diciembre</t>
        </is>
      </c>
      <c r="I1923" t="inlineStr">
        <is>
          <t>2024-2</t>
        </is>
      </c>
      <c r="J1923" t="n">
        <v>100</v>
      </c>
      <c r="K1923" t="n">
        <v>75.01000000000001</v>
      </c>
      <c r="L1923" s="59">
        <f>IFERROR(IF(OR(J1923=0,K1923=""),"",IF(E1923="Positivo",MIN(MAX(K1923/J1923,0),1.3),MIN(MAX(J1923/K1923,0),1.3))),"") </f>
        <v/>
      </c>
      <c r="M1923" s="59">
        <f>IFERROR(IF(OR(J1923=0,K1923=""),"",IF(E1923="Positivo",MAX(K1923/J1923,0),MAX(J1923/K1923,0))),"") </f>
        <v/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386-2024-12-31</t>
        </is>
      </c>
    </row>
    <row r="1924">
      <c r="A1924" t="n">
        <v>386</v>
      </c>
      <c r="B1924" t="inlineStr">
        <is>
          <t>Cumplimiento Meta comercial Educación para toda la vida por linea</t>
        </is>
      </c>
      <c r="C1924" t="inlineStr">
        <is>
          <t>Mercadeo y venta de educación para la vida</t>
        </is>
      </c>
      <c r="D1924" t="inlineStr">
        <is>
          <t>Semestral</t>
        </is>
      </c>
      <c r="E1924" t="inlineStr">
        <is>
          <t>Positivo</t>
        </is>
      </c>
      <c r="F1924" s="148" t="n">
        <v>45838</v>
      </c>
      <c r="G1924" t="n">
        <v>2025</v>
      </c>
      <c r="H1924" t="inlineStr">
        <is>
          <t>Junio</t>
        </is>
      </c>
      <c r="I1924" t="inlineStr">
        <is>
          <t>2025-1</t>
        </is>
      </c>
      <c r="J1924" t="n">
        <v>100</v>
      </c>
      <c r="K1924" t="n">
        <v>118.92</v>
      </c>
      <c r="L1924" s="59">
        <f>IFERROR(IF(OR(J1924=0,K1924=""),"",IF(E1924="Positivo",MIN(MAX(K1924/J1924,0),1.3),MIN(MAX(J1924/K1924,0),1.3))),"") </f>
        <v/>
      </c>
      <c r="M1924" s="59">
        <f>IFERROR(IF(OR(J1924=0,K1924=""),"",IF(E1924="Positivo",MAX(K1924/J1924,0),MAX(J1924/K1924,0))),"") </f>
        <v/>
      </c>
      <c r="N1924" t="inlineStr">
        <is>
          <t>$</t>
        </is>
      </c>
      <c r="O1924" t="inlineStr">
        <is>
          <t>$</t>
        </is>
      </c>
      <c r="P1924" t="n">
        <v>0</v>
      </c>
      <c r="Q1924" t="n">
        <v>0</v>
      </c>
      <c r="R1924" t="inlineStr">
        <is>
          <t>386-2025-06-30</t>
        </is>
      </c>
    </row>
    <row r="1925">
      <c r="A1925" t="n">
        <v>386</v>
      </c>
      <c r="B1925" t="inlineStr">
        <is>
          <t>Cumplimiento Meta comercial Educación para toda la vida por linea</t>
        </is>
      </c>
      <c r="C1925" t="inlineStr">
        <is>
          <t>Mercadeo y venta de educación para la vida</t>
        </is>
      </c>
      <c r="D1925" t="inlineStr">
        <is>
          <t>Trimestral</t>
        </is>
      </c>
      <c r="E1925" t="inlineStr">
        <is>
          <t>Positivo</t>
        </is>
      </c>
      <c r="F1925" s="148" t="n">
        <v>46022</v>
      </c>
      <c r="G1925" t="n">
        <v>2025</v>
      </c>
      <c r="H1925" t="inlineStr">
        <is>
          <t>Diciembre</t>
        </is>
      </c>
      <c r="I1925" t="inlineStr">
        <is>
          <t>2025-2</t>
        </is>
      </c>
      <c r="J1925" t="n">
        <v>100</v>
      </c>
      <c r="K1925" t="n">
        <v>106.54</v>
      </c>
      <c r="L1925" s="59">
        <f>IFERROR(IF(OR(J1925=0,K1925=""),"",IF(E1925="Positivo",MIN(MAX(K1925/J1925,0),1.3),MIN(MAX(J1925/K1925,0),1.3))),"") </f>
        <v/>
      </c>
      <c r="M1925" s="59">
        <f>IFERROR(IF(OR(J1925=0,K1925=""),"",IF(E1925="Positivo",MAX(K1925/J1925,0),MAX(J1925/K1925,0))),"") </f>
        <v/>
      </c>
      <c r="N1925" t="inlineStr">
        <is>
          <t>%</t>
        </is>
      </c>
      <c r="O1925" t="inlineStr">
        <is>
          <t>%</t>
        </is>
      </c>
      <c r="P1925" t="n">
        <v>0</v>
      </c>
      <c r="Q1925" t="n">
        <v>0</v>
      </c>
      <c r="R1925" t="inlineStr">
        <is>
          <t>386-2025-12-31</t>
        </is>
      </c>
    </row>
    <row r="1926">
      <c r="A1926" t="n">
        <v>387</v>
      </c>
      <c r="B1926" t="inlineStr">
        <is>
          <t>Programas con reforzamiento curricular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48" t="n">
        <v>45107</v>
      </c>
      <c r="G1926" t="n">
        <v>2023</v>
      </c>
      <c r="H1926" t="inlineStr">
        <is>
          <t>Junio</t>
        </is>
      </c>
      <c r="I1926" t="inlineStr">
        <is>
          <t>2023-1</t>
        </is>
      </c>
      <c r="J1926" t="n">
        <v>38</v>
      </c>
      <c r="K1926" t="n">
        <v>38</v>
      </c>
      <c r="L1926" s="59">
        <f>IFERROR(IF(OR(J1926=0,K1926=""),"",IF(E1926="Positivo",MIN(MAX(K1926/J1926,0),1.3),MIN(MAX(J1926/K1926,0),1.3))),"") </f>
        <v/>
      </c>
      <c r="M1926" s="59">
        <f>IFERROR(IF(OR(J1926=0,K1926=""),"",IF(E1926="Positivo",MAX(K1926/J1926,0),MAX(J1926/K1926,0))),"") </f>
        <v/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387-2023-06-30</t>
        </is>
      </c>
    </row>
    <row r="1927">
      <c r="A1927" t="n">
        <v>387</v>
      </c>
      <c r="B1927" t="inlineStr">
        <is>
          <t>Programas con reforzamiento curricular por escuela</t>
        </is>
      </c>
      <c r="C1927" t="inlineStr">
        <is>
          <t>Gestión, Evaluación e Innovación Curricular</t>
        </is>
      </c>
      <c r="D1927" t="inlineStr">
        <is>
          <t>Semestral</t>
        </is>
      </c>
      <c r="E1927" t="inlineStr">
        <is>
          <t>Positivo</t>
        </is>
      </c>
      <c r="F1927" s="148" t="n">
        <v>45291</v>
      </c>
      <c r="G1927" t="n">
        <v>2023</v>
      </c>
      <c r="H1927" t="inlineStr">
        <is>
          <t>Diciembre</t>
        </is>
      </c>
      <c r="I1927" t="inlineStr">
        <is>
          <t>2023-2</t>
        </is>
      </c>
      <c r="J1927" t="n">
        <v>0</v>
      </c>
      <c r="K1927" t="n">
        <v>0</v>
      </c>
      <c r="L1927" s="59">
        <f>IFERROR(IF(OR(J1927=0,K1927=""),"",IF(E1927="Positivo",MIN(MAX(K1927/J1927,0),1.3),MIN(MAX(J1927/K1927,0),1.3))),"") </f>
        <v/>
      </c>
      <c r="M1927" s="59">
        <f>IFERROR(IF(OR(J1927=0,K1927=""),"",IF(E1927="Positivo",MAX(K1927/J1927,0),MAX(J1927/K1927,0))),"") </f>
        <v/>
      </c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387-2023-12-31</t>
        </is>
      </c>
    </row>
    <row r="1928">
      <c r="A1928" t="n">
        <v>388</v>
      </c>
      <c r="B1928" t="inlineStr">
        <is>
          <t>Programas con matriz de resultados de aprendizaje por escuela</t>
        </is>
      </c>
      <c r="C1928" t="inlineStr">
        <is>
          <t>Gestión, Evaluación e Innovación Curricular</t>
        </is>
      </c>
      <c r="D1928" t="inlineStr">
        <is>
          <t>Semestral</t>
        </is>
      </c>
      <c r="E1928" t="inlineStr">
        <is>
          <t>Positivo</t>
        </is>
      </c>
      <c r="F1928" s="148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77</v>
      </c>
      <c r="K1928" t="n">
        <v>77</v>
      </c>
      <c r="L1928" s="59">
        <f>IFERROR(IF(OR(J1928=0,K1928=""),"",IF(E1928="Positivo",MIN(MAX(K1928/J1928,0),1.3),MIN(MAX(J1928/K1928,0),1.3))),"") </f>
        <v/>
      </c>
      <c r="M1928" s="59">
        <f>IFERROR(IF(OR(J1928=0,K1928=""),"",IF(E1928="Positivo",MAX(K1928/J1928,0),MAX(J1928/K1928,0))),"") </f>
        <v/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388-2023-06-30</t>
        </is>
      </c>
    </row>
    <row r="1929">
      <c r="A1929" t="n">
        <v>388</v>
      </c>
      <c r="B1929" t="inlineStr">
        <is>
          <t>Programas con matriz de resultados de aprendizaje por escuela</t>
        </is>
      </c>
      <c r="C1929" t="inlineStr">
        <is>
          <t>Gestión, Evaluación e Innovación Curricular</t>
        </is>
      </c>
      <c r="D1929" t="inlineStr">
        <is>
          <t>Semestral</t>
        </is>
      </c>
      <c r="E1929" t="inlineStr">
        <is>
          <t>Positivo</t>
        </is>
      </c>
      <c r="F1929" s="148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16</v>
      </c>
      <c r="K1929" t="n">
        <v>16</v>
      </c>
      <c r="L1929" s="59">
        <f>IFERROR(IF(OR(J1929=0,K1929=""),"",IF(E1929="Positivo",MIN(MAX(K1929/J1929,0),1.3),MIN(MAX(J1929/K1929,0),1.3))),"") </f>
        <v/>
      </c>
      <c r="M1929" s="59">
        <f>IFERROR(IF(OR(J1929=0,K1929=""),"",IF(E1929="Positivo",MAX(K1929/J1929,0),MAX(J1929/K1929,0))),"") </f>
        <v/>
      </c>
      <c r="N1929" t="inlineStr">
        <is>
          <t>$</t>
        </is>
      </c>
      <c r="O1929" t="inlineStr">
        <is>
          <t>$</t>
        </is>
      </c>
      <c r="P1929" t="n">
        <v>0</v>
      </c>
      <c r="Q1929" t="n">
        <v>0</v>
      </c>
      <c r="R1929" t="inlineStr">
        <is>
          <t>388-2023-12-31</t>
        </is>
      </c>
    </row>
    <row r="1930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48" t="n">
        <v>45107</v>
      </c>
      <c r="G1930" t="n">
        <v>2023</v>
      </c>
      <c r="H1930" t="inlineStr">
        <is>
          <t>Junio</t>
        </is>
      </c>
      <c r="I1930" t="inlineStr">
        <is>
          <t>2023-1</t>
        </is>
      </c>
      <c r="J1930" t="n">
        <v>91</v>
      </c>
      <c r="K1930" t="n">
        <v>1017.39998626709</v>
      </c>
      <c r="L1930" s="59">
        <f>IFERROR(IF(OR(J1930=0,K1930=""),"",IF(E1930="Positivo",MIN(MAX(K1930/J1930,0),1.3),MIN(MAX(J1930/K1930,0),1.3))),"") </f>
        <v/>
      </c>
      <c r="M1930" s="59">
        <f>IFERROR(IF(OR(J1930=0,K1930=""),"",IF(E1930="Positivo",MAX(K1930/J1930,0),MAX(J1930/K1930,0))),"") </f>
        <v/>
      </c>
      <c r="N1930" t="inlineStr">
        <is>
          <t>$</t>
        </is>
      </c>
      <c r="O1930" t="inlineStr">
        <is>
          <t>$</t>
        </is>
      </c>
      <c r="P1930" t="n">
        <v>0</v>
      </c>
      <c r="Q1930" t="n">
        <v>0</v>
      </c>
      <c r="R1930" t="inlineStr">
        <is>
          <t>389-2023-06-30</t>
        </is>
      </c>
    </row>
    <row r="1931">
      <c r="A1931" t="n">
        <v>389</v>
      </c>
      <c r="B1931" t="inlineStr">
        <is>
          <t>Permanencia por escuela</t>
        </is>
      </c>
      <c r="C1931" t="inlineStr">
        <is>
          <t>Permanencia</t>
        </is>
      </c>
      <c r="D1931" t="inlineStr">
        <is>
          <t>Semestral</t>
        </is>
      </c>
      <c r="E1931" t="inlineStr">
        <is>
          <t>Positivo</t>
        </is>
      </c>
      <c r="F1931" s="148" t="n">
        <v>45291</v>
      </c>
      <c r="G1931" t="n">
        <v>2023</v>
      </c>
      <c r="H1931" t="inlineStr">
        <is>
          <t>Diciembre</t>
        </is>
      </c>
      <c r="I1931" t="inlineStr">
        <is>
          <t>2023-2</t>
        </is>
      </c>
      <c r="J1931" t="n">
        <v>91</v>
      </c>
      <c r="K1931" t="n">
        <v>0</v>
      </c>
      <c r="L1931" s="59">
        <f>IFERROR(IF(OR(J1931=0,K1931=""),"",IF(E1931="Positivo",MIN(MAX(K1931/J1931,0),1.3),MIN(MAX(J1931/K1931,0),1.3))),"") </f>
        <v/>
      </c>
      <c r="M1931" s="59">
        <f>IFERROR(IF(OR(J1931=0,K1931=""),"",IF(E1931="Positivo",MAX(K1931/J1931,0),MAX(J1931/K1931,0))),"") </f>
        <v/>
      </c>
      <c r="N1931" t="inlineStr">
        <is>
          <t>$</t>
        </is>
      </c>
      <c r="O1931" t="inlineStr">
        <is>
          <t>$</t>
        </is>
      </c>
      <c r="P1931" t="n">
        <v>0</v>
      </c>
      <c r="Q1931" t="n">
        <v>0</v>
      </c>
      <c r="R1931" t="inlineStr">
        <is>
          <t>389-2023-12-31</t>
        </is>
      </c>
    </row>
    <row r="1932">
      <c r="A1932" t="n">
        <v>389</v>
      </c>
      <c r="B1932" t="inlineStr">
        <is>
          <t>Permanencia por escuela</t>
        </is>
      </c>
      <c r="C1932" t="inlineStr">
        <is>
          <t>Permanencia</t>
        </is>
      </c>
      <c r="D1932" t="inlineStr">
        <is>
          <t>Semestral</t>
        </is>
      </c>
      <c r="E1932" t="inlineStr">
        <is>
          <t>Positivo</t>
        </is>
      </c>
      <c r="F1932" s="148" t="n">
        <v>45473</v>
      </c>
      <c r="G1932" t="n">
        <v>2024</v>
      </c>
      <c r="H1932" t="inlineStr">
        <is>
          <t>Junio</t>
        </is>
      </c>
      <c r="I1932" t="inlineStr">
        <is>
          <t>2024-1</t>
        </is>
      </c>
      <c r="J1932" t="n">
        <v>85</v>
      </c>
      <c r="K1932" t="n">
        <v>84.43333333333332</v>
      </c>
      <c r="L1932" s="59">
        <f>IFERROR(IF(OR(J1932=0,K1932=""),"",IF(E1932="Positivo",MIN(MAX(K1932/J1932,0),1.3),MIN(MAX(J1932/K1932,0),1.3))),"") </f>
        <v/>
      </c>
      <c r="M1932" s="59">
        <f>IFERROR(IF(OR(J1932=0,K1932=""),"",IF(E1932="Positivo",MAX(K1932/J1932,0),MAX(J1932/K1932,0))),"") </f>
        <v/>
      </c>
      <c r="N1932" t="inlineStr">
        <is>
          <t>%</t>
        </is>
      </c>
      <c r="O1932" t="inlineStr">
        <is>
          <t>%</t>
        </is>
      </c>
      <c r="P1932" t="n">
        <v>0</v>
      </c>
      <c r="Q1932" t="n">
        <v>0</v>
      </c>
      <c r="R1932" t="inlineStr">
        <is>
          <t>389-2024-06-30</t>
        </is>
      </c>
    </row>
    <row r="1933">
      <c r="A1933" t="n">
        <v>389</v>
      </c>
      <c r="B1933" t="inlineStr">
        <is>
          <t>Permanencia por escuela</t>
        </is>
      </c>
      <c r="C1933" t="inlineStr">
        <is>
          <t>Permanencia</t>
        </is>
      </c>
      <c r="D1933" t="inlineStr">
        <is>
          <t>Semestral</t>
        </is>
      </c>
      <c r="E1933" t="inlineStr">
        <is>
          <t>Positivo</t>
        </is>
      </c>
      <c r="F1933" s="148" t="n">
        <v>45657</v>
      </c>
      <c r="G1933" t="n">
        <v>2024</v>
      </c>
      <c r="H1933" t="inlineStr">
        <is>
          <t>Diciembre</t>
        </is>
      </c>
      <c r="I1933" t="inlineStr">
        <is>
          <t>2024-2</t>
        </is>
      </c>
      <c r="J1933" t="n">
        <v>85</v>
      </c>
      <c r="K1933" t="n">
        <v>0</v>
      </c>
      <c r="L1933" s="59">
        <f>IFERROR(IF(OR(J1933=0,K1933=""),"",IF(E1933="Positivo",MIN(MAX(K1933/J1933,0),1.3),MIN(MAX(J1933/K1933,0),1.3))),"") </f>
        <v/>
      </c>
      <c r="M1933" s="59">
        <f>IFERROR(IF(OR(J1933=0,K1933=""),"",IF(E1933="Positivo",MAX(K1933/J1933,0),MAX(J1933/K1933,0))),"") </f>
        <v/>
      </c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389-2024-12-31</t>
        </is>
      </c>
    </row>
    <row r="1934">
      <c r="A1934" t="n">
        <v>389</v>
      </c>
      <c r="B1934" t="inlineStr">
        <is>
          <t>Permanencia por escuela</t>
        </is>
      </c>
      <c r="C1934" t="inlineStr">
        <is>
          <t>Gestión de Unidades Académicas</t>
        </is>
      </c>
      <c r="D1934" t="inlineStr">
        <is>
          <t>Trimestral</t>
        </is>
      </c>
      <c r="E1934" t="inlineStr">
        <is>
          <t>Positivo</t>
        </is>
      </c>
      <c r="F1934" s="148" t="n">
        <v>45838</v>
      </c>
      <c r="G1934" t="n">
        <v>2025</v>
      </c>
      <c r="H1934" t="inlineStr">
        <is>
          <t>Junio</t>
        </is>
      </c>
      <c r="I1934" t="inlineStr">
        <is>
          <t>2025-1</t>
        </is>
      </c>
      <c r="K1934" t="n">
        <v>0</v>
      </c>
      <c r="L1934" s="59" t="n"/>
      <c r="M1934" s="59" t="n"/>
      <c r="N1934" t="inlineStr">
        <is>
          <t>%</t>
        </is>
      </c>
      <c r="O1934" t="inlineStr">
        <is>
          <t>%</t>
        </is>
      </c>
      <c r="P1934" t="n">
        <v>0</v>
      </c>
      <c r="Q1934" t="n">
        <v>0</v>
      </c>
      <c r="R1934" t="inlineStr">
        <is>
          <t>389-2025-06-30</t>
        </is>
      </c>
    </row>
    <row r="1935">
      <c r="A1935" t="n">
        <v>389</v>
      </c>
      <c r="B1935" t="inlineStr">
        <is>
          <t>Permanencia por escuela</t>
        </is>
      </c>
      <c r="C1935" t="inlineStr">
        <is>
          <t>Gestión de Unidades Académicas</t>
        </is>
      </c>
      <c r="D1935" t="inlineStr">
        <is>
          <t>Trimestral</t>
        </is>
      </c>
      <c r="E1935" t="inlineStr">
        <is>
          <t>Positivo</t>
        </is>
      </c>
      <c r="F1935" s="148" t="n">
        <v>46022</v>
      </c>
      <c r="G1935" t="n">
        <v>2025</v>
      </c>
      <c r="H1935" t="inlineStr">
        <is>
          <t>Diciembre</t>
        </is>
      </c>
      <c r="I1935" t="inlineStr">
        <is>
          <t>2025-2</t>
        </is>
      </c>
      <c r="L1935" s="59" t="n"/>
      <c r="M1935" s="59" t="n"/>
      <c r="N1935" t="inlineStr">
        <is>
          <t>%</t>
        </is>
      </c>
      <c r="O1935" t="inlineStr">
        <is>
          <t>No Aplica</t>
        </is>
      </c>
      <c r="P1935" t="n">
        <v>0</v>
      </c>
      <c r="Q1935" t="n">
        <v>0</v>
      </c>
      <c r="R1935" t="inlineStr">
        <is>
          <t>389-2025-12-31</t>
        </is>
      </c>
      <c r="S1935" t="inlineStr">
        <is>
          <t>No Aplica</t>
        </is>
      </c>
    </row>
    <row r="1936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Semestral</t>
        </is>
      </c>
      <c r="E1936" t="inlineStr">
        <is>
          <t>Positivo</t>
        </is>
      </c>
      <c r="F1936" s="148" t="n">
        <v>45016</v>
      </c>
      <c r="G1936" t="n">
        <v>2023</v>
      </c>
      <c r="H1936" t="inlineStr">
        <is>
          <t>Marzo</t>
        </is>
      </c>
      <c r="I1936" t="inlineStr">
        <is>
          <t>2023-1</t>
        </is>
      </c>
      <c r="J1936" t="n">
        <v>100</v>
      </c>
      <c r="K1936" t="n">
        <v>0</v>
      </c>
      <c r="L1936" s="59">
        <f>IFERROR(IF(OR(J1936=0,K1936=""),"",IF(E1936="Positivo",MIN(MAX(K1936/J1936,0),1.0),MIN(MAX(J1936/K1936,0),1.0))),"") </f>
        <v/>
      </c>
      <c r="M1936" s="59">
        <f>IFERROR(IF(OR(J1936=0,K1936=""),"",IF(E1936="Positivo",MAX(K1936/J1936,0),MAX(J1936/K1936,0))),"") </f>
        <v/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390-2023-03-31</t>
        </is>
      </c>
    </row>
    <row r="1937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48" t="n">
        <v>45107</v>
      </c>
      <c r="G1937" t="n">
        <v>2023</v>
      </c>
      <c r="H1937" t="inlineStr">
        <is>
          <t>Junio</t>
        </is>
      </c>
      <c r="I1937" t="inlineStr">
        <is>
          <t>2023-1</t>
        </is>
      </c>
      <c r="J1937" t="n">
        <v>100</v>
      </c>
      <c r="K1937" t="n">
        <v>110.38416666667</v>
      </c>
      <c r="L1937" s="59">
        <f>IFERROR(IF(OR(J1937=0,K1937=""),"",IF(E1937="Positivo",MIN(MAX(K1937/J1937,0),1.0),MIN(MAX(J1937/K1937,0),1.0))),"") </f>
        <v/>
      </c>
      <c r="M1937" s="59">
        <f>IFERROR(IF(OR(J1937=0,K1937=""),"",IF(E1937="Positivo",MAX(K1937/J1937,0),MAX(J1937/K1937,0))),"") </f>
        <v/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390-2023-06-30</t>
        </is>
      </c>
    </row>
    <row r="1938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48" t="n">
        <v>45199</v>
      </c>
      <c r="G1938" t="n">
        <v>2023</v>
      </c>
      <c r="H1938" t="inlineStr">
        <is>
          <t>Septiembre</t>
        </is>
      </c>
      <c r="I1938" t="inlineStr">
        <is>
          <t>2023-2</t>
        </is>
      </c>
      <c r="J1938" t="n">
        <v>100</v>
      </c>
      <c r="K1938" t="n">
        <v>95.34416666666699</v>
      </c>
      <c r="L1938" s="59">
        <f>IFERROR(IF(OR(J1938=0,K1938=""),"",IF(E1938="Positivo",MIN(MAX(K1938/J1938,0),1.0),MIN(MAX(J1938/K1938,0),1.0))),"") </f>
        <v/>
      </c>
      <c r="M1938" s="59">
        <f>IFERROR(IF(OR(J1938=0,K1938=""),"",IF(E1938="Positivo",MAX(K1938/J1938,0),MAX(J1938/K1938,0))),"") </f>
        <v/>
      </c>
      <c r="N1938" t="inlineStr">
        <is>
          <t>%</t>
        </is>
      </c>
      <c r="O1938" t="inlineStr">
        <is>
          <t>%</t>
        </is>
      </c>
      <c r="P1938" t="n">
        <v>0</v>
      </c>
      <c r="Q1938" t="n">
        <v>0</v>
      </c>
      <c r="R1938" t="inlineStr">
        <is>
          <t>390-2023-09-30</t>
        </is>
      </c>
    </row>
    <row r="1939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48" t="n">
        <v>45291</v>
      </c>
      <c r="G1939" t="n">
        <v>2023</v>
      </c>
      <c r="H1939" t="inlineStr">
        <is>
          <t>Diciembre</t>
        </is>
      </c>
      <c r="I1939" t="inlineStr">
        <is>
          <t>2023-2</t>
        </is>
      </c>
      <c r="J1939" t="n">
        <v>100</v>
      </c>
      <c r="K1939" t="n">
        <v>99.24916666666699</v>
      </c>
      <c r="L1939" s="59">
        <f>IFERROR(IF(OR(J1939=0,K1939=""),"",IF(E1939="Positivo",MIN(MAX(K1939/J1939,0),1.0),MIN(MAX(J1939/K1939,0),1.0))),"") </f>
        <v/>
      </c>
      <c r="M1939" s="59">
        <f>IFERROR(IF(OR(J1939=0,K1939=""),"",IF(E1939="Positivo",MAX(K1939/J1939,0),MAX(J1939/K1939,0))),"") </f>
        <v/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390-2023-12-31</t>
        </is>
      </c>
    </row>
    <row r="1940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48" t="n">
        <v>45382</v>
      </c>
      <c r="G1940" t="n">
        <v>2024</v>
      </c>
      <c r="H1940" t="inlineStr">
        <is>
          <t>Marzo</t>
        </is>
      </c>
      <c r="I1940" t="inlineStr">
        <is>
          <t>2024-1</t>
        </is>
      </c>
      <c r="J1940" t="n">
        <v>100</v>
      </c>
      <c r="K1940" t="n">
        <v>168.53</v>
      </c>
      <c r="L1940" s="59">
        <f>IFERROR(IF(OR(J1940=0,K1940=""),"",IF(E1940="Positivo",MIN(MAX(K1940/J1940,0),1.0),MIN(MAX(J1940/K1940,0),1.0))),"") </f>
        <v/>
      </c>
      <c r="M1940" s="59">
        <f>IFERROR(IF(OR(J1940=0,K1940=""),"",IF(E1940="Positivo",MAX(K1940/J1940,0),MAX(J1940/K1940,0))),"") </f>
        <v/>
      </c>
      <c r="P1940" t="n">
        <v>0</v>
      </c>
      <c r="Q1940" t="n">
        <v>0</v>
      </c>
      <c r="R1940" t="inlineStr">
        <is>
          <t>390-2024-03-31</t>
        </is>
      </c>
    </row>
    <row r="194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Trimestral</t>
        </is>
      </c>
      <c r="E1941" t="inlineStr">
        <is>
          <t>Positivo</t>
        </is>
      </c>
      <c r="F1941" s="148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110.59</v>
      </c>
      <c r="L1941" s="59">
        <f>IFERROR(IF(OR(J1941=0,K1941=""),"",IF(E1941="Positivo",MIN(MAX(K1941/J1941,0),1.0),MIN(MAX(J1941/K1941,0),1.0))),"") </f>
        <v/>
      </c>
      <c r="M1941" s="59">
        <f>IFERROR(IF(OR(J1941=0,K1941=""),"",IF(E1941="Positivo",MAX(K1941/J1941,0),MAX(J1941/K1941,0))),"") </f>
        <v/>
      </c>
      <c r="P1941" t="n">
        <v>0</v>
      </c>
      <c r="Q1941" t="n">
        <v>0</v>
      </c>
      <c r="R1941" t="inlineStr">
        <is>
          <t>390-2024-06-30</t>
        </is>
      </c>
    </row>
    <row r="1942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Trimestral</t>
        </is>
      </c>
      <c r="E1942" t="inlineStr">
        <is>
          <t>Positivo</t>
        </is>
      </c>
      <c r="F1942" s="148" t="n">
        <v>45565</v>
      </c>
      <c r="G1942" t="n">
        <v>2024</v>
      </c>
      <c r="H1942" t="inlineStr">
        <is>
          <t>Septiembre</t>
        </is>
      </c>
      <c r="I1942" t="inlineStr">
        <is>
          <t>2024-2</t>
        </is>
      </c>
      <c r="J1942" t="n">
        <v>100</v>
      </c>
      <c r="K1942" t="n">
        <v>83.31999999999999</v>
      </c>
      <c r="L1942" s="59">
        <f>IFERROR(IF(OR(J1942=0,K1942=""),"",IF(E1942="Positivo",MIN(MAX(K1942/J1942,0),1.0),MIN(MAX(J1942/K1942,0),1.0))),"") </f>
        <v/>
      </c>
      <c r="M1942" s="59">
        <f>IFERROR(IF(OR(J1942=0,K1942=""),"",IF(E1942="Positivo",MAX(K1942/J1942,0),MAX(J1942/K1942,0))),"") </f>
        <v/>
      </c>
      <c r="P1942" t="n">
        <v>0</v>
      </c>
      <c r="Q1942" t="n">
        <v>0</v>
      </c>
      <c r="R1942" t="inlineStr">
        <is>
          <t>390-2024-09-30</t>
        </is>
      </c>
    </row>
    <row r="1943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Trimestral</t>
        </is>
      </c>
      <c r="E1943" t="inlineStr">
        <is>
          <t>Positivo</t>
        </is>
      </c>
      <c r="F1943" s="148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99.92</v>
      </c>
      <c r="L1943" s="59">
        <f>IFERROR(IF(OR(J1943=0,K1943=""),"",IF(E1943="Positivo",MIN(MAX(K1943/J1943,0),1.0),MIN(MAX(J1943/K1943,0),1.0))),"") </f>
        <v/>
      </c>
      <c r="M1943" s="59">
        <f>IFERROR(IF(OR(J1943=0,K1943=""),"",IF(E1943="Positivo",MAX(K1943/J1943,0),MAX(J1943/K1943,0))),"") </f>
        <v/>
      </c>
      <c r="P1943" t="n">
        <v>0</v>
      </c>
      <c r="Q1943" t="n">
        <v>0</v>
      </c>
      <c r="R1943" t="inlineStr">
        <is>
          <t>390-2024-12-31</t>
        </is>
      </c>
    </row>
    <row r="1944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48" t="n">
        <v>45747</v>
      </c>
      <c r="G1944" t="n">
        <v>2025</v>
      </c>
      <c r="H1944" t="inlineStr">
        <is>
          <t>Marzo</t>
        </is>
      </c>
      <c r="I1944" t="inlineStr">
        <is>
          <t>2025-1</t>
        </is>
      </c>
      <c r="J1944" t="n">
        <v>100</v>
      </c>
      <c r="K1944" t="n">
        <v>140.57</v>
      </c>
      <c r="L1944" s="59">
        <f>IFERROR(IF(OR(J1944=0,K1944=""),"",IF(E1944="Positivo",MIN(MAX(K1944/J1944,0),1.0),MIN(MAX(J1944/K1944,0),1.0))),"") </f>
        <v/>
      </c>
      <c r="M1944" s="59">
        <f>IFERROR(IF(OR(J1944=0,K1944=""),"",IF(E1944="Positivo",MAX(K1944/J1944,0),MAX(J1944/K1944,0))),"") </f>
        <v/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390-2025-03-31</t>
        </is>
      </c>
    </row>
    <row r="1945">
      <c r="A1945" t="n">
        <v>390</v>
      </c>
      <c r="B1945" t="inlineStr">
        <is>
          <t>Cumplimiento Plan Anual por escuela</t>
        </is>
      </c>
      <c r="C1945" t="inlineStr">
        <is>
          <t>Planeación Estratégica</t>
        </is>
      </c>
      <c r="D1945" t="inlineStr">
        <is>
          <t>Semestral</t>
        </is>
      </c>
      <c r="E1945" t="inlineStr">
        <is>
          <t>Positivo</t>
        </is>
      </c>
      <c r="F1945" s="148" t="n">
        <v>45838</v>
      </c>
      <c r="G1945" t="n">
        <v>2025</v>
      </c>
      <c r="H1945" t="inlineStr">
        <is>
          <t>Junio</t>
        </is>
      </c>
      <c r="I1945" t="inlineStr">
        <is>
          <t>2025-1</t>
        </is>
      </c>
      <c r="J1945" t="n">
        <v>100</v>
      </c>
      <c r="K1945" t="n">
        <v>103.55</v>
      </c>
      <c r="L1945" s="59">
        <f>IFERROR(IF(OR(J1945=0,K1945=""),"",IF(E1945="Positivo",MIN(MAX(K1945/J1945,0),1.0),MIN(MAX(J1945/K1945,0),1.0))),"") </f>
        <v/>
      </c>
      <c r="M1945" s="59">
        <f>IFERROR(IF(OR(J1945=0,K1945=""),"",IF(E1945="Positivo",MAX(K1945/J1945,0),MAX(J1945/K1945,0))),"") </f>
        <v/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390-2025-06-30</t>
        </is>
      </c>
    </row>
    <row r="1946">
      <c r="A1946" t="n">
        <v>390</v>
      </c>
      <c r="B1946" t="inlineStr">
        <is>
          <t>Cumplimiento Plan Anual por escuela</t>
        </is>
      </c>
      <c r="C1946" t="inlineStr">
        <is>
          <t>Planeación Estratégica</t>
        </is>
      </c>
      <c r="D1946" t="inlineStr">
        <is>
          <t>Semestral</t>
        </is>
      </c>
      <c r="E1946" t="inlineStr">
        <is>
          <t>Positivo</t>
        </is>
      </c>
      <c r="F1946" s="148" t="n">
        <v>45930</v>
      </c>
      <c r="G1946" t="n">
        <v>2025</v>
      </c>
      <c r="H1946" t="inlineStr">
        <is>
          <t>Septiembre</t>
        </is>
      </c>
      <c r="I1946" t="inlineStr">
        <is>
          <t>2025-2</t>
        </is>
      </c>
      <c r="J1946" t="n">
        <v>100</v>
      </c>
      <c r="K1946" t="n">
        <v>101.17</v>
      </c>
      <c r="L1946" s="59">
        <f>IFERROR(IF(OR(J1946=0,K1946=""),"",IF(E1946="Positivo",MIN(MAX(K1946/J1946,0),1.0),MIN(MAX(J1946/K1946,0),1.0))),"") </f>
        <v/>
      </c>
      <c r="M1946" s="59">
        <f>IFERROR(IF(OR(J1946=0,K1946=""),"",IF(E1946="Positivo",MAX(K1946/J1946,0),MAX(J1946/K1946,0))),"") </f>
        <v/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390-2025-09-30</t>
        </is>
      </c>
    </row>
    <row r="1947">
      <c r="A1947" t="n">
        <v>390</v>
      </c>
      <c r="B1947" t="inlineStr">
        <is>
          <t>Cumplimiento Plan Anual por escuela</t>
        </is>
      </c>
      <c r="C1947" t="inlineStr">
        <is>
          <t>Planeación Estratégica</t>
        </is>
      </c>
      <c r="D1947" t="inlineStr">
        <is>
          <t>Semestral</t>
        </is>
      </c>
      <c r="E1947" t="inlineStr">
        <is>
          <t>Positivo</t>
        </is>
      </c>
      <c r="F1947" s="148" t="n">
        <v>46022</v>
      </c>
      <c r="G1947" t="n">
        <v>2025</v>
      </c>
      <c r="H1947" t="inlineStr">
        <is>
          <t>Diciembre</t>
        </is>
      </c>
      <c r="I1947" t="inlineStr">
        <is>
          <t>2025-2</t>
        </is>
      </c>
      <c r="J1947" t="n">
        <v>100</v>
      </c>
      <c r="K1947" t="n">
        <v>99.78</v>
      </c>
      <c r="L1947" s="59">
        <f>IFERROR(IF(OR(J1947=0,K1947=""),"",IF(E1947="Positivo",MIN(MAX(K1947/J1947,0),1.0),MIN(MAX(J1947/K1947,0),1.0))),"") </f>
        <v/>
      </c>
      <c r="M1947" s="59">
        <f>IFERROR(IF(OR(J1947=0,K1947=""),"",IF(E1947="Positivo",MAX(K1947/J1947,0),MAX(J1947/K1947,0))),"") </f>
        <v/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390-2025-12-31</t>
        </is>
      </c>
    </row>
    <row r="1948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48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100</v>
      </c>
      <c r="K1948" t="n">
        <v>100</v>
      </c>
      <c r="L1948" s="59">
        <f>IFERROR(IF(OR(J1948=0,K1948=""),"",IF(E1948="Positivo",MIN(MAX(K1948/J1948,0),1.3),MIN(MAX(J1948/K1948,0),1.3))),"") </f>
        <v/>
      </c>
      <c r="M1948" s="59">
        <f>IFERROR(IF(OR(J1948=0,K1948=""),"",IF(E1948="Positivo",MAX(K1948/J1948,0),MAX(J1948/K1948,0))),"") </f>
        <v/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391-2023-06-30</t>
        </is>
      </c>
    </row>
    <row r="1949">
      <c r="A1949" t="n">
        <v>391</v>
      </c>
      <c r="B1949" t="inlineStr">
        <is>
          <t>Satisfacción del cliente con campañas integradas de marketing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48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100</v>
      </c>
      <c r="K1949" t="n">
        <v>100</v>
      </c>
      <c r="L1949" s="59">
        <f>IFERROR(IF(OR(J1949=0,K1949=""),"",IF(E1949="Positivo",MIN(MAX(K1949/J1949,0),1.3),MIN(MAX(J1949/K1949,0),1.3))),"") </f>
        <v/>
      </c>
      <c r="M1949" s="59">
        <f>IFERROR(IF(OR(J1949=0,K1949=""),"",IF(E1949="Positivo",MAX(K1949/J1949,0),MAX(J1949/K1949,0))),"") </f>
        <v/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391-2023-12-31</t>
        </is>
      </c>
    </row>
    <row r="1950">
      <c r="A1950" t="n">
        <v>391</v>
      </c>
      <c r="B1950" t="inlineStr">
        <is>
          <t>Satisfacción del cliente con campañas integradas de marketing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48" t="n">
        <v>45473</v>
      </c>
      <c r="G1950" t="n">
        <v>2024</v>
      </c>
      <c r="H1950" t="inlineStr">
        <is>
          <t>Junio</t>
        </is>
      </c>
      <c r="I1950" t="inlineStr">
        <is>
          <t>2024-1</t>
        </is>
      </c>
      <c r="J1950" t="n">
        <v>96</v>
      </c>
      <c r="K1950" t="n">
        <v>100</v>
      </c>
      <c r="L1950" s="59">
        <f>IFERROR(IF(OR(J1950=0,K1950=""),"",IF(E1950="Positivo",MIN(MAX(K1950/J1950,0),1.3),MIN(MAX(J1950/K1950,0),1.3))),"") </f>
        <v/>
      </c>
      <c r="M1950" s="59">
        <f>IFERROR(IF(OR(J1950=0,K1950=""),"",IF(E1950="Positivo",MAX(K1950/J1950,0),MAX(J1950/K1950,0))),"") </f>
        <v/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391-2024-06-30</t>
        </is>
      </c>
    </row>
    <row r="1951">
      <c r="A1951" t="n">
        <v>391</v>
      </c>
      <c r="B1951" t="inlineStr">
        <is>
          <t>Satisfacción del cliente con campañas integradas de marketing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48" t="n">
        <v>45657</v>
      </c>
      <c r="G1951" t="n">
        <v>2024</v>
      </c>
      <c r="H1951" t="inlineStr">
        <is>
          <t>Diciembre</t>
        </is>
      </c>
      <c r="I1951" t="inlineStr">
        <is>
          <t>2024-2</t>
        </is>
      </c>
      <c r="J1951" t="n">
        <v>96</v>
      </c>
      <c r="K1951" t="n">
        <v>100</v>
      </c>
      <c r="L1951" s="59">
        <f>IFERROR(IF(OR(J1951=0,K1951=""),"",IF(E1951="Positivo",MIN(MAX(K1951/J1951,0),1.3),MIN(MAX(J1951/K1951,0),1.3))),"") </f>
        <v/>
      </c>
      <c r="M1951" s="59">
        <f>IFERROR(IF(OR(J1951=0,K1951=""),"",IF(E1951="Positivo",MAX(K1951/J1951,0),MAX(J1951/K1951,0))),"") </f>
        <v/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391-2024-12-31</t>
        </is>
      </c>
    </row>
    <row r="1952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48" t="n">
        <v>45107</v>
      </c>
      <c r="G1952" t="n">
        <v>2023</v>
      </c>
      <c r="H1952" t="inlineStr">
        <is>
          <t>Junio</t>
        </is>
      </c>
      <c r="I1952" t="inlineStr">
        <is>
          <t>2023-1</t>
        </is>
      </c>
      <c r="J1952" t="n">
        <v>100</v>
      </c>
      <c r="K1952" t="n">
        <v>110.09198322581</v>
      </c>
      <c r="L1952" s="59">
        <f>IFERROR(IF(OR(J1952=0,K1952=""),"",IF(E1952="Positivo",MIN(MAX(K1952/J1952,0),1.3),MIN(MAX(J1952/K1952,0),1.3))),"") </f>
        <v/>
      </c>
      <c r="M1952" s="59">
        <f>IFERROR(IF(OR(J1952=0,K1952=""),"",IF(E1952="Positivo",MAX(K1952/J1952,0),MAX(J1952/K1952,0))),"") </f>
        <v/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392-2023-06-30</t>
        </is>
      </c>
    </row>
    <row r="1953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Semestral</t>
        </is>
      </c>
      <c r="E1953" t="inlineStr">
        <is>
          <t>Positivo</t>
        </is>
      </c>
      <c r="F1953" s="148" t="n">
        <v>45291</v>
      </c>
      <c r="G1953" t="n">
        <v>2023</v>
      </c>
      <c r="H1953" t="inlineStr">
        <is>
          <t>Diciembre</t>
        </is>
      </c>
      <c r="I1953" t="inlineStr">
        <is>
          <t>2023-2</t>
        </is>
      </c>
      <c r="J1953" t="n">
        <v>100</v>
      </c>
      <c r="K1953" t="n">
        <v>147.38</v>
      </c>
      <c r="L1953" s="59">
        <f>IFERROR(IF(OR(J1953=0,K1953=""),"",IF(E1953="Positivo",MIN(MAX(K1953/J1953,0),1.3),MIN(MAX(J1953/K1953,0),1.3))),"") </f>
        <v/>
      </c>
      <c r="M1953" s="59">
        <f>IFERROR(IF(OR(J1953=0,K1953=""),"",IF(E1953="Positivo",MAX(K1953/J1953,0),MAX(J1953/K1953,0))),"") </f>
        <v/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392-2023-12-31</t>
        </is>
      </c>
    </row>
    <row r="1954">
      <c r="A1954" t="n">
        <v>392</v>
      </c>
      <c r="B1954" t="inlineStr">
        <is>
          <t>Ahorro institucional con base en la monetización de los servicios</t>
        </is>
      </c>
      <c r="C1954" t="inlineStr">
        <is>
          <t>Gestión de campañas integradas de marketing</t>
        </is>
      </c>
      <c r="D1954" t="inlineStr">
        <is>
          <t>Semestral</t>
        </is>
      </c>
      <c r="E1954" t="inlineStr">
        <is>
          <t>Positivo</t>
        </is>
      </c>
      <c r="F1954" s="148" t="n">
        <v>45473</v>
      </c>
      <c r="G1954" t="n">
        <v>2024</v>
      </c>
      <c r="H1954" t="inlineStr">
        <is>
          <t>Junio</t>
        </is>
      </c>
      <c r="I1954" t="inlineStr">
        <is>
          <t>2024-1</t>
        </is>
      </c>
      <c r="J1954" t="n">
        <v>100</v>
      </c>
      <c r="K1954" t="n">
        <v>98.11</v>
      </c>
      <c r="L1954" s="59">
        <f>IFERROR(IF(OR(J1954=0,K1954=""),"",IF(E1954="Positivo",MIN(MAX(K1954/J1954,0),1.3),MIN(MAX(J1954/K1954,0),1.3))),"") </f>
        <v/>
      </c>
      <c r="M1954" s="59">
        <f>IFERROR(IF(OR(J1954=0,K1954=""),"",IF(E1954="Positivo",MAX(K1954/J1954,0),MAX(J1954/K1954,0))),"") </f>
        <v/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392-2024-06-30</t>
        </is>
      </c>
    </row>
    <row r="1955">
      <c r="A1955" t="n">
        <v>392</v>
      </c>
      <c r="B1955" t="inlineStr">
        <is>
          <t>Ahorro institucional con base en la monetización de los servicios</t>
        </is>
      </c>
      <c r="C1955" t="inlineStr">
        <is>
          <t>Gestión de campañas integradas de marketing</t>
        </is>
      </c>
      <c r="D1955" t="inlineStr">
        <is>
          <t>Semestral</t>
        </is>
      </c>
      <c r="E1955" t="inlineStr">
        <is>
          <t>Positivo</t>
        </is>
      </c>
      <c r="F1955" s="148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100</v>
      </c>
      <c r="K1955" t="n">
        <v>145.21</v>
      </c>
      <c r="L1955" s="59">
        <f>IFERROR(IF(OR(J1955=0,K1955=""),"",IF(E1955="Positivo",MIN(MAX(K1955/J1955,0),1.3),MIN(MAX(J1955/K1955,0),1.3))),"") </f>
        <v/>
      </c>
      <c r="M1955" s="59">
        <f>IFERROR(IF(OR(J1955=0,K1955=""),"",IF(E1955="Positivo",MAX(K1955/J1955,0),MAX(J1955/K1955,0))),"") </f>
        <v/>
      </c>
      <c r="N1955" t="inlineStr">
        <is>
          <t>$</t>
        </is>
      </c>
      <c r="O1955" t="inlineStr">
        <is>
          <t>$</t>
        </is>
      </c>
      <c r="P1955" t="n">
        <v>0</v>
      </c>
      <c r="Q1955" t="n">
        <v>0</v>
      </c>
      <c r="R1955" t="inlineStr">
        <is>
          <t>392-2024-12-31</t>
        </is>
      </c>
    </row>
    <row r="1956">
      <c r="A1956" t="n">
        <v>392</v>
      </c>
      <c r="B1956" t="inlineStr">
        <is>
          <t>Ahorro institucional con base en la monetización de los servicios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Positivo</t>
        </is>
      </c>
      <c r="F1956" s="148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J1956" t="n">
        <v>100</v>
      </c>
      <c r="K1956" t="n">
        <v>100.8</v>
      </c>
      <c r="L1956" s="59">
        <f>IFERROR(IF(OR(J1956=0,K1956=""),"",IF(E1956="Positivo",MIN(MAX(K1956/J1956,0),1.3),MIN(MAX(J1956/K1956,0),1.3))),"") </f>
        <v/>
      </c>
      <c r="M1956" s="59">
        <f>IFERROR(IF(OR(J1956=0,K1956=""),"",IF(E1956="Positivo",MAX(K1956/J1956,0),MAX(J1956/K1956,0))),"") </f>
        <v/>
      </c>
      <c r="N1956" t="inlineStr">
        <is>
          <t>$</t>
        </is>
      </c>
      <c r="O1956" t="inlineStr">
        <is>
          <t>$</t>
        </is>
      </c>
      <c r="P1956" t="n">
        <v>0</v>
      </c>
      <c r="Q1956" t="n">
        <v>0</v>
      </c>
      <c r="R1956" t="inlineStr">
        <is>
          <t>392-2025-12-31</t>
        </is>
      </c>
    </row>
    <row r="1957">
      <c r="A1957" t="n">
        <v>393</v>
      </c>
      <c r="B1957" t="inlineStr">
        <is>
          <t>Disminución de los tiempos empleados en el desarrollo de las solicitudes</t>
        </is>
      </c>
      <c r="C1957" t="inlineStr">
        <is>
          <t>Gestión de campañas integradas de marketing</t>
        </is>
      </c>
      <c r="D1957" t="inlineStr">
        <is>
          <t>Anual</t>
        </is>
      </c>
      <c r="E1957" t="inlineStr">
        <is>
          <t>Positivo</t>
        </is>
      </c>
      <c r="F1957" s="148" t="n">
        <v>45291</v>
      </c>
      <c r="G1957" t="n">
        <v>2023</v>
      </c>
      <c r="H1957" t="inlineStr">
        <is>
          <t>Diciembre</t>
        </is>
      </c>
      <c r="I1957" t="inlineStr">
        <is>
          <t>2023-2</t>
        </is>
      </c>
      <c r="J1957" t="n">
        <v>15</v>
      </c>
      <c r="K1957" t="n">
        <v>15.45</v>
      </c>
      <c r="L1957" s="59">
        <f>IFERROR(IF(OR(J1957=0,K1957=""),"",IF(E1957="Positivo",MIN(MAX(K1957/J1957,0),1.3),MIN(MAX(J1957/K1957,0),1.3))),"") </f>
        <v/>
      </c>
      <c r="M1957" s="59">
        <f>IFERROR(IF(OR(J1957=0,K1957=""),"",IF(E1957="Positivo",MAX(K1957/J1957,0),MAX(J1957/K1957,0))),"") </f>
        <v/>
      </c>
      <c r="N1957" t="inlineStr">
        <is>
          <t>$</t>
        </is>
      </c>
      <c r="O1957" t="inlineStr">
        <is>
          <t>$</t>
        </is>
      </c>
      <c r="P1957" t="n">
        <v>0</v>
      </c>
      <c r="Q1957" t="n">
        <v>0</v>
      </c>
      <c r="R1957" t="inlineStr">
        <is>
          <t>393-2023-12-31</t>
        </is>
      </c>
    </row>
    <row r="1958">
      <c r="A1958" t="n">
        <v>393</v>
      </c>
      <c r="B1958" t="inlineStr">
        <is>
          <t>Disminución de los tiempos empleados en el desarrollo de las solicitudes</t>
        </is>
      </c>
      <c r="C1958" t="inlineStr">
        <is>
          <t>Gestión de campañas integradas de marketing</t>
        </is>
      </c>
      <c r="D1958" t="inlineStr">
        <is>
          <t>Anual</t>
        </is>
      </c>
      <c r="E1958" t="inlineStr">
        <is>
          <t>Negativo</t>
        </is>
      </c>
      <c r="F1958" s="148" t="n">
        <v>45657</v>
      </c>
      <c r="G1958" t="n">
        <v>2024</v>
      </c>
      <c r="H1958" t="inlineStr">
        <is>
          <t>Diciembre</t>
        </is>
      </c>
      <c r="I1958" t="inlineStr">
        <is>
          <t>2024-2</t>
        </is>
      </c>
      <c r="J1958" t="n">
        <v>15</v>
      </c>
      <c r="K1958" t="n">
        <v>13</v>
      </c>
      <c r="L1958" s="59">
        <f>IFERROR(IF(OR(J1958=0,K1958=""),"",IF(E1958="Positivo",MIN(MAX(K1958/J1958,0),1.3),MIN(MAX(J1958/K1958,0),1.3))),"") </f>
        <v/>
      </c>
      <c r="M1958" s="59">
        <f>IFERROR(IF(OR(J1958=0,K1958=""),"",IF(E1958="Positivo",MAX(K1958/J1958,0),MAX(J1958/K1958,0))),"") </f>
        <v/>
      </c>
      <c r="P1958" t="n">
        <v>0</v>
      </c>
      <c r="Q1958" t="n">
        <v>0</v>
      </c>
      <c r="R1958" t="inlineStr">
        <is>
          <t>393-2024-12-31</t>
        </is>
      </c>
    </row>
    <row r="1959">
      <c r="A1959" t="n">
        <v>393</v>
      </c>
      <c r="B1959" t="inlineStr">
        <is>
          <t>Disminución de los tiempos empleados en el desarrollo de las solicitudes</t>
        </is>
      </c>
      <c r="C1959" t="inlineStr">
        <is>
          <t>Gestión de campañas integradas de marketing</t>
        </is>
      </c>
      <c r="D1959" t="inlineStr">
        <is>
          <t>Anual</t>
        </is>
      </c>
      <c r="E1959" t="inlineStr">
        <is>
          <t>Negativo</t>
        </is>
      </c>
      <c r="F1959" s="148" t="n">
        <v>46022</v>
      </c>
      <c r="G1959" t="n">
        <v>2025</v>
      </c>
      <c r="H1959" t="inlineStr">
        <is>
          <t>Diciembre</t>
        </is>
      </c>
      <c r="I1959" t="inlineStr">
        <is>
          <t>2025-2</t>
        </is>
      </c>
      <c r="K1959" t="n">
        <v>12</v>
      </c>
      <c r="L1959" s="59" t="n"/>
      <c r="M1959" s="59" t="n"/>
      <c r="N1959" t="inlineStr">
        <is>
          <t>ENT</t>
        </is>
      </c>
      <c r="O1959" t="inlineStr">
        <is>
          <t>DEC</t>
        </is>
      </c>
      <c r="P1959" t="n">
        <v>1</v>
      </c>
      <c r="Q1959" t="n">
        <v>1</v>
      </c>
      <c r="R1959" t="inlineStr">
        <is>
          <t>393-2025-12-31</t>
        </is>
      </c>
    </row>
    <row r="1960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48" t="n">
        <v>45016</v>
      </c>
      <c r="G1960" t="n">
        <v>2023</v>
      </c>
      <c r="H1960" t="inlineStr">
        <is>
          <t>Marzo</t>
        </is>
      </c>
      <c r="I1960" t="inlineStr">
        <is>
          <t>2023-1</t>
        </is>
      </c>
      <c r="J1960" t="n">
        <v>100</v>
      </c>
      <c r="K1960" t="n">
        <v>0</v>
      </c>
      <c r="L1960" s="59">
        <f>IFERROR(IF(OR(J1960=0,K1960=""),"",IF(E1960="Positivo",MIN(MAX(K1960/J1960,0),1.3),MIN(MAX(J1960/K1960,0),1.3))),"") </f>
        <v/>
      </c>
      <c r="M1960" s="59">
        <f>IFERROR(IF(OR(J1960=0,K1960=""),"",IF(E1960="Positivo",MAX(K1960/J1960,0),MAX(J1960/K1960,0))),"") </f>
        <v/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394-2023-03-31</t>
        </is>
      </c>
    </row>
    <row r="196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48" t="n">
        <v>45107</v>
      </c>
      <c r="G1961" t="n">
        <v>2023</v>
      </c>
      <c r="H1961" t="inlineStr">
        <is>
          <t>Junio</t>
        </is>
      </c>
      <c r="I1961" t="inlineStr">
        <is>
          <t>2023-1</t>
        </is>
      </c>
      <c r="J1961" t="n">
        <v>100</v>
      </c>
      <c r="K1961" t="n">
        <v>275.42857142857</v>
      </c>
      <c r="L1961" s="59">
        <f>IFERROR(IF(OR(J1961=0,K1961=""),"",IF(E1961="Positivo",MIN(MAX(K1961/J1961,0),1.3),MIN(MAX(J1961/K1961,0),1.3))),"") </f>
        <v/>
      </c>
      <c r="M1961" s="59">
        <f>IFERROR(IF(OR(J1961=0,K1961=""),"",IF(E1961="Positivo",MAX(K1961/J1961,0),MAX(J1961/K1961,0))),"") </f>
        <v/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394-2023-06-30</t>
        </is>
      </c>
    </row>
    <row r="1962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48" t="n">
        <v>45199</v>
      </c>
      <c r="G1962" t="n">
        <v>2023</v>
      </c>
      <c r="H1962" t="inlineStr">
        <is>
          <t>Septiembre</t>
        </is>
      </c>
      <c r="I1962" t="inlineStr">
        <is>
          <t>2023-2</t>
        </is>
      </c>
      <c r="J1962" t="n">
        <v>100</v>
      </c>
      <c r="K1962" t="n">
        <v>0</v>
      </c>
      <c r="L1962" s="59">
        <f>IFERROR(IF(OR(J1962=0,K1962=""),"",IF(E1962="Positivo",MIN(MAX(K1962/J1962,0),1.3),MIN(MAX(J1962/K1962,0),1.3))),"") </f>
        <v/>
      </c>
      <c r="M1962" s="59">
        <f>IFERROR(IF(OR(J1962=0,K1962=""),"",IF(E1962="Positivo",MAX(K1962/J1962,0),MAX(J1962/K1962,0))),"") </f>
        <v/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394-2023-09-30</t>
        </is>
      </c>
    </row>
    <row r="1963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48" t="n">
        <v>45291</v>
      </c>
      <c r="G1963" t="n">
        <v>2023</v>
      </c>
      <c r="H1963" t="inlineStr">
        <is>
          <t>Diciembre</t>
        </is>
      </c>
      <c r="I1963" t="inlineStr">
        <is>
          <t>2023-2</t>
        </is>
      </c>
      <c r="J1963" t="n">
        <v>100</v>
      </c>
      <c r="K1963" t="n">
        <v>349.71</v>
      </c>
      <c r="L1963" s="59">
        <f>IFERROR(IF(OR(J1963=0,K1963=""),"",IF(E1963="Positivo",MIN(MAX(K1963/J1963,0),1.3),MIN(MAX(J1963/K1963,0),1.3))),"") </f>
        <v/>
      </c>
      <c r="M1963" s="59">
        <f>IFERROR(IF(OR(J1963=0,K1963=""),"",IF(E1963="Positivo",MAX(K1963/J1963,0),MAX(J1963/K1963,0))),"") </f>
        <v/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394-2023-12-31</t>
        </is>
      </c>
    </row>
    <row r="1964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48" t="n">
        <v>45382</v>
      </c>
      <c r="G1964" t="n">
        <v>2024</v>
      </c>
      <c r="H1964" t="inlineStr">
        <is>
          <t>Marzo</t>
        </is>
      </c>
      <c r="I1964" t="inlineStr">
        <is>
          <t>2024-1</t>
        </is>
      </c>
      <c r="J1964" t="n">
        <v>100</v>
      </c>
      <c r="K1964" t="n">
        <v>0</v>
      </c>
      <c r="L1964" s="59">
        <f>IFERROR(IF(OR(J1964=0,K1964=""),"",IF(E1964="Positivo",MIN(MAX(K1964/J1964,0),1.3),MIN(MAX(J1964/K1964,0),1.3))),"") </f>
        <v/>
      </c>
      <c r="M1964" s="59">
        <f>IFERROR(IF(OR(J1964=0,K1964=""),"",IF(E1964="Positivo",MAX(K1964/J1964,0),MAX(J1964/K1964,0))),"") </f>
        <v/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394-2024-03-31</t>
        </is>
      </c>
    </row>
    <row r="1965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48" t="n">
        <v>45473</v>
      </c>
      <c r="G1965" t="n">
        <v>2024</v>
      </c>
      <c r="H1965" t="inlineStr">
        <is>
          <t>Junio</t>
        </is>
      </c>
      <c r="I1965" t="inlineStr">
        <is>
          <t>2024-1</t>
        </is>
      </c>
      <c r="J1965" t="n">
        <v>100</v>
      </c>
      <c r="K1965" t="n">
        <v>118.6</v>
      </c>
      <c r="L1965" s="59">
        <f>IFERROR(IF(OR(J1965=0,K1965=""),"",IF(E1965="Positivo",MIN(MAX(K1965/J1965,0),1.3),MIN(MAX(J1965/K1965,0),1.3))),"") </f>
        <v/>
      </c>
      <c r="M1965" s="59">
        <f>IFERROR(IF(OR(J1965=0,K1965=""),"",IF(E1965="Positivo",MAX(K1965/J1965,0),MAX(J1965/K1965,0))),"") </f>
        <v/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394-2024-06-30</t>
        </is>
      </c>
    </row>
    <row r="1966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48" t="n">
        <v>45565</v>
      </c>
      <c r="G1966" t="n">
        <v>2024</v>
      </c>
      <c r="H1966" t="inlineStr">
        <is>
          <t>Septiembre</t>
        </is>
      </c>
      <c r="I1966" t="inlineStr">
        <is>
          <t>2024-2</t>
        </is>
      </c>
      <c r="J1966" t="n">
        <v>100</v>
      </c>
      <c r="K1966" t="n">
        <v>0</v>
      </c>
      <c r="L1966" s="59">
        <f>IFERROR(IF(OR(J1966=0,K1966=""),"",IF(E1966="Positivo",MIN(MAX(K1966/J1966,0),1.3),MIN(MAX(J1966/K1966,0),1.3))),"") </f>
        <v/>
      </c>
      <c r="M1966" s="59">
        <f>IFERROR(IF(OR(J1966=0,K1966=""),"",IF(E1966="Positivo",MAX(K1966/J1966,0),MAX(J1966/K1966,0))),"") </f>
        <v/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394-2024-09-30</t>
        </is>
      </c>
    </row>
    <row r="1967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48" t="n">
        <v>45657</v>
      </c>
      <c r="G1967" t="n">
        <v>2024</v>
      </c>
      <c r="H1967" t="inlineStr">
        <is>
          <t>Diciembre</t>
        </is>
      </c>
      <c r="I1967" t="inlineStr">
        <is>
          <t>2024-2</t>
        </is>
      </c>
      <c r="J1967" t="n">
        <v>100</v>
      </c>
      <c r="K1967" t="n">
        <v>192</v>
      </c>
      <c r="L1967" s="59">
        <f>IFERROR(IF(OR(J1967=0,K1967=""),"",IF(E1967="Positivo",MIN(MAX(K1967/J1967,0),1.3),MIN(MAX(J1967/K1967,0),1.3))),"") </f>
        <v/>
      </c>
      <c r="M1967" s="59">
        <f>IFERROR(IF(OR(J1967=0,K1967=""),"",IF(E1967="Positivo",MAX(K1967/J1967,0),MAX(J1967/K1967,0))),"") </f>
        <v/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394-2024-12-31</t>
        </is>
      </c>
    </row>
    <row r="1968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48" t="n">
        <v>45747</v>
      </c>
      <c r="G1968" t="n">
        <v>2025</v>
      </c>
      <c r="H1968" t="inlineStr">
        <is>
          <t>Marzo</t>
        </is>
      </c>
      <c r="I1968" t="inlineStr">
        <is>
          <t>2025-1</t>
        </is>
      </c>
      <c r="J1968" t="n">
        <v>100</v>
      </c>
      <c r="K1968" t="n">
        <v>227.5</v>
      </c>
      <c r="L1968" s="59">
        <f>IFERROR(IF(OR(J1968=0,K1968=""),"",IF(E1968="Positivo",MIN(MAX(K1968/J1968,0),1.3),MIN(MAX(J1968/K1968,0),1.3))),"") </f>
        <v/>
      </c>
      <c r="M1968" s="59">
        <f>IFERROR(IF(OR(J1968=0,K1968=""),"",IF(E1968="Positivo",MAX(K1968/J1968,0),MAX(J1968/K1968,0))),"") </f>
        <v/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394-2025-03-31</t>
        </is>
      </c>
    </row>
    <row r="1969">
      <c r="A1969" t="n">
        <v>394</v>
      </c>
      <c r="B1969" t="inlineStr">
        <is>
          <t>Publicaciones en medios de comunicación Tier 1 y Tier 2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48" t="n">
        <v>45838</v>
      </c>
      <c r="G1969" t="n">
        <v>2025</v>
      </c>
      <c r="H1969" t="inlineStr">
        <is>
          <t>Junio</t>
        </is>
      </c>
      <c r="I1969" t="inlineStr">
        <is>
          <t>2025-1</t>
        </is>
      </c>
      <c r="J1969" t="n">
        <v>100</v>
      </c>
      <c r="K1969" t="n">
        <v>96.86</v>
      </c>
      <c r="L1969" s="59">
        <f>IFERROR(IF(OR(J1969=0,K1969=""),"",IF(E1969="Positivo",MIN(MAX(K1969/J1969,0),1.3),MIN(MAX(J1969/K1969,0),1.3))),"") </f>
        <v/>
      </c>
      <c r="M1969" s="59">
        <f>IFERROR(IF(OR(J1969=0,K1969=""),"",IF(E1969="Positivo",MAX(K1969/J1969,0),MAX(J1969/K1969,0))),"") </f>
        <v/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394-2025-06-30</t>
        </is>
      </c>
    </row>
    <row r="1970">
      <c r="A1970" t="n">
        <v>394</v>
      </c>
      <c r="B1970" t="inlineStr">
        <is>
          <t>Publicaciones en medios de comunicación Tier 1 y Tier 2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48" t="n">
        <v>45930</v>
      </c>
      <c r="G1970" t="n">
        <v>2025</v>
      </c>
      <c r="H1970" t="inlineStr">
        <is>
          <t>Septiembre</t>
        </is>
      </c>
      <c r="I1970" t="inlineStr">
        <is>
          <t>2025-2</t>
        </is>
      </c>
      <c r="J1970" t="n">
        <v>100</v>
      </c>
      <c r="K1970" t="n">
        <v>91.70999999999999</v>
      </c>
      <c r="L1970" s="59">
        <f>IFERROR(IF(OR(J1970=0,K1970=""),"",IF(E1970="Positivo",MIN(MAX(K1970/J1970,0),1.3),MIN(MAX(J1970/K1970,0),1.3))),"") </f>
        <v/>
      </c>
      <c r="M1970" s="59">
        <f>IFERROR(IF(OR(J1970=0,K1970=""),"",IF(E1970="Positivo",MAX(K1970/J1970,0),MAX(J1970/K1970,0))),"") </f>
        <v/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394-2025-09-30</t>
        </is>
      </c>
    </row>
    <row r="1971">
      <c r="A1971" t="n">
        <v>394</v>
      </c>
      <c r="B1971" t="inlineStr">
        <is>
          <t>Publicaciones en medios de comunicación Tier 1 y Tier 2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48" t="n">
        <v>46022</v>
      </c>
      <c r="G1971" t="n">
        <v>2025</v>
      </c>
      <c r="H1971" t="inlineStr">
        <is>
          <t>Diciembre</t>
        </is>
      </c>
      <c r="I1971" t="inlineStr">
        <is>
          <t>2025-2</t>
        </is>
      </c>
      <c r="J1971" t="n">
        <v>100</v>
      </c>
      <c r="K1971" t="n">
        <v>137.5</v>
      </c>
      <c r="L1971" s="59">
        <f>IFERROR(IF(OR(J1971=0,K1971=""),"",IF(E1971="Positivo",MIN(MAX(K1971/J1971,0),1.3),MIN(MAX(J1971/K1971,0),1.3))),"") </f>
        <v/>
      </c>
      <c r="M1971" s="59">
        <f>IFERROR(IF(OR(J1971=0,K1971=""),"",IF(E1971="Positivo",MAX(K1971/J1971,0),MAX(J1971/K1971,0))),"") </f>
        <v/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394-2025-12-31</t>
        </is>
      </c>
    </row>
    <row r="1972">
      <c r="A1972" t="n">
        <v>395</v>
      </c>
      <c r="B1972" t="inlineStr">
        <is>
          <t>Publicaciones en medios de comunicación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48" t="n">
        <v>45016</v>
      </c>
      <c r="G1972" t="n">
        <v>2023</v>
      </c>
      <c r="H1972" t="inlineStr">
        <is>
          <t>Marzo</t>
        </is>
      </c>
      <c r="I1972" t="inlineStr">
        <is>
          <t>2023-1</t>
        </is>
      </c>
      <c r="J1972" t="n">
        <v>100</v>
      </c>
      <c r="K1972" t="n">
        <v>0</v>
      </c>
      <c r="L1972" s="59">
        <f>IFERROR(IF(OR(J1972=0,K1972=""),"",IF(E1972="Positivo",MIN(MAX(K1972/J1972,0),1.3),MIN(MAX(J1972/K1972,0),1.3))),"") </f>
        <v/>
      </c>
      <c r="M1972" s="59">
        <f>IFERROR(IF(OR(J1972=0,K1972=""),"",IF(E1972="Positivo",MAX(K1972/J1972,0),MAX(J1972/K1972,0))),"") </f>
        <v/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395-2023-03-31</t>
        </is>
      </c>
    </row>
    <row r="1973">
      <c r="A1973" t="n">
        <v>395</v>
      </c>
      <c r="B1973" t="inlineStr">
        <is>
          <t>Publicaciones en medios de comunicación Tier 1 y Tier 2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48" t="n">
        <v>45107</v>
      </c>
      <c r="G1973" t="n">
        <v>2023</v>
      </c>
      <c r="H1973" t="inlineStr">
        <is>
          <t>Junio</t>
        </is>
      </c>
      <c r="I1973" t="inlineStr">
        <is>
          <t>2023-1</t>
        </is>
      </c>
      <c r="J1973" t="n">
        <v>100</v>
      </c>
      <c r="K1973" t="n">
        <v>294.11764705882</v>
      </c>
      <c r="L1973" s="59">
        <f>IFERROR(IF(OR(J1973=0,K1973=""),"",IF(E1973="Positivo",MIN(MAX(K1973/J1973,0),1.3),MIN(MAX(J1973/K1973,0),1.3))),"") </f>
        <v/>
      </c>
      <c r="M1973" s="59">
        <f>IFERROR(IF(OR(J1973=0,K1973=""),"",IF(E1973="Positivo",MAX(K1973/J1973,0),MAX(J1973/K1973,0))),"") </f>
        <v/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395-2023-06-30</t>
        </is>
      </c>
    </row>
    <row r="1974">
      <c r="A1974" t="n">
        <v>395</v>
      </c>
      <c r="B1974" t="inlineStr">
        <is>
          <t>Publicaciones en medios de comunicación Tier 1 y Tier 2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48" t="n">
        <v>45291</v>
      </c>
      <c r="G1974" t="n">
        <v>2023</v>
      </c>
      <c r="H1974" t="inlineStr">
        <is>
          <t>Diciembre</t>
        </is>
      </c>
      <c r="I1974" t="inlineStr">
        <is>
          <t>2023-2</t>
        </is>
      </c>
      <c r="J1974" t="n">
        <v>100</v>
      </c>
      <c r="K1974" t="n">
        <v>266.67</v>
      </c>
      <c r="L1974" s="59">
        <f>IFERROR(IF(OR(J1974=0,K1974=""),"",IF(E1974="Positivo",MIN(MAX(K1974/J1974,0),1.3),MIN(MAX(J1974/K1974,0),1.3))),"") </f>
        <v/>
      </c>
      <c r="M1974" s="59">
        <f>IFERROR(IF(OR(J1974=0,K1974=""),"",IF(E1974="Positivo",MAX(K1974/J1974,0),MAX(J1974/K1974,0))),"") </f>
        <v/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395-2023-12-31</t>
        </is>
      </c>
    </row>
    <row r="1975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48" t="n">
        <v>45382</v>
      </c>
      <c r="G1975" t="n">
        <v>2024</v>
      </c>
      <c r="H1975" t="inlineStr">
        <is>
          <t>Marzo</t>
        </is>
      </c>
      <c r="I1975" t="inlineStr">
        <is>
          <t>2024-1</t>
        </is>
      </c>
      <c r="J1975" t="n">
        <v>100</v>
      </c>
      <c r="K1975" t="n">
        <v>0</v>
      </c>
      <c r="L1975" s="59">
        <f>IFERROR(IF(OR(J1975=0,K1975=""),"",IF(E1975="Positivo",MIN(MAX(K1975/J1975,0),1.3),MIN(MAX(J1975/K1975,0),1.3))),"") </f>
        <v/>
      </c>
      <c r="M1975" s="59">
        <f>IFERROR(IF(OR(J1975=0,K1975=""),"",IF(E1975="Positivo",MAX(K1975/J1975,0),MAX(J1975/K1975,0))),"") </f>
        <v/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395-2024-03-31</t>
        </is>
      </c>
    </row>
    <row r="1976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48" t="n">
        <v>45473</v>
      </c>
      <c r="G1976" t="n">
        <v>2024</v>
      </c>
      <c r="H1976" t="inlineStr">
        <is>
          <t>Junio</t>
        </is>
      </c>
      <c r="I1976" t="inlineStr">
        <is>
          <t>2024-1</t>
        </is>
      </c>
      <c r="J1976" t="n">
        <v>100</v>
      </c>
      <c r="K1976" t="n">
        <v>110</v>
      </c>
      <c r="L1976" s="59">
        <f>IFERROR(IF(OR(J1976=0,K1976=""),"",IF(E1976="Positivo",MIN(MAX(K1976/J1976,0),1.3),MIN(MAX(J1976/K1976,0),1.3))),"") </f>
        <v/>
      </c>
      <c r="M1976" s="59">
        <f>IFERROR(IF(OR(J1976=0,K1976=""),"",IF(E1976="Positivo",MAX(K1976/J1976,0),MAX(J1976/K1976,0))),"") </f>
        <v/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395-2024-06-30</t>
        </is>
      </c>
    </row>
    <row r="1977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48" t="n">
        <v>45565</v>
      </c>
      <c r="G1977" t="n">
        <v>2024</v>
      </c>
      <c r="H1977" t="inlineStr">
        <is>
          <t>Septiembre</t>
        </is>
      </c>
      <c r="I1977" t="inlineStr">
        <is>
          <t>2024-2</t>
        </is>
      </c>
      <c r="J1977" t="n">
        <v>100</v>
      </c>
      <c r="K1977" t="n">
        <v>0</v>
      </c>
      <c r="L1977" s="59">
        <f>IFERROR(IF(OR(J1977=0,K1977=""),"",IF(E1977="Positivo",MIN(MAX(K1977/J1977,0),1.3),MIN(MAX(J1977/K1977,0),1.3))),"") </f>
        <v/>
      </c>
      <c r="M1977" s="59">
        <f>IFERROR(IF(OR(J1977=0,K1977=""),"",IF(E1977="Positivo",MAX(K1977/J1977,0),MAX(J1977/K1977,0))),"") </f>
        <v/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395-2024-09-30</t>
        </is>
      </c>
    </row>
    <row r="1978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48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100</v>
      </c>
      <c r="K1978" t="n">
        <v>148.89</v>
      </c>
      <c r="L1978" s="59">
        <f>IFERROR(IF(OR(J1978=0,K1978=""),"",IF(E1978="Positivo",MIN(MAX(K1978/J1978,0),1.3),MIN(MAX(J1978/K1978,0),1.3))),"") </f>
        <v/>
      </c>
      <c r="M1978" s="59">
        <f>IFERROR(IF(OR(J1978=0,K1978=""),"",IF(E1978="Positivo",MAX(K1978/J1978,0),MAX(J1978/K1978,0))),"") </f>
        <v/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395-2024-12-31</t>
        </is>
      </c>
    </row>
    <row r="1979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48" t="n">
        <v>45747</v>
      </c>
      <c r="G1979" t="n">
        <v>2025</v>
      </c>
      <c r="H1979" t="inlineStr">
        <is>
          <t>Marzo</t>
        </is>
      </c>
      <c r="I1979" t="inlineStr">
        <is>
          <t>2025-1</t>
        </is>
      </c>
      <c r="J1979" t="n">
        <v>100</v>
      </c>
      <c r="K1979" t="n">
        <v>291.43</v>
      </c>
      <c r="L1979" s="59">
        <f>IFERROR(IF(OR(J1979=0,K1979=""),"",IF(E1979="Positivo",MIN(MAX(K1979/J1979,0),1.3),MIN(MAX(J1979/K1979,0),1.3))),"") </f>
        <v/>
      </c>
      <c r="M1979" s="59">
        <f>IFERROR(IF(OR(J1979=0,K1979=""),"",IF(E1979="Positivo",MAX(K1979/J1979,0),MAX(J1979/K1979,0))),"") </f>
        <v/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395-2025-03-31</t>
        </is>
      </c>
    </row>
    <row r="1980">
      <c r="A1980" t="n">
        <v>395</v>
      </c>
      <c r="B1980" t="inlineStr">
        <is>
          <t>Publicaciones en medios de comunicación de la región Antioquia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48" t="n">
        <v>45838</v>
      </c>
      <c r="G1980" t="n">
        <v>2025</v>
      </c>
      <c r="H1980" t="inlineStr">
        <is>
          <t>Junio</t>
        </is>
      </c>
      <c r="I1980" t="inlineStr">
        <is>
          <t>2025-1</t>
        </is>
      </c>
      <c r="J1980" t="n">
        <v>100</v>
      </c>
      <c r="K1980" t="n">
        <v>161.82</v>
      </c>
      <c r="L1980" s="59">
        <f>IFERROR(IF(OR(J1980=0,K1980=""),"",IF(E1980="Positivo",MIN(MAX(K1980/J1980,0),1.3),MIN(MAX(J1980/K1980,0),1.3))),"") </f>
        <v/>
      </c>
      <c r="M1980" s="59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395-2025-06-30</t>
        </is>
      </c>
    </row>
    <row r="1981">
      <c r="A1981" t="n">
        <v>395</v>
      </c>
      <c r="B1981" t="inlineStr">
        <is>
          <t>Publicaciones en medios de comunicación de la región Antioquia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48" t="n">
        <v>45930</v>
      </c>
      <c r="G1981" t="n">
        <v>2025</v>
      </c>
      <c r="H1981" t="inlineStr">
        <is>
          <t>Septiembre</t>
        </is>
      </c>
      <c r="I1981" t="inlineStr">
        <is>
          <t>2025-2</t>
        </is>
      </c>
      <c r="J1981" t="n">
        <v>100</v>
      </c>
      <c r="K1981" t="n">
        <v>187.27</v>
      </c>
      <c r="L1981" s="59">
        <f>IFERROR(IF(OR(J1981=0,K1981=""),"",IF(E1981="Positivo",MIN(MAX(K1981/J1981,0),1.3),MIN(MAX(J1981/K1981,0),1.3))),"") </f>
        <v/>
      </c>
      <c r="M1981" s="59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395-2025-09-30</t>
        </is>
      </c>
    </row>
    <row r="1982">
      <c r="A1982" t="n">
        <v>395</v>
      </c>
      <c r="B1982" t="inlineStr">
        <is>
          <t>Publicaciones en medios de comunicación de la región Antioquia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48" t="n">
        <v>46022</v>
      </c>
      <c r="G1982" t="n">
        <v>2025</v>
      </c>
      <c r="H1982" t="inlineStr">
        <is>
          <t>Diciembre</t>
        </is>
      </c>
      <c r="I1982" t="inlineStr">
        <is>
          <t>2025-2</t>
        </is>
      </c>
      <c r="J1982" t="n">
        <v>100</v>
      </c>
      <c r="K1982" t="n">
        <v>177.14</v>
      </c>
      <c r="L1982" s="59">
        <f>IFERROR(IF(OR(J1982=0,K1982=""),"",IF(E1982="Positivo",MIN(MAX(K1982/J1982,0),1.3),MIN(MAX(J1982/K1982,0),1.3))),"") </f>
        <v/>
      </c>
      <c r="M1982" s="59">
        <f>IFERROR(IF(OR(J1982=0,K1982=""),"",IF(E1982="Positivo",MAX(K1982/J1982,0),MAX(J1982/K1982,0))),"") </f>
        <v/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395-2025-12-31</t>
        </is>
      </c>
    </row>
    <row r="1983">
      <c r="A1983" t="n">
        <v>396</v>
      </c>
      <c r="B1983" t="inlineStr">
        <is>
          <t>Publicaciones en el Campus Virtual</t>
        </is>
      </c>
      <c r="C1983" t="inlineStr">
        <is>
          <t>Gestión de campañas integradas de marketing</t>
        </is>
      </c>
      <c r="D1983" t="inlineStr">
        <is>
          <t>Semestral</t>
        </is>
      </c>
      <c r="E1983" t="inlineStr">
        <is>
          <t>Positivo</t>
        </is>
      </c>
      <c r="F1983" s="148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80</v>
      </c>
      <c r="K1983" t="n">
        <v>88.89</v>
      </c>
      <c r="L1983" s="59">
        <f>IFERROR(IF(OR(J1983=0,K1983=""),"",IF(E1983="Positivo",MIN(MAX(K1983/J1983,0),1.3),MIN(MAX(J1983/K1983,0),1.3))),"") </f>
        <v/>
      </c>
      <c r="M1983" s="59">
        <f>IFERROR(IF(OR(J1983=0,K1983=""),"",IF(E1983="Positivo",MAX(K1983/J1983,0),MAX(J1983/K1983,0))),"") </f>
        <v/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396-2023-12-31</t>
        </is>
      </c>
    </row>
    <row r="1984">
      <c r="A1984" t="n">
        <v>396</v>
      </c>
      <c r="B1984" t="inlineStr">
        <is>
          <t>Publicaciones en el Campus Virtual</t>
        </is>
      </c>
      <c r="C1984" t="inlineStr">
        <is>
          <t>Diseño de Contenido Virtual</t>
        </is>
      </c>
      <c r="D1984" t="inlineStr">
        <is>
          <t>Semestral</t>
        </is>
      </c>
      <c r="E1984" t="inlineStr">
        <is>
          <t>Positivo</t>
        </is>
      </c>
      <c r="F1984" s="148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80</v>
      </c>
      <c r="K1984" t="n">
        <v>88.09999999999999</v>
      </c>
      <c r="L1984" s="59">
        <f>IFERROR(IF(OR(J1984=0,K1984=""),"",IF(E1984="Positivo",MIN(MAX(K1984/J1984,0),1.3),MIN(MAX(J1984/K1984,0),1.3))),"") </f>
        <v/>
      </c>
      <c r="M1984" s="59">
        <f>IFERROR(IF(OR(J1984=0,K1984=""),"",IF(E1984="Positivo",MAX(K1984/J1984,0),MAX(J1984/K1984,0))),"") </f>
        <v/>
      </c>
      <c r="N1984" t="inlineStr">
        <is>
          <t>ENT</t>
        </is>
      </c>
      <c r="O1984" t="inlineStr">
        <is>
          <t>DEC</t>
        </is>
      </c>
      <c r="P1984" t="n">
        <v>1</v>
      </c>
      <c r="Q1984" t="n">
        <v>1</v>
      </c>
      <c r="R1984" t="inlineStr">
        <is>
          <t>396-2024-06-30</t>
        </is>
      </c>
    </row>
    <row r="1985">
      <c r="A1985" t="n">
        <v>397</v>
      </c>
      <c r="B1985" t="inlineStr">
        <is>
          <t>Gestión de casos del Estudio de Emisión</t>
        </is>
      </c>
      <c r="C1985" t="inlineStr">
        <is>
          <t>Gestión de campañas integradas de marketing</t>
        </is>
      </c>
      <c r="D1985" t="inlineStr">
        <is>
          <t>Semestral</t>
        </is>
      </c>
      <c r="E1985" t="inlineStr">
        <is>
          <t>Positivo</t>
        </is>
      </c>
      <c r="F1985" s="148" t="n">
        <v>45107</v>
      </c>
      <c r="G1985" t="n">
        <v>2023</v>
      </c>
      <c r="H1985" t="inlineStr">
        <is>
          <t>Junio</t>
        </is>
      </c>
      <c r="I1985" t="inlineStr">
        <is>
          <t>2023-1</t>
        </is>
      </c>
      <c r="J1985" t="n">
        <v>80</v>
      </c>
      <c r="K1985" t="n">
        <v>91.071428571429</v>
      </c>
      <c r="L1985" s="59">
        <f>IFERROR(IF(OR(J1985=0,K1985=""),"",IF(E1985="Positivo",MIN(MAX(K1985/J1985,0),1.3),MIN(MAX(J1985/K1985,0),1.3))),"") </f>
        <v/>
      </c>
      <c r="M1985" s="59">
        <f>IFERROR(IF(OR(J1985=0,K1985=""),"",IF(E1985="Positivo",MAX(K1985/J1985,0),MAX(J1985/K1985,0))),"") </f>
        <v/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  <c r="R1985" t="inlineStr">
        <is>
          <t>397-2023-06-30</t>
        </is>
      </c>
    </row>
    <row r="1986">
      <c r="A1986" t="n">
        <v>397</v>
      </c>
      <c r="B1986" t="inlineStr">
        <is>
          <t>Gestión de casos del Estudio de Emisión</t>
        </is>
      </c>
      <c r="C1986" t="inlineStr">
        <is>
          <t>Gestión de campañas integradas de marketing</t>
        </is>
      </c>
      <c r="D1986" t="inlineStr">
        <is>
          <t>Semestral</t>
        </is>
      </c>
      <c r="E1986" t="inlineStr">
        <is>
          <t>Positivo</t>
        </is>
      </c>
      <c r="F1986" s="148" t="n">
        <v>45291</v>
      </c>
      <c r="G1986" t="n">
        <v>2023</v>
      </c>
      <c r="H1986" t="inlineStr">
        <is>
          <t>Diciembre</t>
        </is>
      </c>
      <c r="I1986" t="inlineStr">
        <is>
          <t>2023-2</t>
        </is>
      </c>
      <c r="J1986" t="n">
        <v>80</v>
      </c>
      <c r="K1986" t="n">
        <v>92.95999999999999</v>
      </c>
      <c r="L1986" s="59">
        <f>IFERROR(IF(OR(J1986=0,K1986=""),"",IF(E1986="Positivo",MIN(MAX(K1986/J1986,0),1.3),MIN(MAX(J1986/K1986,0),1.3))),"") </f>
        <v/>
      </c>
      <c r="M1986" s="59">
        <f>IFERROR(IF(OR(J1986=0,K1986=""),"",IF(E1986="Positivo",MAX(K1986/J1986,0),MAX(J1986/K1986,0))),"") </f>
        <v/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  <c r="R1986" t="inlineStr">
        <is>
          <t>397-2023-12-31</t>
        </is>
      </c>
    </row>
    <row r="1987">
      <c r="A1987" t="n">
        <v>397</v>
      </c>
      <c r="B1987" t="inlineStr">
        <is>
          <t>Gestión de casos del Estudio de Emisión</t>
        </is>
      </c>
      <c r="C1987" t="inlineStr">
        <is>
          <t>Diseño de Contenido Virtual</t>
        </is>
      </c>
      <c r="D1987" t="inlineStr">
        <is>
          <t>Semestral</t>
        </is>
      </c>
      <c r="E1987" t="inlineStr">
        <is>
          <t>Positivo</t>
        </is>
      </c>
      <c r="F1987" s="148" t="n">
        <v>45473</v>
      </c>
      <c r="G1987" t="n">
        <v>2024</v>
      </c>
      <c r="H1987" t="inlineStr">
        <is>
          <t>Junio</t>
        </is>
      </c>
      <c r="I1987" t="inlineStr">
        <is>
          <t>2024-1</t>
        </is>
      </c>
      <c r="J1987" t="n">
        <v>80</v>
      </c>
      <c r="K1987" t="n">
        <v>88.08</v>
      </c>
      <c r="L1987" s="59">
        <f>IFERROR(IF(OR(J1987=0,K1987=""),"",IF(E1987="Positivo",MIN(MAX(K1987/J1987,0),1.3),MIN(MAX(J1987/K1987,0),1.3))),"") </f>
        <v/>
      </c>
      <c r="M1987" s="59">
        <f>IFERROR(IF(OR(J1987=0,K1987=""),"",IF(E1987="Positivo",MAX(K1987/J1987,0),MAX(J1987/K1987,0))),"") </f>
        <v/>
      </c>
      <c r="N1987" t="inlineStr">
        <is>
          <t>%</t>
        </is>
      </c>
      <c r="O1987" t="inlineStr">
        <is>
          <t>%</t>
        </is>
      </c>
      <c r="P1987" t="n">
        <v>1</v>
      </c>
      <c r="Q1987" t="n">
        <v>1</v>
      </c>
      <c r="R1987" t="inlineStr">
        <is>
          <t>397-2024-06-30</t>
        </is>
      </c>
    </row>
    <row r="1988">
      <c r="A1988" t="n">
        <v>397</v>
      </c>
      <c r="B1988" t="inlineStr">
        <is>
          <t>Gestión de casos del Estudio de Emisión</t>
        </is>
      </c>
      <c r="C1988" t="inlineStr">
        <is>
          <t>Diseño de Contenido Virtual</t>
        </is>
      </c>
      <c r="D1988" t="inlineStr">
        <is>
          <t>Semestral</t>
        </is>
      </c>
      <c r="E1988" t="inlineStr">
        <is>
          <t>Positivo</t>
        </is>
      </c>
      <c r="F1988" s="148" t="n">
        <v>45657</v>
      </c>
      <c r="G1988" t="n">
        <v>2024</v>
      </c>
      <c r="H1988" t="inlineStr">
        <is>
          <t>Diciembre</t>
        </is>
      </c>
      <c r="I1988" t="inlineStr">
        <is>
          <t>2024-2</t>
        </is>
      </c>
      <c r="J1988" t="n">
        <v>80</v>
      </c>
      <c r="K1988" t="n">
        <v>94.88</v>
      </c>
      <c r="L1988" s="59">
        <f>IFERROR(IF(OR(J1988=0,K1988=""),"",IF(E1988="Positivo",MIN(MAX(K1988/J1988,0),1.3),MIN(MAX(J1988/K1988,0),1.3))),"") </f>
        <v/>
      </c>
      <c r="M1988" s="59">
        <f>IFERROR(IF(OR(J1988=0,K1988=""),"",IF(E1988="Positivo",MAX(K1988/J1988,0),MAX(J1988/K1988,0))),"") </f>
        <v/>
      </c>
      <c r="N1988" t="inlineStr">
        <is>
          <t>%</t>
        </is>
      </c>
      <c r="O1988" t="inlineStr">
        <is>
          <t>%</t>
        </is>
      </c>
      <c r="P1988" t="n">
        <v>1</v>
      </c>
      <c r="Q1988" t="n">
        <v>1</v>
      </c>
      <c r="R1988" t="inlineStr">
        <is>
          <t>397-2024-12-31</t>
        </is>
      </c>
    </row>
    <row r="1989">
      <c r="A1989" t="n">
        <v>397</v>
      </c>
      <c r="B1989" t="inlineStr">
        <is>
          <t>Gestión de casos del Estudio de Emisión</t>
        </is>
      </c>
      <c r="C1989" t="inlineStr">
        <is>
          <t>Diseño de Contenido Virtual</t>
        </is>
      </c>
      <c r="D1989" t="inlineStr">
        <is>
          <t>Semestral</t>
        </is>
      </c>
      <c r="E1989" t="inlineStr">
        <is>
          <t>Positivo</t>
        </is>
      </c>
      <c r="F1989" s="148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90</v>
      </c>
      <c r="K1989" t="n">
        <v>95.26000000000001</v>
      </c>
      <c r="L1989" s="59">
        <f>IFERROR(IF(OR(J1989=0,K1989=""),"",IF(E1989="Positivo",MIN(MAX(K1989/J1989,0),1.3),MIN(MAX(J1989/K1989,0),1.3))),"") </f>
        <v/>
      </c>
      <c r="M1989" s="59">
        <f>IFERROR(IF(OR(J1989=0,K1989=""),"",IF(E1989="Positivo",MAX(K1989/J1989,0),MAX(J1989/K1989,0))),"") </f>
        <v/>
      </c>
      <c r="N1989" t="inlineStr">
        <is>
          <t>%</t>
        </is>
      </c>
      <c r="O1989" t="inlineStr">
        <is>
          <t>%</t>
        </is>
      </c>
      <c r="P1989" t="n">
        <v>1</v>
      </c>
      <c r="Q1989" t="n">
        <v>1</v>
      </c>
      <c r="R1989" t="inlineStr">
        <is>
          <t>397-2025-06-30</t>
        </is>
      </c>
    </row>
    <row r="1990">
      <c r="A1990" t="n">
        <v>397</v>
      </c>
      <c r="B1990" t="inlineStr">
        <is>
          <t>Gestión de casos del Estudio de Grabación Virtual</t>
        </is>
      </c>
      <c r="C1990" t="inlineStr">
        <is>
          <t>Diseño de Contenido Virtual</t>
        </is>
      </c>
      <c r="D1990" t="inlineStr">
        <is>
          <t>Trimestral</t>
        </is>
      </c>
      <c r="E1990" t="inlineStr">
        <is>
          <t>Positivo</t>
        </is>
      </c>
      <c r="F1990" s="148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90</v>
      </c>
      <c r="K1990" t="n">
        <v>96.14</v>
      </c>
      <c r="L1990" s="59">
        <f>IFERROR(IF(OR(J1990=0,K1990=""),"",IF(E1990="Positivo",MIN(MAX(K1990/J1990,0),1.3),MIN(MAX(J1990/K1990,0),1.3))),"") </f>
        <v/>
      </c>
      <c r="M1990" s="59">
        <f>IFERROR(IF(OR(J1990=0,K1990=""),"",IF(E1990="Positivo",MAX(K1990/J1990,0),MAX(J1990/K1990,0))),"") </f>
        <v/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1</v>
      </c>
      <c r="R1990" t="inlineStr">
        <is>
          <t>397-2025-12-31</t>
        </is>
      </c>
    </row>
    <row r="199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48" t="n">
        <v>45107</v>
      </c>
      <c r="G1991" t="n">
        <v>2023</v>
      </c>
      <c r="H1991" t="inlineStr">
        <is>
          <t>Junio</t>
        </is>
      </c>
      <c r="I1991" t="inlineStr">
        <is>
          <t>2023-1</t>
        </is>
      </c>
      <c r="J1991" t="n">
        <v>100</v>
      </c>
      <c r="K1991" t="n">
        <v>256.8</v>
      </c>
      <c r="L1991" s="59">
        <f>IFERROR(IF(OR(J1991=0,K1991=""),"",IF(E1991="Positivo",MIN(MAX(K1991/J1991,0),1.3),MIN(MAX(J1991/K1991,0),1.3))),"") </f>
        <v/>
      </c>
      <c r="M1991" s="59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398-2023-06-30</t>
        </is>
      </c>
    </row>
    <row r="1992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Semestral</t>
        </is>
      </c>
      <c r="E1992" t="inlineStr">
        <is>
          <t>Positivo</t>
        </is>
      </c>
      <c r="F1992" s="148" t="n">
        <v>45291</v>
      </c>
      <c r="G1992" t="n">
        <v>2023</v>
      </c>
      <c r="H1992" t="inlineStr">
        <is>
          <t>Diciembre</t>
        </is>
      </c>
      <c r="I1992" t="inlineStr">
        <is>
          <t>2023-2</t>
        </is>
      </c>
      <c r="J1992" t="n">
        <v>100</v>
      </c>
      <c r="K1992" t="n">
        <v>234.4</v>
      </c>
      <c r="L1992" s="59">
        <f>IFERROR(IF(OR(J1992=0,K1992=""),"",IF(E1992="Positivo",MIN(MAX(K1992/J1992,0),1.3),MIN(MAX(J1992/K1992,0),1.3))),"") </f>
        <v/>
      </c>
      <c r="M1992" s="59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398-2023-12-31</t>
        </is>
      </c>
    </row>
    <row r="1993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Semestral</t>
        </is>
      </c>
      <c r="E1993" t="inlineStr">
        <is>
          <t>Positivo</t>
        </is>
      </c>
      <c r="F1993" s="148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283.92</v>
      </c>
      <c r="L1993" s="59">
        <f>IFERROR(IF(OR(J1993=0,K1993=""),"",IF(E1993="Positivo",MIN(MAX(K1993/J1993,0),1.3),MIN(MAX(J1993/K1993,0),1.3))),"") </f>
        <v/>
      </c>
      <c r="M1993" s="59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398-2024-06-30</t>
        </is>
      </c>
    </row>
    <row r="1994">
      <c r="A1994" t="n">
        <v>398</v>
      </c>
      <c r="B1994" t="inlineStr">
        <is>
          <t>Participación en actividades de desarrollo de Cultura y Formación Emprendedora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48" t="n">
        <v>45657</v>
      </c>
      <c r="G1994" t="n">
        <v>2024</v>
      </c>
      <c r="H1994" t="inlineStr">
        <is>
          <t>Diciembre</t>
        </is>
      </c>
      <c r="I1994" t="inlineStr">
        <is>
          <t>2024-2</t>
        </is>
      </c>
      <c r="J1994" t="n">
        <v>100</v>
      </c>
      <c r="K1994" t="n">
        <v>160</v>
      </c>
      <c r="L1994" s="59">
        <f>IFERROR(IF(OR(J1994=0,K1994=""),"",IF(E1994="Positivo",MIN(MAX(K1994/J1994,0),1.3),MIN(MAX(J1994/K1994,0),1.3))),"") </f>
        <v/>
      </c>
      <c r="M1994" s="59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398-2024-12-31</t>
        </is>
      </c>
    </row>
    <row r="1995">
      <c r="A1995" t="n">
        <v>398</v>
      </c>
      <c r="B1995" t="inlineStr">
        <is>
          <t>Participación en actividades de desarrollo de Cultura y Formación Emprendedora</t>
        </is>
      </c>
      <c r="C1995" t="inlineStr">
        <is>
          <t>Emprendimiento</t>
        </is>
      </c>
      <c r="D1995" t="inlineStr">
        <is>
          <t>Semestral</t>
        </is>
      </c>
      <c r="E1995" t="inlineStr">
        <is>
          <t>Positivo</t>
        </is>
      </c>
      <c r="F1995" s="148" t="n">
        <v>45838</v>
      </c>
      <c r="G1995" t="n">
        <v>2025</v>
      </c>
      <c r="H1995" t="inlineStr">
        <is>
          <t>Junio</t>
        </is>
      </c>
      <c r="I1995" t="inlineStr">
        <is>
          <t>2025-1</t>
        </is>
      </c>
      <c r="J1995" t="n">
        <v>100</v>
      </c>
      <c r="K1995" t="n">
        <v>159.5</v>
      </c>
      <c r="L1995" s="59">
        <f>IFERROR(IF(OR(J1995=0,K1995=""),"",IF(E1995="Positivo",MIN(MAX(K1995/J1995,0),1.3),MIN(MAX(J1995/K1995,0),1.3))),"") </f>
        <v/>
      </c>
      <c r="M1995" s="59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398-2025-06-30</t>
        </is>
      </c>
    </row>
    <row r="1996">
      <c r="A1996" t="n">
        <v>398</v>
      </c>
      <c r="B1996" t="inlineStr">
        <is>
          <t>Participación en actividades de desarrollo de Cultura y Formación Emprendedora</t>
        </is>
      </c>
      <c r="C1996" t="inlineStr">
        <is>
          <t>Emprendimiento</t>
        </is>
      </c>
      <c r="D1996" t="inlineStr">
        <is>
          <t>Trimestral</t>
        </is>
      </c>
      <c r="E1996" t="inlineStr">
        <is>
          <t>Positivo</t>
        </is>
      </c>
      <c r="F1996" s="148" t="n">
        <v>46022</v>
      </c>
      <c r="G1996" t="n">
        <v>2025</v>
      </c>
      <c r="H1996" t="inlineStr">
        <is>
          <t>Diciembre</t>
        </is>
      </c>
      <c r="I1996" t="inlineStr">
        <is>
          <t>2025-2</t>
        </is>
      </c>
      <c r="J1996" t="n">
        <v>100</v>
      </c>
      <c r="K1996" t="n">
        <v>168.71</v>
      </c>
      <c r="L1996" s="59">
        <f>IFERROR(IF(OR(J1996=0,K1996=""),"",IF(E1996="Positivo",MIN(MAX(K1996/J1996,0),1.3),MIN(MAX(J1996/K1996,0),1.3))),"") </f>
        <v/>
      </c>
      <c r="M1996" s="59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398-2025-12-31</t>
        </is>
      </c>
    </row>
    <row r="1997">
      <c r="A1997" t="n">
        <v>399</v>
      </c>
      <c r="B1997" t="inlineStr">
        <is>
          <t>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48" t="n">
        <v>45107</v>
      </c>
      <c r="G1997" t="n">
        <v>2023</v>
      </c>
      <c r="H1997" t="inlineStr">
        <is>
          <t>Junio</t>
        </is>
      </c>
      <c r="I1997" t="inlineStr">
        <is>
          <t>2023-1</t>
        </is>
      </c>
      <c r="J1997" t="n">
        <v>100</v>
      </c>
      <c r="K1997" t="n">
        <v>117.8</v>
      </c>
      <c r="L1997" s="59">
        <f>IFERROR(IF(OR(J1997=0,K1997=""),"",IF(E1997="Positivo",MIN(MAX(K1997/J1997,0),1.3),MIN(MAX(J1997/K1997,0),1.3))),"") </f>
        <v/>
      </c>
      <c r="M1997" s="59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399-2023-06-30</t>
        </is>
      </c>
    </row>
    <row r="1998">
      <c r="A1998" t="n">
        <v>399</v>
      </c>
      <c r="B1998" t="inlineStr">
        <is>
          <t>Acompañamiento a emprendedores en creación de empresas</t>
        </is>
      </c>
      <c r="C1998" t="inlineStr">
        <is>
          <t>Emprendimiento</t>
        </is>
      </c>
      <c r="D1998" t="inlineStr">
        <is>
          <t>Semestral</t>
        </is>
      </c>
      <c r="E1998" t="inlineStr">
        <is>
          <t>Positivo</t>
        </is>
      </c>
      <c r="F1998" s="148" t="n">
        <v>45291</v>
      </c>
      <c r="G1998" t="n">
        <v>2023</v>
      </c>
      <c r="H1998" t="inlineStr">
        <is>
          <t>Diciembre</t>
        </is>
      </c>
      <c r="I1998" t="inlineStr">
        <is>
          <t>2023-2</t>
        </is>
      </c>
      <c r="J1998" t="n">
        <v>100</v>
      </c>
      <c r="K1998" t="n">
        <v>149</v>
      </c>
      <c r="L1998" s="59">
        <f>IFERROR(IF(OR(J1998=0,K1998=""),"",IF(E1998="Positivo",MIN(MAX(K1998/J1998,0),1.3),MIN(MAX(J1998/K1998,0),1.3))),"") </f>
        <v/>
      </c>
      <c r="M1998" s="59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399-2023-12-31</t>
        </is>
      </c>
    </row>
    <row r="1999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Semestral</t>
        </is>
      </c>
      <c r="E1999" t="inlineStr">
        <is>
          <t>Positivo</t>
        </is>
      </c>
      <c r="F1999" s="148" t="n">
        <v>45473</v>
      </c>
      <c r="G1999" t="n">
        <v>2024</v>
      </c>
      <c r="H1999" t="inlineStr">
        <is>
          <t>Junio</t>
        </is>
      </c>
      <c r="I1999" t="inlineStr">
        <is>
          <t>2024-1</t>
        </is>
      </c>
      <c r="J1999" t="n">
        <v>100</v>
      </c>
      <c r="K1999" t="n">
        <v>111.36</v>
      </c>
      <c r="L1999" s="59">
        <f>IFERROR(IF(OR(J1999=0,K1999=""),"",IF(E1999="Positivo",MIN(MAX(K1999/J1999,0),1.3),MIN(MAX(J1999/K1999,0),1.3))),"") </f>
        <v/>
      </c>
      <c r="M1999" s="59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399-2024-06-30</t>
        </is>
      </c>
    </row>
    <row r="2000">
      <c r="A2000" t="n">
        <v>399</v>
      </c>
      <c r="B2000" t="inlineStr">
        <is>
          <t>Sesiones de Acompañamiento a emprendedores en creación de empresas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48" t="n">
        <v>45657</v>
      </c>
      <c r="G2000" t="n">
        <v>2024</v>
      </c>
      <c r="H2000" t="inlineStr">
        <is>
          <t>Diciembre</t>
        </is>
      </c>
      <c r="I2000" t="inlineStr">
        <is>
          <t>2024-2</t>
        </is>
      </c>
      <c r="J2000" t="n">
        <v>100</v>
      </c>
      <c r="K2000" t="n">
        <v>111.36</v>
      </c>
      <c r="L2000" s="59">
        <f>IFERROR(IF(OR(J2000=0,K2000=""),"",IF(E2000="Positivo",MIN(MAX(K2000/J2000,0),1.3),MIN(MAX(J2000/K2000,0),1.3))),"") </f>
        <v/>
      </c>
      <c r="M2000" s="59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399-2024-12-31</t>
        </is>
      </c>
    </row>
    <row r="2001">
      <c r="A2001" t="n">
        <v>399</v>
      </c>
      <c r="B2001" t="inlineStr">
        <is>
          <t>Sesiones de Acompañamiento a emprendedores en creación de empresas</t>
        </is>
      </c>
      <c r="C2001" t="inlineStr">
        <is>
          <t>Emprendimiento</t>
        </is>
      </c>
      <c r="D2001" t="inlineStr">
        <is>
          <t>Semestral</t>
        </is>
      </c>
      <c r="E2001" t="inlineStr">
        <is>
          <t>Positivo</t>
        </is>
      </c>
      <c r="F2001" s="148" t="n">
        <v>45838</v>
      </c>
      <c r="G2001" t="n">
        <v>2025</v>
      </c>
      <c r="H2001" t="inlineStr">
        <is>
          <t>Junio</t>
        </is>
      </c>
      <c r="I2001" t="inlineStr">
        <is>
          <t>2025-1</t>
        </is>
      </c>
      <c r="J2001" t="n">
        <v>100</v>
      </c>
      <c r="K2001" t="n">
        <v>102.93</v>
      </c>
      <c r="L2001" s="59">
        <f>IFERROR(IF(OR(J2001=0,K2001=""),"",IF(E2001="Positivo",MIN(MAX(K2001/J2001,0),1.3),MIN(MAX(J2001/K2001,0),1.3))),"") </f>
        <v/>
      </c>
      <c r="M2001" s="59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399-2025-06-30</t>
        </is>
      </c>
    </row>
    <row r="2002">
      <c r="A2002" t="n">
        <v>399</v>
      </c>
      <c r="B2002" t="inlineStr">
        <is>
          <t>Sesiones de Acompañamiento a emprendedores en creación de empresas</t>
        </is>
      </c>
      <c r="C2002" t="inlineStr">
        <is>
          <t>Emprendimiento</t>
        </is>
      </c>
      <c r="D2002" t="inlineStr">
        <is>
          <t>Trimestral</t>
        </is>
      </c>
      <c r="E2002" t="inlineStr">
        <is>
          <t>Positivo</t>
        </is>
      </c>
      <c r="F2002" s="148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106.13</v>
      </c>
      <c r="L2002" s="59">
        <f>IFERROR(IF(OR(J2002=0,K2002=""),"",IF(E2002="Positivo",MIN(MAX(K2002/J2002,0),1.3),MIN(MAX(J2002/K2002,0),1.3))),"") </f>
        <v/>
      </c>
      <c r="M2002" s="59">
        <f>IFERROR(IF(OR(J2002=0,K2002=""),"",IF(E2002="Positivo",MAX(K2002/J2002,0),MAX(J2002/K2002,0))),"") </f>
        <v/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399-2025-12-31</t>
        </is>
      </c>
    </row>
    <row r="2003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48" t="n">
        <v>45107</v>
      </c>
      <c r="G2003" t="n">
        <v>2023</v>
      </c>
      <c r="H2003" t="inlineStr">
        <is>
          <t>Junio</t>
        </is>
      </c>
      <c r="I2003" t="inlineStr">
        <is>
          <t>2023-1</t>
        </is>
      </c>
      <c r="J2003" t="n">
        <v>100</v>
      </c>
      <c r="K2003" t="n">
        <v>220</v>
      </c>
      <c r="L2003" s="59">
        <f>IFERROR(IF(OR(J2003=0,K2003=""),"",IF(E2003="Positivo",MIN(MAX(K2003/J2003,0),1.3),MIN(MAX(J2003/K2003,0),1.3))),"") </f>
        <v/>
      </c>
      <c r="M2003" s="59">
        <f>IFERROR(IF(OR(J2003=0,K2003=""),"",IF(E2003="Positivo",MAX(K2003/J2003,0),MAX(J2003/K2003,0))),"") </f>
        <v/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400-2023-06-30</t>
        </is>
      </c>
    </row>
    <row r="2004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Semestral</t>
        </is>
      </c>
      <c r="E2004" t="inlineStr">
        <is>
          <t>Positivo</t>
        </is>
      </c>
      <c r="F2004" s="148" t="n">
        <v>45291</v>
      </c>
      <c r="G2004" t="n">
        <v>2023</v>
      </c>
      <c r="H2004" t="inlineStr">
        <is>
          <t>Diciembre</t>
        </is>
      </c>
      <c r="I2004" t="inlineStr">
        <is>
          <t>2023-2</t>
        </is>
      </c>
      <c r="J2004" t="n">
        <v>100</v>
      </c>
      <c r="K2004" t="n">
        <v>282.86</v>
      </c>
      <c r="L2004" s="59">
        <f>IFERROR(IF(OR(J2004=0,K2004=""),"",IF(E2004="Positivo",MIN(MAX(K2004/J2004,0),1.3),MIN(MAX(J2004/K2004,0),1.3))),"") </f>
        <v/>
      </c>
      <c r="M2004" s="59">
        <f>IFERROR(IF(OR(J2004=0,K2004=""),"",IF(E2004="Positivo",MAX(K2004/J2004,0),MAX(J2004/K2004,0))),"") </f>
        <v/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400-2023-12-31</t>
        </is>
      </c>
    </row>
    <row r="2005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Semestral</t>
        </is>
      </c>
      <c r="E2005" t="inlineStr">
        <is>
          <t>Positivo</t>
        </is>
      </c>
      <c r="F2005" s="148" t="n">
        <v>45473</v>
      </c>
      <c r="G2005" t="n">
        <v>2024</v>
      </c>
      <c r="H2005" t="inlineStr">
        <is>
          <t>Junio</t>
        </is>
      </c>
      <c r="I2005" t="inlineStr">
        <is>
          <t>2024-1</t>
        </is>
      </c>
      <c r="J2005" t="n">
        <v>100</v>
      </c>
      <c r="K2005" t="n">
        <v>270.45</v>
      </c>
      <c r="L2005" s="59">
        <f>IFERROR(IF(OR(J2005=0,K2005=""),"",IF(E2005="Positivo",MIN(MAX(K2005/J2005,0),1.3),MIN(MAX(J2005/K2005,0),1.3))),"") </f>
        <v/>
      </c>
      <c r="M2005" s="59">
        <f>IFERROR(IF(OR(J2005=0,K2005=""),"",IF(E2005="Positivo",MAX(K2005/J2005,0),MAX(J2005/K2005,0))),"") </f>
        <v/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400-2024-06-30</t>
        </is>
      </c>
    </row>
    <row r="2006">
      <c r="A2006" t="n">
        <v>400</v>
      </c>
      <c r="B2006" t="inlineStr">
        <is>
          <t>Puesta en marcha de proyectos de emprendimiento</t>
        </is>
      </c>
      <c r="C2006" t="inlineStr">
        <is>
          <t>Emprendimiento</t>
        </is>
      </c>
      <c r="D2006" t="inlineStr">
        <is>
          <t>Semestral</t>
        </is>
      </c>
      <c r="E2006" t="inlineStr">
        <is>
          <t>Positivo</t>
        </is>
      </c>
      <c r="F2006" s="148" t="n">
        <v>45657</v>
      </c>
      <c r="G2006" t="n">
        <v>2024</v>
      </c>
      <c r="H2006" t="inlineStr">
        <is>
          <t>Diciembre</t>
        </is>
      </c>
      <c r="I2006" t="inlineStr">
        <is>
          <t>2024-2</t>
        </is>
      </c>
      <c r="J2006" t="n">
        <v>100</v>
      </c>
      <c r="K2006" t="n">
        <v>397.73</v>
      </c>
      <c r="L2006" s="59">
        <f>IFERROR(IF(OR(J2006=0,K2006=""),"",IF(E2006="Positivo",MIN(MAX(K2006/J2006,0),1.3),MIN(MAX(J2006/K2006,0),1.3))),"") </f>
        <v/>
      </c>
      <c r="M2006" s="59">
        <f>IFERROR(IF(OR(J2006=0,K2006=""),"",IF(E2006="Positivo",MAX(K2006/J2006,0),MAX(J2006/K2006,0))),"") </f>
        <v/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400-2024-12-31</t>
        </is>
      </c>
    </row>
    <row r="2007">
      <c r="A2007" t="n">
        <v>400</v>
      </c>
      <c r="B2007" t="inlineStr">
        <is>
          <t>Puesta en marcha de proyectos de emprendimiento</t>
        </is>
      </c>
      <c r="C2007" t="inlineStr">
        <is>
          <t>Emprendimiento</t>
        </is>
      </c>
      <c r="D2007" t="inlineStr">
        <is>
          <t>Semestral</t>
        </is>
      </c>
      <c r="E2007" t="inlineStr">
        <is>
          <t>Positivo</t>
        </is>
      </c>
      <c r="F2007" s="148" t="n">
        <v>45838</v>
      </c>
      <c r="G2007" t="n">
        <v>2025</v>
      </c>
      <c r="H2007" t="inlineStr">
        <is>
          <t>Junio</t>
        </is>
      </c>
      <c r="I2007" t="inlineStr">
        <is>
          <t>2025-1</t>
        </is>
      </c>
      <c r="J2007" t="n">
        <v>100</v>
      </c>
      <c r="K2007" t="n">
        <v>123</v>
      </c>
      <c r="L2007" s="59">
        <f>IFERROR(IF(OR(J2007=0,K2007=""),"",IF(E2007="Positivo",MIN(MAX(K2007/J2007,0),1.3),MIN(MAX(J2007/K2007,0),1.3))),"") </f>
        <v/>
      </c>
      <c r="M2007" s="59">
        <f>IFERROR(IF(OR(J2007=0,K2007=""),"",IF(E2007="Positivo",MAX(K2007/J2007,0),MAX(J2007/K2007,0))),"") </f>
        <v/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400-2025-06-30</t>
        </is>
      </c>
    </row>
    <row r="2008">
      <c r="A2008" t="n">
        <v>400</v>
      </c>
      <c r="B2008" t="inlineStr">
        <is>
          <t>Puesta en marcha de proyectos de emprendimiento</t>
        </is>
      </c>
      <c r="C2008" t="inlineStr">
        <is>
          <t>Emprendimiento</t>
        </is>
      </c>
      <c r="D2008" t="inlineStr">
        <is>
          <t>Trimestral</t>
        </is>
      </c>
      <c r="E2008" t="inlineStr">
        <is>
          <t>Positivo</t>
        </is>
      </c>
      <c r="F2008" s="148" t="n">
        <v>46022</v>
      </c>
      <c r="G2008" t="n">
        <v>2025</v>
      </c>
      <c r="H2008" t="inlineStr">
        <is>
          <t>Diciembre</t>
        </is>
      </c>
      <c r="I2008" t="inlineStr">
        <is>
          <t>2025-2</t>
        </is>
      </c>
      <c r="J2008" t="n">
        <v>100</v>
      </c>
      <c r="K2008" t="n">
        <v>127.14</v>
      </c>
      <c r="L2008" s="59">
        <f>IFERROR(IF(OR(J2008=0,K2008=""),"",IF(E2008="Positivo",MIN(MAX(K2008/J2008,0),1.3),MIN(MAX(J2008/K2008,0),1.3))),"") </f>
        <v/>
      </c>
      <c r="M2008" s="59">
        <f>IFERROR(IF(OR(J2008=0,K2008=""),"",IF(E2008="Positivo",MAX(K2008/J2008,0),MAX(J2008/K2008,0))),"") </f>
        <v/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400-2025-12-31</t>
        </is>
      </c>
    </row>
    <row r="2009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48" t="n">
        <v>45107</v>
      </c>
      <c r="G2009" t="n">
        <v>2023</v>
      </c>
      <c r="H2009" t="inlineStr">
        <is>
          <t>Junio</t>
        </is>
      </c>
      <c r="I2009" t="inlineStr">
        <is>
          <t>2023-1</t>
        </is>
      </c>
      <c r="J2009" t="n">
        <v>90</v>
      </c>
      <c r="K2009" t="n">
        <v>87.5</v>
      </c>
      <c r="L2009" s="59">
        <f>IFERROR(IF(OR(J2009=0,K2009=""),"",IF(E2009="Positivo",MIN(MAX(K2009/J2009,0),1.3),MIN(MAX(J2009/K2009,0),1.3))),"") </f>
        <v/>
      </c>
      <c r="M2009" s="59">
        <f>IFERROR(IF(OR(J2009=0,K2009=""),"",IF(E2009="Positivo",MAX(K2009/J2009,0),MAX(J2009/K2009,0))),"") </f>
        <v/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401-2023-06-30</t>
        </is>
      </c>
    </row>
    <row r="2010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Semestral</t>
        </is>
      </c>
      <c r="E2010" t="inlineStr">
        <is>
          <t>Positivo</t>
        </is>
      </c>
      <c r="F2010" s="148" t="n">
        <v>45291</v>
      </c>
      <c r="G2010" t="n">
        <v>2023</v>
      </c>
      <c r="H2010" t="inlineStr">
        <is>
          <t>Diciembre</t>
        </is>
      </c>
      <c r="I2010" t="inlineStr">
        <is>
          <t>2023-2</t>
        </is>
      </c>
      <c r="J2010" t="n">
        <v>90</v>
      </c>
      <c r="K2010" t="n">
        <v>125</v>
      </c>
      <c r="L2010" s="59">
        <f>IFERROR(IF(OR(J2010=0,K2010=""),"",IF(E2010="Positivo",MIN(MAX(K2010/J2010,0),1.3),MIN(MAX(J2010/K2010,0),1.3))),"") </f>
        <v/>
      </c>
      <c r="M2010" s="59">
        <f>IFERROR(IF(OR(J2010=0,K2010=""),"",IF(E2010="Positivo",MAX(K2010/J2010,0),MAX(J2010/K2010,0))),"") </f>
        <v/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401-2023-12-31</t>
        </is>
      </c>
    </row>
    <row r="201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Semestral</t>
        </is>
      </c>
      <c r="E2011" t="inlineStr">
        <is>
          <t>Positivo</t>
        </is>
      </c>
      <c r="F2011" s="148" t="n">
        <v>45473</v>
      </c>
      <c r="G2011" t="n">
        <v>2024</v>
      </c>
      <c r="H2011" t="inlineStr">
        <is>
          <t>Junio</t>
        </is>
      </c>
      <c r="I2011" t="inlineStr">
        <is>
          <t>2024-1</t>
        </is>
      </c>
      <c r="J2011" t="n">
        <v>90</v>
      </c>
      <c r="K2011" t="n">
        <v>112.5</v>
      </c>
      <c r="L2011" s="59">
        <f>IFERROR(IF(OR(J2011=0,K2011=""),"",IF(E2011="Positivo",MIN(MAX(K2011/J2011,0),1.3),MIN(MAX(J2011/K2011,0),1.3))),"") </f>
        <v/>
      </c>
      <c r="M2011" s="59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401-2024-06-30</t>
        </is>
      </c>
    </row>
    <row r="2012">
      <c r="A2012" t="n">
        <v>401</v>
      </c>
      <c r="B2012" t="inlineStr">
        <is>
          <t>Producción de nuevos MI-Books</t>
        </is>
      </c>
      <c r="C2012" t="inlineStr">
        <is>
          <t>LEI</t>
        </is>
      </c>
      <c r="D2012" t="inlineStr">
        <is>
          <t>Semestral</t>
        </is>
      </c>
      <c r="E2012" t="inlineStr">
        <is>
          <t>Positivo</t>
        </is>
      </c>
      <c r="F2012" s="148" t="n">
        <v>45657</v>
      </c>
      <c r="G2012" t="n">
        <v>2024</v>
      </c>
      <c r="H2012" t="inlineStr">
        <is>
          <t>Diciembre</t>
        </is>
      </c>
      <c r="I2012" t="inlineStr">
        <is>
          <t>2024-2</t>
        </is>
      </c>
      <c r="J2012" t="n">
        <v>90</v>
      </c>
      <c r="K2012" t="n">
        <v>100</v>
      </c>
      <c r="L2012" s="59">
        <f>IFERROR(IF(OR(J2012=0,K2012=""),"",IF(E2012="Positivo",MIN(MAX(K2012/J2012,0),1.3),MIN(MAX(J2012/K2012,0),1.3))),"") </f>
        <v/>
      </c>
      <c r="M2012" s="59">
        <f>IFERROR(IF(OR(J2012=0,K2012=""),"",IF(E2012="Positivo",MAX(K2012/J2012,0),MAX(J2012/K2012,0))),"") </f>
        <v/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401-2024-12-31</t>
        </is>
      </c>
    </row>
    <row r="2013">
      <c r="A2013" t="n">
        <v>401</v>
      </c>
      <c r="B2013" t="inlineStr">
        <is>
          <t>Producción de nuevos MI-Books</t>
        </is>
      </c>
      <c r="C2013" t="inlineStr">
        <is>
          <t>LEI</t>
        </is>
      </c>
      <c r="D2013" t="inlineStr">
        <is>
          <t>Semestral</t>
        </is>
      </c>
      <c r="E2013" t="inlineStr">
        <is>
          <t>Positivo</t>
        </is>
      </c>
      <c r="F2013" s="148" t="n">
        <v>45838</v>
      </c>
      <c r="G2013" t="n">
        <v>2025</v>
      </c>
      <c r="H2013" t="inlineStr">
        <is>
          <t>Junio</t>
        </is>
      </c>
      <c r="I2013" t="inlineStr">
        <is>
          <t>2025-1</t>
        </is>
      </c>
      <c r="J2013" t="n">
        <v>100</v>
      </c>
      <c r="K2013" t="n">
        <v>100</v>
      </c>
      <c r="L2013" s="59">
        <f>IFERROR(IF(OR(J2013=0,K2013=""),"",IF(E2013="Positivo",MIN(MAX(K2013/J2013,0),1.3),MIN(MAX(J2013/K2013,0),1.3))),"") </f>
        <v/>
      </c>
      <c r="M2013" s="59">
        <f>IFERROR(IF(OR(J2013=0,K2013=""),"",IF(E2013="Positivo",MAX(K2013/J2013,0),MAX(J2013/K2013,0))),"") </f>
        <v/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401-2025-06-30</t>
        </is>
      </c>
    </row>
    <row r="2014">
      <c r="A2014" t="n">
        <v>401</v>
      </c>
      <c r="B2014" t="inlineStr">
        <is>
          <t>Producción de nuevos MI-Books</t>
        </is>
      </c>
      <c r="C2014" t="inlineStr">
        <is>
          <t>LEI</t>
        </is>
      </c>
      <c r="D2014" t="inlineStr">
        <is>
          <t>Trimestral</t>
        </is>
      </c>
      <c r="E2014" t="inlineStr">
        <is>
          <t>Positivo</t>
        </is>
      </c>
      <c r="F2014" s="148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J2014" t="n">
        <v>100</v>
      </c>
      <c r="K2014" t="n">
        <v>100</v>
      </c>
      <c r="L2014" s="59">
        <f>IFERROR(IF(OR(J2014=0,K2014=""),"",IF(E2014="Positivo",MIN(MAX(K2014/J2014,0),1.3),MIN(MAX(J2014/K2014,0),1.3))),"") </f>
        <v/>
      </c>
      <c r="M2014" s="59">
        <f>IFERROR(IF(OR(J2014=0,K2014=""),"",IF(E2014="Positivo",MAX(K2014/J2014,0),MAX(J2014/K2014,0))),"") </f>
        <v/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401-2025-12-31</t>
        </is>
      </c>
    </row>
    <row r="2015">
      <c r="A2015" t="n">
        <v>402</v>
      </c>
      <c r="B2015" t="inlineStr">
        <is>
          <t>Informe anual de consulta de MI-Books</t>
        </is>
      </c>
      <c r="C2015" t="inlineStr">
        <is>
          <t>LEI</t>
        </is>
      </c>
      <c r="D2015" t="inlineStr">
        <is>
          <t>Anual</t>
        </is>
      </c>
      <c r="E2015" t="inlineStr">
        <is>
          <t>Positivo</t>
        </is>
      </c>
      <c r="F2015" s="148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K2015" t="n">
        <v>21000</v>
      </c>
      <c r="L2015" s="59" t="n"/>
      <c r="M2015" s="59" t="n"/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402-2023-12-31</t>
        </is>
      </c>
    </row>
    <row r="2016">
      <c r="A2016" t="n">
        <v>402</v>
      </c>
      <c r="B2016" t="inlineStr">
        <is>
          <t>Informe anual de consulta de MI-Books</t>
        </is>
      </c>
      <c r="C2016" t="inlineStr">
        <is>
          <t>LEI</t>
        </is>
      </c>
      <c r="D2016" t="inlineStr">
        <is>
          <t>Anual</t>
        </is>
      </c>
      <c r="E2016" t="inlineStr">
        <is>
          <t>Positivo</t>
        </is>
      </c>
      <c r="F2016" s="148" t="n">
        <v>45657</v>
      </c>
      <c r="G2016" t="n">
        <v>2024</v>
      </c>
      <c r="H2016" t="inlineStr">
        <is>
          <t>Diciembre</t>
        </is>
      </c>
      <c r="I2016" t="inlineStr">
        <is>
          <t>2024-2</t>
        </is>
      </c>
      <c r="J2016" t="n">
        <v>3</v>
      </c>
      <c r="K2016" t="n">
        <v>4.76</v>
      </c>
      <c r="L2016" s="59">
        <f>IFERROR(IF(OR(J2016=0,K2016=""),"",IF(E2016="Positivo",MIN(MAX(K2016/J2016,0),1.3),MIN(MAX(J2016/K2016,0),1.3))),"") </f>
        <v/>
      </c>
      <c r="M2016" s="59">
        <f>IFERROR(IF(OR(J2016=0,K2016=""),"",IF(E2016="Positivo",MAX(K2016/J2016,0),MAX(J2016/K2016,0))),"") </f>
        <v/>
      </c>
      <c r="P2016" t="n">
        <v>0</v>
      </c>
      <c r="Q2016" t="n">
        <v>0</v>
      </c>
      <c r="R2016" t="inlineStr">
        <is>
          <t>402-2024-12-31</t>
        </is>
      </c>
    </row>
    <row r="2017">
      <c r="A2017" t="n">
        <v>402</v>
      </c>
      <c r="B2017" t="inlineStr">
        <is>
          <t>Informe anual de consulta de MI-Books</t>
        </is>
      </c>
      <c r="C2017" t="inlineStr">
        <is>
          <t>LEI</t>
        </is>
      </c>
      <c r="D2017" t="inlineStr">
        <is>
          <t>Anual</t>
        </is>
      </c>
      <c r="E2017" t="inlineStr">
        <is>
          <t>Positivo</t>
        </is>
      </c>
      <c r="F2017" s="148" t="n">
        <v>46022</v>
      </c>
      <c r="G2017" t="n">
        <v>2025</v>
      </c>
      <c r="H2017" t="inlineStr">
        <is>
          <t>Diciembre</t>
        </is>
      </c>
      <c r="I2017" t="inlineStr">
        <is>
          <t>2025-2</t>
        </is>
      </c>
      <c r="K2017" t="n">
        <v>22.73</v>
      </c>
      <c r="L2017" s="59" t="n"/>
      <c r="M2017" s="59" t="n"/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402-2025-12-31</t>
        </is>
      </c>
    </row>
    <row r="2018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48" t="n">
        <v>45107</v>
      </c>
      <c r="G2018" t="n">
        <v>2023</v>
      </c>
      <c r="H2018" t="inlineStr">
        <is>
          <t>Junio</t>
        </is>
      </c>
      <c r="I2018" t="inlineStr">
        <is>
          <t>2023-1</t>
        </is>
      </c>
      <c r="K2018" t="n">
        <v>14370</v>
      </c>
      <c r="L2018" s="59" t="n"/>
      <c r="M2018" s="5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403-2023-06-30</t>
        </is>
      </c>
    </row>
    <row r="2019">
      <c r="A2019" t="n">
        <v>403</v>
      </c>
      <c r="B2019" t="inlineStr">
        <is>
          <t>Número de estudiantes que ha realizado la simulación</t>
        </is>
      </c>
      <c r="C2019" t="inlineStr">
        <is>
          <t>LEI</t>
        </is>
      </c>
      <c r="D2019" t="inlineStr">
        <is>
          <t>Semestral</t>
        </is>
      </c>
      <c r="E2019" t="inlineStr">
        <is>
          <t>Positivo</t>
        </is>
      </c>
      <c r="F2019" s="148" t="n">
        <v>45291</v>
      </c>
      <c r="G2019" t="n">
        <v>2023</v>
      </c>
      <c r="H2019" t="inlineStr">
        <is>
          <t>Diciembre</t>
        </is>
      </c>
      <c r="I2019" t="inlineStr">
        <is>
          <t>2023-2</t>
        </is>
      </c>
      <c r="K2019" t="n">
        <v>28639</v>
      </c>
      <c r="L2019" s="59" t="n"/>
      <c r="M2019" s="5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403-2023-12-31</t>
        </is>
      </c>
    </row>
    <row r="2020">
      <c r="A2020" t="n">
        <v>403</v>
      </c>
      <c r="B2020" t="inlineStr">
        <is>
          <t>Número de estudiantes que ha realizado la simulación</t>
        </is>
      </c>
      <c r="C2020" t="inlineStr">
        <is>
          <t>LEI</t>
        </is>
      </c>
      <c r="D2020" t="inlineStr">
        <is>
          <t>Semestral</t>
        </is>
      </c>
      <c r="E2020" t="inlineStr">
        <is>
          <t>Positivo</t>
        </is>
      </c>
      <c r="F2020" s="148" t="n">
        <v>45473</v>
      </c>
      <c r="G2020" t="n">
        <v>2024</v>
      </c>
      <c r="H2020" t="inlineStr">
        <is>
          <t>Junio</t>
        </is>
      </c>
      <c r="I2020" t="inlineStr">
        <is>
          <t>2024-1</t>
        </is>
      </c>
      <c r="K2020" t="n">
        <v>14923</v>
      </c>
      <c r="L2020" s="59" t="n"/>
      <c r="M2020" s="5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403-2024-06-30</t>
        </is>
      </c>
    </row>
    <row r="2021">
      <c r="A2021" t="n">
        <v>403</v>
      </c>
      <c r="B2021" t="inlineStr">
        <is>
          <t>Número de estudiantes que ha realizado la simulación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Positivo</t>
        </is>
      </c>
      <c r="F2021" s="148" t="n">
        <v>45657</v>
      </c>
      <c r="G2021" t="n">
        <v>2024</v>
      </c>
      <c r="H2021" t="inlineStr">
        <is>
          <t>Diciembre</t>
        </is>
      </c>
      <c r="I2021" t="inlineStr">
        <is>
          <t>2024-2</t>
        </is>
      </c>
      <c r="K2021" t="n">
        <v>14495</v>
      </c>
      <c r="L2021" s="59" t="n"/>
      <c r="M2021" s="59" t="n"/>
      <c r="N2021" t="inlineStr">
        <is>
          <t>Metrica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403-2024-12-31</t>
        </is>
      </c>
    </row>
    <row r="2022">
      <c r="A2022" t="n">
        <v>403</v>
      </c>
      <c r="B2022" t="inlineStr">
        <is>
          <t>Número de estudiantes que ha realizado la simulación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Positivo</t>
        </is>
      </c>
      <c r="F2022" s="148" t="n">
        <v>45838</v>
      </c>
      <c r="G2022" t="n">
        <v>2025</v>
      </c>
      <c r="H2022" t="inlineStr">
        <is>
          <t>Junio</t>
        </is>
      </c>
      <c r="I2022" t="inlineStr">
        <is>
          <t>2025-1</t>
        </is>
      </c>
      <c r="K2022" t="n">
        <v>14410</v>
      </c>
      <c r="L2022" s="59" t="n"/>
      <c r="M2022" s="59" t="n"/>
      <c r="N2022" t="inlineStr">
        <is>
          <t>Metrica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403-2025-06-30</t>
        </is>
      </c>
    </row>
    <row r="2023">
      <c r="A2023" t="n">
        <v>403</v>
      </c>
      <c r="B2023" t="inlineStr">
        <is>
          <t>Número de estudiantes que ha realizado la simulación (Metrica)</t>
        </is>
      </c>
      <c r="C2023" t="inlineStr">
        <is>
          <t>LEI</t>
        </is>
      </c>
      <c r="D2023" t="inlineStr">
        <is>
          <t>Trimestral</t>
        </is>
      </c>
      <c r="E2023" t="inlineStr">
        <is>
          <t>Positivo</t>
        </is>
      </c>
      <c r="F2023" s="148" t="n">
        <v>46022</v>
      </c>
      <c r="G2023" t="n">
        <v>2025</v>
      </c>
      <c r="H2023" t="inlineStr">
        <is>
          <t>Diciembre</t>
        </is>
      </c>
      <c r="I2023" t="inlineStr">
        <is>
          <t>2025-2</t>
        </is>
      </c>
      <c r="K2023" t="n">
        <v>12510</v>
      </c>
      <c r="L2023" s="59" t="n"/>
      <c r="M2023" s="59" t="n"/>
      <c r="N2023" t="inlineStr">
        <is>
          <t>Metrica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403-2025-12-31</t>
        </is>
      </c>
      <c r="S2023" t="inlineStr">
        <is>
          <t>Metrica</t>
        </is>
      </c>
    </row>
    <row r="2024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48" t="n">
        <v>45107</v>
      </c>
      <c r="G2024" t="n">
        <v>2023</v>
      </c>
      <c r="H2024" t="inlineStr">
        <is>
          <t>Junio</t>
        </is>
      </c>
      <c r="I2024" t="inlineStr">
        <is>
          <t>2023-1</t>
        </is>
      </c>
      <c r="J2024" t="n">
        <v>20</v>
      </c>
      <c r="K2024" t="n">
        <v>2</v>
      </c>
      <c r="L2024" s="59">
        <f>IFERROR(IF(OR(J2024=0,K2024=""),"",IF(E2024="Positivo",MIN(MAX(K2024/J2024,0),1.3),MIN(MAX(J2024/K2024,0),1.3))),"") </f>
        <v/>
      </c>
      <c r="M2024" s="59">
        <f>IFERROR(IF(OR(J2024=0,K2024=""),"",IF(E2024="Positivo",MAX(K2024/J2024,0),MAX(J2024/K2024,0))),"") </f>
        <v/>
      </c>
      <c r="N2024" t="n">
        <v>0</v>
      </c>
      <c r="O2024" t="inlineStr">
        <is>
          <t>ENT</t>
        </is>
      </c>
      <c r="P2024" t="n">
        <v>0</v>
      </c>
      <c r="Q2024" t="n">
        <v>0</v>
      </c>
      <c r="R2024" t="inlineStr">
        <is>
          <t>404-2023-06-30</t>
        </is>
      </c>
    </row>
    <row r="2025">
      <c r="A2025" t="n">
        <v>404</v>
      </c>
      <c r="B2025" t="inlineStr">
        <is>
          <t>Casos presentados y solucionados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Negativo</t>
        </is>
      </c>
      <c r="F2025" s="148" t="n">
        <v>45291</v>
      </c>
      <c r="G2025" t="n">
        <v>2023</v>
      </c>
      <c r="H2025" t="inlineStr">
        <is>
          <t>Diciembre</t>
        </is>
      </c>
      <c r="I2025" t="inlineStr">
        <is>
          <t>2023-2</t>
        </is>
      </c>
      <c r="J2025" t="n">
        <v>20</v>
      </c>
      <c r="K2025" t="n">
        <v>1.31</v>
      </c>
      <c r="L2025" s="59">
        <f>IFERROR(IF(OR(J2025=0,K2025=""),"",IF(E2025="Positivo",MIN(MAX(K2025/J2025,0),1.3),MIN(MAX(J2025/K2025,0),1.3))),"") </f>
        <v/>
      </c>
      <c r="M2025" s="59">
        <f>IFERROR(IF(OR(J2025=0,K2025=""),"",IF(E2025="Positivo",MAX(K2025/J2025,0),MAX(J2025/K2025,0))),"") </f>
        <v/>
      </c>
      <c r="N2025" t="n">
        <v>0</v>
      </c>
      <c r="O2025" t="inlineStr">
        <is>
          <t>ENT</t>
        </is>
      </c>
      <c r="P2025" t="n">
        <v>0</v>
      </c>
      <c r="Q2025" t="n">
        <v>0</v>
      </c>
      <c r="R2025" t="inlineStr">
        <is>
          <t>404-2023-12-31</t>
        </is>
      </c>
    </row>
    <row r="2026">
      <c r="A2026" t="n">
        <v>404</v>
      </c>
      <c r="B2026" t="inlineStr">
        <is>
          <t>Casos presentados y solucionados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Negativo</t>
        </is>
      </c>
      <c r="F2026" s="148" t="n">
        <v>45473</v>
      </c>
      <c r="G2026" t="n">
        <v>2024</v>
      </c>
      <c r="H2026" t="inlineStr">
        <is>
          <t>Junio</t>
        </is>
      </c>
      <c r="I2026" t="inlineStr">
        <is>
          <t>2024-1</t>
        </is>
      </c>
      <c r="J2026" t="n">
        <v>10</v>
      </c>
      <c r="K2026" t="n">
        <v>5.85</v>
      </c>
      <c r="L2026" s="59">
        <f>IFERROR(IF(OR(J2026=0,K2026=""),"",IF(E2026="Positivo",MIN(MAX(K2026/J2026,0),1.3),MIN(MAX(J2026/K2026,0),1.3))),"") </f>
        <v/>
      </c>
      <c r="M2026" s="59">
        <f>IFERROR(IF(OR(J2026=0,K2026=""),"",IF(E2026="Positivo",MAX(K2026/J2026,0),MAX(J2026/K2026,0))),"") </f>
        <v/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404-2024-06-30</t>
        </is>
      </c>
    </row>
    <row r="2027">
      <c r="A2027" t="n">
        <v>404</v>
      </c>
      <c r="B2027" t="inlineStr">
        <is>
          <t>Casos presentados y solucionados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Negativo</t>
        </is>
      </c>
      <c r="F2027" s="148" t="n">
        <v>45657</v>
      </c>
      <c r="G2027" t="n">
        <v>2024</v>
      </c>
      <c r="H2027" t="inlineStr">
        <is>
          <t>Diciembre</t>
        </is>
      </c>
      <c r="I2027" t="inlineStr">
        <is>
          <t>2024-2</t>
        </is>
      </c>
      <c r="J2027" t="n">
        <v>10</v>
      </c>
      <c r="K2027" t="n">
        <v>6.02</v>
      </c>
      <c r="L2027" s="59">
        <f>IFERROR(IF(OR(J2027=0,K2027=""),"",IF(E2027="Positivo",MIN(MAX(K2027/J2027,0),1.3),MIN(MAX(J2027/K2027,0),1.3))),"") </f>
        <v/>
      </c>
      <c r="M2027" s="59">
        <f>IFERROR(IF(OR(J2027=0,K2027=""),"",IF(E2027="Positivo",MAX(K2027/J2027,0),MAX(J2027/K2027,0))),"") </f>
        <v/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404-2024-12-31</t>
        </is>
      </c>
    </row>
    <row r="2028">
      <c r="A2028" t="n">
        <v>405</v>
      </c>
      <c r="B2028" t="inlineStr">
        <is>
          <t>Avance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48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25</v>
      </c>
      <c r="K2028" t="n">
        <v>30</v>
      </c>
      <c r="L2028" s="59">
        <f>IFERROR(IF(OR(J2028=0,K2028=""),"",IF(E2028="Positivo",MIN(MAX(K2028/J2028,0),1.3),MIN(MAX(J2028/K2028,0),1.3))),"") </f>
        <v/>
      </c>
      <c r="M2028" s="59">
        <f>IFERROR(IF(OR(J2028=0,K2028=""),"",IF(E2028="Positivo",MAX(K2028/J2028,0),MAX(J2028/K2028,0))),"") </f>
        <v/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405-2023-06-30</t>
        </is>
      </c>
    </row>
    <row r="2029">
      <c r="A2029" t="n">
        <v>405</v>
      </c>
      <c r="B2029" t="inlineStr">
        <is>
          <t>Avance de reingenieria y arquitectura de software LEI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48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50</v>
      </c>
      <c r="K2029" t="n">
        <v>62</v>
      </c>
      <c r="L2029" s="59">
        <f>IFERROR(IF(OR(J2029=0,K2029=""),"",IF(E2029="Positivo",MIN(MAX(K2029/J2029,0),1.3),MIN(MAX(J2029/K2029,0),1.3))),"") </f>
        <v/>
      </c>
      <c r="M2029" s="59">
        <f>IFERROR(IF(OR(J2029=0,K2029=""),"",IF(E2029="Positivo",MAX(K2029/J2029,0),MAX(J2029/K2029,0))),"") </f>
        <v/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405-2023-12-31</t>
        </is>
      </c>
    </row>
    <row r="2030">
      <c r="A2030" t="n">
        <v>405</v>
      </c>
      <c r="B2030" t="inlineStr">
        <is>
          <t>Proyecto de reingenieria y arquitectura de software LEI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48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100</v>
      </c>
      <c r="K2030" t="n">
        <v>92</v>
      </c>
      <c r="L2030" s="59">
        <f>IFERROR(IF(OR(J2030=0,K2030=""),"",IF(E2030="Positivo",MIN(MAX(K2030/J2030,0),1.3),MIN(MAX(J2030/K2030,0),1.3))),"") </f>
        <v/>
      </c>
      <c r="M2030" s="59">
        <f>IFERROR(IF(OR(J2030=0,K2030=""),"",IF(E2030="Positivo",MAX(K2030/J2030,0),MAX(J2030/K2030,0))),"") </f>
        <v/>
      </c>
      <c r="N2030" t="inlineStr">
        <is>
          <t>%</t>
        </is>
      </c>
      <c r="O2030" t="inlineStr">
        <is>
          <t>%</t>
        </is>
      </c>
      <c r="P2030" t="n">
        <v>0</v>
      </c>
      <c r="Q2030" t="n">
        <v>0</v>
      </c>
      <c r="R2030" t="inlineStr">
        <is>
          <t>405-2024-06-30</t>
        </is>
      </c>
    </row>
    <row r="2031">
      <c r="A2031" t="n">
        <v>405</v>
      </c>
      <c r="B2031" t="inlineStr">
        <is>
          <t>Proyecto de reingenieria y arquitectura de software LEI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48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100</v>
      </c>
      <c r="K2031" t="n">
        <v>98</v>
      </c>
      <c r="L2031" s="59">
        <f>IFERROR(IF(OR(J2031=0,K2031=""),"",IF(E2031="Positivo",MIN(MAX(K2031/J2031,0),1.3),MIN(MAX(J2031/K2031,0),1.3))),"") </f>
        <v/>
      </c>
      <c r="M2031" s="59">
        <f>IFERROR(IF(OR(J2031=0,K2031=""),"",IF(E2031="Positivo",MAX(K2031/J2031,0),MAX(J2031/K2031,0))),"") </f>
        <v/>
      </c>
      <c r="N2031" t="inlineStr">
        <is>
          <t>%</t>
        </is>
      </c>
      <c r="O2031" t="inlineStr">
        <is>
          <t>%</t>
        </is>
      </c>
      <c r="P2031" t="n">
        <v>0</v>
      </c>
      <c r="Q2031" t="n">
        <v>0</v>
      </c>
      <c r="R2031" t="inlineStr">
        <is>
          <t>405-2024-12-31</t>
        </is>
      </c>
    </row>
    <row r="2032">
      <c r="A2032" t="n">
        <v>406</v>
      </c>
      <c r="B2032" t="inlineStr">
        <is>
          <t>Programas con condiciones iniciales aprobadas por facultad</t>
        </is>
      </c>
      <c r="C2032" t="inlineStr">
        <is>
          <t>Creación, modificación y cierre de programas académicos</t>
        </is>
      </c>
      <c r="D2032" t="inlineStr">
        <is>
          <t>Semestral</t>
        </is>
      </c>
      <c r="E2032" t="inlineStr">
        <is>
          <t>Positivo</t>
        </is>
      </c>
      <c r="F2032" s="148" t="n">
        <v>45291</v>
      </c>
      <c r="G2032" t="n">
        <v>2023</v>
      </c>
      <c r="H2032" t="inlineStr">
        <is>
          <t>Diciembre</t>
        </is>
      </c>
      <c r="I2032" t="inlineStr">
        <is>
          <t>2023-2</t>
        </is>
      </c>
      <c r="J2032" t="n">
        <v>5</v>
      </c>
      <c r="K2032" t="n">
        <v>5</v>
      </c>
      <c r="L2032" s="59">
        <f>IFERROR(IF(OR(J2032=0,K2032=""),"",IF(E2032="Positivo",MIN(MAX(K2032/J2032,0),1.3),MIN(MAX(J2032/K2032,0),1.3))),"") </f>
        <v/>
      </c>
      <c r="M2032" s="59">
        <f>IFERROR(IF(OR(J2032=0,K2032=""),"",IF(E2032="Positivo",MAX(K2032/J2032,0),MAX(J2032/K2032,0))),"") </f>
        <v/>
      </c>
      <c r="N2032" t="inlineStr">
        <is>
          <t>%</t>
        </is>
      </c>
      <c r="O2032" t="inlineStr">
        <is>
          <t>%</t>
        </is>
      </c>
      <c r="P2032" t="n">
        <v>0</v>
      </c>
      <c r="Q2032" t="n">
        <v>0</v>
      </c>
      <c r="R2032" t="inlineStr">
        <is>
          <t>406-2023-12-31</t>
        </is>
      </c>
    </row>
    <row r="2033">
      <c r="A2033" t="n">
        <v>406</v>
      </c>
      <c r="B2033" t="inlineStr">
        <is>
          <t>Programas con condiciones iniciales aprobadas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48" t="n">
        <v>45473</v>
      </c>
      <c r="G2033" t="n">
        <v>2024</v>
      </c>
      <c r="H2033" t="inlineStr">
        <is>
          <t>Junio</t>
        </is>
      </c>
      <c r="I2033" t="inlineStr">
        <is>
          <t>2024-1</t>
        </is>
      </c>
      <c r="J2033" t="n">
        <v>0</v>
      </c>
      <c r="K2033" t="n">
        <v>3</v>
      </c>
      <c r="L2033" s="59">
        <f>IFERROR(IF(OR(J2033=0,K2033=""),"",IF(E2033="Positivo",MIN(MAX(K2033/J2033,0),1.3),MIN(MAX(J2033/K2033,0),1.3))),"") </f>
        <v/>
      </c>
      <c r="M2033" s="59">
        <f>IFERROR(IF(OR(J2033=0,K2033=""),"",IF(E2033="Positivo",MAX(K2033/J2033,0),MAX(J2033/K2033,0))),"") </f>
        <v/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406-2024-06-30</t>
        </is>
      </c>
    </row>
    <row r="2034">
      <c r="A2034" t="n">
        <v>407</v>
      </c>
      <c r="B2034" t="inlineStr">
        <is>
          <t>Programas 1ra fase de condiciones iniciales radicadas por facultad</t>
        </is>
      </c>
      <c r="C2034" t="inlineStr">
        <is>
          <t>Creación, modificación y cierre de programas académicos</t>
        </is>
      </c>
      <c r="D2034" t="inlineStr">
        <is>
          <t>Semestral</t>
        </is>
      </c>
      <c r="E2034" t="inlineStr">
        <is>
          <t>Positivo</t>
        </is>
      </c>
      <c r="F2034" s="148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J2034" t="n">
        <v>3</v>
      </c>
      <c r="K2034" t="n">
        <v>3</v>
      </c>
      <c r="L2034" s="59">
        <f>IFERROR(IF(OR(J2034=0,K2034=""),"",IF(E2034="Positivo",MIN(MAX(K2034/J2034,0),1.3),MIN(MAX(J2034/K2034,0),1.3))),"") </f>
        <v/>
      </c>
      <c r="M2034" s="59">
        <f>IFERROR(IF(OR(J2034=0,K2034=""),"",IF(E2034="Positivo",MAX(K2034/J2034,0),MAX(J2034/K2034,0))),"") </f>
        <v/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407-2023-12-31</t>
        </is>
      </c>
    </row>
    <row r="2035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Trimestral</t>
        </is>
      </c>
      <c r="E2035" t="inlineStr">
        <is>
          <t>Positivo</t>
        </is>
      </c>
      <c r="F2035" s="148" t="n">
        <v>45107</v>
      </c>
      <c r="G2035" t="n">
        <v>2023</v>
      </c>
      <c r="H2035" t="inlineStr">
        <is>
          <t>Junio</t>
        </is>
      </c>
      <c r="I2035" t="inlineStr">
        <is>
          <t>2023-1</t>
        </is>
      </c>
      <c r="J2035" t="n">
        <v>100</v>
      </c>
      <c r="L2035" s="59" t="n"/>
      <c r="M2035" s="59" t="n"/>
      <c r="N2035" t="inlineStr">
        <is>
          <t>ENT</t>
        </is>
      </c>
      <c r="O2035" t="inlineStr">
        <is>
          <t>No Aplica</t>
        </is>
      </c>
      <c r="P2035" t="n">
        <v>0</v>
      </c>
      <c r="Q2035" t="n">
        <v>0</v>
      </c>
      <c r="R2035" t="inlineStr">
        <is>
          <t>408-2023-06-30</t>
        </is>
      </c>
      <c r="S2035" t="inlineStr">
        <is>
          <t>No Aplica</t>
        </is>
      </c>
    </row>
    <row r="2036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Semestral</t>
        </is>
      </c>
      <c r="E2036" t="inlineStr">
        <is>
          <t>Positivo</t>
        </is>
      </c>
      <c r="F2036" s="148" t="n">
        <v>45291</v>
      </c>
      <c r="G2036" t="n">
        <v>2023</v>
      </c>
      <c r="H2036" t="inlineStr">
        <is>
          <t>Diciembre</t>
        </is>
      </c>
      <c r="I2036" t="inlineStr">
        <is>
          <t>2023-2</t>
        </is>
      </c>
      <c r="J2036" t="n">
        <v>100</v>
      </c>
      <c r="K2036" t="n">
        <v>100</v>
      </c>
      <c r="L2036" s="59">
        <f>IFERROR(IF(OR(J2036=0,K2036=""),"",IF(E2036="Positivo",MIN(MAX(K2036/J2036,0),1.3),MIN(MAX(J2036/K2036,0),1.3))),"") </f>
        <v/>
      </c>
      <c r="M2036" s="59">
        <f>IFERROR(IF(OR(J2036=0,K2036=""),"",IF(E2036="Positivo",MAX(K2036/J2036,0),MAX(J2036/K2036,0))),"") </f>
        <v/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408-2023-12-31</t>
        </is>
      </c>
    </row>
    <row r="2037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Trimestral</t>
        </is>
      </c>
      <c r="E2037" t="inlineStr">
        <is>
          <t>Positivo</t>
        </is>
      </c>
      <c r="F2037" s="148" t="n">
        <v>45473</v>
      </c>
      <c r="G2037" t="n">
        <v>2024</v>
      </c>
      <c r="H2037" t="inlineStr">
        <is>
          <t>Junio</t>
        </is>
      </c>
      <c r="I2037" t="inlineStr">
        <is>
          <t>2024-1</t>
        </is>
      </c>
      <c r="J2037" t="n">
        <v>100</v>
      </c>
      <c r="L2037" s="59" t="n"/>
      <c r="M2037" s="59" t="n"/>
      <c r="N2037" t="inlineStr">
        <is>
          <t>ENT</t>
        </is>
      </c>
      <c r="O2037" t="inlineStr">
        <is>
          <t>No Aplica</t>
        </is>
      </c>
      <c r="P2037" t="n">
        <v>0</v>
      </c>
      <c r="Q2037" t="n">
        <v>0</v>
      </c>
      <c r="R2037" t="inlineStr">
        <is>
          <t>408-2024-06-30</t>
        </is>
      </c>
      <c r="S2037" t="inlineStr">
        <is>
          <t>No Aplica</t>
        </is>
      </c>
    </row>
    <row r="2038">
      <c r="A2038" t="n">
        <v>408</v>
      </c>
      <c r="B2038" t="inlineStr">
        <is>
          <t>Programas nuevos radicados por facultad</t>
        </is>
      </c>
      <c r="C2038" t="inlineStr">
        <is>
          <t>Creación, modificación y cierre de programas académicos</t>
        </is>
      </c>
      <c r="D2038" t="inlineStr">
        <is>
          <t>Semestral</t>
        </is>
      </c>
      <c r="E2038" t="inlineStr">
        <is>
          <t>Positivo</t>
        </is>
      </c>
      <c r="F2038" s="148" t="n">
        <v>45657</v>
      </c>
      <c r="G2038" t="n">
        <v>2024</v>
      </c>
      <c r="H2038" t="inlineStr">
        <is>
          <t>Diciembre</t>
        </is>
      </c>
      <c r="I2038" t="inlineStr">
        <is>
          <t>2024-2</t>
        </is>
      </c>
      <c r="J2038" t="n">
        <v>100</v>
      </c>
      <c r="K2038" t="n">
        <v>100</v>
      </c>
      <c r="L2038" s="59">
        <f>IFERROR(IF(OR(J2038=0,K2038=""),"",IF(E2038="Positivo",MIN(MAX(K2038/J2038,0),1.3),MIN(MAX(J2038/K2038,0),1.3))),"") </f>
        <v/>
      </c>
      <c r="M2038" s="59">
        <f>IFERROR(IF(OR(J2038=0,K2038=""),"",IF(E2038="Positivo",MAX(K2038/J2038,0),MAX(J2038/K2038,0))),"") </f>
        <v/>
      </c>
      <c r="N2038" t="inlineStr">
        <is>
          <t>ENT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408-2024-12-31</t>
        </is>
      </c>
    </row>
    <row r="2039">
      <c r="A2039" t="n">
        <v>408</v>
      </c>
      <c r="B2039" t="inlineStr">
        <is>
          <t>Programas nuevos radicados por facultad</t>
        </is>
      </c>
      <c r="C2039" t="inlineStr">
        <is>
          <t>Creación, modificación y cierre de programas académicos</t>
        </is>
      </c>
      <c r="D2039" t="inlineStr">
        <is>
          <t>Trimestral</t>
        </is>
      </c>
      <c r="E2039" t="inlineStr">
        <is>
          <t>Positivo</t>
        </is>
      </c>
      <c r="F2039" s="148" t="n">
        <v>45838</v>
      </c>
      <c r="G2039" t="n">
        <v>2025</v>
      </c>
      <c r="H2039" t="inlineStr">
        <is>
          <t>Junio</t>
        </is>
      </c>
      <c r="I2039" t="inlineStr">
        <is>
          <t>2025-1</t>
        </is>
      </c>
      <c r="J2039" t="n">
        <v>100</v>
      </c>
      <c r="K2039" t="n">
        <v>100</v>
      </c>
      <c r="L2039" s="59">
        <f>IFERROR(IF(OR(J2039=0,K2039=""),"",IF(E2039="Positivo",MIN(MAX(K2039/J2039,0),1.3),MIN(MAX(J2039/K2039,0),1.3))),"") </f>
        <v/>
      </c>
      <c r="M2039" s="59">
        <f>IFERROR(IF(OR(J2039=0,K2039=""),"",IF(E2039="Positivo",MAX(K2039/J2039,0),MAX(J2039/K2039,0))),"") </f>
        <v/>
      </c>
      <c r="N2039" t="inlineStr">
        <is>
          <t>ENT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408-2025-06-30</t>
        </is>
      </c>
    </row>
    <row r="2040">
      <c r="A2040" t="n">
        <v>408</v>
      </c>
      <c r="B2040" t="inlineStr">
        <is>
          <t>Programas nuevos radicados por facultad</t>
        </is>
      </c>
      <c r="C2040" t="inlineStr">
        <is>
          <t>Creación, modificación y cierre de programas académicos</t>
        </is>
      </c>
      <c r="D2040" t="inlineStr">
        <is>
          <t>Trimestral</t>
        </is>
      </c>
      <c r="E2040" t="inlineStr">
        <is>
          <t>Positivo</t>
        </is>
      </c>
      <c r="F2040" s="148" t="n">
        <v>46022</v>
      </c>
      <c r="G2040" t="n">
        <v>2025</v>
      </c>
      <c r="H2040" t="inlineStr">
        <is>
          <t>Diciembre</t>
        </is>
      </c>
      <c r="I2040" t="inlineStr">
        <is>
          <t>2025-2</t>
        </is>
      </c>
      <c r="J2040" t="n">
        <v>100</v>
      </c>
      <c r="K2040" t="n">
        <v>100</v>
      </c>
      <c r="L2040" s="59">
        <f>IFERROR(IF(OR(J2040=0,K2040=""),"",IF(E2040="Positivo",MIN(MAX(K2040/J2040,0),1.3),MIN(MAX(J2040/K2040,0),1.3))),"") </f>
        <v/>
      </c>
      <c r="M2040" s="59">
        <f>IFERROR(IF(OR(J2040=0,K2040=""),"",IF(E2040="Positivo",MAX(K2040/J2040,0),MAX(J2040/K2040,0))),"") </f>
        <v/>
      </c>
      <c r="N2040" t="inlineStr">
        <is>
          <t>ENT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408-2025-12-31</t>
        </is>
      </c>
    </row>
    <row r="204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Semestral</t>
        </is>
      </c>
      <c r="E2041" t="inlineStr">
        <is>
          <t>Positivo</t>
        </is>
      </c>
      <c r="F2041" s="148" t="n">
        <v>45107</v>
      </c>
      <c r="G2041" t="n">
        <v>2023</v>
      </c>
      <c r="H2041" t="inlineStr">
        <is>
          <t>Junio</t>
        </is>
      </c>
      <c r="I2041" t="inlineStr">
        <is>
          <t>2023-1</t>
        </is>
      </c>
      <c r="L2041" s="59" t="n"/>
      <c r="M2041" s="59" t="n"/>
      <c r="N2041" t="inlineStr">
        <is>
          <t>%</t>
        </is>
      </c>
      <c r="O2041" t="inlineStr">
        <is>
          <t>No Aplica</t>
        </is>
      </c>
      <c r="P2041" t="n">
        <v>0</v>
      </c>
      <c r="Q2041" t="n">
        <v>0</v>
      </c>
      <c r="R2041" t="inlineStr">
        <is>
          <t>409-2023-06-30</t>
        </is>
      </c>
      <c r="S2041" t="inlineStr">
        <is>
          <t>No Aplica</t>
        </is>
      </c>
    </row>
    <row r="2042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48" t="n">
        <v>45199</v>
      </c>
      <c r="G2042" t="n">
        <v>2023</v>
      </c>
      <c r="H2042" t="inlineStr">
        <is>
          <t>Septiembre</t>
        </is>
      </c>
      <c r="I2042" t="inlineStr">
        <is>
          <t>2023-2</t>
        </is>
      </c>
      <c r="J2042" t="n">
        <v>80</v>
      </c>
      <c r="K2042" t="n">
        <v>103.7188545927854</v>
      </c>
      <c r="L2042" s="59">
        <f>IFERROR(IF(OR(J2042=0,K2042=""),"",IF(E2042="Positivo",MIN(MAX(K2042/J2042,0),1.3),MIN(MAX(J2042/K2042,0),1.3))),"") </f>
        <v/>
      </c>
      <c r="M2042" s="59">
        <f>IFERROR(IF(OR(J2042=0,K2042=""),"",IF(E2042="Positivo",MAX(K2042/J2042,0),MAX(J2042/K2042,0))),"") </f>
        <v/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409-2023-09-30</t>
        </is>
      </c>
    </row>
    <row r="2043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48" t="n">
        <v>45291</v>
      </c>
      <c r="G2043" t="n">
        <v>2023</v>
      </c>
      <c r="H2043" t="inlineStr">
        <is>
          <t>Diciembre</t>
        </is>
      </c>
      <c r="I2043" t="inlineStr">
        <is>
          <t>2023-2</t>
        </is>
      </c>
      <c r="J2043" t="n">
        <v>80</v>
      </c>
      <c r="K2043" t="n">
        <v>100</v>
      </c>
      <c r="L2043" s="59">
        <f>IFERROR(IF(OR(J2043=0,K2043=""),"",IF(E2043="Positivo",MIN(MAX(K2043/J2043,0),1.3),MIN(MAX(J2043/K2043,0),1.3))),"") </f>
        <v/>
      </c>
      <c r="M2043" s="59">
        <f>IFERROR(IF(OR(J2043=0,K2043=""),"",IF(E2043="Positivo",MAX(K2043/J2043,0),MAX(J2043/K2043,0))),"") </f>
        <v/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409-2023-12-31</t>
        </is>
      </c>
    </row>
    <row r="2044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48" t="n">
        <v>45382</v>
      </c>
      <c r="G2044" t="n">
        <v>2024</v>
      </c>
      <c r="H2044" t="inlineStr">
        <is>
          <t>Marzo</t>
        </is>
      </c>
      <c r="I2044" t="inlineStr">
        <is>
          <t>2024-1</t>
        </is>
      </c>
      <c r="J2044" t="n">
        <v>95</v>
      </c>
      <c r="K2044" t="n">
        <v>98.0225988700565</v>
      </c>
      <c r="L2044" s="59">
        <f>IFERROR(IF(OR(J2044=0,K2044=""),"",IF(E2044="Positivo",MIN(MAX(K2044/J2044,0),1.3),MIN(MAX(J2044/K2044,0),1.3))),"") </f>
        <v/>
      </c>
      <c r="M2044" s="59">
        <f>IFERROR(IF(OR(J2044=0,K2044=""),"",IF(E2044="Positivo",MAX(K2044/J2044,0),MAX(J2044/K2044,0))),"") </f>
        <v/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409-2024-03-31</t>
        </is>
      </c>
    </row>
    <row r="2045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Trimestral</t>
        </is>
      </c>
      <c r="E2045" t="inlineStr">
        <is>
          <t>Positivo</t>
        </is>
      </c>
      <c r="F2045" s="148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95</v>
      </c>
      <c r="K2045" t="n">
        <v>98.49624060150376</v>
      </c>
      <c r="L2045" s="59">
        <f>IFERROR(IF(OR(J2045=0,K2045=""),"",IF(E2045="Positivo",MIN(MAX(K2045/J2045,0),1.3),MIN(MAX(J2045/K2045,0),1.3))),"") </f>
        <v/>
      </c>
      <c r="M2045" s="59">
        <f>IFERROR(IF(OR(J2045=0,K2045=""),"",IF(E2045="Positivo",MAX(K2045/J2045,0),MAX(J2045/K2045,0))),"") </f>
        <v/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409-2024-06-30</t>
        </is>
      </c>
    </row>
    <row r="2046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Trimestral</t>
        </is>
      </c>
      <c r="E2046" t="inlineStr">
        <is>
          <t>Positivo</t>
        </is>
      </c>
      <c r="F2046" s="148" t="n">
        <v>45565</v>
      </c>
      <c r="G2046" t="n">
        <v>2024</v>
      </c>
      <c r="H2046" t="inlineStr">
        <is>
          <t>Septiembre</t>
        </is>
      </c>
      <c r="I2046" t="inlineStr">
        <is>
          <t>2024-2</t>
        </is>
      </c>
      <c r="J2046" t="n">
        <v>95</v>
      </c>
      <c r="K2046" t="n">
        <v>97.12230215827336</v>
      </c>
      <c r="L2046" s="59">
        <f>IFERROR(IF(OR(J2046=0,K2046=""),"",IF(E2046="Positivo",MIN(MAX(K2046/J2046,0),1.3),MIN(MAX(J2046/K2046,0),1.3))),"") </f>
        <v/>
      </c>
      <c r="M2046" s="59">
        <f>IFERROR(IF(OR(J2046=0,K2046=""),"",IF(E2046="Positivo",MAX(K2046/J2046,0),MAX(J2046/K2046,0))),"") </f>
        <v/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409-2024-09-30</t>
        </is>
      </c>
    </row>
    <row r="2047">
      <c r="A2047" t="n">
        <v>409</v>
      </c>
      <c r="B2047" t="inlineStr">
        <is>
          <t>Oportunidad en tiempo de envios</t>
        </is>
      </c>
      <c r="C2047" t="inlineStr">
        <is>
          <t>GESTIÓN JURÍDICA Y NORMATIVA</t>
        </is>
      </c>
      <c r="D2047" t="inlineStr">
        <is>
          <t>Trimestral</t>
        </is>
      </c>
      <c r="E2047" t="inlineStr">
        <is>
          <t>Positivo</t>
        </is>
      </c>
      <c r="F2047" s="148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95</v>
      </c>
      <c r="K2047" t="n">
        <v>96.45732689210948</v>
      </c>
      <c r="L2047" s="59">
        <f>IFERROR(IF(OR(J2047=0,K2047=""),"",IF(E2047="Positivo",MIN(MAX(K2047/J2047,0),1.3),MIN(MAX(J2047/K2047,0),1.3))),"") </f>
        <v/>
      </c>
      <c r="M2047" s="59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409-2024-12-31</t>
        </is>
      </c>
    </row>
    <row r="2048">
      <c r="A2048" t="n">
        <v>409</v>
      </c>
      <c r="B2048" t="inlineStr">
        <is>
          <t>Oportunidad en tiempo de envios</t>
        </is>
      </c>
      <c r="C2048" t="inlineStr">
        <is>
          <t>GESTIÓN JURÍDICA Y NORMATIVA</t>
        </is>
      </c>
      <c r="D2048" t="inlineStr">
        <is>
          <t>Semestral</t>
        </is>
      </c>
      <c r="E2048" t="inlineStr">
        <is>
          <t>Positivo</t>
        </is>
      </c>
      <c r="F2048" s="148" t="n">
        <v>45747</v>
      </c>
      <c r="G2048" t="n">
        <v>2025</v>
      </c>
      <c r="H2048" t="inlineStr">
        <is>
          <t>Marzo</t>
        </is>
      </c>
      <c r="I2048" t="inlineStr">
        <is>
          <t>2025-1</t>
        </is>
      </c>
      <c r="J2048" t="n">
        <v>95</v>
      </c>
      <c r="K2048" t="n">
        <v>100</v>
      </c>
      <c r="L2048" s="59">
        <f>IFERROR(IF(OR(J2048=0,K2048=""),"",IF(E2048="Positivo",MIN(MAX(K2048/J2048,0),1.3),MIN(MAX(J2048/K2048,0),1.3))),"") </f>
        <v/>
      </c>
      <c r="M2048" s="59">
        <f>IFERROR(IF(OR(J2048=0,K2048=""),"",IF(E2048="Positivo",MAX(K2048/J2048,0),MAX(J2048/K2048,0))),"") </f>
        <v/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409-2025-03-31</t>
        </is>
      </c>
    </row>
    <row r="2049">
      <c r="A2049" t="n">
        <v>409</v>
      </c>
      <c r="B2049" t="inlineStr">
        <is>
          <t>Oportunidad en tiempo de envios</t>
        </is>
      </c>
      <c r="C2049" t="inlineStr">
        <is>
          <t>GESTIÓN JURÍDICA Y NORMATIVA</t>
        </is>
      </c>
      <c r="D2049" t="inlineStr">
        <is>
          <t>Semestral</t>
        </is>
      </c>
      <c r="E2049" t="inlineStr">
        <is>
          <t>Positivo</t>
        </is>
      </c>
      <c r="F2049" s="148" t="n">
        <v>45838</v>
      </c>
      <c r="G2049" t="n">
        <v>2025</v>
      </c>
      <c r="H2049" t="inlineStr">
        <is>
          <t>Junio</t>
        </is>
      </c>
      <c r="I2049" t="inlineStr">
        <is>
          <t>2025-1</t>
        </is>
      </c>
      <c r="J2049" t="n">
        <v>95</v>
      </c>
      <c r="L2049" s="59" t="n"/>
      <c r="M2049" s="59" t="n"/>
      <c r="N2049" t="inlineStr">
        <is>
          <t>%</t>
        </is>
      </c>
      <c r="O2049" t="inlineStr">
        <is>
          <t>No Aplica</t>
        </is>
      </c>
      <c r="P2049" t="n">
        <v>0</v>
      </c>
      <c r="Q2049" t="n">
        <v>0</v>
      </c>
      <c r="R2049" t="inlineStr">
        <is>
          <t>409-2025-06-30</t>
        </is>
      </c>
      <c r="S2049" t="inlineStr">
        <is>
          <t>No Aplica</t>
        </is>
      </c>
    </row>
    <row r="2050">
      <c r="A2050" t="n">
        <v>410</v>
      </c>
      <c r="B2050" t="inlineStr">
        <is>
          <t>Solicitudes de gestión documental</t>
        </is>
      </c>
      <c r="C2050" t="inlineStr">
        <is>
          <t>GESTIÓN JURÍDICA Y NORMATIVA</t>
        </is>
      </c>
      <c r="D2050" t="inlineStr">
        <is>
          <t>Trimestral</t>
        </is>
      </c>
      <c r="E2050" t="inlineStr">
        <is>
          <t>Positivo</t>
        </is>
      </c>
      <c r="F2050" s="148" t="n">
        <v>45199</v>
      </c>
      <c r="G2050" t="n">
        <v>2023</v>
      </c>
      <c r="H2050" t="inlineStr">
        <is>
          <t>Septiembre</t>
        </is>
      </c>
      <c r="I2050" t="inlineStr">
        <is>
          <t>2023-2</t>
        </is>
      </c>
      <c r="J2050" t="n">
        <v>90</v>
      </c>
      <c r="K2050" t="n">
        <v>90.31</v>
      </c>
      <c r="L2050" s="59">
        <f>IFERROR(IF(OR(J2050=0,K2050=""),"",IF(E2050="Positivo",MIN(MAX(K2050/J2050,0),1.3),MIN(MAX(J2050/K2050,0),1.3))),"") </f>
        <v/>
      </c>
      <c r="M2050" s="59">
        <f>IFERROR(IF(OR(J2050=0,K2050=""),"",IF(E2050="Positivo",MAX(K2050/J2050,0),MAX(J2050/K2050,0))),"") </f>
        <v/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410-2023-09-30</t>
        </is>
      </c>
    </row>
    <row r="2051">
      <c r="A2051" t="n">
        <v>411</v>
      </c>
      <c r="B2051" t="inlineStr">
        <is>
          <t>Cumplimiento Planes De Relacionamiento</t>
        </is>
      </c>
      <c r="C2051" t="inlineStr">
        <is>
          <t>Comunicaciones Externas</t>
        </is>
      </c>
      <c r="D2051" t="inlineStr">
        <is>
          <t>Semestral</t>
        </is>
      </c>
      <c r="E2051" t="inlineStr">
        <is>
          <t>Positivo</t>
        </is>
      </c>
      <c r="F2051" s="148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100</v>
      </c>
      <c r="K2051" t="n">
        <v>100</v>
      </c>
      <c r="L2051" s="59">
        <f>IFERROR(IF(OR(J2051=0,K2051=""),"",IF(E2051="Positivo",MIN(MAX(K2051/J2051,0),1.3),MIN(MAX(J2051/K2051,0),1.3))),"") </f>
        <v/>
      </c>
      <c r="M2051" s="59">
        <f>IFERROR(IF(OR(J2051=0,K2051=""),"",IF(E2051="Positivo",MAX(K2051/J2051,0),MAX(J2051/K2051,0))),"") </f>
        <v/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411-2023-12-31</t>
        </is>
      </c>
    </row>
    <row r="2052">
      <c r="A2052" t="n">
        <v>412</v>
      </c>
      <c r="B2052" t="inlineStr">
        <is>
          <t>Participaciones en 2 eventos externos de impacto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48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100</v>
      </c>
      <c r="K2052" t="n">
        <v>100</v>
      </c>
      <c r="L2052" s="59">
        <f>IFERROR(IF(OR(J2052=0,K2052=""),"",IF(E2052="Positivo",MIN(MAX(K2052/J2052,0),1.3),MIN(MAX(J2052/K2052,0),1.3))),"") </f>
        <v/>
      </c>
      <c r="M2052" s="59">
        <f>IFERROR(IF(OR(J2052=0,K2052=""),"",IF(E2052="Positivo",MAX(K2052/J2052,0),MAX(J2052/K2052,0))),"") </f>
        <v/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412-2023-12-31</t>
        </is>
      </c>
    </row>
    <row r="2053">
      <c r="A2053" t="n">
        <v>412</v>
      </c>
      <c r="B2053" t="inlineStr">
        <is>
          <t>Participación en eventos externos de impacto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48" t="n">
        <v>45657</v>
      </c>
      <c r="G2053" t="n">
        <v>2024</v>
      </c>
      <c r="H2053" t="inlineStr">
        <is>
          <t>Diciembre</t>
        </is>
      </c>
      <c r="I2053" t="inlineStr">
        <is>
          <t>2024-2</t>
        </is>
      </c>
      <c r="J2053" t="n">
        <v>100</v>
      </c>
      <c r="K2053" t="n">
        <v>100</v>
      </c>
      <c r="L2053" s="59">
        <f>IFERROR(IF(OR(J2053=0,K2053=""),"",IF(E2053="Positivo",MIN(MAX(K2053/J2053,0),1.3),MIN(MAX(J2053/K2053,0),1.3))),"") </f>
        <v/>
      </c>
      <c r="M2053" s="59">
        <f>IFERROR(IF(OR(J2053=0,K2053=""),"",IF(E2053="Positivo",MAX(K2053/J2053,0),MAX(J2053/K2053,0))),"") </f>
        <v/>
      </c>
      <c r="N2053" t="inlineStr">
        <is>
          <t>%</t>
        </is>
      </c>
      <c r="O2053" t="inlineStr">
        <is>
          <t>%</t>
        </is>
      </c>
      <c r="P2053" t="n">
        <v>0</v>
      </c>
      <c r="Q2053" t="n">
        <v>0</v>
      </c>
      <c r="R2053" t="inlineStr">
        <is>
          <t>412-2024-12-31</t>
        </is>
      </c>
    </row>
    <row r="2054">
      <c r="A2054" t="n">
        <v>413</v>
      </c>
      <c r="B2054" t="inlineStr">
        <is>
          <t>Participaciones del Poli como sede o patrocinador</t>
        </is>
      </c>
      <c r="C2054" t="inlineStr">
        <is>
          <t>Comunicaciones Externas</t>
        </is>
      </c>
      <c r="D2054" t="inlineStr">
        <is>
          <t>Anual</t>
        </is>
      </c>
      <c r="E2054" t="inlineStr">
        <is>
          <t>Positivo</t>
        </is>
      </c>
      <c r="F2054" s="148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K2054" t="n">
        <v>100</v>
      </c>
      <c r="L2054" s="59" t="n"/>
      <c r="M2054" s="59" t="n"/>
      <c r="N2054" t="inlineStr">
        <is>
          <t>Linea Base</t>
        </is>
      </c>
      <c r="O2054" t="inlineStr">
        <is>
          <t>%</t>
        </is>
      </c>
      <c r="P2054" t="n">
        <v>0</v>
      </c>
      <c r="Q2054" t="n">
        <v>0</v>
      </c>
      <c r="R2054" t="inlineStr">
        <is>
          <t>413-2023-12-31</t>
        </is>
      </c>
    </row>
    <row r="2055">
      <c r="A2055" t="n">
        <v>413</v>
      </c>
      <c r="B2055" t="inlineStr">
        <is>
          <t>Participación del Poli como sede o patrocinador</t>
        </is>
      </c>
      <c r="C2055" t="inlineStr">
        <is>
          <t>Comunicaciones Externas</t>
        </is>
      </c>
      <c r="D2055" t="inlineStr">
        <is>
          <t>Anual</t>
        </is>
      </c>
      <c r="E2055" t="inlineStr">
        <is>
          <t>Positivo</t>
        </is>
      </c>
      <c r="F2055" s="148" t="n">
        <v>45657</v>
      </c>
      <c r="G2055" t="n">
        <v>2024</v>
      </c>
      <c r="H2055" t="inlineStr">
        <is>
          <t>Diciembre</t>
        </is>
      </c>
      <c r="I2055" t="inlineStr">
        <is>
          <t>2024-2</t>
        </is>
      </c>
      <c r="J2055" t="n">
        <v>100</v>
      </c>
      <c r="K2055" t="n">
        <v>100</v>
      </c>
      <c r="L2055" s="59">
        <f>IFERROR(IF(OR(J2055=0,K2055=""),"",IF(E2055="Positivo",MIN(MAX(K2055/J2055,0),1.3),MIN(MAX(J2055/K2055,0),1.3))),"") </f>
        <v/>
      </c>
      <c r="M2055" s="59">
        <f>IFERROR(IF(OR(J2055=0,K2055=""),"",IF(E2055="Positivo",MAX(K2055/J2055,0),MAX(J2055/K2055,0))),"") </f>
        <v/>
      </c>
      <c r="P2055" t="n">
        <v>0</v>
      </c>
      <c r="Q2055" t="n">
        <v>0</v>
      </c>
      <c r="R2055" t="inlineStr">
        <is>
          <t>413-2024-12-31</t>
        </is>
      </c>
    </row>
    <row r="2056">
      <c r="A2056" t="n">
        <v>413</v>
      </c>
      <c r="B2056" t="inlineStr">
        <is>
          <t>Participación del Poli como sede o patrocinador</t>
        </is>
      </c>
      <c r="C2056" t="inlineStr">
        <is>
          <t>Comunicaciones Externas</t>
        </is>
      </c>
      <c r="D2056" t="inlineStr">
        <is>
          <t>Anual</t>
        </is>
      </c>
      <c r="E2056" t="inlineStr">
        <is>
          <t>Positivo</t>
        </is>
      </c>
      <c r="F2056" s="148" t="n">
        <v>46022</v>
      </c>
      <c r="G2056" t="n">
        <v>2025</v>
      </c>
      <c r="H2056" t="inlineStr">
        <is>
          <t>Diciembre</t>
        </is>
      </c>
      <c r="I2056" t="inlineStr">
        <is>
          <t>2025-2</t>
        </is>
      </c>
      <c r="J2056" t="n">
        <v>100</v>
      </c>
      <c r="K2056" t="n">
        <v>100</v>
      </c>
      <c r="L2056" s="59">
        <f>IFERROR(IF(OR(J2056=0,K2056=""),"",IF(E2056="Positivo",MIN(MAX(K2056/J2056,0),1.3),MIN(MAX(J2056/K2056,0),1.3))),"") </f>
        <v/>
      </c>
      <c r="M2056" s="59">
        <f>IFERROR(IF(OR(J2056=0,K2056=""),"",IF(E2056="Positivo",MAX(K2056/J2056,0),MAX(J2056/K2056,0))),"") </f>
        <v/>
      </c>
      <c r="N2056" t="inlineStr">
        <is>
          <t>Linea Base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413-2025-12-31</t>
        </is>
      </c>
    </row>
    <row r="2057">
      <c r="A2057" t="n">
        <v>414</v>
      </c>
      <c r="B2057" t="inlineStr">
        <is>
          <t>Cumplimiento Plan Anual Rectoría</t>
        </is>
      </c>
      <c r="C2057" t="inlineStr">
        <is>
          <t>Planeación Estratégica</t>
        </is>
      </c>
      <c r="D2057" t="inlineStr">
        <is>
          <t>Semestral</t>
        </is>
      </c>
      <c r="E2057" t="inlineStr">
        <is>
          <t>Positivo</t>
        </is>
      </c>
      <c r="F2057" s="148" t="n">
        <v>45016</v>
      </c>
      <c r="G2057" t="n">
        <v>2023</v>
      </c>
      <c r="H2057" t="inlineStr">
        <is>
          <t>Marzo</t>
        </is>
      </c>
      <c r="I2057" t="inlineStr">
        <is>
          <t>2023-1</t>
        </is>
      </c>
      <c r="J2057" t="n">
        <v>100</v>
      </c>
      <c r="K2057" t="n">
        <v>0</v>
      </c>
      <c r="L2057" s="59">
        <f>IFERROR(IF(OR(J2057=0,K2057=""),"",IF(E2057="Positivo",MIN(MAX(K2057/J2057,0),1.0),MIN(MAX(J2057/K2057,0),1.0))),"") </f>
        <v/>
      </c>
      <c r="M2057" s="59">
        <f>IFERROR(IF(OR(J2057=0,K2057=""),"",IF(E2057="Positivo",MAX(K2057/J2057,0),MAX(J2057/K2057,0))),"") </f>
        <v/>
      </c>
      <c r="N2057" t="inlineStr">
        <is>
          <t>%</t>
        </is>
      </c>
      <c r="O2057" t="inlineStr">
        <is>
          <t>%</t>
        </is>
      </c>
      <c r="P2057" t="n">
        <v>0</v>
      </c>
      <c r="Q2057" t="n">
        <v>0</v>
      </c>
      <c r="R2057" t="inlineStr">
        <is>
          <t>414-2023-03-31</t>
        </is>
      </c>
    </row>
    <row r="2058">
      <c r="A2058" t="n">
        <v>414</v>
      </c>
      <c r="B2058" t="inlineStr">
        <is>
          <t>Cumplimiento Plan Anual Rectoría</t>
        </is>
      </c>
      <c r="D2058" t="inlineStr">
        <is>
          <t>Trimestral</t>
        </is>
      </c>
      <c r="E2058" t="inlineStr">
        <is>
          <t>Positivo</t>
        </is>
      </c>
      <c r="F2058" s="148" t="n">
        <v>45107</v>
      </c>
      <c r="G2058" t="n">
        <v>2023</v>
      </c>
      <c r="H2058" t="inlineStr">
        <is>
          <t>Junio</t>
        </is>
      </c>
      <c r="I2058" t="inlineStr">
        <is>
          <t>2023-1</t>
        </is>
      </c>
      <c r="J2058" t="n">
        <v>100</v>
      </c>
      <c r="K2058" t="n">
        <v>110.01</v>
      </c>
      <c r="L2058" s="59">
        <f>IFERROR(IF(OR(J2058=0,K2058=""),"",IF(E2058="Positivo",MIN(MAX(K2058/J2058,0),1.0),MIN(MAX(J2058/K2058,0),1.0))),"") </f>
        <v/>
      </c>
      <c r="M2058" s="59">
        <f>IFERROR(IF(OR(J2058=0,K2058=""),"",IF(E2058="Positivo",MAX(K2058/J2058,0),MAX(J2058/K2058,0))),"") </f>
        <v/>
      </c>
      <c r="P2058" t="n">
        <v>0</v>
      </c>
      <c r="Q2058" t="n">
        <v>0</v>
      </c>
      <c r="R2058" t="inlineStr">
        <is>
          <t>414-2023-06-30</t>
        </is>
      </c>
    </row>
    <row r="2059">
      <c r="A2059" t="n">
        <v>414</v>
      </c>
      <c r="B2059" t="inlineStr">
        <is>
          <t>Cumplimiento Plan Anual Rectoría</t>
        </is>
      </c>
      <c r="D2059" t="inlineStr">
        <is>
          <t>Trimestral</t>
        </is>
      </c>
      <c r="E2059" t="inlineStr">
        <is>
          <t>Positivo</t>
        </is>
      </c>
      <c r="F2059" s="148" t="n">
        <v>45199</v>
      </c>
      <c r="G2059" t="n">
        <v>2023</v>
      </c>
      <c r="H2059" t="inlineStr">
        <is>
          <t>Septiembre</t>
        </is>
      </c>
      <c r="I2059" t="inlineStr">
        <is>
          <t>2023-2</t>
        </is>
      </c>
      <c r="J2059" t="n">
        <v>100</v>
      </c>
      <c r="K2059" t="n">
        <v>93.54000000000001</v>
      </c>
      <c r="L2059" s="59">
        <f>IFERROR(IF(OR(J2059=0,K2059=""),"",IF(E2059="Positivo",MIN(MAX(K2059/J2059,0),1.0),MIN(MAX(J2059/K2059,0),1.0))),"") </f>
        <v/>
      </c>
      <c r="M2059" s="59">
        <f>IFERROR(IF(OR(J2059=0,K2059=""),"",IF(E2059="Positivo",MAX(K2059/J2059,0),MAX(J2059/K2059,0))),"") </f>
        <v/>
      </c>
      <c r="P2059" t="n">
        <v>0</v>
      </c>
      <c r="Q2059" t="n">
        <v>0</v>
      </c>
      <c r="R2059" t="inlineStr">
        <is>
          <t>414-2023-09-30</t>
        </is>
      </c>
    </row>
    <row r="2060">
      <c r="A2060" t="n">
        <v>414</v>
      </c>
      <c r="B2060" t="inlineStr">
        <is>
          <t>Cumplimiento Plan Anual Rectoría</t>
        </is>
      </c>
      <c r="D2060" t="inlineStr">
        <is>
          <t>Trimestral</t>
        </is>
      </c>
      <c r="E2060" t="inlineStr">
        <is>
          <t>Positivo</t>
        </is>
      </c>
      <c r="F2060" s="148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100</v>
      </c>
      <c r="K2060" t="n">
        <v>96.28</v>
      </c>
      <c r="L2060" s="59">
        <f>IFERROR(IF(OR(J2060=0,K2060=""),"",IF(E2060="Positivo",MIN(MAX(K2060/J2060,0),1.0),MIN(MAX(J2060/K2060,0),1.0))),"") </f>
        <v/>
      </c>
      <c r="M2060" s="59">
        <f>IFERROR(IF(OR(J2060=0,K2060=""),"",IF(E2060="Positivo",MAX(K2060/J2060,0),MAX(J2060/K2060,0))),"") </f>
        <v/>
      </c>
      <c r="P2060" t="n">
        <v>0</v>
      </c>
      <c r="Q2060" t="n">
        <v>0</v>
      </c>
      <c r="R2060" t="inlineStr">
        <is>
          <t>414-2023-12-31</t>
        </is>
      </c>
    </row>
    <row r="206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48" t="n">
        <v>45382</v>
      </c>
      <c r="G2061" t="n">
        <v>2024</v>
      </c>
      <c r="H2061" t="inlineStr">
        <is>
          <t>Marzo</t>
        </is>
      </c>
      <c r="I2061" t="inlineStr">
        <is>
          <t>2024-1</t>
        </is>
      </c>
      <c r="J2061" t="n">
        <v>100</v>
      </c>
      <c r="K2061" t="n">
        <v>99.3</v>
      </c>
      <c r="L2061" s="59">
        <f>IFERROR(IF(OR(J2061=0,K2061=""),"",IF(E2061="Positivo",MIN(MAX(K2061/J2061,0),1.0),MIN(MAX(J2061/K2061,0),1.0))),"") </f>
        <v/>
      </c>
      <c r="M2061" s="59">
        <f>IFERROR(IF(OR(J2061=0,K2061=""),"",IF(E2061="Positivo",MAX(K2061/J2061,0),MAX(J2061/K2061,0))),"") </f>
        <v/>
      </c>
      <c r="P2061" t="n">
        <v>0</v>
      </c>
      <c r="Q2061" t="n">
        <v>0</v>
      </c>
      <c r="R2061" t="inlineStr">
        <is>
          <t>414-2024-03-31</t>
        </is>
      </c>
    </row>
    <row r="2062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Trimestral</t>
        </is>
      </c>
      <c r="E2062" t="inlineStr">
        <is>
          <t>Positivo</t>
        </is>
      </c>
      <c r="F2062" s="148" t="n">
        <v>45473</v>
      </c>
      <c r="G2062" t="n">
        <v>2024</v>
      </c>
      <c r="H2062" t="inlineStr">
        <is>
          <t>Junio</t>
        </is>
      </c>
      <c r="I2062" t="inlineStr">
        <is>
          <t>2024-1</t>
        </is>
      </c>
      <c r="J2062" t="n">
        <v>100</v>
      </c>
      <c r="K2062" t="n">
        <v>100.06</v>
      </c>
      <c r="L2062" s="59">
        <f>IFERROR(IF(OR(J2062=0,K2062=""),"",IF(E2062="Positivo",MIN(MAX(K2062/J2062,0),1.0),MIN(MAX(J2062/K2062,0),1.0))),"") </f>
        <v/>
      </c>
      <c r="M2062" s="59">
        <f>IFERROR(IF(OR(J2062=0,K2062=""),"",IF(E2062="Positivo",MAX(K2062/J2062,0),MAX(J2062/K2062,0))),"") </f>
        <v/>
      </c>
      <c r="P2062" t="n">
        <v>0</v>
      </c>
      <c r="Q2062" t="n">
        <v>0</v>
      </c>
      <c r="R2062" t="inlineStr">
        <is>
          <t>414-2024-06-30</t>
        </is>
      </c>
    </row>
    <row r="2063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Trimestral</t>
        </is>
      </c>
      <c r="E2063" t="inlineStr">
        <is>
          <t>Positivo</t>
        </is>
      </c>
      <c r="F2063" s="148" t="n">
        <v>45565</v>
      </c>
      <c r="G2063" t="n">
        <v>2024</v>
      </c>
      <c r="H2063" t="inlineStr">
        <is>
          <t>Septiembre</t>
        </is>
      </c>
      <c r="I2063" t="inlineStr">
        <is>
          <t>2024-2</t>
        </is>
      </c>
      <c r="J2063" t="n">
        <v>100</v>
      </c>
      <c r="K2063" t="n">
        <v>99.38</v>
      </c>
      <c r="L2063" s="59">
        <f>IFERROR(IF(OR(J2063=0,K2063=""),"",IF(E2063="Positivo",MIN(MAX(K2063/J2063,0),1.0),MIN(MAX(J2063/K2063,0),1.0))),"") </f>
        <v/>
      </c>
      <c r="M2063" s="59">
        <f>IFERROR(IF(OR(J2063=0,K2063=""),"",IF(E2063="Positivo",MAX(K2063/J2063,0),MAX(J2063/K2063,0))),"") </f>
        <v/>
      </c>
      <c r="P2063" t="n">
        <v>0</v>
      </c>
      <c r="Q2063" t="n">
        <v>0</v>
      </c>
      <c r="R2063" t="inlineStr">
        <is>
          <t>414-2024-09-30</t>
        </is>
      </c>
    </row>
    <row r="2064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Trimestral</t>
        </is>
      </c>
      <c r="E2064" t="inlineStr">
        <is>
          <t>Positivo</t>
        </is>
      </c>
      <c r="F2064" s="148" t="n">
        <v>45657</v>
      </c>
      <c r="G2064" t="n">
        <v>2024</v>
      </c>
      <c r="H2064" t="inlineStr">
        <is>
          <t>Diciembre</t>
        </is>
      </c>
      <c r="I2064" t="inlineStr">
        <is>
          <t>2024-2</t>
        </is>
      </c>
      <c r="J2064" t="n">
        <v>100</v>
      </c>
      <c r="K2064" t="n">
        <v>98.78</v>
      </c>
      <c r="L2064" s="59">
        <f>IFERROR(IF(OR(J2064=0,K2064=""),"",IF(E2064="Positivo",MIN(MAX(K2064/J2064,0),1.0),MIN(MAX(J2064/K2064,0),1.0))),"") </f>
        <v/>
      </c>
      <c r="M2064" s="59">
        <f>IFERROR(IF(OR(J2064=0,K2064=""),"",IF(E2064="Positivo",MAX(K2064/J2064,0),MAX(J2064/K2064,0))),"") </f>
        <v/>
      </c>
      <c r="P2064" t="n">
        <v>0</v>
      </c>
      <c r="Q2064" t="n">
        <v>0</v>
      </c>
      <c r="R2064" t="inlineStr">
        <is>
          <t>414-2024-12-31</t>
        </is>
      </c>
    </row>
    <row r="2065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48" t="n">
        <v>45747</v>
      </c>
      <c r="G2065" t="n">
        <v>2025</v>
      </c>
      <c r="H2065" t="inlineStr">
        <is>
          <t>Marzo</t>
        </is>
      </c>
      <c r="I2065" t="inlineStr">
        <is>
          <t>2025-1</t>
        </is>
      </c>
      <c r="J2065" t="n">
        <v>100</v>
      </c>
      <c r="K2065" t="n">
        <v>110.79</v>
      </c>
      <c r="L2065" s="59">
        <f>IFERROR(IF(OR(J2065=0,K2065=""),"",IF(E2065="Positivo",MIN(MAX(K2065/J2065,0),1.0),MIN(MAX(J2065/K2065,0),1.0))),"") </f>
        <v/>
      </c>
      <c r="M2065" s="59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414-2025-03-31</t>
        </is>
      </c>
    </row>
    <row r="2066">
      <c r="A2066" t="n">
        <v>414</v>
      </c>
      <c r="B2066" t="inlineStr">
        <is>
          <t>Cumplimiento Plan Anual Rectoría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48" t="n">
        <v>45838</v>
      </c>
      <c r="G2066" t="n">
        <v>2025</v>
      </c>
      <c r="H2066" t="inlineStr">
        <is>
          <t>Junio</t>
        </is>
      </c>
      <c r="I2066" t="inlineStr">
        <is>
          <t>2025-1</t>
        </is>
      </c>
      <c r="J2066" t="n">
        <v>100</v>
      </c>
      <c r="K2066" t="n">
        <v>108.55</v>
      </c>
      <c r="L2066" s="59">
        <f>IFERROR(IF(OR(J2066=0,K2066=""),"",IF(E2066="Positivo",MIN(MAX(K2066/J2066,0),1.0),MIN(MAX(J2066/K2066,0),1.0))),"") </f>
        <v/>
      </c>
      <c r="M2066" s="59">
        <f>IFERROR(IF(OR(J2066=0,K2066=""),"",IF(E2066="Positivo",MAX(K2066/J2066,0),MAX(J2066/K2066,0))),"") </f>
        <v/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414-2025-06-30</t>
        </is>
      </c>
    </row>
    <row r="2067">
      <c r="A2067" t="n">
        <v>414</v>
      </c>
      <c r="B2067" t="inlineStr">
        <is>
          <t>Cumplimiento Plan Anual Rectoría</t>
        </is>
      </c>
      <c r="C2067" t="inlineStr">
        <is>
          <t>Planeación Estratégica</t>
        </is>
      </c>
      <c r="D2067" t="inlineStr">
        <is>
          <t>Semestral</t>
        </is>
      </c>
      <c r="E2067" t="inlineStr">
        <is>
          <t>Positivo</t>
        </is>
      </c>
      <c r="F2067" s="148" t="n">
        <v>45930</v>
      </c>
      <c r="G2067" t="n">
        <v>2025</v>
      </c>
      <c r="H2067" t="inlineStr">
        <is>
          <t>Septiembre</t>
        </is>
      </c>
      <c r="I2067" t="inlineStr">
        <is>
          <t>2025-2</t>
        </is>
      </c>
      <c r="J2067" t="n">
        <v>100</v>
      </c>
      <c r="K2067" t="n">
        <v>93.59999999999999</v>
      </c>
      <c r="L2067" s="59">
        <f>IFERROR(IF(OR(J2067=0,K2067=""),"",IF(E2067="Positivo",MIN(MAX(K2067/J2067,0),1.0),MIN(MAX(J2067/K2067,0),1.0))),"") </f>
        <v/>
      </c>
      <c r="M2067" s="59">
        <f>IFERROR(IF(OR(J2067=0,K2067=""),"",IF(E2067="Positivo",MAX(K2067/J2067,0),MAX(J2067/K2067,0))),"") </f>
        <v/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414-2025-09-30</t>
        </is>
      </c>
    </row>
    <row r="2068">
      <c r="A2068" t="n">
        <v>414</v>
      </c>
      <c r="B2068" t="inlineStr">
        <is>
          <t>Cumplimiento Plan Anual Rectoría</t>
        </is>
      </c>
      <c r="C2068" t="inlineStr">
        <is>
          <t>Planeación Estratégica</t>
        </is>
      </c>
      <c r="D2068" t="inlineStr">
        <is>
          <t>Semestral</t>
        </is>
      </c>
      <c r="E2068" t="inlineStr">
        <is>
          <t>Positivo</t>
        </is>
      </c>
      <c r="F2068" s="148" t="n">
        <v>46022</v>
      </c>
      <c r="G2068" t="n">
        <v>2025</v>
      </c>
      <c r="H2068" t="inlineStr">
        <is>
          <t>Diciembre</t>
        </is>
      </c>
      <c r="I2068" t="inlineStr">
        <is>
          <t>2025-2</t>
        </is>
      </c>
      <c r="J2068" t="n">
        <v>100</v>
      </c>
      <c r="K2068" t="n">
        <v>98.87</v>
      </c>
      <c r="L2068" s="59">
        <f>IFERROR(IF(OR(J2068=0,K2068=""),"",IF(E2068="Positivo",MIN(MAX(K2068/J2068,0),1.0),MIN(MAX(J2068/K2068,0),1.0))),"") </f>
        <v/>
      </c>
      <c r="M2068" s="59">
        <f>IFERROR(IF(OR(J2068=0,K2068=""),"",IF(E2068="Positivo",MAX(K2068/J2068,0),MAX(J2068/K2068,0))),"") </f>
        <v/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414-2025-12-31</t>
        </is>
      </c>
    </row>
    <row r="2069">
      <c r="A2069" t="n">
        <v>415</v>
      </c>
      <c r="B2069" t="inlineStr">
        <is>
          <t>Cumplimiento Plan Anual Vicerrectoría del estudiante</t>
        </is>
      </c>
      <c r="C2069" t="inlineStr">
        <is>
          <t>Planeación Estratégica</t>
        </is>
      </c>
      <c r="D2069" t="inlineStr">
        <is>
          <t>Semestral</t>
        </is>
      </c>
      <c r="E2069" t="inlineStr">
        <is>
          <t>Positivo</t>
        </is>
      </c>
      <c r="F2069" s="148" t="n">
        <v>45016</v>
      </c>
      <c r="G2069" t="n">
        <v>2023</v>
      </c>
      <c r="H2069" t="inlineStr">
        <is>
          <t>Marzo</t>
        </is>
      </c>
      <c r="I2069" t="inlineStr">
        <is>
          <t>2023-1</t>
        </is>
      </c>
      <c r="J2069" t="n">
        <v>100</v>
      </c>
      <c r="K2069" t="n">
        <v>0</v>
      </c>
      <c r="L2069" s="59">
        <f>IFERROR(IF(OR(J2069=0,K2069=""),"",IF(E2069="Positivo",MIN(MAX(K2069/J2069,0),1.0),MIN(MAX(J2069/K2069,0),1.0))),"") </f>
        <v/>
      </c>
      <c r="M2069" s="59">
        <f>IFERROR(IF(OR(J2069=0,K2069=""),"",IF(E2069="Positivo",MAX(K2069/J2069,0),MAX(J2069/K2069,0))),"") </f>
        <v/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415-2023-03-31</t>
        </is>
      </c>
    </row>
    <row r="2070">
      <c r="A2070" t="n">
        <v>415</v>
      </c>
      <c r="B2070" t="inlineStr">
        <is>
          <t>Cumplimiento Plan Anual Vicerrectoría del estudiante</t>
        </is>
      </c>
      <c r="D2070" t="inlineStr">
        <is>
          <t>Trimestral</t>
        </is>
      </c>
      <c r="E2070" t="inlineStr">
        <is>
          <t>Positivo</t>
        </is>
      </c>
      <c r="F2070" s="148" t="n">
        <v>45107</v>
      </c>
      <c r="G2070" t="n">
        <v>2023</v>
      </c>
      <c r="H2070" t="inlineStr">
        <is>
          <t>Junio</t>
        </is>
      </c>
      <c r="I2070" t="inlineStr">
        <is>
          <t>2023-1</t>
        </is>
      </c>
      <c r="J2070" t="n">
        <v>100</v>
      </c>
      <c r="K2070" t="n">
        <v>94.04000000000001</v>
      </c>
      <c r="L2070" s="59">
        <f>IFERROR(IF(OR(J2070=0,K2070=""),"",IF(E2070="Positivo",MIN(MAX(K2070/J2070,0),1.0),MIN(MAX(J2070/K2070,0),1.0))),"") </f>
        <v/>
      </c>
      <c r="M2070" s="59">
        <f>IFERROR(IF(OR(J2070=0,K2070=""),"",IF(E2070="Positivo",MAX(K2070/J2070,0),MAX(J2070/K2070,0))),"") </f>
        <v/>
      </c>
      <c r="P2070" t="n">
        <v>0</v>
      </c>
      <c r="Q2070" t="n">
        <v>0</v>
      </c>
      <c r="R2070" t="inlineStr">
        <is>
          <t>415-2023-06-30</t>
        </is>
      </c>
    </row>
    <row r="2071">
      <c r="A2071" t="n">
        <v>415</v>
      </c>
      <c r="B2071" t="inlineStr">
        <is>
          <t>Cumplimiento Plan Anual Vicerrectoría del estudiante</t>
        </is>
      </c>
      <c r="D2071" t="inlineStr">
        <is>
          <t>Trimestral</t>
        </is>
      </c>
      <c r="E2071" t="inlineStr">
        <is>
          <t>Positivo</t>
        </is>
      </c>
      <c r="F2071" s="148" t="n">
        <v>45199</v>
      </c>
      <c r="G2071" t="n">
        <v>2023</v>
      </c>
      <c r="H2071" t="inlineStr">
        <is>
          <t>Septiembre</t>
        </is>
      </c>
      <c r="I2071" t="inlineStr">
        <is>
          <t>2023-2</t>
        </is>
      </c>
      <c r="J2071" t="n">
        <v>100</v>
      </c>
      <c r="K2071" t="n">
        <v>93.94</v>
      </c>
      <c r="L2071" s="59">
        <f>IFERROR(IF(OR(J2071=0,K2071=""),"",IF(E2071="Positivo",MIN(MAX(K2071/J2071,0),1.0),MIN(MAX(J2071/K2071,0),1.0))),"") </f>
        <v/>
      </c>
      <c r="M2071" s="59">
        <f>IFERROR(IF(OR(J2071=0,K2071=""),"",IF(E2071="Positivo",MAX(K2071/J2071,0),MAX(J2071/K2071,0))),"") </f>
        <v/>
      </c>
      <c r="P2071" t="n">
        <v>0</v>
      </c>
      <c r="Q2071" t="n">
        <v>0</v>
      </c>
      <c r="R2071" t="inlineStr">
        <is>
          <t>415-2023-09-30</t>
        </is>
      </c>
    </row>
    <row r="2072">
      <c r="A2072" t="n">
        <v>415</v>
      </c>
      <c r="B2072" t="inlineStr">
        <is>
          <t>Cumplimiento Plan Anual Vicerrectoría del estudiante</t>
        </is>
      </c>
      <c r="D2072" t="inlineStr">
        <is>
          <t>Trimestral</t>
        </is>
      </c>
      <c r="E2072" t="inlineStr">
        <is>
          <t>Positivo</t>
        </is>
      </c>
      <c r="F2072" s="148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96</v>
      </c>
      <c r="L2072" s="59">
        <f>IFERROR(IF(OR(J2072=0,K2072=""),"",IF(E2072="Positivo",MIN(MAX(K2072/J2072,0),1.0),MIN(MAX(J2072/K2072,0),1.0))),"") </f>
        <v/>
      </c>
      <c r="M2072" s="59">
        <f>IFERROR(IF(OR(J2072=0,K2072=""),"",IF(E2072="Positivo",MAX(K2072/J2072,0),MAX(J2072/K2072,0))),"") </f>
        <v/>
      </c>
      <c r="P2072" t="n">
        <v>0</v>
      </c>
      <c r="Q2072" t="n">
        <v>0</v>
      </c>
      <c r="R2072" t="inlineStr">
        <is>
          <t>415-2023-12-31</t>
        </is>
      </c>
    </row>
    <row r="2073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48" t="n">
        <v>45382</v>
      </c>
      <c r="G2073" t="n">
        <v>2024</v>
      </c>
      <c r="H2073" t="inlineStr">
        <is>
          <t>Marzo</t>
        </is>
      </c>
      <c r="I2073" t="inlineStr">
        <is>
          <t>2024-1</t>
        </is>
      </c>
      <c r="J2073" t="n">
        <v>100</v>
      </c>
      <c r="K2073" t="n">
        <v>80.79000000000001</v>
      </c>
      <c r="L2073" s="59">
        <f>IFERROR(IF(OR(J2073=0,K2073=""),"",IF(E2073="Positivo",MIN(MAX(K2073/J2073,0),1.0),MIN(MAX(J2073/K2073,0),1.0))),"") </f>
        <v/>
      </c>
      <c r="M2073" s="59">
        <f>IFERROR(IF(OR(J2073=0,K2073=""),"",IF(E2073="Positivo",MAX(K2073/J2073,0),MAX(J2073/K2073,0))),"") </f>
        <v/>
      </c>
      <c r="P2073" t="n">
        <v>0</v>
      </c>
      <c r="Q2073" t="n">
        <v>0</v>
      </c>
      <c r="R2073" t="inlineStr">
        <is>
          <t>415-2024-03-31</t>
        </is>
      </c>
    </row>
    <row r="2074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Trimestral</t>
        </is>
      </c>
      <c r="E2074" t="inlineStr">
        <is>
          <t>Positivo</t>
        </is>
      </c>
      <c r="F2074" s="148" t="n">
        <v>45473</v>
      </c>
      <c r="G2074" t="n">
        <v>2024</v>
      </c>
      <c r="H2074" t="inlineStr">
        <is>
          <t>Junio</t>
        </is>
      </c>
      <c r="I2074" t="inlineStr">
        <is>
          <t>2024-1</t>
        </is>
      </c>
      <c r="J2074" t="n">
        <v>100</v>
      </c>
      <c r="K2074" t="n">
        <v>93.04000000000001</v>
      </c>
      <c r="L2074" s="59">
        <f>IFERROR(IF(OR(J2074=0,K2074=""),"",IF(E2074="Positivo",MIN(MAX(K2074/J2074,0),1.0),MIN(MAX(J2074/K2074,0),1.0))),"") </f>
        <v/>
      </c>
      <c r="M2074" s="59">
        <f>IFERROR(IF(OR(J2074=0,K2074=""),"",IF(E2074="Positivo",MAX(K2074/J2074,0),MAX(J2074/K2074,0))),"") </f>
        <v/>
      </c>
      <c r="P2074" t="n">
        <v>0</v>
      </c>
      <c r="Q2074" t="n">
        <v>0</v>
      </c>
      <c r="R2074" t="inlineStr">
        <is>
          <t>415-2024-06-30</t>
        </is>
      </c>
    </row>
    <row r="2075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Trimestral</t>
        </is>
      </c>
      <c r="E2075" t="inlineStr">
        <is>
          <t>Positivo</t>
        </is>
      </c>
      <c r="F2075" s="148" t="n">
        <v>45565</v>
      </c>
      <c r="G2075" t="n">
        <v>2024</v>
      </c>
      <c r="H2075" t="inlineStr">
        <is>
          <t>Septiembre</t>
        </is>
      </c>
      <c r="I2075" t="inlineStr">
        <is>
          <t>2024-2</t>
        </is>
      </c>
      <c r="J2075" t="n">
        <v>100</v>
      </c>
      <c r="K2075" t="n">
        <v>92.45999999999999</v>
      </c>
      <c r="L2075" s="59">
        <f>IFERROR(IF(OR(J2075=0,K2075=""),"",IF(E2075="Positivo",MIN(MAX(K2075/J2075,0),1.0),MIN(MAX(J2075/K2075,0),1.0))),"") </f>
        <v/>
      </c>
      <c r="M2075" s="59">
        <f>IFERROR(IF(OR(J2075=0,K2075=""),"",IF(E2075="Positivo",MAX(K2075/J2075,0),MAX(J2075/K2075,0))),"") </f>
        <v/>
      </c>
      <c r="P2075" t="n">
        <v>0</v>
      </c>
      <c r="Q2075" t="n">
        <v>0</v>
      </c>
      <c r="R2075" t="inlineStr">
        <is>
          <t>415-2024-09-30</t>
        </is>
      </c>
    </row>
    <row r="2076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Trimestral</t>
        </is>
      </c>
      <c r="E2076" t="inlineStr">
        <is>
          <t>Positivo</t>
        </is>
      </c>
      <c r="F2076" s="148" t="n">
        <v>45657</v>
      </c>
      <c r="G2076" t="n">
        <v>2024</v>
      </c>
      <c r="H2076" t="inlineStr">
        <is>
          <t>Diciembre</t>
        </is>
      </c>
      <c r="I2076" t="inlineStr">
        <is>
          <t>2024-2</t>
        </is>
      </c>
      <c r="J2076" t="n">
        <v>100</v>
      </c>
      <c r="K2076" t="n">
        <v>98.36</v>
      </c>
      <c r="L2076" s="59">
        <f>IFERROR(IF(OR(J2076=0,K2076=""),"",IF(E2076="Positivo",MIN(MAX(K2076/J2076,0),1.0),MIN(MAX(J2076/K2076,0),1.0))),"") </f>
        <v/>
      </c>
      <c r="M2076" s="59">
        <f>IFERROR(IF(OR(J2076=0,K2076=""),"",IF(E2076="Positivo",MAX(K2076/J2076,0),MAX(J2076/K2076,0))),"") </f>
        <v/>
      </c>
      <c r="P2076" t="n">
        <v>0</v>
      </c>
      <c r="Q2076" t="n">
        <v>0</v>
      </c>
      <c r="R2076" t="inlineStr">
        <is>
          <t>415-2024-12-31</t>
        </is>
      </c>
    </row>
    <row r="2077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8" t="n">
        <v>45747</v>
      </c>
      <c r="G2077" t="n">
        <v>2025</v>
      </c>
      <c r="H2077" t="inlineStr">
        <is>
          <t>Marzo</t>
        </is>
      </c>
      <c r="I2077" t="inlineStr">
        <is>
          <t>2025-1</t>
        </is>
      </c>
      <c r="J2077" t="n">
        <v>100</v>
      </c>
      <c r="K2077" t="n">
        <v>104.76</v>
      </c>
      <c r="L2077" s="59">
        <f>IFERROR(IF(OR(J2077=0,K2077=""),"",IF(E2077="Positivo",MIN(MAX(K2077/J2077,0),1.0),MIN(MAX(J2077/K2077,0),1.0))),"") </f>
        <v/>
      </c>
      <c r="M2077" s="59">
        <f>IFERROR(IF(OR(J2077=0,K2077=""),"",IF(E2077="Positivo",MAX(K2077/J2077,0),MAX(J2077/K2077,0))),"") </f>
        <v/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415-2025-03-31</t>
        </is>
      </c>
    </row>
    <row r="2078">
      <c r="A2078" t="n">
        <v>415</v>
      </c>
      <c r="B2078" t="inlineStr">
        <is>
          <t>Cumplimiento Plan Anual Vicerrectoría del estudiante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8" t="n">
        <v>45838</v>
      </c>
      <c r="G2078" t="n">
        <v>2025</v>
      </c>
      <c r="H2078" t="inlineStr">
        <is>
          <t>Junio</t>
        </is>
      </c>
      <c r="I2078" t="inlineStr">
        <is>
          <t>2025-1</t>
        </is>
      </c>
      <c r="J2078" t="n">
        <v>100</v>
      </c>
      <c r="K2078" t="n">
        <v>96.44</v>
      </c>
      <c r="L2078" s="59">
        <f>IFERROR(IF(OR(J2078=0,K2078=""),"",IF(E2078="Positivo",MIN(MAX(K2078/J2078,0),1.0),MIN(MAX(J2078/K2078,0),1.0))),"") </f>
        <v/>
      </c>
      <c r="M2078" s="59">
        <f>IFERROR(IF(OR(J2078=0,K2078=""),"",IF(E2078="Positivo",MAX(K2078/J2078,0),MAX(J2078/K2078,0))),"") </f>
        <v/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415-2025-06-30</t>
        </is>
      </c>
    </row>
    <row r="2079">
      <c r="A2079" t="n">
        <v>415</v>
      </c>
      <c r="B2079" t="inlineStr">
        <is>
          <t>Cumplimiento Plan Anual Vicerrectoría del estudiante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48" t="n">
        <v>45930</v>
      </c>
      <c r="G2079" t="n">
        <v>2025</v>
      </c>
      <c r="H2079" t="inlineStr">
        <is>
          <t>Septiembre</t>
        </is>
      </c>
      <c r="I2079" t="inlineStr">
        <is>
          <t>2025-2</t>
        </is>
      </c>
      <c r="J2079" t="n">
        <v>100</v>
      </c>
      <c r="K2079" t="n">
        <v>95.56</v>
      </c>
      <c r="L2079" s="59">
        <f>IFERROR(IF(OR(J2079=0,K2079=""),"",IF(E2079="Positivo",MIN(MAX(K2079/J2079,0),1.0),MIN(MAX(J2079/K2079,0),1.0))),"") </f>
        <v/>
      </c>
      <c r="M2079" s="59">
        <f>IFERROR(IF(OR(J2079=0,K2079=""),"",IF(E2079="Positivo",MAX(K2079/J2079,0),MAX(J2079/K2079,0))),"") </f>
        <v/>
      </c>
      <c r="N2079" t="inlineStr">
        <is>
          <t>%</t>
        </is>
      </c>
      <c r="O2079" t="inlineStr">
        <is>
          <t>%</t>
        </is>
      </c>
      <c r="P2079" t="n">
        <v>0</v>
      </c>
      <c r="Q2079" t="n">
        <v>0</v>
      </c>
      <c r="R2079" t="inlineStr">
        <is>
          <t>415-2025-09-30</t>
        </is>
      </c>
    </row>
    <row r="2080">
      <c r="A2080" t="n">
        <v>415</v>
      </c>
      <c r="B2080" t="inlineStr">
        <is>
          <t>Cumplimiento Plan Anual Vicerrectoría del estudiante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48" t="n">
        <v>46022</v>
      </c>
      <c r="G2080" t="n">
        <v>2025</v>
      </c>
      <c r="H2080" t="inlineStr">
        <is>
          <t>Diciembre</t>
        </is>
      </c>
      <c r="I2080" t="inlineStr">
        <is>
          <t>2025-2</t>
        </is>
      </c>
      <c r="J2080" t="n">
        <v>100</v>
      </c>
      <c r="K2080" t="n">
        <v>99.3</v>
      </c>
      <c r="L2080" s="59">
        <f>IFERROR(IF(OR(J2080=0,K2080=""),"",IF(E2080="Positivo",MIN(MAX(K2080/J2080,0),1.0),MIN(MAX(J2080/K2080,0),1.0))),"") </f>
        <v/>
      </c>
      <c r="M2080" s="59">
        <f>IFERROR(IF(OR(J2080=0,K2080=""),"",IF(E2080="Positivo",MAX(K2080/J2080,0),MAX(J2080/K2080,0))),"") </f>
        <v/>
      </c>
      <c r="N2080" t="inlineStr">
        <is>
          <t>%</t>
        </is>
      </c>
      <c r="O2080" t="inlineStr">
        <is>
          <t>%</t>
        </is>
      </c>
      <c r="P2080" t="n">
        <v>0</v>
      </c>
      <c r="Q2080" t="n">
        <v>0</v>
      </c>
      <c r="R2080" t="inlineStr">
        <is>
          <t>415-2025-12-31</t>
        </is>
      </c>
    </row>
    <row r="2081">
      <c r="A2081" t="n">
        <v>416</v>
      </c>
      <c r="B2081" t="inlineStr">
        <is>
          <t>Cumplimiento Plan Anual Vicerrectoría de crecimiento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48" t="n">
        <v>45016</v>
      </c>
      <c r="G2081" t="n">
        <v>2023</v>
      </c>
      <c r="H2081" t="inlineStr">
        <is>
          <t>Marzo</t>
        </is>
      </c>
      <c r="I2081" t="inlineStr">
        <is>
          <t>2023-1</t>
        </is>
      </c>
      <c r="J2081" t="n">
        <v>100</v>
      </c>
      <c r="K2081" t="n">
        <v>0</v>
      </c>
      <c r="L2081" s="59">
        <f>IFERROR(IF(OR(J2081=0,K2081=""),"",IF(E2081="Positivo",MIN(MAX(K2081/J2081,0),1.0),MIN(MAX(J2081/K2081,0),1.0))),"") </f>
        <v/>
      </c>
      <c r="M2081" s="59">
        <f>IFERROR(IF(OR(J2081=0,K2081=""),"",IF(E2081="Positivo",MAX(K2081/J2081,0),MAX(J2081/K2081,0))),"") </f>
        <v/>
      </c>
      <c r="N2081" t="inlineStr">
        <is>
          <t>%</t>
        </is>
      </c>
      <c r="O2081" t="inlineStr">
        <is>
          <t>%</t>
        </is>
      </c>
      <c r="P2081" t="n">
        <v>0</v>
      </c>
      <c r="Q2081" t="n">
        <v>0</v>
      </c>
      <c r="R2081" t="inlineStr">
        <is>
          <t>416-2023-03-31</t>
        </is>
      </c>
    </row>
    <row r="2082">
      <c r="A2082" t="n">
        <v>416</v>
      </c>
      <c r="B2082" t="inlineStr">
        <is>
          <t>Cumplimiento Plan Anual Vicerrectoría de crecimiento</t>
        </is>
      </c>
      <c r="D2082" t="inlineStr">
        <is>
          <t>Trimestral</t>
        </is>
      </c>
      <c r="E2082" t="inlineStr">
        <is>
          <t>Positivo</t>
        </is>
      </c>
      <c r="F2082" s="148" t="n">
        <v>45107</v>
      </c>
      <c r="G2082" t="n">
        <v>2023</v>
      </c>
      <c r="H2082" t="inlineStr">
        <is>
          <t>Junio</t>
        </is>
      </c>
      <c r="I2082" t="inlineStr">
        <is>
          <t>2023-1</t>
        </is>
      </c>
      <c r="J2082" t="n">
        <v>100</v>
      </c>
      <c r="K2082" t="n">
        <v>95.73999999999999</v>
      </c>
      <c r="L2082" s="59">
        <f>IFERROR(IF(OR(J2082=0,K2082=""),"",IF(E2082="Positivo",MIN(MAX(K2082/J2082,0),1.0),MIN(MAX(J2082/K2082,0),1.0))),"") </f>
        <v/>
      </c>
      <c r="M2082" s="59">
        <f>IFERROR(IF(OR(J2082=0,K2082=""),"",IF(E2082="Positivo",MAX(K2082/J2082,0),MAX(J2082/K2082,0))),"") </f>
        <v/>
      </c>
      <c r="P2082" t="n">
        <v>0</v>
      </c>
      <c r="Q2082" t="n">
        <v>0</v>
      </c>
      <c r="R2082" t="inlineStr">
        <is>
          <t>416-2023-06-30</t>
        </is>
      </c>
    </row>
    <row r="2083">
      <c r="A2083" t="n">
        <v>416</v>
      </c>
      <c r="B2083" t="inlineStr">
        <is>
          <t>Cumplimiento Plan Anual Vicerrectoría de crecimiento</t>
        </is>
      </c>
      <c r="D2083" t="inlineStr">
        <is>
          <t>Trimestral</t>
        </is>
      </c>
      <c r="E2083" t="inlineStr">
        <is>
          <t>Positivo</t>
        </is>
      </c>
      <c r="F2083" s="148" t="n">
        <v>45199</v>
      </c>
      <c r="G2083" t="n">
        <v>2023</v>
      </c>
      <c r="H2083" t="inlineStr">
        <is>
          <t>Septiembre</t>
        </is>
      </c>
      <c r="I2083" t="inlineStr">
        <is>
          <t>2023-2</t>
        </is>
      </c>
      <c r="J2083" t="n">
        <v>100</v>
      </c>
      <c r="K2083" t="n">
        <v>87.94</v>
      </c>
      <c r="L2083" s="59">
        <f>IFERROR(IF(OR(J2083=0,K2083=""),"",IF(E2083="Positivo",MIN(MAX(K2083/J2083,0),1.0),MIN(MAX(J2083/K2083,0),1.0))),"") </f>
        <v/>
      </c>
      <c r="M2083" s="59">
        <f>IFERROR(IF(OR(J2083=0,K2083=""),"",IF(E2083="Positivo",MAX(K2083/J2083,0),MAX(J2083/K2083,0))),"") </f>
        <v/>
      </c>
      <c r="P2083" t="n">
        <v>0</v>
      </c>
      <c r="Q2083" t="n">
        <v>0</v>
      </c>
      <c r="R2083" t="inlineStr">
        <is>
          <t>416-2023-09-30</t>
        </is>
      </c>
    </row>
    <row r="2084">
      <c r="A2084" t="n">
        <v>416</v>
      </c>
      <c r="B2084" t="inlineStr">
        <is>
          <t>Cumplimiento Plan Anual Vicerrectoría de crecimiento</t>
        </is>
      </c>
      <c r="D2084" t="inlineStr">
        <is>
          <t>Trimestral</t>
        </is>
      </c>
      <c r="E2084" t="inlineStr">
        <is>
          <t>Positivo</t>
        </is>
      </c>
      <c r="F2084" s="148" t="n">
        <v>45291</v>
      </c>
      <c r="G2084" t="n">
        <v>2023</v>
      </c>
      <c r="H2084" t="inlineStr">
        <is>
          <t>Diciembre</t>
        </is>
      </c>
      <c r="I2084" t="inlineStr">
        <is>
          <t>2023-2</t>
        </is>
      </c>
      <c r="J2084" t="n">
        <v>100</v>
      </c>
      <c r="K2084" t="n">
        <v>98</v>
      </c>
      <c r="L2084" s="59">
        <f>IFERROR(IF(OR(J2084=0,K2084=""),"",IF(E2084="Positivo",MIN(MAX(K2084/J2084,0),1.0),MIN(MAX(J2084/K2084,0),1.0))),"") </f>
        <v/>
      </c>
      <c r="M2084" s="59">
        <f>IFERROR(IF(OR(J2084=0,K2084=""),"",IF(E2084="Positivo",MAX(K2084/J2084,0),MAX(J2084/K2084,0))),"") </f>
        <v/>
      </c>
      <c r="P2084" t="n">
        <v>0</v>
      </c>
      <c r="Q2084" t="n">
        <v>0</v>
      </c>
      <c r="R2084" t="inlineStr">
        <is>
          <t>416-2023-12-31</t>
        </is>
      </c>
    </row>
    <row r="2085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48" t="n">
        <v>45382</v>
      </c>
      <c r="G2085" t="n">
        <v>2024</v>
      </c>
      <c r="H2085" t="inlineStr">
        <is>
          <t>Marzo</t>
        </is>
      </c>
      <c r="I2085" t="inlineStr">
        <is>
          <t>2024-1</t>
        </is>
      </c>
      <c r="J2085" t="n">
        <v>100</v>
      </c>
      <c r="K2085" t="n">
        <v>120.07</v>
      </c>
      <c r="L2085" s="59">
        <f>IFERROR(IF(OR(J2085=0,K2085=""),"",IF(E2085="Positivo",MIN(MAX(K2085/J2085,0),1.0),MIN(MAX(J2085/K2085,0),1.0))),"") </f>
        <v/>
      </c>
      <c r="M2085" s="59">
        <f>IFERROR(IF(OR(J2085=0,K2085=""),"",IF(E2085="Positivo",MAX(K2085/J2085,0),MAX(J2085/K2085,0))),"") </f>
        <v/>
      </c>
      <c r="P2085" t="n">
        <v>0</v>
      </c>
      <c r="Q2085" t="n">
        <v>0</v>
      </c>
      <c r="R2085" t="inlineStr">
        <is>
          <t>416-2024-03-31</t>
        </is>
      </c>
    </row>
    <row r="2086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Trimestral</t>
        </is>
      </c>
      <c r="E2086" t="inlineStr">
        <is>
          <t>Positivo</t>
        </is>
      </c>
      <c r="F2086" s="148" t="n">
        <v>45473</v>
      </c>
      <c r="G2086" t="n">
        <v>2024</v>
      </c>
      <c r="H2086" t="inlineStr">
        <is>
          <t>Junio</t>
        </is>
      </c>
      <c r="I2086" t="inlineStr">
        <is>
          <t>2024-1</t>
        </is>
      </c>
      <c r="J2086" t="n">
        <v>100</v>
      </c>
      <c r="K2086" t="n">
        <v>117.1</v>
      </c>
      <c r="L2086" s="59">
        <f>IFERROR(IF(OR(J2086=0,K2086=""),"",IF(E2086="Positivo",MIN(MAX(K2086/J2086,0),1.0),MIN(MAX(J2086/K2086,0),1.0))),"") </f>
        <v/>
      </c>
      <c r="M2086" s="59">
        <f>IFERROR(IF(OR(J2086=0,K2086=""),"",IF(E2086="Positivo",MAX(K2086/J2086,0),MAX(J2086/K2086,0))),"") </f>
        <v/>
      </c>
      <c r="P2086" t="n">
        <v>0</v>
      </c>
      <c r="Q2086" t="n">
        <v>0</v>
      </c>
      <c r="R2086" t="inlineStr">
        <is>
          <t>416-2024-06-30</t>
        </is>
      </c>
    </row>
    <row r="2087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Trimestral</t>
        </is>
      </c>
      <c r="E2087" t="inlineStr">
        <is>
          <t>Positivo</t>
        </is>
      </c>
      <c r="F2087" s="148" t="n">
        <v>45565</v>
      </c>
      <c r="G2087" t="n">
        <v>2024</v>
      </c>
      <c r="H2087" t="inlineStr">
        <is>
          <t>Septiembre</t>
        </is>
      </c>
      <c r="I2087" t="inlineStr">
        <is>
          <t>2024-2</t>
        </is>
      </c>
      <c r="J2087" t="n">
        <v>100</v>
      </c>
      <c r="K2087" t="n">
        <v>99.81</v>
      </c>
      <c r="L2087" s="59">
        <f>IFERROR(IF(OR(J2087=0,K2087=""),"",IF(E2087="Positivo",MIN(MAX(K2087/J2087,0),1.0),MIN(MAX(J2087/K2087,0),1.0))),"") </f>
        <v/>
      </c>
      <c r="M2087" s="59">
        <f>IFERROR(IF(OR(J2087=0,K2087=""),"",IF(E2087="Positivo",MAX(K2087/J2087,0),MAX(J2087/K2087,0))),"") </f>
        <v/>
      </c>
      <c r="P2087" t="n">
        <v>0</v>
      </c>
      <c r="Q2087" t="n">
        <v>0</v>
      </c>
      <c r="R2087" t="inlineStr">
        <is>
          <t>416-2024-09-30</t>
        </is>
      </c>
    </row>
    <row r="2088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Trimestral</t>
        </is>
      </c>
      <c r="E2088" t="inlineStr">
        <is>
          <t>Positivo</t>
        </is>
      </c>
      <c r="F2088" s="148" t="n">
        <v>45657</v>
      </c>
      <c r="G2088" t="n">
        <v>2024</v>
      </c>
      <c r="H2088" t="inlineStr">
        <is>
          <t>Diciembre</t>
        </is>
      </c>
      <c r="I2088" t="inlineStr">
        <is>
          <t>2024-2</t>
        </is>
      </c>
      <c r="J2088" t="n">
        <v>100</v>
      </c>
      <c r="K2088" t="n">
        <v>100</v>
      </c>
      <c r="L2088" s="59">
        <f>IFERROR(IF(OR(J2088=0,K2088=""),"",IF(E2088="Positivo",MIN(MAX(K2088/J2088,0),1.0),MIN(MAX(J2088/K2088,0),1.0))),"") </f>
        <v/>
      </c>
      <c r="M2088" s="59">
        <f>IFERROR(IF(OR(J2088=0,K2088=""),"",IF(E2088="Positivo",MAX(K2088/J2088,0),MAX(J2088/K2088,0))),"") </f>
        <v/>
      </c>
      <c r="P2088" t="n">
        <v>0</v>
      </c>
      <c r="Q2088" t="n">
        <v>0</v>
      </c>
      <c r="R2088" t="inlineStr">
        <is>
          <t>416-2024-12-31</t>
        </is>
      </c>
    </row>
    <row r="2089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8" t="n">
        <v>45747</v>
      </c>
      <c r="G2089" t="n">
        <v>2025</v>
      </c>
      <c r="H2089" t="inlineStr">
        <is>
          <t>Marzo</t>
        </is>
      </c>
      <c r="I2089" t="inlineStr">
        <is>
          <t>2025-1</t>
        </is>
      </c>
      <c r="J2089" t="n">
        <v>100</v>
      </c>
      <c r="K2089" t="n">
        <v>170.92</v>
      </c>
      <c r="L2089" s="59">
        <f>IFERROR(IF(OR(J2089=0,K2089=""),"",IF(E2089="Positivo",MIN(MAX(K2089/J2089,0),1.0),MIN(MAX(J2089/K2089,0),1.0))),"") </f>
        <v/>
      </c>
      <c r="M2089" s="59">
        <f>IFERROR(IF(OR(J2089=0,K2089=""),"",IF(E2089="Positivo",MAX(K2089/J2089,0),MAX(J2089/K2089,0))),"") </f>
        <v/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416-2025-03-31</t>
        </is>
      </c>
    </row>
    <row r="2090">
      <c r="A2090" t="n">
        <v>416</v>
      </c>
      <c r="B2090" t="inlineStr">
        <is>
          <t>Cumplimiento Plan Anual Vicerrectoría de crecimiento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8" t="n">
        <v>45838</v>
      </c>
      <c r="G2090" t="n">
        <v>2025</v>
      </c>
      <c r="H2090" t="inlineStr">
        <is>
          <t>Junio</t>
        </is>
      </c>
      <c r="I2090" t="inlineStr">
        <is>
          <t>2025-1</t>
        </is>
      </c>
      <c r="J2090" t="n">
        <v>100</v>
      </c>
      <c r="K2090" t="n">
        <v>109.24</v>
      </c>
      <c r="L2090" s="59">
        <f>IFERROR(IF(OR(J2090=0,K2090=""),"",IF(E2090="Positivo",MIN(MAX(K2090/J2090,0),1.0),MIN(MAX(J2090/K2090,0),1.0))),"") </f>
        <v/>
      </c>
      <c r="M2090" s="59">
        <f>IFERROR(IF(OR(J2090=0,K2090=""),"",IF(E2090="Positivo",MAX(K2090/J2090,0),MAX(J2090/K2090,0))),"") </f>
        <v/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416-2025-06-30</t>
        </is>
      </c>
    </row>
    <row r="2091">
      <c r="A2091" t="n">
        <v>416</v>
      </c>
      <c r="B2091" t="inlineStr">
        <is>
          <t>Cumplimiento Plan Anual Vicerrectoría de crecimiento</t>
        </is>
      </c>
      <c r="C2091" t="inlineStr">
        <is>
          <t>Planeación Estratégica</t>
        </is>
      </c>
      <c r="D2091" t="inlineStr">
        <is>
          <t>Semestral</t>
        </is>
      </c>
      <c r="E2091" t="inlineStr">
        <is>
          <t>Positivo</t>
        </is>
      </c>
      <c r="F2091" s="148" t="n">
        <v>45930</v>
      </c>
      <c r="G2091" t="n">
        <v>2025</v>
      </c>
      <c r="H2091" t="inlineStr">
        <is>
          <t>Septiembre</t>
        </is>
      </c>
      <c r="I2091" t="inlineStr">
        <is>
          <t>2025-2</t>
        </is>
      </c>
      <c r="J2091" t="n">
        <v>100</v>
      </c>
      <c r="K2091" t="n">
        <v>96.48</v>
      </c>
      <c r="L2091" s="59">
        <f>IFERROR(IF(OR(J2091=0,K2091=""),"",IF(E2091="Positivo",MIN(MAX(K2091/J2091,0),1.0),MIN(MAX(J2091/K2091,0),1.0))),"") </f>
        <v/>
      </c>
      <c r="M2091" s="59">
        <f>IFERROR(IF(OR(J2091=0,K2091=""),"",IF(E2091="Positivo",MAX(K2091/J2091,0),MAX(J2091/K2091,0))),"") </f>
        <v/>
      </c>
      <c r="N2091" t="inlineStr">
        <is>
          <t>%</t>
        </is>
      </c>
      <c r="O2091" t="inlineStr">
        <is>
          <t>%</t>
        </is>
      </c>
      <c r="P2091" t="n">
        <v>0</v>
      </c>
      <c r="Q2091" t="n">
        <v>0</v>
      </c>
      <c r="R2091" t="inlineStr">
        <is>
          <t>416-2025-09-30</t>
        </is>
      </c>
    </row>
    <row r="2092">
      <c r="A2092" t="n">
        <v>416</v>
      </c>
      <c r="B2092" t="inlineStr">
        <is>
          <t>Cumplimiento Plan Anual Vicerrectoría de crecimiento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48" t="n">
        <v>46022</v>
      </c>
      <c r="G2092" t="n">
        <v>2025</v>
      </c>
      <c r="H2092" t="inlineStr">
        <is>
          <t>Diciembre</t>
        </is>
      </c>
      <c r="I2092" t="inlineStr">
        <is>
          <t>2025-2</t>
        </is>
      </c>
      <c r="J2092" t="n">
        <v>100</v>
      </c>
      <c r="K2092" t="n">
        <v>100</v>
      </c>
      <c r="L2092" s="59">
        <f>IFERROR(IF(OR(J2092=0,K2092=""),"",IF(E2092="Positivo",MIN(MAX(K2092/J2092,0),1.0),MIN(MAX(J2092/K2092,0),1.0))),"") </f>
        <v/>
      </c>
      <c r="M2092" s="59">
        <f>IFERROR(IF(OR(J2092=0,K2092=""),"",IF(E2092="Positivo",MAX(K2092/J2092,0),MAX(J2092/K2092,0))),"") </f>
        <v/>
      </c>
      <c r="N2092" t="inlineStr">
        <is>
          <t>%</t>
        </is>
      </c>
      <c r="O2092" t="inlineStr">
        <is>
          <t>%</t>
        </is>
      </c>
      <c r="P2092" t="n">
        <v>0</v>
      </c>
      <c r="Q2092" t="n">
        <v>0</v>
      </c>
      <c r="R2092" t="inlineStr">
        <is>
          <t>416-2025-12-31</t>
        </is>
      </c>
    </row>
    <row r="2093">
      <c r="A2093" t="n">
        <v>417</v>
      </c>
      <c r="B2093" t="inlineStr">
        <is>
          <t>Cumplimiento Plan Anual Vicerrectoría Financiera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48" t="n">
        <v>45016</v>
      </c>
      <c r="G2093" t="n">
        <v>2023</v>
      </c>
      <c r="H2093" t="inlineStr">
        <is>
          <t>Marzo</t>
        </is>
      </c>
      <c r="I2093" t="inlineStr">
        <is>
          <t>2023-1</t>
        </is>
      </c>
      <c r="J2093" t="n">
        <v>100</v>
      </c>
      <c r="K2093" t="n">
        <v>0</v>
      </c>
      <c r="L2093" s="59">
        <f>IFERROR(IF(OR(J2093=0,K2093=""),"",IF(E2093="Positivo",MIN(MAX(K2093/J2093,0),1.0),MIN(MAX(J2093/K2093,0),1.0))),"") </f>
        <v/>
      </c>
      <c r="M2093" s="59">
        <f>IFERROR(IF(OR(J2093=0,K2093=""),"",IF(E2093="Positivo",MAX(K2093/J2093,0),MAX(J2093/K2093,0))),"") </f>
        <v/>
      </c>
      <c r="N2093" t="inlineStr">
        <is>
          <t>%</t>
        </is>
      </c>
      <c r="O2093" t="inlineStr">
        <is>
          <t>%</t>
        </is>
      </c>
      <c r="P2093" t="n">
        <v>0</v>
      </c>
      <c r="Q2093" t="n">
        <v>0</v>
      </c>
      <c r="R2093" t="inlineStr">
        <is>
          <t>417-2023-03-31</t>
        </is>
      </c>
    </row>
    <row r="2094">
      <c r="A2094" t="n">
        <v>417</v>
      </c>
      <c r="B2094" t="inlineStr">
        <is>
          <t>Cumplimiento Plan Anual Vicerrectoría Financiera</t>
        </is>
      </c>
      <c r="D2094" t="inlineStr">
        <is>
          <t>Trimestral</t>
        </is>
      </c>
      <c r="E2094" t="inlineStr">
        <is>
          <t>Positivo</t>
        </is>
      </c>
      <c r="F2094" s="148" t="n">
        <v>45107</v>
      </c>
      <c r="G2094" t="n">
        <v>2023</v>
      </c>
      <c r="H2094" t="inlineStr">
        <is>
          <t>Junio</t>
        </is>
      </c>
      <c r="I2094" t="inlineStr">
        <is>
          <t>2023-1</t>
        </is>
      </c>
      <c r="J2094" t="n">
        <v>100</v>
      </c>
      <c r="K2094" t="n">
        <v>110.66833333333</v>
      </c>
      <c r="L2094" s="59">
        <f>IFERROR(IF(OR(J2094=0,K2094=""),"",IF(E2094="Positivo",MIN(MAX(K2094/J2094,0),1.0),MIN(MAX(J2094/K2094,0),1.0))),"") </f>
        <v/>
      </c>
      <c r="M2094" s="59">
        <f>IFERROR(IF(OR(J2094=0,K2094=""),"",IF(E2094="Positivo",MAX(K2094/J2094,0),MAX(J2094/K2094,0))),"") </f>
        <v/>
      </c>
      <c r="P2094" t="n">
        <v>0</v>
      </c>
      <c r="Q2094" t="n">
        <v>0</v>
      </c>
      <c r="R2094" t="inlineStr">
        <is>
          <t>417-2023-06-30</t>
        </is>
      </c>
    </row>
    <row r="2095">
      <c r="A2095" t="n">
        <v>417</v>
      </c>
      <c r="B2095" t="inlineStr">
        <is>
          <t>Cumplimiento Plan Anual Vicerrectoría Financiera</t>
        </is>
      </c>
      <c r="D2095" t="inlineStr">
        <is>
          <t>Trimestral</t>
        </is>
      </c>
      <c r="E2095" t="inlineStr">
        <is>
          <t>Positivo</t>
        </is>
      </c>
      <c r="F2095" s="148" t="n">
        <v>45199</v>
      </c>
      <c r="G2095" t="n">
        <v>2023</v>
      </c>
      <c r="H2095" t="inlineStr">
        <is>
          <t>Septiembre</t>
        </is>
      </c>
      <c r="I2095" t="inlineStr">
        <is>
          <t>2023-2</t>
        </is>
      </c>
      <c r="J2095" t="n">
        <v>100</v>
      </c>
      <c r="K2095" t="n">
        <v>93.756666666667</v>
      </c>
      <c r="L2095" s="59">
        <f>IFERROR(IF(OR(J2095=0,K2095=""),"",IF(E2095="Positivo",MIN(MAX(K2095/J2095,0),1.0),MIN(MAX(J2095/K2095,0),1.0))),"") </f>
        <v/>
      </c>
      <c r="M2095" s="59">
        <f>IFERROR(IF(OR(J2095=0,K2095=""),"",IF(E2095="Positivo",MAX(K2095/J2095,0),MAX(J2095/K2095,0))),"") </f>
        <v/>
      </c>
      <c r="P2095" t="n">
        <v>0</v>
      </c>
      <c r="Q2095" t="n">
        <v>0</v>
      </c>
      <c r="R2095" t="inlineStr">
        <is>
          <t>417-2023-09-30</t>
        </is>
      </c>
    </row>
    <row r="2096">
      <c r="A2096" t="n">
        <v>417</v>
      </c>
      <c r="B2096" t="inlineStr">
        <is>
          <t>Cumplimiento Plan Anual Vicerrectoría Financiera</t>
        </is>
      </c>
      <c r="D2096" t="inlineStr">
        <is>
          <t>Trimestral</t>
        </is>
      </c>
      <c r="E2096" t="inlineStr">
        <is>
          <t>Positivo</t>
        </is>
      </c>
      <c r="F2096" s="148" t="n">
        <v>45291</v>
      </c>
      <c r="G2096" t="n">
        <v>2023</v>
      </c>
      <c r="H2096" t="inlineStr">
        <is>
          <t>Diciembre</t>
        </is>
      </c>
      <c r="I2096" t="inlineStr">
        <is>
          <t>2023-2</t>
        </is>
      </c>
      <c r="J2096" t="n">
        <v>100</v>
      </c>
      <c r="K2096" t="n">
        <v>94.39</v>
      </c>
      <c r="L2096" s="59">
        <f>IFERROR(IF(OR(J2096=0,K2096=""),"",IF(E2096="Positivo",MIN(MAX(K2096/J2096,0),1.0),MIN(MAX(J2096/K2096,0),1.0))),"") </f>
        <v/>
      </c>
      <c r="M2096" s="59">
        <f>IFERROR(IF(OR(J2096=0,K2096=""),"",IF(E2096="Positivo",MAX(K2096/J2096,0),MAX(J2096/K2096,0))),"") </f>
        <v/>
      </c>
      <c r="P2096" t="n">
        <v>0</v>
      </c>
      <c r="Q2096" t="n">
        <v>0</v>
      </c>
      <c r="R2096" t="inlineStr">
        <is>
          <t>417-2023-12-31</t>
        </is>
      </c>
    </row>
    <row r="2097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48" t="n">
        <v>45382</v>
      </c>
      <c r="G2097" t="n">
        <v>2024</v>
      </c>
      <c r="H2097" t="inlineStr">
        <is>
          <t>Marzo</t>
        </is>
      </c>
      <c r="I2097" t="inlineStr">
        <is>
          <t>2024-1</t>
        </is>
      </c>
      <c r="J2097" t="n">
        <v>100</v>
      </c>
      <c r="K2097" t="n">
        <v>99.01000000000001</v>
      </c>
      <c r="L2097" s="59">
        <f>IFERROR(IF(OR(J2097=0,K2097=""),"",IF(E2097="Positivo",MIN(MAX(K2097/J2097,0),1.0),MIN(MAX(J2097/K2097,0),1.0))),"") </f>
        <v/>
      </c>
      <c r="M2097" s="59">
        <f>IFERROR(IF(OR(J2097=0,K2097=""),"",IF(E2097="Positivo",MAX(K2097/J2097,0),MAX(J2097/K2097,0))),"") </f>
        <v/>
      </c>
      <c r="P2097" t="n">
        <v>0</v>
      </c>
      <c r="Q2097" t="n">
        <v>0</v>
      </c>
      <c r="R2097" t="inlineStr">
        <is>
          <t>417-2024-03-31</t>
        </is>
      </c>
    </row>
    <row r="2098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Trimestral</t>
        </is>
      </c>
      <c r="E2098" t="inlineStr">
        <is>
          <t>Positivo</t>
        </is>
      </c>
      <c r="F2098" s="148" t="n">
        <v>45473</v>
      </c>
      <c r="G2098" t="n">
        <v>2024</v>
      </c>
      <c r="H2098" t="inlineStr">
        <is>
          <t>Junio</t>
        </is>
      </c>
      <c r="I2098" t="inlineStr">
        <is>
          <t>2024-1</t>
        </is>
      </c>
      <c r="J2098" t="n">
        <v>100</v>
      </c>
      <c r="K2098" t="n">
        <v>112.12</v>
      </c>
      <c r="L2098" s="59">
        <f>IFERROR(IF(OR(J2098=0,K2098=""),"",IF(E2098="Positivo",MIN(MAX(K2098/J2098,0),1.0),MIN(MAX(J2098/K2098,0),1.0))),"") </f>
        <v/>
      </c>
      <c r="M2098" s="59">
        <f>IFERROR(IF(OR(J2098=0,K2098=""),"",IF(E2098="Positivo",MAX(K2098/J2098,0),MAX(J2098/K2098,0))),"") </f>
        <v/>
      </c>
      <c r="P2098" t="n">
        <v>0</v>
      </c>
      <c r="Q2098" t="n">
        <v>0</v>
      </c>
      <c r="R2098" t="inlineStr">
        <is>
          <t>417-2024-06-30</t>
        </is>
      </c>
    </row>
    <row r="2099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Trimestral</t>
        </is>
      </c>
      <c r="E2099" t="inlineStr">
        <is>
          <t>Positivo</t>
        </is>
      </c>
      <c r="F2099" s="148" t="n">
        <v>45565</v>
      </c>
      <c r="G2099" t="n">
        <v>2024</v>
      </c>
      <c r="H2099" t="inlineStr">
        <is>
          <t>Septiembre</t>
        </is>
      </c>
      <c r="I2099" t="inlineStr">
        <is>
          <t>2024-2</t>
        </is>
      </c>
      <c r="J2099" t="n">
        <v>100</v>
      </c>
      <c r="K2099" t="n">
        <v>100.19</v>
      </c>
      <c r="L2099" s="59">
        <f>IFERROR(IF(OR(J2099=0,K2099=""),"",IF(E2099="Positivo",MIN(MAX(K2099/J2099,0),1.0),MIN(MAX(J2099/K2099,0),1.0))),"") </f>
        <v/>
      </c>
      <c r="M2099" s="59">
        <f>IFERROR(IF(OR(J2099=0,K2099=""),"",IF(E2099="Positivo",MAX(K2099/J2099,0),MAX(J2099/K2099,0))),"") </f>
        <v/>
      </c>
      <c r="P2099" t="n">
        <v>0</v>
      </c>
      <c r="Q2099" t="n">
        <v>0</v>
      </c>
      <c r="R2099" t="inlineStr">
        <is>
          <t>417-2024-09-30</t>
        </is>
      </c>
    </row>
    <row r="2100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Trimestral</t>
        </is>
      </c>
      <c r="E2100" t="inlineStr">
        <is>
          <t>Positivo</t>
        </is>
      </c>
      <c r="F2100" s="148" t="n">
        <v>45657</v>
      </c>
      <c r="G2100" t="n">
        <v>2024</v>
      </c>
      <c r="H2100" t="inlineStr">
        <is>
          <t>Diciembre</t>
        </is>
      </c>
      <c r="I2100" t="inlineStr">
        <is>
          <t>2024-2</t>
        </is>
      </c>
      <c r="J2100" t="n">
        <v>100</v>
      </c>
      <c r="K2100" t="n">
        <v>98.83</v>
      </c>
      <c r="L2100" s="59">
        <f>IFERROR(IF(OR(J2100=0,K2100=""),"",IF(E2100="Positivo",MIN(MAX(K2100/J2100,0),1.0),MIN(MAX(J2100/K2100,0),1.0))),"") </f>
        <v/>
      </c>
      <c r="M2100" s="59">
        <f>IFERROR(IF(OR(J2100=0,K2100=""),"",IF(E2100="Positivo",MAX(K2100/J2100,0),MAX(J2100/K2100,0))),"") </f>
        <v/>
      </c>
      <c r="P2100" t="n">
        <v>0</v>
      </c>
      <c r="Q2100" t="n">
        <v>0</v>
      </c>
      <c r="R2100" t="inlineStr">
        <is>
          <t>417-2024-12-31</t>
        </is>
      </c>
    </row>
    <row r="210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8" t="n">
        <v>45747</v>
      </c>
      <c r="G2101" t="n">
        <v>2025</v>
      </c>
      <c r="H2101" t="inlineStr">
        <is>
          <t>Marzo</t>
        </is>
      </c>
      <c r="I2101" t="inlineStr">
        <is>
          <t>2025-1</t>
        </is>
      </c>
      <c r="J2101" t="n">
        <v>100</v>
      </c>
      <c r="K2101" t="n">
        <v>93.68000000000001</v>
      </c>
      <c r="L2101" s="59">
        <f>IFERROR(IF(OR(J2101=0,K2101=""),"",IF(E2101="Positivo",MIN(MAX(K2101/J2101,0),1.0),MIN(MAX(J2101/K2101,0),1.0))),"") </f>
        <v/>
      </c>
      <c r="M2101" s="59">
        <f>IFERROR(IF(OR(J2101=0,K2101=""),"",IF(E2101="Positivo",MAX(K2101/J2101,0),MAX(J2101/K2101,0))),"") </f>
        <v/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417-2025-03-31</t>
        </is>
      </c>
    </row>
    <row r="2102">
      <c r="A2102" t="n">
        <v>417</v>
      </c>
      <c r="B2102" t="inlineStr">
        <is>
          <t>Cumplimiento Plan Anual Vicerrectoría Financiera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8" t="n">
        <v>45838</v>
      </c>
      <c r="G2102" t="n">
        <v>2025</v>
      </c>
      <c r="H2102" t="inlineStr">
        <is>
          <t>Junio</t>
        </is>
      </c>
      <c r="I2102" t="inlineStr">
        <is>
          <t>2025-1</t>
        </is>
      </c>
      <c r="J2102" t="n">
        <v>100</v>
      </c>
      <c r="K2102" t="n">
        <v>101.28</v>
      </c>
      <c r="L2102" s="59">
        <f>IFERROR(IF(OR(J2102=0,K2102=""),"",IF(E2102="Positivo",MIN(MAX(K2102/J2102,0),1.0),MIN(MAX(J2102/K2102,0),1.0))),"") </f>
        <v/>
      </c>
      <c r="M2102" s="59">
        <f>IFERROR(IF(OR(J2102=0,K2102=""),"",IF(E2102="Positivo",MAX(K2102/J2102,0),MAX(J2102/K2102,0))),"") </f>
        <v/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417-2025-06-30</t>
        </is>
      </c>
    </row>
    <row r="2103">
      <c r="A2103" t="n">
        <v>417</v>
      </c>
      <c r="B2103" t="inlineStr">
        <is>
          <t>Cumplimiento Plan Anual Vicerrectoría Financiera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48" t="n">
        <v>45930</v>
      </c>
      <c r="G2103" t="n">
        <v>2025</v>
      </c>
      <c r="H2103" t="inlineStr">
        <is>
          <t>Septiembre</t>
        </is>
      </c>
      <c r="I2103" t="inlineStr">
        <is>
          <t>2025-2</t>
        </is>
      </c>
      <c r="J2103" t="n">
        <v>100</v>
      </c>
      <c r="K2103" t="n">
        <v>99.34</v>
      </c>
      <c r="L2103" s="59">
        <f>IFERROR(IF(OR(J2103=0,K2103=""),"",IF(E2103="Positivo",MIN(MAX(K2103/J2103,0),1.0),MIN(MAX(J2103/K2103,0),1.0))),"") </f>
        <v/>
      </c>
      <c r="M2103" s="59">
        <f>IFERROR(IF(OR(J2103=0,K2103=""),"",IF(E2103="Positivo",MAX(K2103/J2103,0),MAX(J2103/K2103,0))),"") </f>
        <v/>
      </c>
      <c r="N2103" t="inlineStr">
        <is>
          <t>%</t>
        </is>
      </c>
      <c r="O2103" t="inlineStr">
        <is>
          <t>%</t>
        </is>
      </c>
      <c r="P2103" t="n">
        <v>0</v>
      </c>
      <c r="Q2103" t="n">
        <v>0</v>
      </c>
      <c r="R2103" t="inlineStr">
        <is>
          <t>417-2025-09-30</t>
        </is>
      </c>
    </row>
    <row r="2104">
      <c r="A2104" t="n">
        <v>417</v>
      </c>
      <c r="B2104" t="inlineStr">
        <is>
          <t>Cumplimiento Plan Anual Vicerrectoría Financiera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48" t="n">
        <v>46022</v>
      </c>
      <c r="G2104" t="n">
        <v>2025</v>
      </c>
      <c r="H2104" t="inlineStr">
        <is>
          <t>Diciembre</t>
        </is>
      </c>
      <c r="I2104" t="inlineStr">
        <is>
          <t>2025-2</t>
        </is>
      </c>
      <c r="J2104" t="n">
        <v>100</v>
      </c>
      <c r="K2104" t="n">
        <v>97.98999999999999</v>
      </c>
      <c r="L2104" s="59">
        <f>IFERROR(IF(OR(J2104=0,K2104=""),"",IF(E2104="Positivo",MIN(MAX(K2104/J2104,0),1.0),MIN(MAX(J2104/K2104,0),1.0))),"") </f>
        <v/>
      </c>
      <c r="M2104" s="59">
        <f>IFERROR(IF(OR(J2104=0,K2104=""),"",IF(E2104="Positivo",MAX(K2104/J2104,0),MAX(J2104/K2104,0))),"") </f>
        <v/>
      </c>
      <c r="N2104" t="inlineStr">
        <is>
          <t>%</t>
        </is>
      </c>
      <c r="O2104" t="inlineStr">
        <is>
          <t>%</t>
        </is>
      </c>
      <c r="P2104" t="n">
        <v>0</v>
      </c>
      <c r="Q2104" t="n">
        <v>0</v>
      </c>
      <c r="R2104" t="inlineStr">
        <is>
          <t>417-2025-12-31</t>
        </is>
      </c>
    </row>
    <row r="2105">
      <c r="A2105" t="n">
        <v>418</v>
      </c>
      <c r="B2105" t="inlineStr">
        <is>
          <t>Cumplimiento Plan Anual Vicerrectoría Académica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48" t="n">
        <v>45016</v>
      </c>
      <c r="G2105" t="n">
        <v>2023</v>
      </c>
      <c r="H2105" t="inlineStr">
        <is>
          <t>Marzo</t>
        </is>
      </c>
      <c r="I2105" t="inlineStr">
        <is>
          <t>2023-1</t>
        </is>
      </c>
      <c r="J2105" t="n">
        <v>100</v>
      </c>
      <c r="K2105" t="n">
        <v>0</v>
      </c>
      <c r="L2105" s="59">
        <f>IFERROR(IF(OR(J2105=0,K2105=""),"",IF(E2105="Positivo",MIN(MAX(K2105/J2105,0),1.0),MIN(MAX(J2105/K2105,0),1.0))),"") </f>
        <v/>
      </c>
      <c r="M2105" s="59">
        <f>IFERROR(IF(OR(J2105=0,K2105=""),"",IF(E2105="Positivo",MAX(K2105/J2105,0),MAX(J2105/K2105,0))),"") </f>
        <v/>
      </c>
      <c r="N2105" t="inlineStr">
        <is>
          <t>%</t>
        </is>
      </c>
      <c r="O2105" t="inlineStr">
        <is>
          <t>%</t>
        </is>
      </c>
      <c r="P2105" t="n">
        <v>0</v>
      </c>
      <c r="Q2105" t="n">
        <v>0</v>
      </c>
      <c r="R2105" t="inlineStr">
        <is>
          <t>418-2023-03-31</t>
        </is>
      </c>
    </row>
    <row r="2106">
      <c r="A2106" t="n">
        <v>418</v>
      </c>
      <c r="B2106" t="inlineStr">
        <is>
          <t>Cumplimiento Plan Anual Vicerrectoría Académica</t>
        </is>
      </c>
      <c r="D2106" t="inlineStr">
        <is>
          <t>Trimestral</t>
        </is>
      </c>
      <c r="E2106" t="inlineStr">
        <is>
          <t>Positivo</t>
        </is>
      </c>
      <c r="F2106" s="148" t="n">
        <v>45107</v>
      </c>
      <c r="G2106" t="n">
        <v>2023</v>
      </c>
      <c r="H2106" t="inlineStr">
        <is>
          <t>Junio</t>
        </is>
      </c>
      <c r="I2106" t="inlineStr">
        <is>
          <t>2023-1</t>
        </is>
      </c>
      <c r="J2106" t="n">
        <v>100</v>
      </c>
      <c r="K2106" t="n">
        <v>104.35666666667</v>
      </c>
      <c r="L2106" s="59">
        <f>IFERROR(IF(OR(J2106=0,K2106=""),"",IF(E2106="Positivo",MIN(MAX(K2106/J2106,0),1.0),MIN(MAX(J2106/K2106,0),1.0))),"") </f>
        <v/>
      </c>
      <c r="M2106" s="59">
        <f>IFERROR(IF(OR(J2106=0,K2106=""),"",IF(E2106="Positivo",MAX(K2106/J2106,0),MAX(J2106/K2106,0))),"") </f>
        <v/>
      </c>
      <c r="P2106" t="n">
        <v>0</v>
      </c>
      <c r="Q2106" t="n">
        <v>0</v>
      </c>
      <c r="R2106" t="inlineStr">
        <is>
          <t>418-2023-06-30</t>
        </is>
      </c>
    </row>
    <row r="2107">
      <c r="A2107" t="n">
        <v>418</v>
      </c>
      <c r="B2107" t="inlineStr">
        <is>
          <t>Cumplimiento Plan Anual Vicerrectoría Académica</t>
        </is>
      </c>
      <c r="D2107" t="inlineStr">
        <is>
          <t>Trimestral</t>
        </is>
      </c>
      <c r="E2107" t="inlineStr">
        <is>
          <t>Positivo</t>
        </is>
      </c>
      <c r="F2107" s="148" t="n">
        <v>45199</v>
      </c>
      <c r="G2107" t="n">
        <v>2023</v>
      </c>
      <c r="H2107" t="inlineStr">
        <is>
          <t>Septiembre</t>
        </is>
      </c>
      <c r="I2107" t="inlineStr">
        <is>
          <t>2023-2</t>
        </is>
      </c>
      <c r="J2107" t="n">
        <v>100</v>
      </c>
      <c r="K2107" t="n">
        <v>85.611111111111</v>
      </c>
      <c r="L2107" s="59">
        <f>IFERROR(IF(OR(J2107=0,K2107=""),"",IF(E2107="Positivo",MIN(MAX(K2107/J2107,0),1.0),MIN(MAX(J2107/K2107,0),1.0))),"") </f>
        <v/>
      </c>
      <c r="M2107" s="59">
        <f>IFERROR(IF(OR(J2107=0,K2107=""),"",IF(E2107="Positivo",MAX(K2107/J2107,0),MAX(J2107/K2107,0))),"") </f>
        <v/>
      </c>
      <c r="P2107" t="n">
        <v>0</v>
      </c>
      <c r="Q2107" t="n">
        <v>0</v>
      </c>
      <c r="R2107" t="inlineStr">
        <is>
          <t>418-2023-09-30</t>
        </is>
      </c>
    </row>
    <row r="2108">
      <c r="A2108" t="n">
        <v>418</v>
      </c>
      <c r="B2108" t="inlineStr">
        <is>
          <t>Cumplimiento Plan Anual Vicerrectoría Académica</t>
        </is>
      </c>
      <c r="D2108" t="inlineStr">
        <is>
          <t>Trimestral</t>
        </is>
      </c>
      <c r="E2108" t="inlineStr">
        <is>
          <t>Positivo</t>
        </is>
      </c>
      <c r="F2108" s="148" t="n">
        <v>45291</v>
      </c>
      <c r="G2108" t="n">
        <v>2023</v>
      </c>
      <c r="H2108" t="inlineStr">
        <is>
          <t>Diciembre</t>
        </is>
      </c>
      <c r="I2108" t="inlineStr">
        <is>
          <t>2023-2</t>
        </is>
      </c>
      <c r="J2108" t="n">
        <v>100</v>
      </c>
      <c r="K2108" t="n">
        <v>95.802222222222</v>
      </c>
      <c r="L2108" s="59">
        <f>IFERROR(IF(OR(J2108=0,K2108=""),"",IF(E2108="Positivo",MIN(MAX(K2108/J2108,0),1.0),MIN(MAX(J2108/K2108,0),1.0))),"") </f>
        <v/>
      </c>
      <c r="M2108" s="59">
        <f>IFERROR(IF(OR(J2108=0,K2108=""),"",IF(E2108="Positivo",MAX(K2108/J2108,0),MAX(J2108/K2108,0))),"") </f>
        <v/>
      </c>
      <c r="P2108" t="n">
        <v>0</v>
      </c>
      <c r="Q2108" t="n">
        <v>0</v>
      </c>
      <c r="R2108" t="inlineStr">
        <is>
          <t>418-2023-12-31</t>
        </is>
      </c>
    </row>
    <row r="2109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48" t="n">
        <v>45382</v>
      </c>
      <c r="G2109" t="n">
        <v>2024</v>
      </c>
      <c r="H2109" t="inlineStr">
        <is>
          <t>Marzo</t>
        </is>
      </c>
      <c r="I2109" t="inlineStr">
        <is>
          <t>2024-1</t>
        </is>
      </c>
      <c r="J2109" t="n">
        <v>100</v>
      </c>
      <c r="K2109" t="n">
        <v>105.5</v>
      </c>
      <c r="L2109" s="59">
        <f>IFERROR(IF(OR(J2109=0,K2109=""),"",IF(E2109="Positivo",MIN(MAX(K2109/J2109,0),1.0),MIN(MAX(J2109/K2109,0),1.0))),"") </f>
        <v/>
      </c>
      <c r="M2109" s="59">
        <f>IFERROR(IF(OR(J2109=0,K2109=""),"",IF(E2109="Positivo",MAX(K2109/J2109,0),MAX(J2109/K2109,0))),"") </f>
        <v/>
      </c>
      <c r="P2109" t="n">
        <v>0</v>
      </c>
      <c r="Q2109" t="n">
        <v>0</v>
      </c>
      <c r="R2109" t="inlineStr">
        <is>
          <t>418-2024-03-31</t>
        </is>
      </c>
    </row>
    <row r="2110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Trimestral</t>
        </is>
      </c>
      <c r="E2110" t="inlineStr">
        <is>
          <t>Positivo</t>
        </is>
      </c>
      <c r="F2110" s="148" t="n">
        <v>45473</v>
      </c>
      <c r="G2110" t="n">
        <v>2024</v>
      </c>
      <c r="H2110" t="inlineStr">
        <is>
          <t>Junio</t>
        </is>
      </c>
      <c r="I2110" t="inlineStr">
        <is>
          <t>2024-1</t>
        </is>
      </c>
      <c r="J2110" t="n">
        <v>100</v>
      </c>
      <c r="K2110" t="n">
        <v>100.79</v>
      </c>
      <c r="L2110" s="59">
        <f>IFERROR(IF(OR(J2110=0,K2110=""),"",IF(E2110="Positivo",MIN(MAX(K2110/J2110,0),1.0),MIN(MAX(J2110/K2110,0),1.0))),"") </f>
        <v/>
      </c>
      <c r="M2110" s="59">
        <f>IFERROR(IF(OR(J2110=0,K2110=""),"",IF(E2110="Positivo",MAX(K2110/J2110,0),MAX(J2110/K2110,0))),"") </f>
        <v/>
      </c>
      <c r="P2110" t="n">
        <v>0</v>
      </c>
      <c r="Q2110" t="n">
        <v>0</v>
      </c>
      <c r="R2110" t="inlineStr">
        <is>
          <t>418-2024-06-30</t>
        </is>
      </c>
    </row>
    <row r="211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Trimestral</t>
        </is>
      </c>
      <c r="E2111" t="inlineStr">
        <is>
          <t>Positivo</t>
        </is>
      </c>
      <c r="F2111" s="148" t="n">
        <v>45565</v>
      </c>
      <c r="G2111" t="n">
        <v>2024</v>
      </c>
      <c r="H2111" t="inlineStr">
        <is>
          <t>Septiembre</t>
        </is>
      </c>
      <c r="I2111" t="inlineStr">
        <is>
          <t>2024-2</t>
        </is>
      </c>
      <c r="J2111" t="n">
        <v>100</v>
      </c>
      <c r="K2111" t="n">
        <v>97.2</v>
      </c>
      <c r="L2111" s="59">
        <f>IFERROR(IF(OR(J2111=0,K2111=""),"",IF(E2111="Positivo",MIN(MAX(K2111/J2111,0),1.0),MIN(MAX(J2111/K2111,0),1.0))),"") </f>
        <v/>
      </c>
      <c r="M2111" s="59">
        <f>IFERROR(IF(OR(J2111=0,K2111=""),"",IF(E2111="Positivo",MAX(K2111/J2111,0),MAX(J2111/K2111,0))),"") </f>
        <v/>
      </c>
      <c r="P2111" t="n">
        <v>0</v>
      </c>
      <c r="Q2111" t="n">
        <v>0</v>
      </c>
      <c r="R2111" t="inlineStr">
        <is>
          <t>418-2024-09-30</t>
        </is>
      </c>
    </row>
    <row r="2112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Trimestral</t>
        </is>
      </c>
      <c r="E2112" t="inlineStr">
        <is>
          <t>Positivo</t>
        </is>
      </c>
      <c r="F2112" s="148" t="n">
        <v>45657</v>
      </c>
      <c r="G2112" t="n">
        <v>2024</v>
      </c>
      <c r="H2112" t="inlineStr">
        <is>
          <t>Diciembre</t>
        </is>
      </c>
      <c r="I2112" t="inlineStr">
        <is>
          <t>2024-2</t>
        </is>
      </c>
      <c r="J2112" t="n">
        <v>100</v>
      </c>
      <c r="K2112" t="n">
        <v>97.78</v>
      </c>
      <c r="L2112" s="59">
        <f>IFERROR(IF(OR(J2112=0,K2112=""),"",IF(E2112="Positivo",MIN(MAX(K2112/J2112,0),1.0),MIN(MAX(J2112/K2112,0),1.0))),"") </f>
        <v/>
      </c>
      <c r="M2112" s="59">
        <f>IFERROR(IF(OR(J2112=0,K2112=""),"",IF(E2112="Positivo",MAX(K2112/J2112,0),MAX(J2112/K2112,0))),"") </f>
        <v/>
      </c>
      <c r="P2112" t="n">
        <v>0</v>
      </c>
      <c r="Q2112" t="n">
        <v>0</v>
      </c>
      <c r="R2112" t="inlineStr">
        <is>
          <t>418-2024-12-31</t>
        </is>
      </c>
    </row>
    <row r="2113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8" t="n">
        <v>45747</v>
      </c>
      <c r="G2113" t="n">
        <v>2025</v>
      </c>
      <c r="H2113" t="inlineStr">
        <is>
          <t>Marzo</t>
        </is>
      </c>
      <c r="I2113" t="inlineStr">
        <is>
          <t>2025-1</t>
        </is>
      </c>
      <c r="J2113" t="n">
        <v>100</v>
      </c>
      <c r="K2113" t="n">
        <v>246.7</v>
      </c>
      <c r="L2113" s="59">
        <f>IFERROR(IF(OR(J2113=0,K2113=""),"",IF(E2113="Positivo",MIN(MAX(K2113/J2113,0),1.0),MIN(MAX(J2113/K2113,0),1.0))),"") </f>
        <v/>
      </c>
      <c r="M2113" s="59">
        <f>IFERROR(IF(OR(J2113=0,K2113=""),"",IF(E2113="Positivo",MAX(K2113/J2113,0),MAX(J2113/K2113,0))),"") </f>
        <v/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418-2025-03-31</t>
        </is>
      </c>
    </row>
    <row r="2114">
      <c r="A2114" t="n">
        <v>418</v>
      </c>
      <c r="B2114" t="inlineStr">
        <is>
          <t>Cumplimiento Plan Anual Vicerrectoría Académica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48" t="n">
        <v>45838</v>
      </c>
      <c r="G2114" t="n">
        <v>2025</v>
      </c>
      <c r="H2114" t="inlineStr">
        <is>
          <t>Junio</t>
        </is>
      </c>
      <c r="I2114" t="inlineStr">
        <is>
          <t>2025-1</t>
        </is>
      </c>
      <c r="J2114" t="n">
        <v>100</v>
      </c>
      <c r="K2114" t="n">
        <v>105.83</v>
      </c>
      <c r="L2114" s="59">
        <f>IFERROR(IF(OR(J2114=0,K2114=""),"",IF(E2114="Positivo",MIN(MAX(K2114/J2114,0),1.0),MIN(MAX(J2114/K2114,0),1.0))),"") </f>
        <v/>
      </c>
      <c r="M2114" s="59">
        <f>IFERROR(IF(OR(J2114=0,K2114=""),"",IF(E2114="Positivo",MAX(K2114/J2114,0),MAX(J2114/K2114,0))),"") </f>
        <v/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418-2025-06-30</t>
        </is>
      </c>
    </row>
    <row r="2115">
      <c r="A2115" t="n">
        <v>418</v>
      </c>
      <c r="B2115" t="inlineStr">
        <is>
          <t>Cumplimiento Plan Anual Vicerrectoría Académica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48" t="n">
        <v>45930</v>
      </c>
      <c r="G2115" t="n">
        <v>2025</v>
      </c>
      <c r="H2115" t="inlineStr">
        <is>
          <t>Septiembre</t>
        </is>
      </c>
      <c r="I2115" t="inlineStr">
        <is>
          <t>2025-2</t>
        </is>
      </c>
      <c r="J2115" t="n">
        <v>100</v>
      </c>
      <c r="K2115" t="n">
        <v>93.95999999999999</v>
      </c>
      <c r="L2115" s="59">
        <f>IFERROR(IF(OR(J2115=0,K2115=""),"",IF(E2115="Positivo",MIN(MAX(K2115/J2115,0),1.0),MIN(MAX(J2115/K2115,0),1.0))),"") </f>
        <v/>
      </c>
      <c r="M2115" s="59">
        <f>IFERROR(IF(OR(J2115=0,K2115=""),"",IF(E2115="Positivo",MAX(K2115/J2115,0),MAX(J2115/K2115,0))),"") </f>
        <v/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418-2025-09-30</t>
        </is>
      </c>
    </row>
    <row r="2116">
      <c r="A2116" t="n">
        <v>418</v>
      </c>
      <c r="B2116" t="inlineStr">
        <is>
          <t>Cumplimiento Plan Anual Vicerrectoría Académica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48" t="n">
        <v>46022</v>
      </c>
      <c r="G2116" t="n">
        <v>2025</v>
      </c>
      <c r="H2116" t="inlineStr">
        <is>
          <t>Diciembre</t>
        </is>
      </c>
      <c r="I2116" t="inlineStr">
        <is>
          <t>2025-2</t>
        </is>
      </c>
      <c r="J2116" t="n">
        <v>100</v>
      </c>
      <c r="K2116" t="n">
        <v>99.61</v>
      </c>
      <c r="L2116" s="59">
        <f>IFERROR(IF(OR(J2116=0,K2116=""),"",IF(E2116="Positivo",MIN(MAX(K2116/J2116,0),1.0),MIN(MAX(J2116/K2116,0),1.0))),"") </f>
        <v/>
      </c>
      <c r="M2116" s="59">
        <f>IFERROR(IF(OR(J2116=0,K2116=""),"",IF(E2116="Positivo",MAX(K2116/J2116,0),MAX(J2116/K2116,0))),"") </f>
        <v/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418-2025-12-31</t>
        </is>
      </c>
    </row>
    <row r="2117">
      <c r="A2117" t="n">
        <v>419</v>
      </c>
      <c r="B2117" t="inlineStr">
        <is>
          <t>Cumplimiento Plan Anual Áreas sede Medellín</t>
        </is>
      </c>
      <c r="D2117" t="inlineStr">
        <is>
          <t>Trimestral</t>
        </is>
      </c>
      <c r="E2117" t="inlineStr">
        <is>
          <t>Positivo</t>
        </is>
      </c>
      <c r="F2117" s="148" t="n">
        <v>45107</v>
      </c>
      <c r="G2117" t="n">
        <v>2023</v>
      </c>
      <c r="H2117" t="inlineStr">
        <is>
          <t>Junio</t>
        </is>
      </c>
      <c r="I2117" t="inlineStr">
        <is>
          <t>2023-1</t>
        </is>
      </c>
      <c r="J2117" t="n">
        <v>100</v>
      </c>
      <c r="K2117" t="n">
        <v>108.3</v>
      </c>
      <c r="L2117" s="59">
        <f>IFERROR(IF(OR(J2117=0,K2117=""),"",IF(E2117="Positivo",MIN(MAX(K2117/J2117,0),1.3),MIN(MAX(J2117/K2117,0),1.3))),"") </f>
        <v/>
      </c>
      <c r="M2117" s="59">
        <f>IFERROR(IF(OR(J2117=0,K2117=""),"",IF(E2117="Positivo",MAX(K2117/J2117,0),MAX(J2117/K2117,0))),"") </f>
        <v/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419-2023-06-30</t>
        </is>
      </c>
    </row>
    <row r="2118">
      <c r="A2118" t="n">
        <v>419</v>
      </c>
      <c r="B2118" t="inlineStr">
        <is>
          <t>Cumplimiento Plan Anual Áreas sede Medellín</t>
        </is>
      </c>
      <c r="D2118" t="inlineStr">
        <is>
          <t>Trimestral</t>
        </is>
      </c>
      <c r="E2118" t="inlineStr">
        <is>
          <t>Positivo</t>
        </is>
      </c>
      <c r="F2118" s="148" t="n">
        <v>45199</v>
      </c>
      <c r="G2118" t="n">
        <v>2023</v>
      </c>
      <c r="H2118" t="inlineStr">
        <is>
          <t>Septiembre</t>
        </is>
      </c>
      <c r="I2118" t="inlineStr">
        <is>
          <t>2023-2</t>
        </is>
      </c>
      <c r="J2118" t="n">
        <v>100</v>
      </c>
      <c r="K2118" t="n">
        <v>88.34999999999999</v>
      </c>
      <c r="L2118" s="59">
        <f>IFERROR(IF(OR(J2118=0,K2118=""),"",IF(E2118="Positivo",MIN(MAX(K2118/J2118,0),1.3),MIN(MAX(J2118/K2118,0),1.3))),"") </f>
        <v/>
      </c>
      <c r="M2118" s="59">
        <f>IFERROR(IF(OR(J2118=0,K2118=""),"",IF(E2118="Positivo",MAX(K2118/J2118,0),MAX(J2118/K2118,0))),"") </f>
        <v/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419-2023-09-30</t>
        </is>
      </c>
    </row>
    <row r="2119">
      <c r="A2119" t="n">
        <v>419</v>
      </c>
      <c r="B2119" t="inlineStr">
        <is>
          <t>Cumplimiento Plan Anual Áreas sede Medellín</t>
        </is>
      </c>
      <c r="D2119" t="inlineStr">
        <is>
          <t>Trimestral</t>
        </is>
      </c>
      <c r="E2119" t="inlineStr">
        <is>
          <t>Positivo</t>
        </is>
      </c>
      <c r="F2119" s="148" t="n">
        <v>45291</v>
      </c>
      <c r="G2119" t="n">
        <v>2023</v>
      </c>
      <c r="H2119" t="inlineStr">
        <is>
          <t>Diciembre</t>
        </is>
      </c>
      <c r="I2119" t="inlineStr">
        <is>
          <t>2023-2</t>
        </is>
      </c>
      <c r="J2119" t="n">
        <v>100</v>
      </c>
      <c r="K2119" t="n">
        <v>93.56</v>
      </c>
      <c r="L2119" s="59">
        <f>IFERROR(IF(OR(J2119=0,K2119=""),"",IF(E2119="Positivo",MIN(MAX(K2119/J2119,0),1.3),MIN(MAX(J2119/K2119,0),1.3))),"") </f>
        <v/>
      </c>
      <c r="M2119" s="59">
        <f>IFERROR(IF(OR(J2119=0,K2119=""),"",IF(E2119="Positivo",MAX(K2119/J2119,0),MAX(J2119/K2119,0))),"") </f>
        <v/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419-2023-12-31</t>
        </is>
      </c>
    </row>
    <row r="2120">
      <c r="A2120" t="n">
        <v>420</v>
      </c>
      <c r="B2120" t="inlineStr">
        <is>
          <t>Cumplimiento Plan Anual Gerencia de estrategia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48" t="n">
        <v>45016</v>
      </c>
      <c r="G2120" t="n">
        <v>2023</v>
      </c>
      <c r="H2120" t="inlineStr">
        <is>
          <t>Marzo</t>
        </is>
      </c>
      <c r="I2120" t="inlineStr">
        <is>
          <t>2023-1</t>
        </is>
      </c>
      <c r="J2120" t="n">
        <v>100</v>
      </c>
      <c r="K2120" t="n">
        <v>0</v>
      </c>
      <c r="L2120" s="59">
        <f>IFERROR(IF(OR(J2120=0,K2120=""),"",IF(E2120="Positivo",MIN(MAX(K2120/J2120,0),1.0),MIN(MAX(J2120/K2120,0),1.0))),"") </f>
        <v/>
      </c>
      <c r="M2120" s="59">
        <f>IFERROR(IF(OR(J2120=0,K2120=""),"",IF(E2120="Positivo",MAX(K2120/J2120,0),MAX(J2120/K2120,0))),"") </f>
        <v/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420-2023-03-31</t>
        </is>
      </c>
    </row>
    <row r="2121">
      <c r="A2121" t="n">
        <v>420</v>
      </c>
      <c r="B2121" t="inlineStr">
        <is>
          <t>Cumplimiento Plan Anual Gerencia de estrategia</t>
        </is>
      </c>
      <c r="D2121" t="inlineStr">
        <is>
          <t>Trimestral</t>
        </is>
      </c>
      <c r="E2121" t="inlineStr">
        <is>
          <t>Positivo</t>
        </is>
      </c>
      <c r="F2121" s="148" t="n">
        <v>45107</v>
      </c>
      <c r="G2121" t="n">
        <v>2023</v>
      </c>
      <c r="H2121" t="inlineStr">
        <is>
          <t>Junio</t>
        </is>
      </c>
      <c r="I2121" t="inlineStr">
        <is>
          <t>2023-1</t>
        </is>
      </c>
      <c r="J2121" t="n">
        <v>100</v>
      </c>
      <c r="K2121" t="n">
        <v>106.53</v>
      </c>
      <c r="L2121" s="59">
        <f>IFERROR(IF(OR(J2121=0,K2121=""),"",IF(E2121="Positivo",MIN(MAX(K2121/J2121,0),1.0),MIN(MAX(J2121/K2121,0),1.0))),"") </f>
        <v/>
      </c>
      <c r="M2121" s="59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420-2023-06-30</t>
        </is>
      </c>
    </row>
    <row r="2122">
      <c r="A2122" t="n">
        <v>420</v>
      </c>
      <c r="B2122" t="inlineStr">
        <is>
          <t>Cumplimiento Plan Anual Gerencia de estrategia</t>
        </is>
      </c>
      <c r="D2122" t="inlineStr">
        <is>
          <t>Trimestral</t>
        </is>
      </c>
      <c r="E2122" t="inlineStr">
        <is>
          <t>Positivo</t>
        </is>
      </c>
      <c r="F2122" s="148" t="n">
        <v>45199</v>
      </c>
      <c r="G2122" t="n">
        <v>2023</v>
      </c>
      <c r="H2122" t="inlineStr">
        <is>
          <t>Septiembre</t>
        </is>
      </c>
      <c r="I2122" t="inlineStr">
        <is>
          <t>2023-2</t>
        </is>
      </c>
      <c r="J2122" t="n">
        <v>100</v>
      </c>
      <c r="K2122" t="n">
        <v>94.69</v>
      </c>
      <c r="L2122" s="59">
        <f>IFERROR(IF(OR(J2122=0,K2122=""),"",IF(E2122="Positivo",MIN(MAX(K2122/J2122,0),1.0),MIN(MAX(J2122/K2122,0),1.0))),"") </f>
        <v/>
      </c>
      <c r="M2122" s="59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420-2023-09-30</t>
        </is>
      </c>
    </row>
    <row r="2123">
      <c r="A2123" t="n">
        <v>420</v>
      </c>
      <c r="B2123" t="inlineStr">
        <is>
          <t>Cumplimiento Plan Anual Gerencia de estrategia</t>
        </is>
      </c>
      <c r="D2123" t="inlineStr">
        <is>
          <t>Trimestral</t>
        </is>
      </c>
      <c r="E2123" t="inlineStr">
        <is>
          <t>Positivo</t>
        </is>
      </c>
      <c r="F2123" s="148" t="n">
        <v>45291</v>
      </c>
      <c r="G2123" t="n">
        <v>2023</v>
      </c>
      <c r="H2123" t="inlineStr">
        <is>
          <t>Diciembre</t>
        </is>
      </c>
      <c r="I2123" t="inlineStr">
        <is>
          <t>2023-2</t>
        </is>
      </c>
      <c r="J2123" t="n">
        <v>100</v>
      </c>
      <c r="K2123" t="n">
        <v>100</v>
      </c>
      <c r="L2123" s="59">
        <f>IFERROR(IF(OR(J2123=0,K2123=""),"",IF(E2123="Positivo",MIN(MAX(K2123/J2123,0),1.0),MIN(MAX(J2123/K2123,0),1.0))),"") </f>
        <v/>
      </c>
      <c r="M2123" s="59">
        <f>IFERROR(IF(OR(J2123=0,K2123=""),"",IF(E2123="Positivo",MAX(K2123/J2123,0),MAX(J2123/K2123,0))),"") </f>
        <v/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420-2023-12-31</t>
        </is>
      </c>
    </row>
    <row r="2124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Trimestral</t>
        </is>
      </c>
      <c r="E2124" t="inlineStr">
        <is>
          <t>Positivo</t>
        </is>
      </c>
      <c r="F2124" s="148" t="n">
        <v>45473</v>
      </c>
      <c r="G2124" t="n">
        <v>2024</v>
      </c>
      <c r="H2124" t="inlineStr">
        <is>
          <t>Junio</t>
        </is>
      </c>
      <c r="I2124" t="inlineStr">
        <is>
          <t>2024-1</t>
        </is>
      </c>
      <c r="J2124" t="n">
        <v>100</v>
      </c>
      <c r="K2124" t="n">
        <v>89.33</v>
      </c>
      <c r="L2124" s="59">
        <f>IFERROR(IF(OR(J2124=0,K2124=""),"",IF(E2124="Positivo",MIN(MAX(K2124/J2124,0),1.0),MIN(MAX(J2124/K2124,0),1.0))),"") </f>
        <v/>
      </c>
      <c r="M2124" s="59">
        <f>IFERROR(IF(OR(J2124=0,K2124=""),"",IF(E2124="Positivo",MAX(K2124/J2124,0),MAX(J2124/K2124,0))),"") </f>
        <v/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420-2024-06-30</t>
        </is>
      </c>
    </row>
    <row r="2125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Trimestral</t>
        </is>
      </c>
      <c r="E2125" t="inlineStr">
        <is>
          <t>Positivo</t>
        </is>
      </c>
      <c r="F2125" s="148" t="n">
        <v>45565</v>
      </c>
      <c r="G2125" t="n">
        <v>2024</v>
      </c>
      <c r="H2125" t="inlineStr">
        <is>
          <t>Septiembre</t>
        </is>
      </c>
      <c r="I2125" t="inlineStr">
        <is>
          <t>2024-2</t>
        </is>
      </c>
      <c r="J2125" t="n">
        <v>100</v>
      </c>
      <c r="K2125" t="n">
        <v>102.36</v>
      </c>
      <c r="L2125" s="59">
        <f>IFERROR(IF(OR(J2125=0,K2125=""),"",IF(E2125="Positivo",MIN(MAX(K2125/J2125,0),1.0),MIN(MAX(J2125/K2125,0),1.0))),"") </f>
        <v/>
      </c>
      <c r="M2125" s="59">
        <f>IFERROR(IF(OR(J2125=0,K2125=""),"",IF(E2125="Positivo",MAX(K2125/J2125,0),MAX(J2125/K2125,0))),"") </f>
        <v/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420-2024-09-30</t>
        </is>
      </c>
    </row>
    <row r="2126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Trimestral</t>
        </is>
      </c>
      <c r="E2126" t="inlineStr">
        <is>
          <t>Positivo</t>
        </is>
      </c>
      <c r="F2126" s="148" t="n">
        <v>45657</v>
      </c>
      <c r="G2126" t="n">
        <v>2024</v>
      </c>
      <c r="H2126" t="inlineStr">
        <is>
          <t>Diciembre</t>
        </is>
      </c>
      <c r="I2126" t="inlineStr">
        <is>
          <t>2024-2</t>
        </is>
      </c>
      <c r="J2126" t="n">
        <v>100</v>
      </c>
      <c r="K2126" t="n">
        <v>96.67</v>
      </c>
      <c r="L2126" s="59">
        <f>IFERROR(IF(OR(J2126=0,K2126=""),"",IF(E2126="Positivo",MIN(MAX(K2126/J2126,0),1.0),MIN(MAX(J2126/K2126,0),1.0))),"") </f>
        <v/>
      </c>
      <c r="M2126" s="59">
        <f>IFERROR(IF(OR(J2126=0,K2126=""),"",IF(E2126="Positivo",MAX(K2126/J2126,0),MAX(J2126/K2126,0))),"") </f>
        <v/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420-2024-12-31</t>
        </is>
      </c>
    </row>
    <row r="2127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8" t="n">
        <v>45747</v>
      </c>
      <c r="G2127" t="n">
        <v>2025</v>
      </c>
      <c r="H2127" t="inlineStr">
        <is>
          <t>Marzo</t>
        </is>
      </c>
      <c r="I2127" t="inlineStr">
        <is>
          <t>2025-1</t>
        </is>
      </c>
      <c r="J2127" t="n">
        <v>100</v>
      </c>
      <c r="K2127" t="n">
        <v>122.2</v>
      </c>
      <c r="L2127" s="59">
        <f>IFERROR(IF(OR(J2127=0,K2127=""),"",IF(E2127="Positivo",MIN(MAX(K2127/J2127,0),1.0),MIN(MAX(J2127/K2127,0),1.0))),"") </f>
        <v/>
      </c>
      <c r="M2127" s="59">
        <f>IFERROR(IF(OR(J2127=0,K2127=""),"",IF(E2127="Positivo",MAX(K2127/J2127,0),MAX(J2127/K2127,0))),"") </f>
        <v/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420-2025-03-31</t>
        </is>
      </c>
    </row>
    <row r="2128">
      <c r="A2128" t="n">
        <v>420</v>
      </c>
      <c r="B2128" t="inlineStr">
        <is>
          <t>Cumplimiento Plan Anual Gerencia de estrategia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48" t="n">
        <v>45838</v>
      </c>
      <c r="G2128" t="n">
        <v>2025</v>
      </c>
      <c r="H2128" t="inlineStr">
        <is>
          <t>Junio</t>
        </is>
      </c>
      <c r="I2128" t="inlineStr">
        <is>
          <t>2025-1</t>
        </is>
      </c>
      <c r="J2128" t="n">
        <v>100</v>
      </c>
      <c r="K2128" t="n">
        <v>108.52</v>
      </c>
      <c r="L2128" s="59">
        <f>IFERROR(IF(OR(J2128=0,K2128=""),"",IF(E2128="Positivo",MIN(MAX(K2128/J2128,0),1.0),MIN(MAX(J2128/K2128,0),1.0))),"") </f>
        <v/>
      </c>
      <c r="M2128" s="59">
        <f>IFERROR(IF(OR(J2128=0,K2128=""),"",IF(E2128="Positivo",MAX(K2128/J2128,0),MAX(J2128/K2128,0))),"") </f>
        <v/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420-2025-06-30</t>
        </is>
      </c>
    </row>
    <row r="2129">
      <c r="A2129" t="n">
        <v>420</v>
      </c>
      <c r="B2129" t="inlineStr">
        <is>
          <t>Cumplimiento Plan Anual Gerencia de estrategia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48" t="n">
        <v>45930</v>
      </c>
      <c r="G2129" t="n">
        <v>2025</v>
      </c>
      <c r="H2129" t="inlineStr">
        <is>
          <t>Septiembre</t>
        </is>
      </c>
      <c r="I2129" t="inlineStr">
        <is>
          <t>2025-2</t>
        </is>
      </c>
      <c r="J2129" t="n">
        <v>100</v>
      </c>
      <c r="K2129" t="n">
        <v>100.3</v>
      </c>
      <c r="L2129" s="59">
        <f>IFERROR(IF(OR(J2129=0,K2129=""),"",IF(E2129="Positivo",MIN(MAX(K2129/J2129,0),1.0),MIN(MAX(J2129/K2129,0),1.0))),"") </f>
        <v/>
      </c>
      <c r="M2129" s="59">
        <f>IFERROR(IF(OR(J2129=0,K2129=""),"",IF(E2129="Positivo",MAX(K2129/J2129,0),MAX(J2129/K2129,0))),"") </f>
        <v/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420-2025-09-30</t>
        </is>
      </c>
    </row>
    <row r="2130">
      <c r="A2130" t="n">
        <v>420</v>
      </c>
      <c r="B2130" t="inlineStr">
        <is>
          <t>Cumplimiento Plan Anual Gerencia de estrategia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48" t="n">
        <v>46022</v>
      </c>
      <c r="G2130" t="n">
        <v>2025</v>
      </c>
      <c r="H2130" t="inlineStr">
        <is>
          <t>Diciembre</t>
        </is>
      </c>
      <c r="I2130" t="inlineStr">
        <is>
          <t>2025-2</t>
        </is>
      </c>
      <c r="J2130" t="n">
        <v>100</v>
      </c>
      <c r="K2130" t="n">
        <v>100</v>
      </c>
      <c r="L2130" s="59">
        <f>IFERROR(IF(OR(J2130=0,K2130=""),"",IF(E2130="Positivo",MIN(MAX(K2130/J2130,0),1.0),MIN(MAX(J2130/K2130,0),1.0))),"") </f>
        <v/>
      </c>
      <c r="M2130" s="59">
        <f>IFERROR(IF(OR(J2130=0,K2130=""),"",IF(E2130="Positivo",MAX(K2130/J2130,0),MAX(J2130/K2130,0))),"") </f>
        <v/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420-2025-12-31</t>
        </is>
      </c>
    </row>
    <row r="213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48" t="n">
        <v>45107</v>
      </c>
      <c r="G2131" t="n">
        <v>2023</v>
      </c>
      <c r="H2131" t="inlineStr">
        <is>
          <t>Junio</t>
        </is>
      </c>
      <c r="I2131" t="inlineStr">
        <is>
          <t>2023-1</t>
        </is>
      </c>
      <c r="J2131" t="n">
        <v>104072</v>
      </c>
      <c r="K2131" t="n">
        <v>140002</v>
      </c>
      <c r="L2131" s="59">
        <f>IFERROR(IF(OR(J2131=0,K2131=""),"",IF(E2131="Positivo",MIN(MAX(K2131/J2131,0),1.3),MIN(MAX(J2131/K2131,0),1.3))),"") </f>
        <v/>
      </c>
      <c r="M2131" s="59">
        <f>IFERROR(IF(OR(J2131=0,K2131=""),"",IF(E2131="Positivo",MAX(K2131/J2131,0),MAX(J2131/K2131,0))),"") </f>
        <v/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421-2023-06-30</t>
        </is>
      </c>
    </row>
    <row r="2132">
      <c r="A2132" t="n">
        <v>421</v>
      </c>
      <c r="B2132" t="inlineStr">
        <is>
          <t>Total Leads por canales de captación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48" t="n">
        <v>45291</v>
      </c>
      <c r="G2132" t="n">
        <v>2023</v>
      </c>
      <c r="H2132" t="inlineStr">
        <is>
          <t>Diciembre</t>
        </is>
      </c>
      <c r="I2132" t="inlineStr">
        <is>
          <t>2023-2</t>
        </is>
      </c>
      <c r="J2132" t="n">
        <v>97200</v>
      </c>
      <c r="K2132" t="n">
        <v>136199</v>
      </c>
      <c r="L2132" s="59">
        <f>IFERROR(IF(OR(J2132=0,K2132=""),"",IF(E2132="Positivo",MIN(MAX(K2132/J2132,0),1.3),MIN(MAX(J2132/K2132,0),1.3))),"") </f>
        <v/>
      </c>
      <c r="M2132" s="59">
        <f>IFERROR(IF(OR(J2132=0,K2132=""),"",IF(E2132="Positivo",MAX(K2132/J2132,0),MAX(J2132/K2132,0))),"") </f>
        <v/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421-2023-12-31</t>
        </is>
      </c>
    </row>
    <row r="2133">
      <c r="A2133" t="n">
        <v>421</v>
      </c>
      <c r="B2133" t="inlineStr">
        <is>
          <t>Total Leads por canales de captación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48" t="n">
        <v>45473</v>
      </c>
      <c r="G2133" t="n">
        <v>2024</v>
      </c>
      <c r="H2133" t="inlineStr">
        <is>
          <t>Junio</t>
        </is>
      </c>
      <c r="I2133" t="inlineStr">
        <is>
          <t>2024-1</t>
        </is>
      </c>
      <c r="J2133" t="n">
        <v>147043</v>
      </c>
      <c r="K2133" t="n">
        <v>177740</v>
      </c>
      <c r="L2133" s="59">
        <f>IFERROR(IF(OR(J2133=0,K2133=""),"",IF(E2133="Positivo",MIN(MAX(K2133/J2133,0),1.3),MIN(MAX(J2133/K2133,0),1.3))),"") </f>
        <v/>
      </c>
      <c r="M2133" s="59">
        <f>IFERROR(IF(OR(J2133=0,K2133=""),"",IF(E2133="Positivo",MAX(K2133/J2133,0),MAX(J2133/K2133,0))),"") </f>
        <v/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421-2024-06-30</t>
        </is>
      </c>
    </row>
    <row r="2134">
      <c r="A2134" t="n">
        <v>421</v>
      </c>
      <c r="B2134" t="inlineStr">
        <is>
          <t>Total Leads por canales de captación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48" t="n">
        <v>45657</v>
      </c>
      <c r="G2134" t="n">
        <v>2024</v>
      </c>
      <c r="H2134" t="inlineStr">
        <is>
          <t>Diciembre</t>
        </is>
      </c>
      <c r="I2134" t="inlineStr">
        <is>
          <t>2024-2</t>
        </is>
      </c>
      <c r="J2134" t="n">
        <v>100</v>
      </c>
      <c r="K2134" t="n">
        <v>121.44</v>
      </c>
      <c r="L2134" s="59">
        <f>IFERROR(IF(OR(J2134=0,K2134=""),"",IF(E2134="Positivo",MIN(MAX(K2134/J2134,0),1.3),MIN(MAX(J2134/K2134,0),1.3))),"") </f>
        <v/>
      </c>
      <c r="M2134" s="59">
        <f>IFERROR(IF(OR(J2134=0,K2134=""),"",IF(E2134="Positivo",MAX(K2134/J2134,0),MAX(J2134/K2134,0))),"") </f>
        <v/>
      </c>
      <c r="P2134" t="n">
        <v>0</v>
      </c>
      <c r="Q2134" t="n">
        <v>0</v>
      </c>
      <c r="R2134" t="inlineStr">
        <is>
          <t>421-2024-12-31</t>
        </is>
      </c>
    </row>
    <row r="2135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48" t="n">
        <v>45107</v>
      </c>
      <c r="G2135" t="n">
        <v>2023</v>
      </c>
      <c r="H2135" t="inlineStr">
        <is>
          <t>Junio</t>
        </is>
      </c>
      <c r="I2135" t="inlineStr">
        <is>
          <t>2023-1</t>
        </is>
      </c>
      <c r="J2135" t="n">
        <v>11.7</v>
      </c>
      <c r="K2135" t="n">
        <v>11.973211368834</v>
      </c>
      <c r="L2135" s="59">
        <f>IFERROR(IF(OR(J2135=0,K2135=""),"",IF(E2135="Positivo",MIN(MAX(K2135/J2135,0),1.3),MIN(MAX(J2135/K2135,0),1.3))),"") </f>
        <v/>
      </c>
      <c r="M2135" s="59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422-2023-06-30</t>
        </is>
      </c>
    </row>
    <row r="2136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Semestral</t>
        </is>
      </c>
      <c r="E2136" t="inlineStr">
        <is>
          <t>Positivo</t>
        </is>
      </c>
      <c r="F2136" s="148" t="n">
        <v>45291</v>
      </c>
      <c r="G2136" t="n">
        <v>2023</v>
      </c>
      <c r="H2136" t="inlineStr">
        <is>
          <t>Diciembre</t>
        </is>
      </c>
      <c r="I2136" t="inlineStr">
        <is>
          <t>2023-2</t>
        </is>
      </c>
      <c r="J2136" t="n">
        <v>10.5</v>
      </c>
      <c r="K2136" t="n">
        <v>11.04</v>
      </c>
      <c r="L2136" s="59">
        <f>IFERROR(IF(OR(J2136=0,K2136=""),"",IF(E2136="Positivo",MIN(MAX(K2136/J2136,0),1.3),MIN(MAX(J2136/K2136,0),1.3))),"") </f>
        <v/>
      </c>
      <c r="M2136" s="59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422-2023-12-31</t>
        </is>
      </c>
    </row>
    <row r="2137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Semestral</t>
        </is>
      </c>
      <c r="E2137" t="inlineStr">
        <is>
          <t>Positivo</t>
        </is>
      </c>
      <c r="F2137" s="148" t="n">
        <v>45473</v>
      </c>
      <c r="G2137" t="n">
        <v>2024</v>
      </c>
      <c r="H2137" t="inlineStr">
        <is>
          <t>Junio</t>
        </is>
      </c>
      <c r="I2137" t="inlineStr">
        <is>
          <t>2024-1</t>
        </is>
      </c>
      <c r="J2137" t="n">
        <v>9.25</v>
      </c>
      <c r="K2137" t="n">
        <v>8.859999999999999</v>
      </c>
      <c r="L2137" s="59">
        <f>IFERROR(IF(OR(J2137=0,K2137=""),"",IF(E2137="Positivo",MIN(MAX(K2137/J2137,0),1.3),MIN(MAX(J2137/K2137,0),1.3))),"") </f>
        <v/>
      </c>
      <c r="M2137" s="59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422-2024-06-30</t>
        </is>
      </c>
    </row>
    <row r="2138">
      <c r="A2138" t="n">
        <v>422</v>
      </c>
      <c r="B2138" t="inlineStr">
        <is>
          <t>Total conversión</t>
        </is>
      </c>
      <c r="C2138" t="inlineStr">
        <is>
          <t>Mercadeo de programas académicos</t>
        </is>
      </c>
      <c r="D2138" t="inlineStr">
        <is>
          <t>Semestral</t>
        </is>
      </c>
      <c r="E2138" t="inlineStr">
        <is>
          <t>Positivo</t>
        </is>
      </c>
      <c r="F2138" s="148" t="n">
        <v>45657</v>
      </c>
      <c r="G2138" t="n">
        <v>2024</v>
      </c>
      <c r="H2138" t="inlineStr">
        <is>
          <t>Diciembre</t>
        </is>
      </c>
      <c r="I2138" t="inlineStr">
        <is>
          <t>2024-2</t>
        </is>
      </c>
      <c r="J2138" t="n">
        <v>8.01</v>
      </c>
      <c r="K2138" t="n">
        <v>7.91</v>
      </c>
      <c r="L2138" s="59">
        <f>IFERROR(IF(OR(J2138=0,K2138=""),"",IF(E2138="Positivo",MIN(MAX(K2138/J2138,0),1.3),MIN(MAX(J2138/K2138,0),1.3))),"") </f>
        <v/>
      </c>
      <c r="M2138" s="59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2</v>
      </c>
      <c r="Q2138" t="n">
        <v>2</v>
      </c>
      <c r="R2138" t="inlineStr">
        <is>
          <t>422-2024-12-31</t>
        </is>
      </c>
    </row>
    <row r="2139">
      <c r="A2139" t="n">
        <v>422</v>
      </c>
      <c r="B2139" t="inlineStr">
        <is>
          <t>Total conversión</t>
        </is>
      </c>
      <c r="C2139" t="inlineStr">
        <is>
          <t>Mercadeo de programas académicos</t>
        </is>
      </c>
      <c r="D2139" t="inlineStr">
        <is>
          <t>Trimestral</t>
        </is>
      </c>
      <c r="E2139" t="inlineStr">
        <is>
          <t>Positivo</t>
        </is>
      </c>
      <c r="F2139" s="148" t="n">
        <v>45838</v>
      </c>
      <c r="G2139" t="n">
        <v>2025</v>
      </c>
      <c r="H2139" t="inlineStr">
        <is>
          <t>Junio</t>
        </is>
      </c>
      <c r="I2139" t="inlineStr">
        <is>
          <t>2025-1</t>
        </is>
      </c>
      <c r="J2139" t="n">
        <v>7.83</v>
      </c>
      <c r="K2139" t="n">
        <v>8.199999999999999</v>
      </c>
      <c r="L2139" s="59">
        <f>IFERROR(IF(OR(J2139=0,K2139=""),"",IF(E2139="Positivo",MIN(MAX(K2139/J2139,0),1.3),MIN(MAX(J2139/K2139,0),1.3))),"") </f>
        <v/>
      </c>
      <c r="M2139" s="59">
        <f>IFERROR(IF(OR(J2139=0,K2139=""),"",IF(E2139="Positivo",MAX(K2139/J2139,0),MAX(J2139/K2139,0))),"") </f>
        <v/>
      </c>
      <c r="N2139" t="inlineStr">
        <is>
          <t>%</t>
        </is>
      </c>
      <c r="O2139" t="inlineStr">
        <is>
          <t>%</t>
        </is>
      </c>
      <c r="P2139" t="n">
        <v>2</v>
      </c>
      <c r="Q2139" t="n">
        <v>2</v>
      </c>
      <c r="R2139" t="inlineStr">
        <is>
          <t>422-2025-06-30</t>
        </is>
      </c>
    </row>
    <row r="2140">
      <c r="A2140" t="n">
        <v>422</v>
      </c>
      <c r="B2140" t="inlineStr">
        <is>
          <t>Total conversión</t>
        </is>
      </c>
      <c r="C2140" t="inlineStr">
        <is>
          <t>Mercadeo de programas académicos</t>
        </is>
      </c>
      <c r="D2140" t="inlineStr">
        <is>
          <t>Trimestral</t>
        </is>
      </c>
      <c r="E2140" t="inlineStr">
        <is>
          <t>Positivo</t>
        </is>
      </c>
      <c r="F2140" s="148" t="n">
        <v>46022</v>
      </c>
      <c r="G2140" t="n">
        <v>2025</v>
      </c>
      <c r="H2140" t="inlineStr">
        <is>
          <t>Diciembre</t>
        </is>
      </c>
      <c r="I2140" t="inlineStr">
        <is>
          <t>2025-2</t>
        </is>
      </c>
      <c r="J2140" t="n">
        <v>7.68</v>
      </c>
      <c r="K2140" t="n">
        <v>7.87</v>
      </c>
      <c r="L2140" s="59">
        <f>IFERROR(IF(OR(J2140=0,K2140=""),"",IF(E2140="Positivo",MIN(MAX(K2140/J2140,0),1.3),MIN(MAX(J2140/K2140,0),1.3))),"") </f>
        <v/>
      </c>
      <c r="M2140" s="59">
        <f>IFERROR(IF(OR(J2140=0,K2140=""),"",IF(E2140="Positivo",MAX(K2140/J2140,0),MAX(J2140/K2140,0))),"") </f>
        <v/>
      </c>
      <c r="N2140" t="inlineStr">
        <is>
          <t>%</t>
        </is>
      </c>
      <c r="O2140" t="inlineStr">
        <is>
          <t>%</t>
        </is>
      </c>
      <c r="P2140" t="n">
        <v>2</v>
      </c>
      <c r="Q2140" t="n">
        <v>2</v>
      </c>
      <c r="R2140" t="inlineStr">
        <is>
          <t>422-2025-12-31</t>
        </is>
      </c>
    </row>
    <row r="2141">
      <c r="A2141" t="n">
        <v>423</v>
      </c>
      <c r="B2141" t="inlineStr">
        <is>
          <t>Brand equity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48" t="n">
        <v>45291</v>
      </c>
      <c r="G2141" t="n">
        <v>2023</v>
      </c>
      <c r="H2141" t="inlineStr">
        <is>
          <t>Diciembre</t>
        </is>
      </c>
      <c r="I2141" t="inlineStr">
        <is>
          <t>2023-2</t>
        </is>
      </c>
      <c r="J2141" t="n">
        <v>8.4</v>
      </c>
      <c r="K2141" t="n">
        <v>7.9</v>
      </c>
      <c r="L2141" s="59">
        <f>IFERROR(IF(OR(J2141=0,K2141=""),"",IF(E2141="Positivo",MIN(MAX(K2141/J2141,0),1.3),MIN(MAX(J2141/K2141,0),1.3))),"") </f>
        <v/>
      </c>
      <c r="M2141" s="59">
        <f>IFERROR(IF(OR(J2141=0,K2141=""),"",IF(E2141="Positivo",MAX(K2141/J2141,0),MAX(J2141/K2141,0))),"") </f>
        <v/>
      </c>
      <c r="N2141" t="inlineStr">
        <is>
          <t>%</t>
        </is>
      </c>
      <c r="O2141" t="inlineStr">
        <is>
          <t>%</t>
        </is>
      </c>
      <c r="P2141" t="n">
        <v>1</v>
      </c>
      <c r="Q2141" t="n">
        <v>1</v>
      </c>
      <c r="R2141" t="inlineStr">
        <is>
          <t>423-2023-12-31</t>
        </is>
      </c>
    </row>
    <row r="2142">
      <c r="A2142" t="n">
        <v>423</v>
      </c>
      <c r="B2142" t="inlineStr">
        <is>
          <t>Brand equity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48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8.300000000000001</v>
      </c>
      <c r="K2142" t="n">
        <v>12.3</v>
      </c>
      <c r="L2142" s="59">
        <f>IFERROR(IF(OR(J2142=0,K2142=""),"",IF(E2142="Positivo",MIN(MAX(K2142/J2142,0),1.3),MIN(MAX(J2142/K2142,0),1.3))),"") </f>
        <v/>
      </c>
      <c r="M2142" s="59">
        <f>IFERROR(IF(OR(J2142=0,K2142=""),"",IF(E2142="Positivo",MAX(K2142/J2142,0),MAX(J2142/K2142,0))),"") </f>
        <v/>
      </c>
      <c r="P2142" t="n">
        <v>1</v>
      </c>
      <c r="Q2142" t="n">
        <v>1</v>
      </c>
      <c r="R2142" t="inlineStr">
        <is>
          <t>423-2024-12-31</t>
        </is>
      </c>
    </row>
    <row r="2143">
      <c r="A2143" t="n">
        <v>423</v>
      </c>
      <c r="B2143" t="inlineStr">
        <is>
          <t>Brand equity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48" t="n">
        <v>46022</v>
      </c>
      <c r="G2143" t="n">
        <v>2025</v>
      </c>
      <c r="H2143" t="inlineStr">
        <is>
          <t>Diciembre</t>
        </is>
      </c>
      <c r="I2143" t="inlineStr">
        <is>
          <t>2025-2</t>
        </is>
      </c>
      <c r="J2143" t="n">
        <v>12.3</v>
      </c>
      <c r="K2143" t="n">
        <v>15.1</v>
      </c>
      <c r="L2143" s="59">
        <f>IFERROR(IF(OR(J2143=0,K2143=""),"",IF(E2143="Positivo",MIN(MAX(K2143/J2143,0),1.3),MIN(MAX(J2143/K2143,0),1.3))),"") </f>
        <v/>
      </c>
      <c r="M2143" s="59">
        <f>IFERROR(IF(OR(J2143=0,K2143=""),"",IF(E2143="Positivo",MAX(K2143/J2143,0),MAX(J2143/K2143,0))),"") </f>
        <v/>
      </c>
      <c r="N2143" t="inlineStr">
        <is>
          <t>DEC</t>
        </is>
      </c>
      <c r="O2143" t="inlineStr">
        <is>
          <t>DEC</t>
        </is>
      </c>
      <c r="P2143" t="n">
        <v>1</v>
      </c>
      <c r="Q2143" t="n">
        <v>1</v>
      </c>
      <c r="R2143" t="inlineStr">
        <is>
          <t>423-2025-12-31</t>
        </is>
      </c>
    </row>
    <row r="2144">
      <c r="A2144" t="n">
        <v>424</v>
      </c>
      <c r="B2144" t="inlineStr">
        <is>
          <t>Conocimiento espontaneo</t>
        </is>
      </c>
      <c r="C2144" t="inlineStr">
        <is>
          <t>Mercadeo de programas académicos</t>
        </is>
      </c>
      <c r="D2144" t="inlineStr">
        <is>
          <t>Anual</t>
        </is>
      </c>
      <c r="E2144" t="inlineStr">
        <is>
          <t>Positivo</t>
        </is>
      </c>
      <c r="F2144" s="148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92</v>
      </c>
      <c r="K2144" t="n">
        <v>6</v>
      </c>
      <c r="L2144" s="59">
        <f>IFERROR(IF(OR(J2144=0,K2144=""),"",IF(E2144="Positivo",MIN(MAX(K2144/J2144,0),1.3),MIN(MAX(J2144/K2144,0),1.3))),"") </f>
        <v/>
      </c>
      <c r="M2144" s="59">
        <f>IFERROR(IF(OR(J2144=0,K2144=""),"",IF(E2144="Positivo",MAX(K2144/J2144,0),MAX(J2144/K2144,0))),"") </f>
        <v/>
      </c>
      <c r="P2144" t="n">
        <v>0</v>
      </c>
      <c r="Q2144" t="n">
        <v>0</v>
      </c>
      <c r="R2144" t="inlineStr">
        <is>
          <t>424-2023-12-31</t>
        </is>
      </c>
    </row>
    <row r="2145">
      <c r="A2145" t="n">
        <v>424</v>
      </c>
      <c r="B2145" t="inlineStr">
        <is>
          <t>Conocimiento espontaneo</t>
        </is>
      </c>
      <c r="C2145" t="inlineStr">
        <is>
          <t>Mercadeo de programas académicos</t>
        </is>
      </c>
      <c r="D2145" t="inlineStr">
        <is>
          <t>Anual</t>
        </is>
      </c>
      <c r="E2145" t="inlineStr">
        <is>
          <t>Positivo</t>
        </is>
      </c>
      <c r="F2145" s="148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7</v>
      </c>
      <c r="K2145" t="n">
        <v>9</v>
      </c>
      <c r="L2145" s="59">
        <f>IFERROR(IF(OR(J2145=0,K2145=""),"",IF(E2145="Positivo",MIN(MAX(K2145/J2145,0),1.3),MIN(MAX(J2145/K2145,0),1.3))),"") </f>
        <v/>
      </c>
      <c r="M2145" s="59">
        <f>IFERROR(IF(OR(J2145=0,K2145=""),"",IF(E2145="Positivo",MAX(K2145/J2145,0),MAX(J2145/K2145,0))),"") </f>
        <v/>
      </c>
      <c r="P2145" t="n">
        <v>0</v>
      </c>
      <c r="Q2145" t="n">
        <v>0</v>
      </c>
      <c r="R2145" t="inlineStr">
        <is>
          <t>424-2024-12-31</t>
        </is>
      </c>
    </row>
    <row r="2146">
      <c r="A2146" t="n">
        <v>424</v>
      </c>
      <c r="B2146" t="inlineStr">
        <is>
          <t>Conocimiento espontáneo</t>
        </is>
      </c>
      <c r="C2146" t="inlineStr">
        <is>
          <t>Mercadeo de programas académicos</t>
        </is>
      </c>
      <c r="D2146" t="inlineStr">
        <is>
          <t>Anual</t>
        </is>
      </c>
      <c r="E2146" t="inlineStr">
        <is>
          <t>Positivo</t>
        </is>
      </c>
      <c r="F2146" s="148" t="n">
        <v>46022</v>
      </c>
      <c r="G2146" t="n">
        <v>2025</v>
      </c>
      <c r="H2146" t="inlineStr">
        <is>
          <t>Diciembre</t>
        </is>
      </c>
      <c r="I2146" t="inlineStr">
        <is>
          <t>2025-2</t>
        </is>
      </c>
      <c r="J2146" t="n">
        <v>9</v>
      </c>
      <c r="K2146" t="n">
        <v>11</v>
      </c>
      <c r="L2146" s="59">
        <f>IFERROR(IF(OR(J2146=0,K2146=""),"",IF(E2146="Positivo",MIN(MAX(K2146/J2146,0),1.3),MIN(MAX(J2146/K2146,0),1.3))),"") </f>
        <v/>
      </c>
      <c r="M2146" s="59">
        <f>IFERROR(IF(OR(J2146=0,K2146=""),"",IF(E2146="Positivo",MAX(K2146/J2146,0),MAX(J2146/K2146,0))),"") </f>
        <v/>
      </c>
      <c r="N2146" t="inlineStr">
        <is>
          <t>ENT</t>
        </is>
      </c>
      <c r="O2146" t="inlineStr">
        <is>
          <t>ENT</t>
        </is>
      </c>
      <c r="P2146" t="n">
        <v>0</v>
      </c>
      <c r="Q2146" t="n">
        <v>0</v>
      </c>
      <c r="R2146" t="inlineStr">
        <is>
          <t>424-2025-12-31</t>
        </is>
      </c>
    </row>
    <row r="2147">
      <c r="A2147" t="n">
        <v>425</v>
      </c>
      <c r="B2147" t="inlineStr">
        <is>
          <t>Cumplimiento Leads Educación para la vida</t>
        </is>
      </c>
      <c r="C2147" t="inlineStr">
        <is>
          <t>Mercadeo y venta de educación para la vida</t>
        </is>
      </c>
      <c r="D2147" t="inlineStr">
        <is>
          <t>Anual</t>
        </is>
      </c>
      <c r="E2147" t="inlineStr">
        <is>
          <t>Positivo</t>
        </is>
      </c>
      <c r="F2147" s="148" t="n">
        <v>45291</v>
      </c>
      <c r="G2147" t="n">
        <v>2023</v>
      </c>
      <c r="H2147" t="inlineStr">
        <is>
          <t>Diciembre</t>
        </is>
      </c>
      <c r="I2147" t="inlineStr">
        <is>
          <t>2023-2</t>
        </is>
      </c>
      <c r="J2147" t="n">
        <v>5500</v>
      </c>
      <c r="K2147" t="n">
        <v>5785</v>
      </c>
      <c r="L2147" s="59">
        <f>IFERROR(IF(OR(J2147=0,K2147=""),"",IF(E2147="Positivo",MIN(MAX(K2147/J2147,0),1.3),MIN(MAX(J2147/K2147,0),1.3))),"") </f>
        <v/>
      </c>
      <c r="M2147" s="59">
        <f>IFERROR(IF(OR(J2147=0,K2147=""),"",IF(E2147="Positivo",MAX(K2147/J2147,0),MAX(J2147/K2147,0))),"") </f>
        <v/>
      </c>
      <c r="N2147" t="inlineStr">
        <is>
          <t>$</t>
        </is>
      </c>
      <c r="O2147" t="inlineStr">
        <is>
          <t>$</t>
        </is>
      </c>
      <c r="P2147" t="n">
        <v>0</v>
      </c>
      <c r="Q2147" t="n">
        <v>0</v>
      </c>
      <c r="R2147" t="inlineStr">
        <is>
          <t>425-2023-12-31</t>
        </is>
      </c>
    </row>
    <row r="2148">
      <c r="A2148" t="n">
        <v>425</v>
      </c>
      <c r="B2148" t="inlineStr">
        <is>
          <t>Cumplimiento Leads Educación para la vida</t>
        </is>
      </c>
      <c r="C2148" t="inlineStr">
        <is>
          <t>Mercadeo y venta de educación para la vida</t>
        </is>
      </c>
      <c r="D2148" t="inlineStr">
        <is>
          <t>Semestral</t>
        </is>
      </c>
      <c r="E2148" t="inlineStr">
        <is>
          <t>Positivo</t>
        </is>
      </c>
      <c r="F2148" s="148" t="n">
        <v>45473</v>
      </c>
      <c r="G2148" t="n">
        <v>2024</v>
      </c>
      <c r="H2148" t="inlineStr">
        <is>
          <t>Junio</t>
        </is>
      </c>
      <c r="I2148" t="inlineStr">
        <is>
          <t>2024-1</t>
        </is>
      </c>
      <c r="J2148" t="n">
        <v>100</v>
      </c>
      <c r="K2148" t="n">
        <v>60.69</v>
      </c>
      <c r="L2148" s="59">
        <f>IFERROR(IF(OR(J2148=0,K2148=""),"",IF(E2148="Positivo",MIN(MAX(K2148/J2148,0),1.3),MIN(MAX(J2148/K2148,0),1.3))),"") </f>
        <v/>
      </c>
      <c r="M2148" s="59">
        <f>IFERROR(IF(OR(J2148=0,K2148=""),"",IF(E2148="Positivo",MAX(K2148/J2148,0),MAX(J2148/K2148,0))),"") </f>
        <v/>
      </c>
      <c r="N2148" t="inlineStr">
        <is>
          <t>ENT</t>
        </is>
      </c>
      <c r="O2148" t="inlineStr">
        <is>
          <t>ENT</t>
        </is>
      </c>
      <c r="P2148" t="n">
        <v>0</v>
      </c>
      <c r="Q2148" t="n">
        <v>0</v>
      </c>
      <c r="R2148" t="inlineStr">
        <is>
          <t>425-2024-06-30</t>
        </is>
      </c>
    </row>
    <row r="2149">
      <c r="A2149" t="n">
        <v>425</v>
      </c>
      <c r="B2149" t="inlineStr">
        <is>
          <t>Cumplimiento Leads Educación para la vida</t>
        </is>
      </c>
      <c r="C2149" t="inlineStr">
        <is>
          <t>Mercadeo y venta de educación para la vida</t>
        </is>
      </c>
      <c r="D2149" t="inlineStr">
        <is>
          <t>Semestral</t>
        </is>
      </c>
      <c r="E2149" t="inlineStr">
        <is>
          <t>Positivo</t>
        </is>
      </c>
      <c r="F2149" s="148" t="n">
        <v>45657</v>
      </c>
      <c r="G2149" t="n">
        <v>2024</v>
      </c>
      <c r="H2149" t="inlineStr">
        <is>
          <t>Diciembre</t>
        </is>
      </c>
      <c r="I2149" t="inlineStr">
        <is>
          <t>2024-2</t>
        </is>
      </c>
      <c r="J2149" t="n">
        <v>100</v>
      </c>
      <c r="K2149" t="n">
        <v>164.69</v>
      </c>
      <c r="L2149" s="59">
        <f>IFERROR(IF(OR(J2149=0,K2149=""),"",IF(E2149="Positivo",MIN(MAX(K2149/J2149,0),1.3),MIN(MAX(J2149/K2149,0),1.3))),"") </f>
        <v/>
      </c>
      <c r="M2149" s="59">
        <f>IFERROR(IF(OR(J2149=0,K2149=""),"",IF(E2149="Positivo",MAX(K2149/J2149,0),MAX(J2149/K2149,0))),"") </f>
        <v/>
      </c>
      <c r="N2149" t="inlineStr">
        <is>
          <t>ENT</t>
        </is>
      </c>
      <c r="O2149" t="inlineStr">
        <is>
          <t>ENT</t>
        </is>
      </c>
      <c r="P2149" t="n">
        <v>0</v>
      </c>
      <c r="Q2149" t="n">
        <v>0</v>
      </c>
      <c r="R2149" t="inlineStr">
        <is>
          <t>425-2024-12-31</t>
        </is>
      </c>
    </row>
    <row r="2150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48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K2150" t="n">
        <v>86.98</v>
      </c>
      <c r="L2150" s="59" t="n"/>
      <c r="M2150" s="59" t="n"/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426-2023-06-30</t>
        </is>
      </c>
    </row>
    <row r="2151">
      <c r="A2151" t="n">
        <v>426</v>
      </c>
      <c r="B2151" t="inlineStr">
        <is>
          <t>Cumplimiento en la respuesta a solicitudes de comunicaciones internas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48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K2151" t="n">
        <v>92.31</v>
      </c>
      <c r="L2151" s="59" t="n"/>
      <c r="M2151" s="59" t="n"/>
      <c r="N2151" t="inlineStr">
        <is>
          <t>Linea Base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426-2023-12-31</t>
        </is>
      </c>
    </row>
    <row r="2152">
      <c r="A2152" t="n">
        <v>426</v>
      </c>
      <c r="B2152" t="inlineStr">
        <is>
          <t>Cumplimiento en la respuesta a solicitudes de comunicaciones internas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48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80</v>
      </c>
      <c r="K2152" t="n">
        <v>60.27</v>
      </c>
      <c r="L2152" s="59">
        <f>IFERROR(IF(OR(J2152=0,K2152=""),"",IF(E2152="Positivo",MIN(MAX(K2152/J2152,0),1.3),MIN(MAX(J2152/K2152,0),1.3))),"") </f>
        <v/>
      </c>
      <c r="M2152" s="59">
        <f>IFERROR(IF(OR(J2152=0,K2152=""),"",IF(E2152="Positivo",MAX(K2152/J2152,0),MAX(J2152/K2152,0))),"") </f>
        <v/>
      </c>
      <c r="N2152" t="inlineStr">
        <is>
          <t>Linea Base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426-2024-06-30</t>
        </is>
      </c>
    </row>
    <row r="2153">
      <c r="A2153" t="n">
        <v>426</v>
      </c>
      <c r="B2153" t="inlineStr">
        <is>
          <t>Cumplimiento en la respuesta a solicitudes de comunicaciones internas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48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80</v>
      </c>
      <c r="K2153" t="n">
        <v>86.72</v>
      </c>
      <c r="L2153" s="59">
        <f>IFERROR(IF(OR(J2153=0,K2153=""),"",IF(E2153="Positivo",MIN(MAX(K2153/J2153,0),1.3),MIN(MAX(J2153/K2153,0),1.3))),"") </f>
        <v/>
      </c>
      <c r="M2153" s="59">
        <f>IFERROR(IF(OR(J2153=0,K2153=""),"",IF(E2153="Positivo",MAX(K2153/J2153,0),MAX(J2153/K2153,0))),"") </f>
        <v/>
      </c>
      <c r="N2153" t="inlineStr">
        <is>
          <t>Linea Base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426-2024-12-31</t>
        </is>
      </c>
    </row>
    <row r="2154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48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0.2</v>
      </c>
      <c r="K2154" t="n">
        <v>0.13666666666667</v>
      </c>
      <c r="L2154" s="59">
        <f>IFERROR(IF(OR(J2154=0,K2154=""),"",IF(E2154="Positivo",MIN(MAX(K2154/J2154,0),1.3),MIN(MAX(J2154/K2154,0),1.3))),"") </f>
        <v/>
      </c>
      <c r="M2154" s="59">
        <f>IFERROR(IF(OR(J2154=0,K2154=""),"",IF(E2154="Positivo",MAX(K2154/J2154,0),MAX(J2154/K2154,0))),"") </f>
        <v/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427-2023-06-30</t>
        </is>
      </c>
    </row>
    <row r="2155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Semestral</t>
        </is>
      </c>
      <c r="E2155" t="inlineStr">
        <is>
          <t>Negativo</t>
        </is>
      </c>
      <c r="F2155" s="148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0.2</v>
      </c>
      <c r="K2155" t="n">
        <v>0.2</v>
      </c>
      <c r="L2155" s="59">
        <f>IFERROR(IF(OR(J2155=0,K2155=""),"",IF(E2155="Positivo",MIN(MAX(K2155/J2155,0),1.3),MIN(MAX(J2155/K2155,0),1.3))),"") </f>
        <v/>
      </c>
      <c r="M2155" s="59">
        <f>IFERROR(IF(OR(J2155=0,K2155=""),"",IF(E2155="Positivo",MAX(K2155/J2155,0),MAX(J2155/K2155,0))),"") </f>
        <v/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427-2023-12-31</t>
        </is>
      </c>
    </row>
    <row r="2156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Semestral</t>
        </is>
      </c>
      <c r="E2156" t="inlineStr">
        <is>
          <t>Negativo</t>
        </is>
      </c>
      <c r="F2156" s="148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0.2</v>
      </c>
      <c r="K2156" t="n">
        <v>0.17</v>
      </c>
      <c r="L2156" s="59">
        <f>IFERROR(IF(OR(J2156=0,K2156=""),"",IF(E2156="Positivo",MIN(MAX(K2156/J2156,0),1.3),MIN(MAX(J2156/K2156,0),1.3))),"") </f>
        <v/>
      </c>
      <c r="M2156" s="59">
        <f>IFERROR(IF(OR(J2156=0,K2156=""),"",IF(E2156="Positivo",MAX(K2156/J2156,0),MAX(J2156/K2156,0))),"") </f>
        <v/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427-2024-06-30</t>
        </is>
      </c>
    </row>
    <row r="2157">
      <c r="A2157" t="n">
        <v>427</v>
      </c>
      <c r="B2157" t="inlineStr">
        <is>
          <t>Consumo de Agua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48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0.2</v>
      </c>
      <c r="K2157" t="n">
        <v>0.17</v>
      </c>
      <c r="L2157" s="59">
        <f>IFERROR(IF(OR(J2157=0,K2157=""),"",IF(E2157="Positivo",MIN(MAX(K2157/J2157,0),1.3),MIN(MAX(J2157/K2157,0),1.3))),"") </f>
        <v/>
      </c>
      <c r="M2157" s="59">
        <f>IFERROR(IF(OR(J2157=0,K2157=""),"",IF(E2157="Positivo",MAX(K2157/J2157,0),MAX(J2157/K2157,0))),"") </f>
        <v/>
      </c>
      <c r="N2157" t="inlineStr">
        <is>
          <t>DEC</t>
        </is>
      </c>
      <c r="O2157" t="inlineStr">
        <is>
          <t>DEC</t>
        </is>
      </c>
      <c r="P2157" t="n">
        <v>1</v>
      </c>
      <c r="Q2157" t="n">
        <v>2</v>
      </c>
      <c r="R2157" t="inlineStr">
        <is>
          <t>427-2024-12-31</t>
        </is>
      </c>
    </row>
    <row r="2158">
      <c r="A2158" t="n">
        <v>427</v>
      </c>
      <c r="B2158" t="inlineStr">
        <is>
          <t>Consumo de Agua per Cápita Semestral</t>
        </is>
      </c>
      <c r="C2158" t="inlineStr">
        <is>
          <t>GESTIÓN AMBIENTAL</t>
        </is>
      </c>
      <c r="D2158" t="inlineStr">
        <is>
          <t>Semestral</t>
        </is>
      </c>
      <c r="E2158" t="inlineStr">
        <is>
          <t>Negativo</t>
        </is>
      </c>
      <c r="F2158" s="148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0.2</v>
      </c>
      <c r="K2158" t="n">
        <v>0.14</v>
      </c>
      <c r="L2158" s="59">
        <f>IFERROR(IF(OR(J2158=0,K2158=""),"",IF(E2158="Positivo",MIN(MAX(K2158/J2158,0),1.3),MIN(MAX(J2158/K2158,0),1.3))),"") </f>
        <v/>
      </c>
      <c r="M2158" s="59">
        <f>IFERROR(IF(OR(J2158=0,K2158=""),"",IF(E2158="Positivo",MAX(K2158/J2158,0),MAX(J2158/K2158,0))),"") </f>
        <v/>
      </c>
      <c r="N2158" t="inlineStr">
        <is>
          <t>DEC</t>
        </is>
      </c>
      <c r="O2158" t="inlineStr">
        <is>
          <t>DEC</t>
        </is>
      </c>
      <c r="P2158" t="n">
        <v>1</v>
      </c>
      <c r="Q2158" t="n">
        <v>2</v>
      </c>
      <c r="R2158" t="inlineStr">
        <is>
          <t>427-2025-06-30</t>
        </is>
      </c>
    </row>
    <row r="2159">
      <c r="A2159" t="n">
        <v>427</v>
      </c>
      <c r="B2159" t="inlineStr">
        <is>
          <t>Consumo de Agua per Cápita Semestral</t>
        </is>
      </c>
      <c r="C2159" t="inlineStr">
        <is>
          <t>GESTIÓN AMBIENTAL</t>
        </is>
      </c>
      <c r="D2159" t="inlineStr">
        <is>
          <t>Trimestral</t>
        </is>
      </c>
      <c r="E2159" t="inlineStr">
        <is>
          <t>Negativo</t>
        </is>
      </c>
      <c r="F2159" s="148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0.2</v>
      </c>
      <c r="K2159" t="n">
        <v>0.15</v>
      </c>
      <c r="L2159" s="59">
        <f>IFERROR(IF(OR(J2159=0,K2159=""),"",IF(E2159="Positivo",MIN(MAX(K2159/J2159,0),1.3),MIN(MAX(J2159/K2159,0),1.3))),"") </f>
        <v/>
      </c>
      <c r="M2159" s="59">
        <f>IFERROR(IF(OR(J2159=0,K2159=""),"",IF(E2159="Positivo",MAX(K2159/J2159,0),MAX(J2159/K2159,0))),"") </f>
        <v/>
      </c>
      <c r="N2159" t="inlineStr">
        <is>
          <t>DEC</t>
        </is>
      </c>
      <c r="O2159" t="inlineStr">
        <is>
          <t>DEC</t>
        </is>
      </c>
      <c r="P2159" t="n">
        <v>2</v>
      </c>
      <c r="Q2159" t="n">
        <v>2</v>
      </c>
      <c r="R2159" t="inlineStr">
        <is>
          <t>427-2025-12-31</t>
        </is>
      </c>
    </row>
    <row r="2160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48" t="n">
        <v>45107</v>
      </c>
      <c r="G2160" t="n">
        <v>2023</v>
      </c>
      <c r="H2160" t="inlineStr">
        <is>
          <t>Junio</t>
        </is>
      </c>
      <c r="I2160" t="inlineStr">
        <is>
          <t>2023-1</t>
        </is>
      </c>
      <c r="J2160" t="n">
        <v>1</v>
      </c>
      <c r="K2160" t="n">
        <v>17.59</v>
      </c>
      <c r="L2160" s="59">
        <f>IFERROR(IF(OR(J2160=0,K2160=""),"",IF(E2160="Positivo",MIN(MAX(K2160/J2160,0),1.3),MIN(MAX(J2160/K2160,0),1.3))),"") </f>
        <v/>
      </c>
      <c r="M2160" s="59">
        <f>IFERROR(IF(OR(J2160=0,K2160=""),"",IF(E2160="Positivo",MAX(K2160/J2160,0),MAX(J2160/K2160,0))),"") </f>
        <v/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428-2023-06-30</t>
        </is>
      </c>
    </row>
    <row r="216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Semestral</t>
        </is>
      </c>
      <c r="E2161" t="inlineStr">
        <is>
          <t>Negativo</t>
        </is>
      </c>
      <c r="F2161" s="148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1</v>
      </c>
      <c r="K2161" t="n">
        <v>18.63</v>
      </c>
      <c r="L2161" s="59">
        <f>IFERROR(IF(OR(J2161=0,K2161=""),"",IF(E2161="Positivo",MIN(MAX(K2161/J2161,0),1.3),MIN(MAX(J2161/K2161,0),1.3))),"") </f>
        <v/>
      </c>
      <c r="M2161" s="59">
        <f>IFERROR(IF(OR(J2161=0,K2161=""),"",IF(E2161="Positivo",MAX(K2161/J2161,0),MAX(J2161/K2161,0))),"") </f>
        <v/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428-2023-12-31</t>
        </is>
      </c>
    </row>
    <row r="2162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Semestral</t>
        </is>
      </c>
      <c r="E2162" t="inlineStr">
        <is>
          <t>Negativo</t>
        </is>
      </c>
      <c r="F2162" s="148" t="n">
        <v>45473</v>
      </c>
      <c r="G2162" t="n">
        <v>2024</v>
      </c>
      <c r="H2162" t="inlineStr">
        <is>
          <t>Junio</t>
        </is>
      </c>
      <c r="I2162" t="inlineStr">
        <is>
          <t>2024-1</t>
        </is>
      </c>
      <c r="J2162" t="n">
        <v>1</v>
      </c>
      <c r="K2162" t="n">
        <v>16.58</v>
      </c>
      <c r="L2162" s="59">
        <f>IFERROR(IF(OR(J2162=0,K2162=""),"",IF(E2162="Positivo",MIN(MAX(K2162/J2162,0),1.3),MIN(MAX(J2162/K2162,0),1.3))),"") </f>
        <v/>
      </c>
      <c r="M2162" s="59">
        <f>IFERROR(IF(OR(J2162=0,K2162=""),"",IF(E2162="Positivo",MAX(K2162/J2162,0),MAX(J2162/K2162,0))),"") </f>
        <v/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428-2024-06-30</t>
        </is>
      </c>
    </row>
    <row r="2163">
      <c r="A2163" t="n">
        <v>428</v>
      </c>
      <c r="B2163" t="inlineStr">
        <is>
          <t>Consumo de Energía Eléctrica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48" t="n">
        <v>45657</v>
      </c>
      <c r="G2163" t="n">
        <v>2024</v>
      </c>
      <c r="H2163" t="inlineStr">
        <is>
          <t>Diciembre</t>
        </is>
      </c>
      <c r="I2163" t="inlineStr">
        <is>
          <t>2024-2</t>
        </is>
      </c>
      <c r="J2163" t="n">
        <v>1</v>
      </c>
      <c r="K2163" t="n">
        <v>18.53</v>
      </c>
      <c r="L2163" s="59">
        <f>IFERROR(IF(OR(J2163=0,K2163=""),"",IF(E2163="Positivo",MIN(MAX(K2163/J2163,0),1.3),MIN(MAX(J2163/K2163,0),1.3))),"") </f>
        <v/>
      </c>
      <c r="M2163" s="59">
        <f>IFERROR(IF(OR(J2163=0,K2163=""),"",IF(E2163="Positivo",MAX(K2163/J2163,0),MAX(J2163/K2163,0))),"") </f>
        <v/>
      </c>
      <c r="N2163" t="inlineStr">
        <is>
          <t>kWh</t>
        </is>
      </c>
      <c r="O2163" t="inlineStr">
        <is>
          <t>kWh</t>
        </is>
      </c>
      <c r="P2163" t="n">
        <v>0</v>
      </c>
      <c r="Q2163" t="n">
        <v>1</v>
      </c>
      <c r="R2163" t="inlineStr">
        <is>
          <t>428-2024-12-31</t>
        </is>
      </c>
    </row>
    <row r="2164">
      <c r="A2164" t="n">
        <v>428</v>
      </c>
      <c r="B2164" t="inlineStr">
        <is>
          <t>Consumo de Energía Eléctrica per Cápita Semestral</t>
        </is>
      </c>
      <c r="C2164" t="inlineStr">
        <is>
          <t>GESTIÓN AMBIENTAL</t>
        </is>
      </c>
      <c r="D2164" t="inlineStr">
        <is>
          <t>Semestral</t>
        </is>
      </c>
      <c r="E2164" t="inlineStr">
        <is>
          <t>Negativo</t>
        </is>
      </c>
      <c r="F2164" s="148" t="n">
        <v>45838</v>
      </c>
      <c r="G2164" t="n">
        <v>2025</v>
      </c>
      <c r="H2164" t="inlineStr">
        <is>
          <t>Junio</t>
        </is>
      </c>
      <c r="I2164" t="inlineStr">
        <is>
          <t>2025-1</t>
        </is>
      </c>
      <c r="J2164" t="n">
        <v>1</v>
      </c>
      <c r="K2164" t="n">
        <v>15.12</v>
      </c>
      <c r="L2164" s="59">
        <f>IFERROR(IF(OR(J2164=0,K2164=""),"",IF(E2164="Positivo",MIN(MAX(K2164/J2164,0),1.3),MIN(MAX(J2164/K2164,0),1.3))),"") </f>
        <v/>
      </c>
      <c r="M2164" s="59">
        <f>IFERROR(IF(OR(J2164=0,K2164=""),"",IF(E2164="Positivo",MAX(K2164/J2164,0),MAX(J2164/K2164,0))),"") </f>
        <v/>
      </c>
      <c r="N2164" t="inlineStr">
        <is>
          <t>kWh</t>
        </is>
      </c>
      <c r="O2164" t="inlineStr">
        <is>
          <t>kWh</t>
        </is>
      </c>
      <c r="P2164" t="n">
        <v>0</v>
      </c>
      <c r="Q2164" t="n">
        <v>1</v>
      </c>
      <c r="R2164" t="inlineStr">
        <is>
          <t>428-2025-06-30</t>
        </is>
      </c>
    </row>
    <row r="2165">
      <c r="A2165" t="n">
        <v>428</v>
      </c>
      <c r="B2165" t="inlineStr">
        <is>
          <t>Consumo de Energía Eléctrica per Cápita Semestral</t>
        </is>
      </c>
      <c r="C2165" t="inlineStr">
        <is>
          <t>GESTIÓN AMBIENTAL</t>
        </is>
      </c>
      <c r="D2165" t="inlineStr">
        <is>
          <t>Trimestral</t>
        </is>
      </c>
      <c r="E2165" t="inlineStr">
        <is>
          <t>Negativo</t>
        </is>
      </c>
      <c r="F2165" s="148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1</v>
      </c>
      <c r="K2165" t="n">
        <v>17.88</v>
      </c>
      <c r="L2165" s="59">
        <f>IFERROR(IF(OR(J2165=0,K2165=""),"",IF(E2165="Positivo",MIN(MAX(K2165/J2165,0),1.3),MIN(MAX(J2165/K2165,0),1.3))),"") </f>
        <v/>
      </c>
      <c r="M2165" s="59">
        <f>IFERROR(IF(OR(J2165=0,K2165=""),"",IF(E2165="Positivo",MAX(K2165/J2165,0),MAX(J2165/K2165,0))),"") </f>
        <v/>
      </c>
      <c r="N2165" t="inlineStr">
        <is>
          <t>kWh</t>
        </is>
      </c>
      <c r="O2165" t="inlineStr">
        <is>
          <t>kWh</t>
        </is>
      </c>
      <c r="P2165" t="n">
        <v>0</v>
      </c>
      <c r="Q2165" t="n">
        <v>1</v>
      </c>
      <c r="R2165" t="inlineStr">
        <is>
          <t>428-2025-12-31</t>
        </is>
      </c>
    </row>
    <row r="2166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48" t="n">
        <v>45107</v>
      </c>
      <c r="G2166" t="n">
        <v>2023</v>
      </c>
      <c r="H2166" t="inlineStr">
        <is>
          <t>Junio</t>
        </is>
      </c>
      <c r="I2166" t="inlineStr">
        <is>
          <t>2023-1</t>
        </is>
      </c>
      <c r="J2166" t="n">
        <v>0.76</v>
      </c>
      <c r="K2166" t="n">
        <v>0.3</v>
      </c>
      <c r="L2166" s="59">
        <f>IFERROR(IF(OR(J2166=0,K2166=""),"",IF(E2166="Positivo",MIN(MAX(K2166/J2166,0),1.3),MIN(MAX(J2166/K2166,0),1.3))),"") </f>
        <v/>
      </c>
      <c r="M2166" s="59">
        <f>IFERROR(IF(OR(J2166=0,K2166=""),"",IF(E2166="Positivo",MAX(K2166/J2166,0),MAX(J2166/K2166,0))),"") </f>
        <v/>
      </c>
      <c r="N2166" t="inlineStr">
        <is>
          <t>DEC</t>
        </is>
      </c>
      <c r="O2166" t="inlineStr">
        <is>
          <t>DEC</t>
        </is>
      </c>
      <c r="P2166" t="n">
        <v>1</v>
      </c>
      <c r="Q2166" t="n">
        <v>1</v>
      </c>
      <c r="R2166" t="inlineStr">
        <is>
          <t>429-2023-06-30</t>
        </is>
      </c>
    </row>
    <row r="2167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Semestral</t>
        </is>
      </c>
      <c r="E2167" t="inlineStr">
        <is>
          <t>Negativo</t>
        </is>
      </c>
      <c r="F2167" s="148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0.76</v>
      </c>
      <c r="K2167" t="n">
        <v>0.76</v>
      </c>
      <c r="L2167" s="59">
        <f>IFERROR(IF(OR(J2167=0,K2167=""),"",IF(E2167="Positivo",MIN(MAX(K2167/J2167,0),1.3),MIN(MAX(J2167/K2167,0),1.3))),"") </f>
        <v/>
      </c>
      <c r="M2167" s="59">
        <f>IFERROR(IF(OR(J2167=0,K2167=""),"",IF(E2167="Positivo",MAX(K2167/J2167,0),MAX(J2167/K2167,0))),"") </f>
        <v/>
      </c>
      <c r="N2167" t="inlineStr">
        <is>
          <t>DEC</t>
        </is>
      </c>
      <c r="O2167" t="inlineStr">
        <is>
          <t>DEC</t>
        </is>
      </c>
      <c r="P2167" t="n">
        <v>0</v>
      </c>
      <c r="Q2167" t="n">
        <v>0</v>
      </c>
      <c r="R2167" t="inlineStr">
        <is>
          <t>429-2023-12-31</t>
        </is>
      </c>
    </row>
    <row r="2168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Semestral</t>
        </is>
      </c>
      <c r="E2168" t="inlineStr">
        <is>
          <t>Negativo</t>
        </is>
      </c>
      <c r="F2168" s="148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0.76</v>
      </c>
      <c r="K2168" t="n">
        <v>0.66</v>
      </c>
      <c r="L2168" s="59">
        <f>IFERROR(IF(OR(J2168=0,K2168=""),"",IF(E2168="Positivo",MIN(MAX(K2168/J2168,0),1.3),MIN(MAX(J2168/K2168,0),1.3))),"") </f>
        <v/>
      </c>
      <c r="M2168" s="59">
        <f>IFERROR(IF(OR(J2168=0,K2168=""),"",IF(E2168="Positivo",MAX(K2168/J2168,0),MAX(J2168/K2168,0))),"") </f>
        <v/>
      </c>
      <c r="N2168" t="inlineStr">
        <is>
          <t>DEC</t>
        </is>
      </c>
      <c r="O2168" t="inlineStr">
        <is>
          <t>DEC</t>
        </is>
      </c>
      <c r="P2168" t="n">
        <v>1</v>
      </c>
      <c r="Q2168" t="n">
        <v>1</v>
      </c>
      <c r="R2168" t="inlineStr">
        <is>
          <t>429-2024-06-30</t>
        </is>
      </c>
    </row>
    <row r="2169">
      <c r="A2169" t="n">
        <v>429</v>
      </c>
      <c r="B2169" t="inlineStr">
        <is>
          <t>Generación de Residuos Sólidos per Cápita Semestral</t>
        </is>
      </c>
      <c r="C2169" t="inlineStr">
        <is>
          <t>GESTIÓN AMBIENTAL</t>
        </is>
      </c>
      <c r="D2169" t="inlineStr">
        <is>
          <t>Semestral</t>
        </is>
      </c>
      <c r="E2169" t="inlineStr">
        <is>
          <t>Negativo</t>
        </is>
      </c>
      <c r="F2169" s="148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0.76</v>
      </c>
      <c r="K2169" t="n">
        <v>0.67</v>
      </c>
      <c r="L2169" s="59">
        <f>IFERROR(IF(OR(J2169=0,K2169=""),"",IF(E2169="Positivo",MIN(MAX(K2169/J2169,0),1.3),MIN(MAX(J2169/K2169,0),1.3))),"") </f>
        <v/>
      </c>
      <c r="M2169" s="59">
        <f>IFERROR(IF(OR(J2169=0,K2169=""),"",IF(E2169="Positivo",MAX(K2169/J2169,0),MAX(J2169/K2169,0))),"") </f>
        <v/>
      </c>
      <c r="N2169" t="inlineStr">
        <is>
          <t>DEC</t>
        </is>
      </c>
      <c r="O2169" t="inlineStr">
        <is>
          <t>DEC</t>
        </is>
      </c>
      <c r="P2169" t="n">
        <v>1</v>
      </c>
      <c r="Q2169" t="n">
        <v>1</v>
      </c>
      <c r="R2169" t="inlineStr">
        <is>
          <t>429-2024-12-31</t>
        </is>
      </c>
    </row>
    <row r="2170">
      <c r="A2170" t="n">
        <v>429</v>
      </c>
      <c r="B2170" t="inlineStr">
        <is>
          <t>Generación de Residuos Sólidos per Cápita Semestral</t>
        </is>
      </c>
      <c r="C2170" t="inlineStr">
        <is>
          <t>GESTIÓN AMBIENTAL</t>
        </is>
      </c>
      <c r="D2170" t="inlineStr">
        <is>
          <t>Semestral</t>
        </is>
      </c>
      <c r="E2170" t="inlineStr">
        <is>
          <t>Negativo</t>
        </is>
      </c>
      <c r="F2170" s="148" t="n">
        <v>45838</v>
      </c>
      <c r="G2170" t="n">
        <v>2025</v>
      </c>
      <c r="H2170" t="inlineStr">
        <is>
          <t>Junio</t>
        </is>
      </c>
      <c r="I2170" t="inlineStr">
        <is>
          <t>2025-1</t>
        </is>
      </c>
      <c r="J2170" t="n">
        <v>0.76</v>
      </c>
      <c r="K2170" t="n">
        <v>0.59</v>
      </c>
      <c r="L2170" s="59">
        <f>IFERROR(IF(OR(J2170=0,K2170=""),"",IF(E2170="Positivo",MIN(MAX(K2170/J2170,0),1.3),MIN(MAX(J2170/K2170,0),1.3))),"") </f>
        <v/>
      </c>
      <c r="M2170" s="59">
        <f>IFERROR(IF(OR(J2170=0,K2170=""),"",IF(E2170="Positivo",MAX(K2170/J2170,0),MAX(J2170/K2170,0))),"") </f>
        <v/>
      </c>
      <c r="N2170" t="inlineStr">
        <is>
          <t>DEC</t>
        </is>
      </c>
      <c r="O2170" t="inlineStr">
        <is>
          <t>DEC</t>
        </is>
      </c>
      <c r="P2170" t="n">
        <v>1</v>
      </c>
      <c r="Q2170" t="n">
        <v>1</v>
      </c>
      <c r="R2170" t="inlineStr">
        <is>
          <t>429-2025-06-30</t>
        </is>
      </c>
    </row>
    <row r="2171">
      <c r="A2171" t="n">
        <v>429</v>
      </c>
      <c r="B2171" t="inlineStr">
        <is>
          <t>Generación de Residuos Sólidos per Cápita Semestral</t>
        </is>
      </c>
      <c r="C2171" t="inlineStr">
        <is>
          <t>GESTIÓN AMBIENTAL</t>
        </is>
      </c>
      <c r="D2171" t="inlineStr">
        <is>
          <t>Trimestral</t>
        </is>
      </c>
      <c r="E2171" t="inlineStr">
        <is>
          <t>Negativo</t>
        </is>
      </c>
      <c r="F2171" s="148" t="n">
        <v>46022</v>
      </c>
      <c r="G2171" t="n">
        <v>2025</v>
      </c>
      <c r="H2171" t="inlineStr">
        <is>
          <t>Diciembre</t>
        </is>
      </c>
      <c r="I2171" t="inlineStr">
        <is>
          <t>2025-2</t>
        </is>
      </c>
      <c r="J2171" t="n">
        <v>0.76</v>
      </c>
      <c r="K2171" t="n">
        <v>0.52</v>
      </c>
      <c r="L2171" s="59">
        <f>IFERROR(IF(OR(J2171=0,K2171=""),"",IF(E2171="Positivo",MIN(MAX(K2171/J2171,0),1.3),MIN(MAX(J2171/K2171,0),1.3))),"") </f>
        <v/>
      </c>
      <c r="M2171" s="59">
        <f>IFERROR(IF(OR(J2171=0,K2171=""),"",IF(E2171="Positivo",MAX(K2171/J2171,0),MAX(J2171/K2171,0))),"") </f>
        <v/>
      </c>
      <c r="N2171" t="inlineStr">
        <is>
          <t>DEC</t>
        </is>
      </c>
      <c r="O2171" t="inlineStr">
        <is>
          <t>DEC</t>
        </is>
      </c>
      <c r="P2171" t="n">
        <v>2</v>
      </c>
      <c r="Q2171" t="n">
        <v>2</v>
      </c>
      <c r="R2171" t="inlineStr">
        <is>
          <t>429-2025-12-31</t>
        </is>
      </c>
    </row>
    <row r="2172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48" t="n">
        <v>45107</v>
      </c>
      <c r="G2172" t="n">
        <v>2023</v>
      </c>
      <c r="H2172" t="inlineStr">
        <is>
          <t>Junio</t>
        </is>
      </c>
      <c r="I2172" t="inlineStr">
        <is>
          <t>2023-1</t>
        </is>
      </c>
      <c r="J2172" t="n">
        <v>95</v>
      </c>
      <c r="K2172" t="n">
        <v>104.59563552424</v>
      </c>
      <c r="L2172" s="59">
        <f>IFERROR(IF(OR(J2172=0,K2172=""),"",IF(E2172="Positivo",MIN(MAX(K2172/J2172,0),1.3),MIN(MAX(J2172/K2172,0),1.3))),"") </f>
        <v/>
      </c>
      <c r="M2172" s="59">
        <f>IFERROR(IF(OR(J2172=0,K2172=""),"",IF(E2172="Positivo",MAX(K2172/J2172,0),MAX(J2172/K2172,0))),"") </f>
        <v/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430-2023-06-30</t>
        </is>
      </c>
    </row>
    <row r="2173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Semestral</t>
        </is>
      </c>
      <c r="E2173" t="inlineStr">
        <is>
          <t>Positivo</t>
        </is>
      </c>
      <c r="F2173" s="148" t="n">
        <v>45291</v>
      </c>
      <c r="G2173" t="n">
        <v>2023</v>
      </c>
      <c r="H2173" t="inlineStr">
        <is>
          <t>Diciembre</t>
        </is>
      </c>
      <c r="I2173" t="inlineStr">
        <is>
          <t>2023-2</t>
        </is>
      </c>
      <c r="J2173" t="n">
        <v>95</v>
      </c>
      <c r="K2173" t="n">
        <v>101.39526345983</v>
      </c>
      <c r="L2173" s="59">
        <f>IFERROR(IF(OR(J2173=0,K2173=""),"",IF(E2173="Positivo",MIN(MAX(K2173/J2173,0),1.3),MIN(MAX(J2173/K2173,0),1.3))),"") </f>
        <v/>
      </c>
      <c r="M2173" s="59">
        <f>IFERROR(IF(OR(J2173=0,K2173=""),"",IF(E2173="Positivo",MAX(K2173/J2173,0),MAX(J2173/K2173,0))),"") </f>
        <v/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430-2023-12-31</t>
        </is>
      </c>
    </row>
    <row r="2174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Semestral</t>
        </is>
      </c>
      <c r="E2174" t="inlineStr">
        <is>
          <t>Positivo</t>
        </is>
      </c>
      <c r="F2174" s="148" t="n">
        <v>45473</v>
      </c>
      <c r="G2174" t="n">
        <v>2024</v>
      </c>
      <c r="H2174" t="inlineStr">
        <is>
          <t>Junio</t>
        </is>
      </c>
      <c r="I2174" t="inlineStr">
        <is>
          <t>2024-1</t>
        </is>
      </c>
      <c r="J2174" t="n">
        <v>95</v>
      </c>
      <c r="K2174" t="n">
        <v>101.88</v>
      </c>
      <c r="L2174" s="59">
        <f>IFERROR(IF(OR(J2174=0,K2174=""),"",IF(E2174="Positivo",MIN(MAX(K2174/J2174,0),1.3),MIN(MAX(J2174/K2174,0),1.3))),"") </f>
        <v/>
      </c>
      <c r="M2174" s="59">
        <f>IFERROR(IF(OR(J2174=0,K2174=""),"",IF(E2174="Positivo",MAX(K2174/J2174,0),MAX(J2174/K2174,0))),"") </f>
        <v/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430-2024-06-30</t>
        </is>
      </c>
    </row>
    <row r="2175">
      <c r="A2175" t="n">
        <v>430</v>
      </c>
      <c r="B2175" t="inlineStr">
        <is>
          <t>Cumplimiento ingresos por matriculas</t>
        </is>
      </c>
      <c r="C2175" t="inlineStr">
        <is>
          <t>Planeación Financiera</t>
        </is>
      </c>
      <c r="D2175" t="inlineStr">
        <is>
          <t>Semestral</t>
        </is>
      </c>
      <c r="E2175" t="inlineStr">
        <is>
          <t>Positivo</t>
        </is>
      </c>
      <c r="F2175" s="148" t="n">
        <v>45657</v>
      </c>
      <c r="G2175" t="n">
        <v>2024</v>
      </c>
      <c r="H2175" t="inlineStr">
        <is>
          <t>Diciembre</t>
        </is>
      </c>
      <c r="I2175" t="inlineStr">
        <is>
          <t>2024-2</t>
        </is>
      </c>
      <c r="J2175" t="n">
        <v>95</v>
      </c>
      <c r="K2175" t="n">
        <v>102.9374919710379</v>
      </c>
      <c r="L2175" s="59">
        <f>IFERROR(IF(OR(J2175=0,K2175=""),"",IF(E2175="Positivo",MIN(MAX(K2175/J2175,0),1.3),MIN(MAX(J2175/K2175,0),1.3))),"") </f>
        <v/>
      </c>
      <c r="M2175" s="59">
        <f>IFERROR(IF(OR(J2175=0,K2175=""),"",IF(E2175="Positivo",MAX(K2175/J2175,0),MAX(J2175/K2175,0))),"") </f>
        <v/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430-2024-12-31</t>
        </is>
      </c>
    </row>
    <row r="2176">
      <c r="A2176" t="n">
        <v>430</v>
      </c>
      <c r="B2176" t="inlineStr">
        <is>
          <t>Cumplimiento ingresos por matriculas</t>
        </is>
      </c>
      <c r="C2176" t="inlineStr">
        <is>
          <t>Planeación Financiera</t>
        </is>
      </c>
      <c r="D2176" t="inlineStr">
        <is>
          <t>Semestral</t>
        </is>
      </c>
      <c r="E2176" t="inlineStr">
        <is>
          <t>Positivo</t>
        </is>
      </c>
      <c r="F2176" s="148" t="n">
        <v>45838</v>
      </c>
      <c r="G2176" t="n">
        <v>2025</v>
      </c>
      <c r="H2176" t="inlineStr">
        <is>
          <t>Junio</t>
        </is>
      </c>
      <c r="I2176" t="inlineStr">
        <is>
          <t>2025-1</t>
        </is>
      </c>
      <c r="J2176" t="n">
        <v>95</v>
      </c>
      <c r="K2176" t="n">
        <v>110.79</v>
      </c>
      <c r="L2176" s="59">
        <f>IFERROR(IF(OR(J2176=0,K2176=""),"",IF(E2176="Positivo",MIN(MAX(K2176/J2176,0),1.3),MIN(MAX(J2176/K2176,0),1.3))),"") </f>
        <v/>
      </c>
      <c r="M2176" s="59">
        <f>IFERROR(IF(OR(J2176=0,K2176=""),"",IF(E2176="Positivo",MAX(K2176/J2176,0),MAX(J2176/K2176,0))),"") </f>
        <v/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430-2025-06-30</t>
        </is>
      </c>
    </row>
    <row r="2177">
      <c r="A2177" t="n">
        <v>430</v>
      </c>
      <c r="B2177" t="inlineStr">
        <is>
          <t>Cumplimiento ingresos por matriculas</t>
        </is>
      </c>
      <c r="C2177" t="inlineStr">
        <is>
          <t>Planeación Financiera</t>
        </is>
      </c>
      <c r="D2177" t="inlineStr">
        <is>
          <t>Trimestral</t>
        </is>
      </c>
      <c r="E2177" t="inlineStr">
        <is>
          <t>Positivo</t>
        </is>
      </c>
      <c r="F2177" s="148" t="n">
        <v>46022</v>
      </c>
      <c r="G2177" t="n">
        <v>2025</v>
      </c>
      <c r="H2177" t="inlineStr">
        <is>
          <t>Diciembre</t>
        </is>
      </c>
      <c r="I2177" t="inlineStr">
        <is>
          <t>2025-2</t>
        </is>
      </c>
      <c r="J2177" t="n">
        <v>95</v>
      </c>
      <c r="K2177" t="n">
        <v>111.76</v>
      </c>
      <c r="L2177" s="59">
        <f>IFERROR(IF(OR(J2177=0,K2177=""),"",IF(E2177="Positivo",MIN(MAX(K2177/J2177,0),1.3),MIN(MAX(J2177/K2177,0),1.3))),"") </f>
        <v/>
      </c>
      <c r="M2177" s="59">
        <f>IFERROR(IF(OR(J2177=0,K2177=""),"",IF(E2177="Positivo",MAX(K2177/J2177,0),MAX(J2177/K2177,0))),"") </f>
        <v/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430-2025-12-31</t>
        </is>
      </c>
    </row>
    <row r="2178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48" t="n">
        <v>45199</v>
      </c>
      <c r="G2178" t="n">
        <v>2023</v>
      </c>
      <c r="H2178" t="inlineStr">
        <is>
          <t>Septiembre</t>
        </is>
      </c>
      <c r="I2178" t="inlineStr">
        <is>
          <t>2023-2</t>
        </is>
      </c>
      <c r="J2178" t="n">
        <v>100</v>
      </c>
      <c r="K2178" t="n">
        <v>100</v>
      </c>
      <c r="L2178" s="59">
        <f>IFERROR(IF(OR(J2178=0,K2178=""),"",IF(E2178="Positivo",MIN(MAX(K2178/J2178,0),1.3),MIN(MAX(J2178/K2178,0),1.3))),"") </f>
        <v/>
      </c>
      <c r="M2178" s="59">
        <f>IFERROR(IF(OR(J2178=0,K2178=""),"",IF(E2178="Positivo",MAX(K2178/J2178,0),MAX(J2178/K2178,0))),"") </f>
        <v/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431-2023-09-30</t>
        </is>
      </c>
    </row>
    <row r="2179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48" t="n">
        <v>45291</v>
      </c>
      <c r="G2179" t="n">
        <v>2023</v>
      </c>
      <c r="H2179" t="inlineStr">
        <is>
          <t>Diciembre</t>
        </is>
      </c>
      <c r="I2179" t="inlineStr">
        <is>
          <t>2023-2</t>
        </is>
      </c>
      <c r="J2179" t="n">
        <v>100</v>
      </c>
      <c r="K2179" t="n">
        <v>100</v>
      </c>
      <c r="L2179" s="59">
        <f>IFERROR(IF(OR(J2179=0,K2179=""),"",IF(E2179="Positivo",MIN(MAX(K2179/J2179,0),1.3),MIN(MAX(J2179/K2179,0),1.3))),"") </f>
        <v/>
      </c>
      <c r="M2179" s="59">
        <f>IFERROR(IF(OR(J2179=0,K2179=""),"",IF(E2179="Positivo",MAX(K2179/J2179,0),MAX(J2179/K2179,0))),"") </f>
        <v/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431-2023-12-31</t>
        </is>
      </c>
    </row>
    <row r="2180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48" t="n">
        <v>45382</v>
      </c>
      <c r="G2180" t="n">
        <v>2024</v>
      </c>
      <c r="H2180" t="inlineStr">
        <is>
          <t>Marzo</t>
        </is>
      </c>
      <c r="I2180" t="inlineStr">
        <is>
          <t>2024-1</t>
        </is>
      </c>
      <c r="J2180" t="n">
        <v>100</v>
      </c>
      <c r="K2180" t="n">
        <v>100</v>
      </c>
      <c r="L2180" s="59">
        <f>IFERROR(IF(OR(J2180=0,K2180=""),"",IF(E2180="Positivo",MIN(MAX(K2180/J2180,0),1.3),MIN(MAX(J2180/K2180,0),1.3))),"") </f>
        <v/>
      </c>
      <c r="M2180" s="59">
        <f>IFERROR(IF(OR(J2180=0,K2180=""),"",IF(E2180="Positivo",MAX(K2180/J2180,0),MAX(J2180/K2180,0))),"") </f>
        <v/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431-2024-03-31</t>
        </is>
      </c>
    </row>
    <row r="218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Trimestral</t>
        </is>
      </c>
      <c r="E2181" t="inlineStr">
        <is>
          <t>Positivo</t>
        </is>
      </c>
      <c r="F2181" s="148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100</v>
      </c>
      <c r="K2181" t="n">
        <v>100</v>
      </c>
      <c r="L2181" s="59">
        <f>IFERROR(IF(OR(J2181=0,K2181=""),"",IF(E2181="Positivo",MIN(MAX(K2181/J2181,0),1.3),MIN(MAX(J2181/K2181,0),1.3))),"") </f>
        <v/>
      </c>
      <c r="M2181" s="59">
        <f>IFERROR(IF(OR(J2181=0,K2181=""),"",IF(E2181="Positivo",MAX(K2181/J2181,0),MAX(J2181/K2181,0))),"") </f>
        <v/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431-2024-06-30</t>
        </is>
      </c>
    </row>
    <row r="2182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Trimestral</t>
        </is>
      </c>
      <c r="E2182" t="inlineStr">
        <is>
          <t>Positivo</t>
        </is>
      </c>
      <c r="F2182" s="148" t="n">
        <v>45565</v>
      </c>
      <c r="G2182" t="n">
        <v>2024</v>
      </c>
      <c r="H2182" t="inlineStr">
        <is>
          <t>Septiembre</t>
        </is>
      </c>
      <c r="I2182" t="inlineStr">
        <is>
          <t>2024-2</t>
        </is>
      </c>
      <c r="J2182" t="n">
        <v>100</v>
      </c>
      <c r="K2182" t="n">
        <v>100</v>
      </c>
      <c r="L2182" s="59">
        <f>IFERROR(IF(OR(J2182=0,K2182=""),"",IF(E2182="Positivo",MIN(MAX(K2182/J2182,0),1.3),MIN(MAX(J2182/K2182,0),1.3))),"") </f>
        <v/>
      </c>
      <c r="M2182" s="59">
        <f>IFERROR(IF(OR(J2182=0,K2182=""),"",IF(E2182="Positivo",MAX(K2182/J2182,0),MAX(J2182/K2182,0))),"") </f>
        <v/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431-2024-09-30</t>
        </is>
      </c>
    </row>
    <row r="2183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Trimestral</t>
        </is>
      </c>
      <c r="E2183" t="inlineStr">
        <is>
          <t>Positivo</t>
        </is>
      </c>
      <c r="F2183" s="148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100</v>
      </c>
      <c r="K2183" t="n">
        <v>100</v>
      </c>
      <c r="L2183" s="59">
        <f>IFERROR(IF(OR(J2183=0,K2183=""),"",IF(E2183="Positivo",MIN(MAX(K2183/J2183,0),1.3),MIN(MAX(J2183/K2183,0),1.3))),"") </f>
        <v/>
      </c>
      <c r="M2183" s="59">
        <f>IFERROR(IF(OR(J2183=0,K2183=""),"",IF(E2183="Positivo",MAX(K2183/J2183,0),MAX(J2183/K2183,0))),"") </f>
        <v/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431-2024-12-31</t>
        </is>
      </c>
    </row>
    <row r="2184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Trimestral</t>
        </is>
      </c>
      <c r="E2184" t="inlineStr">
        <is>
          <t>Positivo</t>
        </is>
      </c>
      <c r="F2184" s="148" t="n">
        <v>45747</v>
      </c>
      <c r="G2184" t="n">
        <v>2025</v>
      </c>
      <c r="H2184" t="inlineStr">
        <is>
          <t>Marzo</t>
        </is>
      </c>
      <c r="I2184" t="inlineStr">
        <is>
          <t>2025-1</t>
        </is>
      </c>
      <c r="J2184" t="n">
        <v>100</v>
      </c>
      <c r="K2184" t="n">
        <v>100</v>
      </c>
      <c r="L2184" s="59">
        <f>IFERROR(IF(OR(J2184=0,K2184=""),"",IF(E2184="Positivo",MIN(MAX(K2184/J2184,0),1.3),MIN(MAX(J2184/K2184,0),1.3))),"") </f>
        <v/>
      </c>
      <c r="M2184" s="59">
        <f>IFERROR(IF(OR(J2184=0,K2184=""),"",IF(E2184="Positivo",MAX(K2184/J2184,0),MAX(J2184/K2184,0))),"") </f>
        <v/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431-2025-03-31</t>
        </is>
      </c>
    </row>
    <row r="2185">
      <c r="A2185" t="n">
        <v>431</v>
      </c>
      <c r="B2185" t="inlineStr">
        <is>
          <t>Gestión de casos de salud que impactan a los colaboradores</t>
        </is>
      </c>
      <c r="C2185" t="inlineStr">
        <is>
          <t>GESTIÓN DE SEGURIDAD Y SALUD EN EL TRABAJO</t>
        </is>
      </c>
      <c r="D2185" t="inlineStr">
        <is>
          <t>Trimestral</t>
        </is>
      </c>
      <c r="E2185" t="inlineStr">
        <is>
          <t>Positivo</t>
        </is>
      </c>
      <c r="F2185" s="148" t="n">
        <v>45838</v>
      </c>
      <c r="G2185" t="n">
        <v>2025</v>
      </c>
      <c r="H2185" t="inlineStr">
        <is>
          <t>Junio</t>
        </is>
      </c>
      <c r="I2185" t="inlineStr">
        <is>
          <t>2025-1</t>
        </is>
      </c>
      <c r="J2185" t="n">
        <v>100</v>
      </c>
      <c r="K2185" t="n">
        <v>100</v>
      </c>
      <c r="L2185" s="59">
        <f>IFERROR(IF(OR(J2185=0,K2185=""),"",IF(E2185="Positivo",MIN(MAX(K2185/J2185,0),1.3),MIN(MAX(J2185/K2185,0),1.3))),"") </f>
        <v/>
      </c>
      <c r="M2185" s="59">
        <f>IFERROR(IF(OR(J2185=0,K2185=""),"",IF(E2185="Positivo",MAX(K2185/J2185,0),MAX(J2185/K2185,0))),"") </f>
        <v/>
      </c>
      <c r="N2185" t="inlineStr">
        <is>
          <t>%</t>
        </is>
      </c>
      <c r="O2185" t="inlineStr">
        <is>
          <t>%</t>
        </is>
      </c>
      <c r="P2185" t="n">
        <v>0</v>
      </c>
      <c r="Q2185" t="n">
        <v>0</v>
      </c>
      <c r="R2185" t="inlineStr">
        <is>
          <t>431-2025-06-30</t>
        </is>
      </c>
    </row>
    <row r="2186">
      <c r="A2186" t="n">
        <v>431</v>
      </c>
      <c r="B2186" t="inlineStr">
        <is>
          <t>Gestión de casos de salud que impactan a los colaboradores</t>
        </is>
      </c>
      <c r="C2186" t="inlineStr">
        <is>
          <t>GESTIÓN DE SEGURIDAD Y SALUD EN EL TRABAJO</t>
        </is>
      </c>
      <c r="D2186" t="inlineStr">
        <is>
          <t>Semestral</t>
        </is>
      </c>
      <c r="E2186" t="inlineStr">
        <is>
          <t>Positivo</t>
        </is>
      </c>
      <c r="F2186" s="148" t="n">
        <v>45930</v>
      </c>
      <c r="G2186" t="n">
        <v>2025</v>
      </c>
      <c r="H2186" t="inlineStr">
        <is>
          <t>Septiembre</t>
        </is>
      </c>
      <c r="I2186" t="inlineStr">
        <is>
          <t>2025-2</t>
        </is>
      </c>
      <c r="J2186" t="n">
        <v>100</v>
      </c>
      <c r="K2186" t="n">
        <v>100</v>
      </c>
      <c r="L2186" s="59">
        <f>IFERROR(IF(OR(J2186=0,K2186=""),"",IF(E2186="Positivo",MIN(MAX(K2186/J2186,0),1.3),MIN(MAX(J2186/K2186,0),1.3))),"") </f>
        <v/>
      </c>
      <c r="M2186" s="59">
        <f>IFERROR(IF(OR(J2186=0,K2186=""),"",IF(E2186="Positivo",MAX(K2186/J2186,0),MAX(J2186/K2186,0))),"") </f>
        <v/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431-2025-09-30</t>
        </is>
      </c>
    </row>
    <row r="2187">
      <c r="A2187" t="n">
        <v>431</v>
      </c>
      <c r="B2187" t="inlineStr">
        <is>
          <t>Gestión de casos de salud que impactan a los colaboradores</t>
        </is>
      </c>
      <c r="C2187" t="inlineStr">
        <is>
          <t>GESTIÓN DE SEGURIDAD Y SALUD EN EL TRABAJO</t>
        </is>
      </c>
      <c r="D2187" t="inlineStr">
        <is>
          <t>Semestral</t>
        </is>
      </c>
      <c r="E2187" t="inlineStr">
        <is>
          <t>Positivo</t>
        </is>
      </c>
      <c r="F2187" s="148" t="n">
        <v>46022</v>
      </c>
      <c r="G2187" t="n">
        <v>2025</v>
      </c>
      <c r="H2187" t="inlineStr">
        <is>
          <t>Diciembre</t>
        </is>
      </c>
      <c r="I2187" t="inlineStr">
        <is>
          <t>2025-2</t>
        </is>
      </c>
      <c r="J2187" t="n">
        <v>100</v>
      </c>
      <c r="K2187" t="n">
        <v>100</v>
      </c>
      <c r="L2187" s="59">
        <f>IFERROR(IF(OR(J2187=0,K2187=""),"",IF(E2187="Positivo",MIN(MAX(K2187/J2187,0),1.3),MIN(MAX(J2187/K2187,0),1.3))),"") </f>
        <v/>
      </c>
      <c r="M2187" s="59">
        <f>IFERROR(IF(OR(J2187=0,K2187=""),"",IF(E2187="Positivo",MAX(K2187/J2187,0),MAX(J2187/K2187,0))),"") </f>
        <v/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431-2025-12-31</t>
        </is>
      </c>
    </row>
    <row r="2188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Semestral</t>
        </is>
      </c>
      <c r="E2188" t="inlineStr">
        <is>
          <t>Positivo</t>
        </is>
      </c>
      <c r="F2188" s="148" t="n">
        <v>45107</v>
      </c>
      <c r="G2188" t="n">
        <v>2023</v>
      </c>
      <c r="H2188" t="inlineStr">
        <is>
          <t>Junio</t>
        </is>
      </c>
      <c r="I2188" t="inlineStr">
        <is>
          <t>2023-1</t>
        </is>
      </c>
      <c r="N2188" t="inlineStr">
        <is>
          <t>%</t>
        </is>
      </c>
      <c r="O2188" t="inlineStr">
        <is>
          <t>No Aplica</t>
        </is>
      </c>
      <c r="P2188" t="n">
        <v>0</v>
      </c>
      <c r="Q2188" t="n">
        <v>0</v>
      </c>
      <c r="R2188" t="inlineStr">
        <is>
          <t>432-2023-06-30</t>
        </is>
      </c>
      <c r="S2188" t="inlineStr">
        <is>
          <t>No Aplica</t>
        </is>
      </c>
    </row>
    <row r="2189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48" t="n">
        <v>45199</v>
      </c>
      <c r="G2189" t="n">
        <v>2023</v>
      </c>
      <c r="H2189" t="inlineStr">
        <is>
          <t>Septiembre</t>
        </is>
      </c>
      <c r="I2189" t="inlineStr">
        <is>
          <t>2023-2</t>
        </is>
      </c>
      <c r="J2189" t="n">
        <v>90</v>
      </c>
      <c r="K2189" t="n">
        <v>100</v>
      </c>
      <c r="L2189" s="59">
        <f>IFERROR(IF(OR(J2189=0,K2189=""),"",IF(E2189="Positivo",MIN(MAX(K2189/J2189,0),1.3),MIN(MAX(J2189/K2189,0),1.3))),"") </f>
        <v/>
      </c>
      <c r="M2189" s="59">
        <f>IFERROR(IF(OR(J2189=0,K2189=""),"",IF(E2189="Positivo",MAX(K2189/J2189,0),MAX(J2189/K2189,0))),"") </f>
        <v/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432-2023-09-30</t>
        </is>
      </c>
    </row>
    <row r="2190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48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90</v>
      </c>
      <c r="K2190" t="n">
        <v>98.76555555555601</v>
      </c>
      <c r="L2190" s="59">
        <f>IFERROR(IF(OR(J2190=0,K2190=""),"",IF(E2190="Positivo",MIN(MAX(K2190/J2190,0),1.3),MIN(MAX(J2190/K2190,0),1.3))),"") </f>
        <v/>
      </c>
      <c r="M2190" s="59">
        <f>IFERROR(IF(OR(J2190=0,K2190=""),"",IF(E2190="Positivo",MAX(K2190/J2190,0),MAX(J2190/K2190,0))),"") </f>
        <v/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432-2023-12-31</t>
        </is>
      </c>
    </row>
    <row r="219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48" t="n">
        <v>45382</v>
      </c>
      <c r="G2191" t="n">
        <v>2024</v>
      </c>
      <c r="H2191" t="inlineStr">
        <is>
          <t>Marzo</t>
        </is>
      </c>
      <c r="I2191" t="inlineStr">
        <is>
          <t>2024-1</t>
        </is>
      </c>
      <c r="J2191" t="n">
        <v>90</v>
      </c>
      <c r="K2191" t="n">
        <v>100</v>
      </c>
      <c r="L2191" s="59">
        <f>IFERROR(IF(OR(J2191=0,K2191=""),"",IF(E2191="Positivo",MIN(MAX(K2191/J2191,0),1.3),MIN(MAX(J2191/K2191,0),1.3))),"") </f>
        <v/>
      </c>
      <c r="M2191" s="59">
        <f>IFERROR(IF(OR(J2191=0,K2191=""),"",IF(E2191="Positivo",MAX(K2191/J2191,0),MAX(J2191/K2191,0))),"") </f>
        <v/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432-2024-03-31</t>
        </is>
      </c>
    </row>
    <row r="2192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Trimestral</t>
        </is>
      </c>
      <c r="E2192" t="inlineStr">
        <is>
          <t>Positivo</t>
        </is>
      </c>
      <c r="F2192" s="148" t="n">
        <v>45473</v>
      </c>
      <c r="G2192" t="n">
        <v>2024</v>
      </c>
      <c r="H2192" t="inlineStr">
        <is>
          <t>Junio</t>
        </is>
      </c>
      <c r="I2192" t="inlineStr">
        <is>
          <t>2024-1</t>
        </is>
      </c>
      <c r="J2192" t="n">
        <v>90</v>
      </c>
      <c r="K2192" t="n">
        <v>100</v>
      </c>
      <c r="L2192" s="59">
        <f>IFERROR(IF(OR(J2192=0,K2192=""),"",IF(E2192="Positivo",MIN(MAX(K2192/J2192,0),1.3),MIN(MAX(J2192/K2192,0),1.3))),"") </f>
        <v/>
      </c>
      <c r="M2192" s="59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432-2024-06-30</t>
        </is>
      </c>
    </row>
    <row r="2193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Trimestral</t>
        </is>
      </c>
      <c r="E2193" t="inlineStr">
        <is>
          <t>Positivo</t>
        </is>
      </c>
      <c r="F2193" s="148" t="n">
        <v>45565</v>
      </c>
      <c r="G2193" t="n">
        <v>2024</v>
      </c>
      <c r="H2193" t="inlineStr">
        <is>
          <t>Septiembre</t>
        </is>
      </c>
      <c r="I2193" t="inlineStr">
        <is>
          <t>2024-2</t>
        </is>
      </c>
      <c r="J2193" t="n">
        <v>90</v>
      </c>
      <c r="K2193" t="n">
        <v>0</v>
      </c>
      <c r="L2193" s="59">
        <f>IFERROR(IF(OR(J2193=0,K2193=""),"",IF(E2193="Positivo",MIN(MAX(K2193/J2193,0),1.3),MIN(MAX(J2193/K2193,0),1.3))),"") </f>
        <v/>
      </c>
      <c r="M2193" s="59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432-2024-09-30</t>
        </is>
      </c>
    </row>
    <row r="2194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Trimestral</t>
        </is>
      </c>
      <c r="E2194" t="inlineStr">
        <is>
          <t>Positivo</t>
        </is>
      </c>
      <c r="F2194" s="148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90</v>
      </c>
      <c r="K2194" t="n">
        <v>100</v>
      </c>
      <c r="L2194" s="59">
        <f>IFERROR(IF(OR(J2194=0,K2194=""),"",IF(E2194="Positivo",MIN(MAX(K2194/J2194,0),1.3),MIN(MAX(J2194/K2194,0),1.3))),"") </f>
        <v/>
      </c>
      <c r="M2194" s="59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432-2024-12-31</t>
        </is>
      </c>
    </row>
    <row r="2195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148" t="n">
        <v>45747</v>
      </c>
      <c r="G2195" t="n">
        <v>2025</v>
      </c>
      <c r="H2195" t="inlineStr">
        <is>
          <t>Marzo</t>
        </is>
      </c>
      <c r="I2195" t="inlineStr">
        <is>
          <t>2025-1</t>
        </is>
      </c>
      <c r="J2195" t="n">
        <v>90</v>
      </c>
      <c r="K2195" t="n">
        <v>100</v>
      </c>
      <c r="L2195" s="59">
        <f>IFERROR(IF(OR(J2195=0,K2195=""),"",IF(E2195="Positivo",MIN(MAX(K2195/J2195,0),1.3),MIN(MAX(J2195/K2195,0),1.3))),"") </f>
        <v/>
      </c>
      <c r="M2195" s="59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432-2025-03-31</t>
        </is>
      </c>
    </row>
    <row r="2196">
      <c r="A2196" t="n">
        <v>432</v>
      </c>
      <c r="B2196" t="inlineStr">
        <is>
          <t>Intervención a la gestión del riesgo de los colaboradores</t>
        </is>
      </c>
      <c r="C2196" t="inlineStr">
        <is>
          <t>GESTIÓN DE SEGURIDAD Y SALUD EN EL TRABAJO</t>
        </is>
      </c>
      <c r="D2196" t="inlineStr">
        <is>
          <t>Trimestral</t>
        </is>
      </c>
      <c r="E2196" t="inlineStr">
        <is>
          <t>Positivo</t>
        </is>
      </c>
      <c r="F2196" s="148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90</v>
      </c>
      <c r="K2196" t="n">
        <v>100</v>
      </c>
      <c r="L2196" s="59">
        <f>IFERROR(IF(OR(J2196=0,K2196=""),"",IF(E2196="Positivo",MIN(MAX(K2196/J2196,0),1.3),MIN(MAX(J2196/K2196,0),1.3))),"") </f>
        <v/>
      </c>
      <c r="M2196" s="59">
        <f>IFERROR(IF(OR(J2196=0,K2196=""),"",IF(E2196="Positivo",MAX(K2196/J2196,0),MAX(J2196/K2196,0))),"") </f>
        <v/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432-2025-06-30</t>
        </is>
      </c>
    </row>
    <row r="2197">
      <c r="A2197" t="n">
        <v>432</v>
      </c>
      <c r="B2197" t="inlineStr">
        <is>
          <t>Intervención a la gestión del riesgo de los colaboradores</t>
        </is>
      </c>
      <c r="C2197" t="inlineStr">
        <is>
          <t>GESTIÓN DE SEGURIDAD Y SALUD EN EL TRABAJO</t>
        </is>
      </c>
      <c r="D2197" t="inlineStr">
        <is>
          <t>Semestral</t>
        </is>
      </c>
      <c r="E2197" t="inlineStr">
        <is>
          <t>Positivo</t>
        </is>
      </c>
      <c r="F2197" s="148" t="n">
        <v>45930</v>
      </c>
      <c r="G2197" t="n">
        <v>2025</v>
      </c>
      <c r="H2197" t="inlineStr">
        <is>
          <t>Septiembre</t>
        </is>
      </c>
      <c r="I2197" t="inlineStr">
        <is>
          <t>2025-2</t>
        </is>
      </c>
      <c r="J2197" t="n">
        <v>90</v>
      </c>
      <c r="K2197" t="n">
        <v>100</v>
      </c>
      <c r="L2197" s="59">
        <f>IFERROR(IF(OR(J2197=0,K2197=""),"",IF(E2197="Positivo",MIN(MAX(K2197/J2197,0),1.3),MIN(MAX(J2197/K2197,0),1.3))),"") </f>
        <v/>
      </c>
      <c r="M2197" s="59">
        <f>IFERROR(IF(OR(J2197=0,K2197=""),"",IF(E2197="Positivo",MAX(K2197/J2197,0),MAX(J2197/K2197,0))),"") </f>
        <v/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432-2025-09-30</t>
        </is>
      </c>
    </row>
    <row r="2198">
      <c r="A2198" t="n">
        <v>432</v>
      </c>
      <c r="B2198" t="inlineStr">
        <is>
          <t>Intervención a la gestión del riesgo de los colaboradores</t>
        </is>
      </c>
      <c r="C2198" t="inlineStr">
        <is>
          <t>GESTIÓN DE SEGURIDAD Y SALUD EN EL TRABAJO</t>
        </is>
      </c>
      <c r="D2198" t="inlineStr">
        <is>
          <t>Semestral</t>
        </is>
      </c>
      <c r="E2198" t="inlineStr">
        <is>
          <t>Positivo</t>
        </is>
      </c>
      <c r="F2198" s="148" t="n">
        <v>46022</v>
      </c>
      <c r="G2198" t="n">
        <v>2025</v>
      </c>
      <c r="H2198" t="inlineStr">
        <is>
          <t>Diciembre</t>
        </is>
      </c>
      <c r="I2198" t="inlineStr">
        <is>
          <t>2025-2</t>
        </is>
      </c>
      <c r="J2198" t="n">
        <v>90</v>
      </c>
      <c r="K2198" t="n">
        <v>100</v>
      </c>
      <c r="L2198" s="59">
        <f>IFERROR(IF(OR(J2198=0,K2198=""),"",IF(E2198="Positivo",MIN(MAX(K2198/J2198,0),1.3),MIN(MAX(J2198/K2198,0),1.3))),"") </f>
        <v/>
      </c>
      <c r="M2198" s="59">
        <f>IFERROR(IF(OR(J2198=0,K2198=""),"",IF(E2198="Positivo",MAX(K2198/J2198,0),MAX(J2198/K2198,0))),"") </f>
        <v/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432-2025-12-31</t>
        </is>
      </c>
    </row>
    <row r="2199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48" t="n">
        <v>45107</v>
      </c>
      <c r="G2199" t="n">
        <v>2023</v>
      </c>
      <c r="H2199" t="inlineStr">
        <is>
          <t>Junio</t>
        </is>
      </c>
      <c r="I2199" t="inlineStr">
        <is>
          <t>2023-1</t>
        </is>
      </c>
      <c r="J2199" t="n">
        <v>0.05</v>
      </c>
      <c r="K2199" t="n">
        <v>0.02</v>
      </c>
      <c r="L2199" s="59">
        <f>IFERROR(IF(OR(J2199=0,K2199=""),"",IF(E2199="Positivo",MIN(MAX(K2199/J2199,0),1.3),MIN(MAX(J2199/K2199,0),1.3))),"") </f>
        <v/>
      </c>
      <c r="M2199" s="59">
        <f>IFERROR(IF(OR(J2199=0,K2199=""),"",IF(E2199="Positivo",MAX(K2199/J2199,0),MAX(J2199/K2199,0))),"") </f>
        <v/>
      </c>
      <c r="N2199" t="inlineStr">
        <is>
          <t>DEC</t>
        </is>
      </c>
      <c r="O2199" t="inlineStr">
        <is>
          <t>DEC</t>
        </is>
      </c>
      <c r="P2199" t="n">
        <v>1</v>
      </c>
      <c r="Q2199" t="n">
        <v>2</v>
      </c>
      <c r="R2199" t="inlineStr">
        <is>
          <t>433-2023-06-30</t>
        </is>
      </c>
    </row>
    <row r="2200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Semestral</t>
        </is>
      </c>
      <c r="E2200" t="inlineStr">
        <is>
          <t>Negativo</t>
        </is>
      </c>
      <c r="F2200" s="148" t="n">
        <v>45291</v>
      </c>
      <c r="G2200" t="n">
        <v>2023</v>
      </c>
      <c r="H2200" t="inlineStr">
        <is>
          <t>Diciembre</t>
        </is>
      </c>
      <c r="I2200" t="inlineStr">
        <is>
          <t>2023-2</t>
        </is>
      </c>
      <c r="J2200" t="n">
        <v>0.05</v>
      </c>
      <c r="K2200" t="n">
        <v>0.05</v>
      </c>
      <c r="L2200" s="59">
        <f>IFERROR(IF(OR(J2200=0,K2200=""),"",IF(E2200="Positivo",MIN(MAX(K2200/J2200,0),1.3),MIN(MAX(J2200/K2200,0),1.3))),"") </f>
        <v/>
      </c>
      <c r="M2200" s="59">
        <f>IFERROR(IF(OR(J2200=0,K2200=""),"",IF(E2200="Positivo",MAX(K2200/J2200,0),MAX(J2200/K2200,0))),"") </f>
        <v/>
      </c>
      <c r="N2200" t="inlineStr">
        <is>
          <t>DEC</t>
        </is>
      </c>
      <c r="O2200" t="inlineStr">
        <is>
          <t>DEC</t>
        </is>
      </c>
      <c r="P2200" t="n">
        <v>0</v>
      </c>
      <c r="Q2200" t="n">
        <v>0</v>
      </c>
      <c r="R2200" t="inlineStr">
        <is>
          <t>433-2023-12-31</t>
        </is>
      </c>
    </row>
    <row r="220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Semestral</t>
        </is>
      </c>
      <c r="E2201" t="inlineStr">
        <is>
          <t>Negativo</t>
        </is>
      </c>
      <c r="F2201" s="148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0.05</v>
      </c>
      <c r="K2201" t="n">
        <v>0.07000000000000001</v>
      </c>
      <c r="L2201" s="59">
        <f>IFERROR(IF(OR(J2201=0,K2201=""),"",IF(E2201="Positivo",MIN(MAX(K2201/J2201,0),1.3),MIN(MAX(J2201/K2201,0),1.3))),"") </f>
        <v/>
      </c>
      <c r="M2201" s="59">
        <f>IFERROR(IF(OR(J2201=0,K2201=""),"",IF(E2201="Positivo",MAX(K2201/J2201,0),MAX(J2201/K2201,0))),"") </f>
        <v/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433-2024-06-30</t>
        </is>
      </c>
    </row>
    <row r="2202">
      <c r="A2202" t="n">
        <v>433</v>
      </c>
      <c r="B2202" t="inlineStr">
        <is>
          <t>Generación de Residuos Peligrosos per Cápita Semestral</t>
        </is>
      </c>
      <c r="C2202" t="inlineStr">
        <is>
          <t>GESTIÓN AMBIENTAL</t>
        </is>
      </c>
      <c r="D2202" t="inlineStr">
        <is>
          <t>Semestral</t>
        </is>
      </c>
      <c r="E2202" t="inlineStr">
        <is>
          <t>Negativo</t>
        </is>
      </c>
      <c r="F2202" s="148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0.05</v>
      </c>
      <c r="K2202" t="n">
        <v>0.14</v>
      </c>
      <c r="L2202" s="59">
        <f>IFERROR(IF(OR(J2202=0,K2202=""),"",IF(E2202="Positivo",MIN(MAX(K2202/J2202,0),1.3),MIN(MAX(J2202/K2202,0),1.3))),"") </f>
        <v/>
      </c>
      <c r="M2202" s="59">
        <f>IFERROR(IF(OR(J2202=0,K2202=""),"",IF(E2202="Positivo",MAX(K2202/J2202,0),MAX(J2202/K2202,0))),"") </f>
        <v/>
      </c>
      <c r="N2202" t="inlineStr">
        <is>
          <t>DEC</t>
        </is>
      </c>
      <c r="O2202" t="inlineStr">
        <is>
          <t>DEC</t>
        </is>
      </c>
      <c r="P2202" t="n">
        <v>2</v>
      </c>
      <c r="Q2202" t="n">
        <v>2</v>
      </c>
      <c r="R2202" t="inlineStr">
        <is>
          <t>433-2024-12-31</t>
        </is>
      </c>
    </row>
    <row r="2203">
      <c r="A2203" t="n">
        <v>433</v>
      </c>
      <c r="B2203" t="inlineStr">
        <is>
          <t>Generación de Residuos Peligrosos per Cápita Semestral</t>
        </is>
      </c>
      <c r="C2203" t="inlineStr">
        <is>
          <t>GESTIÓN AMBIENTAL</t>
        </is>
      </c>
      <c r="D2203" t="inlineStr">
        <is>
          <t>Semestral</t>
        </is>
      </c>
      <c r="E2203" t="inlineStr">
        <is>
          <t>Negativo</t>
        </is>
      </c>
      <c r="F2203" s="148" t="n">
        <v>45838</v>
      </c>
      <c r="G2203" t="n">
        <v>2025</v>
      </c>
      <c r="H2203" t="inlineStr">
        <is>
          <t>Junio</t>
        </is>
      </c>
      <c r="I2203" t="inlineStr">
        <is>
          <t>2025-1</t>
        </is>
      </c>
      <c r="J2203" t="n">
        <v>0.05</v>
      </c>
      <c r="K2203" t="n">
        <v>0.02</v>
      </c>
      <c r="L2203" s="59">
        <f>IFERROR(IF(OR(J2203=0,K2203=""),"",IF(E2203="Positivo",MIN(MAX(K2203/J2203,0),1.3),MIN(MAX(J2203/K2203,0),1.3))),"") </f>
        <v/>
      </c>
      <c r="M2203" s="59">
        <f>IFERROR(IF(OR(J2203=0,K2203=""),"",IF(E2203="Positivo",MAX(K2203/J2203,0),MAX(J2203/K2203,0))),"") </f>
        <v/>
      </c>
      <c r="N2203" t="inlineStr">
        <is>
          <t>DEC</t>
        </is>
      </c>
      <c r="O2203" t="inlineStr">
        <is>
          <t>DEC</t>
        </is>
      </c>
      <c r="P2203" t="n">
        <v>2</v>
      </c>
      <c r="Q2203" t="n">
        <v>2</v>
      </c>
      <c r="R2203" t="inlineStr">
        <is>
          <t>433-2025-06-30</t>
        </is>
      </c>
    </row>
    <row r="2204">
      <c r="A2204" t="n">
        <v>433</v>
      </c>
      <c r="B2204" t="inlineStr">
        <is>
          <t>Generación de Residuos Peligrosos per Cápita Semestral</t>
        </is>
      </c>
      <c r="C2204" t="inlineStr">
        <is>
          <t>GESTIÓN AMBIENTAL</t>
        </is>
      </c>
      <c r="D2204" t="inlineStr">
        <is>
          <t>Trimestral</t>
        </is>
      </c>
      <c r="E2204" t="inlineStr">
        <is>
          <t>Negativo</t>
        </is>
      </c>
      <c r="F2204" s="148" t="n">
        <v>46022</v>
      </c>
      <c r="G2204" t="n">
        <v>2025</v>
      </c>
      <c r="H2204" t="inlineStr">
        <is>
          <t>Diciembre</t>
        </is>
      </c>
      <c r="I2204" t="inlineStr">
        <is>
          <t>2025-2</t>
        </is>
      </c>
      <c r="J2204" t="n">
        <v>0.05</v>
      </c>
      <c r="K2204" t="n">
        <v>0.17</v>
      </c>
      <c r="L2204" s="59">
        <f>IFERROR(IF(OR(J2204=0,K2204=""),"",IF(E2204="Positivo",MIN(MAX(K2204/J2204,0),1.3),MIN(MAX(J2204/K2204,0),1.3))),"") </f>
        <v/>
      </c>
      <c r="M2204" s="59">
        <f>IFERROR(IF(OR(J2204=0,K2204=""),"",IF(E2204="Positivo",MAX(K2204/J2204,0),MAX(J2204/K2204,0))),"") </f>
        <v/>
      </c>
      <c r="N2204" t="inlineStr">
        <is>
          <t>DEC</t>
        </is>
      </c>
      <c r="O2204" t="inlineStr">
        <is>
          <t>DEC</t>
        </is>
      </c>
      <c r="P2204" t="n">
        <v>2</v>
      </c>
      <c r="Q2204" t="n">
        <v>2</v>
      </c>
      <c r="R2204" t="inlineStr">
        <is>
          <t>433-2025-12-31</t>
        </is>
      </c>
    </row>
    <row r="2205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48" t="n">
        <v>44957</v>
      </c>
      <c r="G2205" t="n">
        <v>2023</v>
      </c>
      <c r="H2205" t="inlineStr">
        <is>
          <t>Enero</t>
        </is>
      </c>
      <c r="I2205" t="inlineStr">
        <is>
          <t>2023-1</t>
        </is>
      </c>
      <c r="J2205" t="n">
        <v>200</v>
      </c>
      <c r="K2205" t="n">
        <v>7</v>
      </c>
      <c r="L2205" s="59">
        <f>IFERROR(IF(OR(J2205=0,K2205=""),"",IF(E2205="Positivo",MIN(MAX(K2205/J2205,0),1.3),MIN(MAX(J2205/K2205,0),1.3))),"") </f>
        <v/>
      </c>
      <c r="M2205" s="59">
        <f>IFERROR(IF(OR(J2205=0,K2205=""),"",IF(E2205="Positivo",MAX(K2205/J2205,0),MAX(J2205/K2205,0))),"") </f>
        <v/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434-2023-01-31</t>
        </is>
      </c>
    </row>
    <row r="2206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48" t="n">
        <v>44985</v>
      </c>
      <c r="G2206" t="n">
        <v>2023</v>
      </c>
      <c r="H2206" t="inlineStr">
        <is>
          <t>Febrero</t>
        </is>
      </c>
      <c r="I2206" t="inlineStr">
        <is>
          <t>2023-1</t>
        </is>
      </c>
      <c r="J2206" t="n">
        <v>200</v>
      </c>
      <c r="K2206" t="n">
        <v>0</v>
      </c>
      <c r="L2206" s="59">
        <f>IFERROR(IF(OR(J2206=0,K2206=""),"",IF(E2206="Positivo",MIN(MAX(K2206/J2206,0),1.3),MIN(MAX(J2206/K2206,0),1.3))),"") </f>
        <v/>
      </c>
      <c r="M2206" s="59">
        <f>IFERROR(IF(OR(J2206=0,K2206=""),"",IF(E2206="Positivo",MAX(K2206/J2206,0),MAX(J2206/K2206,0))),"") </f>
        <v/>
      </c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434-2023-02-28</t>
        </is>
      </c>
    </row>
    <row r="2207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48" t="n">
        <v>45016</v>
      </c>
      <c r="G2207" t="n">
        <v>2023</v>
      </c>
      <c r="H2207" t="inlineStr">
        <is>
          <t>Marzo</t>
        </is>
      </c>
      <c r="I2207" t="inlineStr">
        <is>
          <t>2023-1</t>
        </is>
      </c>
      <c r="J2207" t="n">
        <v>200</v>
      </c>
      <c r="K2207" t="n">
        <v>1</v>
      </c>
      <c r="L2207" s="59">
        <f>IFERROR(IF(OR(J2207=0,K2207=""),"",IF(E2207="Positivo",MIN(MAX(K2207/J2207,0),1.3),MIN(MAX(J2207/K2207,0),1.3))),"") </f>
        <v/>
      </c>
      <c r="M2207" s="59">
        <f>IFERROR(IF(OR(J2207=0,K2207=""),"",IF(E2207="Positivo",MAX(K2207/J2207,0),MAX(J2207/K2207,0))),"") </f>
        <v/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434-2023-03-31</t>
        </is>
      </c>
    </row>
    <row r="2208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48" t="n">
        <v>45046</v>
      </c>
      <c r="G2208" t="n">
        <v>2023</v>
      </c>
      <c r="H2208" t="inlineStr">
        <is>
          <t>Abril</t>
        </is>
      </c>
      <c r="I2208" t="inlineStr">
        <is>
          <t>2023-1</t>
        </is>
      </c>
      <c r="J2208" t="n">
        <v>200</v>
      </c>
      <c r="K2208" t="n">
        <v>0.8</v>
      </c>
      <c r="L2208" s="59">
        <f>IFERROR(IF(OR(J2208=0,K2208=""),"",IF(E2208="Positivo",MIN(MAX(K2208/J2208,0),1.3),MIN(MAX(J2208/K2208,0),1.3))),"") </f>
        <v/>
      </c>
      <c r="M2208" s="59">
        <f>IFERROR(IF(OR(J2208=0,K2208=""),"",IF(E2208="Positivo",MAX(K2208/J2208,0),MAX(J2208/K2208,0))),"") </f>
        <v/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434-2023-04-30</t>
        </is>
      </c>
    </row>
    <row r="2209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48" t="n">
        <v>45077</v>
      </c>
      <c r="G2209" t="n">
        <v>2023</v>
      </c>
      <c r="H2209" t="inlineStr">
        <is>
          <t>Mayo</t>
        </is>
      </c>
      <c r="I2209" t="inlineStr">
        <is>
          <t>2023-1</t>
        </is>
      </c>
      <c r="J2209" t="n">
        <v>200</v>
      </c>
      <c r="K2209" t="n">
        <v>4.6</v>
      </c>
      <c r="L2209" s="59">
        <f>IFERROR(IF(OR(J2209=0,K2209=""),"",IF(E2209="Positivo",MIN(MAX(K2209/J2209,0),1.3),MIN(MAX(J2209/K2209,0),1.3))),"") </f>
        <v/>
      </c>
      <c r="M2209" s="59">
        <f>IFERROR(IF(OR(J2209=0,K2209=""),"",IF(E2209="Positivo",MAX(K2209/J2209,0),MAX(J2209/K2209,0))),"") </f>
        <v/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434-2023-05-31</t>
        </is>
      </c>
    </row>
    <row r="2210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48" t="n">
        <v>45107</v>
      </c>
      <c r="G2210" t="n">
        <v>2023</v>
      </c>
      <c r="H2210" t="inlineStr">
        <is>
          <t>Junio</t>
        </is>
      </c>
      <c r="I2210" t="inlineStr">
        <is>
          <t>2023-1</t>
        </is>
      </c>
      <c r="J2210" t="n">
        <v>200</v>
      </c>
      <c r="K2210" t="n">
        <v>5.1</v>
      </c>
      <c r="L2210" s="59">
        <f>IFERROR(IF(OR(J2210=0,K2210=""),"",IF(E2210="Positivo",MIN(MAX(K2210/J2210,0),1.3),MIN(MAX(J2210/K2210,0),1.3))),"") </f>
        <v/>
      </c>
      <c r="M2210" s="59">
        <f>IFERROR(IF(OR(J2210=0,K2210=""),"",IF(E2210="Positivo",MAX(K2210/J2210,0),MAX(J2210/K2210,0))),"") </f>
        <v/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0</v>
      </c>
      <c r="R2210" t="inlineStr">
        <is>
          <t>434-2023-06-30</t>
        </is>
      </c>
    </row>
    <row r="221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8" t="n">
        <v>45138</v>
      </c>
      <c r="G2211" t="n">
        <v>2023</v>
      </c>
      <c r="H2211" t="inlineStr">
        <is>
          <t>Julio</t>
        </is>
      </c>
      <c r="I2211" t="inlineStr">
        <is>
          <t>2023-2</t>
        </is>
      </c>
      <c r="J2211" t="n">
        <v>200</v>
      </c>
      <c r="K2211" t="n">
        <v>18.9</v>
      </c>
      <c r="L2211" s="59">
        <f>IFERROR(IF(OR(J2211=0,K2211=""),"",IF(E2211="Positivo",MIN(MAX(K2211/J2211,0),1.3),MIN(MAX(J2211/K2211,0),1.3))),"") </f>
        <v/>
      </c>
      <c r="M2211" s="59">
        <f>IFERROR(IF(OR(J2211=0,K2211=""),"",IF(E2211="Positivo",MAX(K2211/J2211,0),MAX(J2211/K2211,0))),"") </f>
        <v/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434-2023-07-31</t>
        </is>
      </c>
    </row>
    <row r="2212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8" t="n">
        <v>45169</v>
      </c>
      <c r="G2212" t="n">
        <v>2023</v>
      </c>
      <c r="H2212" t="inlineStr">
        <is>
          <t>Agosto</t>
        </is>
      </c>
      <c r="I2212" t="inlineStr">
        <is>
          <t>2023-2</t>
        </is>
      </c>
      <c r="J2212" t="n">
        <v>200</v>
      </c>
      <c r="K2212" t="n">
        <v>20.9</v>
      </c>
      <c r="L2212" s="59">
        <f>IFERROR(IF(OR(J2212=0,K2212=""),"",IF(E2212="Positivo",MIN(MAX(K2212/J2212,0),1.3),MIN(MAX(J2212/K2212,0),1.3))),"") </f>
        <v/>
      </c>
      <c r="M2212" s="59">
        <f>IFERROR(IF(OR(J2212=0,K2212=""),"",IF(E2212="Positivo",MAX(K2212/J2212,0),MAX(J2212/K2212,0))),"") </f>
        <v/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0</v>
      </c>
      <c r="R2212" t="inlineStr">
        <is>
          <t>434-2023-08-31</t>
        </is>
      </c>
    </row>
    <row r="2213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8" t="n">
        <v>45199</v>
      </c>
      <c r="G2213" t="n">
        <v>2023</v>
      </c>
      <c r="H2213" t="inlineStr">
        <is>
          <t>Septiembre</t>
        </is>
      </c>
      <c r="I2213" t="inlineStr">
        <is>
          <t>2023-2</t>
        </is>
      </c>
      <c r="J2213" t="n">
        <v>200</v>
      </c>
      <c r="K2213" t="n">
        <v>1803.72</v>
      </c>
      <c r="L2213" s="59">
        <f>IFERROR(IF(OR(J2213=0,K2213=""),"",IF(E2213="Positivo",MIN(MAX(K2213/J2213,0),1.3),MIN(MAX(J2213/K2213,0),1.3))),"") </f>
        <v/>
      </c>
      <c r="M2213" s="59">
        <f>IFERROR(IF(OR(J2213=0,K2213=""),"",IF(E2213="Positivo",MAX(K2213/J2213,0),MAX(J2213/K2213,0))),"") </f>
        <v/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1</v>
      </c>
      <c r="R2213" t="inlineStr">
        <is>
          <t>434-2023-09-30</t>
        </is>
      </c>
    </row>
    <row r="2214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8" t="n">
        <v>45230</v>
      </c>
      <c r="G2214" t="n">
        <v>2023</v>
      </c>
      <c r="H2214" t="inlineStr">
        <is>
          <t>Octubre</t>
        </is>
      </c>
      <c r="I2214" t="inlineStr">
        <is>
          <t>2023-2</t>
        </is>
      </c>
      <c r="J2214" t="n">
        <v>200</v>
      </c>
      <c r="K2214" t="n">
        <v>2.1</v>
      </c>
      <c r="L2214" s="59">
        <f>IFERROR(IF(OR(J2214=0,K2214=""),"",IF(E2214="Positivo",MIN(MAX(K2214/J2214,0),1.3),MIN(MAX(J2214/K2214,0),1.3))),"") </f>
        <v/>
      </c>
      <c r="M2214" s="59">
        <f>IFERROR(IF(OR(J2214=0,K2214=""),"",IF(E2214="Positivo",MAX(K2214/J2214,0),MAX(J2214/K2214,0))),"") </f>
        <v/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0</v>
      </c>
      <c r="R2214" t="inlineStr">
        <is>
          <t>434-2023-10-31</t>
        </is>
      </c>
    </row>
    <row r="2215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8" t="n">
        <v>45260</v>
      </c>
      <c r="G2215" t="n">
        <v>2023</v>
      </c>
      <c r="H2215" t="inlineStr">
        <is>
          <t>Noviembre</t>
        </is>
      </c>
      <c r="I2215" t="inlineStr">
        <is>
          <t>2023-2</t>
        </is>
      </c>
      <c r="J2215" t="n">
        <v>200</v>
      </c>
      <c r="K2215" t="n">
        <v>14.31</v>
      </c>
      <c r="L2215" s="59">
        <f>IFERROR(IF(OR(J2215=0,K2215=""),"",IF(E2215="Positivo",MIN(MAX(K2215/J2215,0),1.3),MIN(MAX(J2215/K2215,0),1.3))),"") </f>
        <v/>
      </c>
      <c r="M2215" s="59">
        <f>IFERROR(IF(OR(J2215=0,K2215=""),"",IF(E2215="Positivo",MAX(K2215/J2215,0),MAX(J2215/K2215,0))),"") </f>
        <v/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0</v>
      </c>
      <c r="R2215" t="inlineStr">
        <is>
          <t>434-2023-11-30</t>
        </is>
      </c>
    </row>
    <row r="2216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8" t="n">
        <v>45291</v>
      </c>
      <c r="G2216" t="n">
        <v>2023</v>
      </c>
      <c r="H2216" t="inlineStr">
        <is>
          <t>Diciembre</t>
        </is>
      </c>
      <c r="I2216" t="inlineStr">
        <is>
          <t>2023-2</t>
        </is>
      </c>
      <c r="J2216" t="n">
        <v>200</v>
      </c>
      <c r="K2216" t="n">
        <v>415.7</v>
      </c>
      <c r="L2216" s="59">
        <f>IFERROR(IF(OR(J2216=0,K2216=""),"",IF(E2216="Positivo",MIN(MAX(K2216/J2216,0),1.3),MIN(MAX(J2216/K2216,0),1.3))),"") </f>
        <v/>
      </c>
      <c r="M2216" s="59">
        <f>IFERROR(IF(OR(J2216=0,K2216=""),"",IF(E2216="Positivo",MAX(K2216/J2216,0),MAX(J2216/K2216,0))),"") </f>
        <v/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0</v>
      </c>
      <c r="R2216" t="inlineStr">
        <is>
          <t>434-2023-12-31</t>
        </is>
      </c>
    </row>
    <row r="2217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8" t="n">
        <v>45322</v>
      </c>
      <c r="G2217" t="n">
        <v>2024</v>
      </c>
      <c r="H2217" t="inlineStr">
        <is>
          <t>Enero</t>
        </is>
      </c>
      <c r="I2217" t="inlineStr">
        <is>
          <t>2024-1</t>
        </is>
      </c>
      <c r="J2217" t="n">
        <v>200</v>
      </c>
      <c r="K2217" t="n">
        <v>9.65</v>
      </c>
      <c r="L2217" s="59">
        <f>IFERROR(IF(OR(J2217=0,K2217=""),"",IF(E2217="Positivo",MIN(MAX(K2217/J2217,0),1.3),MIN(MAX(J2217/K2217,0),1.3))),"") </f>
        <v/>
      </c>
      <c r="M2217" s="59">
        <f>IFERROR(IF(OR(J2217=0,K2217=""),"",IF(E2217="Positivo",MAX(K2217/J2217,0),MAX(J2217/K2217,0))),"") </f>
        <v/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434-2024-01-31</t>
        </is>
      </c>
    </row>
    <row r="2218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8" t="n">
        <v>45351</v>
      </c>
      <c r="G2218" t="n">
        <v>2024</v>
      </c>
      <c r="H2218" t="inlineStr">
        <is>
          <t>Febrero</t>
        </is>
      </c>
      <c r="I2218" t="inlineStr">
        <is>
          <t>2024-1</t>
        </is>
      </c>
      <c r="J2218" t="n">
        <v>200</v>
      </c>
      <c r="K2218" t="n">
        <v>107.7</v>
      </c>
      <c r="L2218" s="59">
        <f>IFERROR(IF(OR(J2218=0,K2218=""),"",IF(E2218="Positivo",MIN(MAX(K2218/J2218,0),1.3),MIN(MAX(J2218/K2218,0),1.3))),"") </f>
        <v/>
      </c>
      <c r="M2218" s="59">
        <f>IFERROR(IF(OR(J2218=0,K2218=""),"",IF(E2218="Positivo",MAX(K2218/J2218,0),MAX(J2218/K2218,0))),"") </f>
        <v/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1</v>
      </c>
      <c r="R2218" t="inlineStr">
        <is>
          <t>434-2024-02-29</t>
        </is>
      </c>
    </row>
    <row r="2219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8" t="n">
        <v>45382</v>
      </c>
      <c r="G2219" t="n">
        <v>2024</v>
      </c>
      <c r="H2219" t="inlineStr">
        <is>
          <t>Marzo</t>
        </is>
      </c>
      <c r="I2219" t="inlineStr">
        <is>
          <t>2024-1</t>
        </is>
      </c>
      <c r="J2219" t="n">
        <v>200</v>
      </c>
      <c r="K2219" t="n">
        <v>22.02</v>
      </c>
      <c r="L2219" s="59">
        <f>IFERROR(IF(OR(J2219=0,K2219=""),"",IF(E2219="Positivo",MIN(MAX(K2219/J2219,0),1.3),MIN(MAX(J2219/K2219,0),1.3))),"") </f>
        <v/>
      </c>
      <c r="M2219" s="59">
        <f>IFERROR(IF(OR(J2219=0,K2219=""),"",IF(E2219="Positivo",MAX(K2219/J2219,0),MAX(J2219/K2219,0))),"") </f>
        <v/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434-2024-03-31</t>
        </is>
      </c>
    </row>
    <row r="2220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8" t="n">
        <v>45412</v>
      </c>
      <c r="G2220" t="n">
        <v>2024</v>
      </c>
      <c r="H2220" t="inlineStr">
        <is>
          <t>Abril</t>
        </is>
      </c>
      <c r="I2220" t="inlineStr">
        <is>
          <t>2024-1</t>
        </is>
      </c>
      <c r="J2220" t="n">
        <v>200</v>
      </c>
      <c r="K2220" t="n">
        <v>89.04000000000001</v>
      </c>
      <c r="L2220" s="59">
        <f>IFERROR(IF(OR(J2220=0,K2220=""),"",IF(E2220="Positivo",MIN(MAX(K2220/J2220,0),1.3),MIN(MAX(J2220/K2220,0),1.3))),"") </f>
        <v/>
      </c>
      <c r="M2220" s="59">
        <f>IFERROR(IF(OR(J2220=0,K2220=""),"",IF(E2220="Positivo",MAX(K2220/J2220,0),MAX(J2220/K2220,0))),"") </f>
        <v/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1</v>
      </c>
      <c r="R2220" t="inlineStr">
        <is>
          <t>434-2024-04-30</t>
        </is>
      </c>
    </row>
    <row r="222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8" t="n">
        <v>45443</v>
      </c>
      <c r="G2221" t="n">
        <v>2024</v>
      </c>
      <c r="H2221" t="inlineStr">
        <is>
          <t>Mayo</t>
        </is>
      </c>
      <c r="I2221" t="inlineStr">
        <is>
          <t>2024-1</t>
        </is>
      </c>
      <c r="J2221" t="n">
        <v>200</v>
      </c>
      <c r="K2221" t="n">
        <v>42</v>
      </c>
      <c r="L2221" s="59">
        <f>IFERROR(IF(OR(J2221=0,K2221=""),"",IF(E2221="Positivo",MIN(MAX(K2221/J2221,0),1.3),MIN(MAX(J2221/K2221,0),1.3))),"") </f>
        <v/>
      </c>
      <c r="M2221" s="59">
        <f>IFERROR(IF(OR(J2221=0,K2221=""),"",IF(E2221="Positivo",MAX(K2221/J2221,0),MAX(J2221/K2221,0))),"") </f>
        <v/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0</v>
      </c>
      <c r="R2221" t="inlineStr">
        <is>
          <t>434-2024-05-31</t>
        </is>
      </c>
    </row>
    <row r="2222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8" t="n">
        <v>45473</v>
      </c>
      <c r="G2222" t="n">
        <v>2024</v>
      </c>
      <c r="H2222" t="inlineStr">
        <is>
          <t>Junio</t>
        </is>
      </c>
      <c r="I2222" t="inlineStr">
        <is>
          <t>2024-1</t>
        </is>
      </c>
      <c r="J2222" t="n">
        <v>200</v>
      </c>
      <c r="K2222" t="n">
        <v>3219.1</v>
      </c>
      <c r="L2222" s="59">
        <f>IFERROR(IF(OR(J2222=0,K2222=""),"",IF(E2222="Positivo",MIN(MAX(K2222/J2222,0),1.3),MIN(MAX(J2222/K2222,0),1.3))),"") </f>
        <v/>
      </c>
      <c r="M2222" s="59">
        <f>IFERROR(IF(OR(J2222=0,K2222=""),"",IF(E2222="Positivo",MAX(K2222/J2222,0),MAX(J2222/K2222,0))),"") </f>
        <v/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434-2024-06-30</t>
        </is>
      </c>
    </row>
    <row r="2223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48" t="n">
        <v>45504</v>
      </c>
      <c r="G2223" t="n">
        <v>2024</v>
      </c>
      <c r="H2223" t="inlineStr">
        <is>
          <t>Julio</t>
        </is>
      </c>
      <c r="I2223" t="inlineStr">
        <is>
          <t>2024-2</t>
        </is>
      </c>
      <c r="J2223" t="n">
        <v>200</v>
      </c>
      <c r="K2223" t="n">
        <v>1689.599975585938</v>
      </c>
      <c r="L2223" s="59">
        <f>IFERROR(IF(OR(J2223=0,K2223=""),"",IF(E2223="Positivo",MIN(MAX(K2223/J2223,0),1.3),MIN(MAX(J2223/K2223,0),1.3))),"") </f>
        <v/>
      </c>
      <c r="M2223" s="59">
        <f>IFERROR(IF(OR(J2223=0,K2223=""),"",IF(E2223="Positivo",MAX(K2223/J2223,0),MAX(J2223/K2223,0))),"") </f>
        <v/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434-2024-07-31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48" t="n">
        <v>45535</v>
      </c>
      <c r="G2224" t="n">
        <v>2024</v>
      </c>
      <c r="H2224" t="inlineStr">
        <is>
          <t>Agosto</t>
        </is>
      </c>
      <c r="I2224" t="inlineStr">
        <is>
          <t>2024-2</t>
        </is>
      </c>
      <c r="J2224" t="n">
        <v>200</v>
      </c>
      <c r="K2224" t="n">
        <v>855.1</v>
      </c>
      <c r="L2224" s="59">
        <f>IFERROR(IF(OR(J2224=0,K2224=""),"",IF(E2224="Positivo",MIN(MAX(K2224/J2224,0),1.3),MIN(MAX(J2224/K2224,0),1.3))),"") </f>
        <v/>
      </c>
      <c r="M2224" s="59">
        <f>IFERROR(IF(OR(J2224=0,K2224=""),"",IF(E2224="Positivo",MAX(K2224/J2224,0),MAX(J2224/K2224,0))),"") </f>
        <v/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434-2024-08-31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48" t="n">
        <v>45565</v>
      </c>
      <c r="G2225" t="n">
        <v>2024</v>
      </c>
      <c r="H2225" t="inlineStr">
        <is>
          <t>Septiembre</t>
        </is>
      </c>
      <c r="I2225" t="inlineStr">
        <is>
          <t>2024-2</t>
        </is>
      </c>
      <c r="J2225" t="n">
        <v>200</v>
      </c>
      <c r="K2225" t="n">
        <v>16.37</v>
      </c>
      <c r="L2225" s="59">
        <f>IFERROR(IF(OR(J2225=0,K2225=""),"",IF(E2225="Positivo",MIN(MAX(K2225/J2225,0),1.3),MIN(MAX(J2225/K2225,0),1.3))),"") </f>
        <v/>
      </c>
      <c r="M2225" s="59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434-2024-09-30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48" t="n">
        <v>45596</v>
      </c>
      <c r="G2226" t="n">
        <v>2024</v>
      </c>
      <c r="H2226" t="inlineStr">
        <is>
          <t>Octubre</t>
        </is>
      </c>
      <c r="I2226" t="inlineStr">
        <is>
          <t>2024-2</t>
        </is>
      </c>
      <c r="J2226" t="n">
        <v>200</v>
      </c>
      <c r="K2226" t="n">
        <v>992.38</v>
      </c>
      <c r="L2226" s="59">
        <f>IFERROR(IF(OR(J2226=0,K2226=""),"",IF(E2226="Positivo",MIN(MAX(K2226/J2226,0),1.3),MIN(MAX(J2226/K2226,0),1.3))),"") </f>
        <v/>
      </c>
      <c r="M2226" s="59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1</v>
      </c>
      <c r="R2226" t="inlineStr">
        <is>
          <t>434-2024-10-31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48" t="n">
        <v>45626</v>
      </c>
      <c r="G2227" t="n">
        <v>2024</v>
      </c>
      <c r="H2227" t="inlineStr">
        <is>
          <t>Noviembre</t>
        </is>
      </c>
      <c r="I2227" t="inlineStr">
        <is>
          <t>2024-2</t>
        </is>
      </c>
      <c r="J2227" t="n">
        <v>200</v>
      </c>
      <c r="K2227" t="n">
        <v>73.88</v>
      </c>
      <c r="L2227" s="59">
        <f>IFERROR(IF(OR(J2227=0,K2227=""),"",IF(E2227="Positivo",MIN(MAX(K2227/J2227,0),1.3),MIN(MAX(J2227/K2227,0),1.3))),"") </f>
        <v/>
      </c>
      <c r="M2227" s="59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1</v>
      </c>
      <c r="R2227" t="inlineStr">
        <is>
          <t>434-2024-11-30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48" t="n">
        <v>45657</v>
      </c>
      <c r="G2228" t="n">
        <v>2024</v>
      </c>
      <c r="H2228" t="inlineStr">
        <is>
          <t>Diciembre</t>
        </is>
      </c>
      <c r="I2228" t="inlineStr">
        <is>
          <t>2024-2</t>
        </is>
      </c>
      <c r="J2228" t="n">
        <v>200</v>
      </c>
      <c r="K2228" t="n">
        <v>2364.490097716451</v>
      </c>
      <c r="L2228" s="59">
        <f>IFERROR(IF(OR(J2228=0,K2228=""),"",IF(E2228="Positivo",MIN(MAX(K2228/J2228,0),1.3),MIN(MAX(J2228/K2228,0),1.3))),"") </f>
        <v/>
      </c>
      <c r="M2228" s="59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1</v>
      </c>
      <c r="R2228" t="inlineStr">
        <is>
          <t>434-2024-12-31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8" t="n">
        <v>45688</v>
      </c>
      <c r="G2229" t="n">
        <v>2025</v>
      </c>
      <c r="H2229" t="inlineStr">
        <is>
          <t>Enero</t>
        </is>
      </c>
      <c r="I2229" t="inlineStr">
        <is>
          <t>2025-1</t>
        </is>
      </c>
      <c r="J2229" t="n">
        <v>200</v>
      </c>
      <c r="K2229" t="n">
        <v>2072.47</v>
      </c>
      <c r="L2229" s="59">
        <f>IFERROR(IF(OR(J2229=0,K2229=""),"",IF(E2229="Positivo",MIN(MAX(K2229/J2229,0),1.3),MIN(MAX(J2229/K2229,0),1.3))),"") </f>
        <v/>
      </c>
      <c r="M2229" s="59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1</v>
      </c>
      <c r="R2229" t="inlineStr">
        <is>
          <t>434-2025-01-31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8" t="n">
        <v>45716</v>
      </c>
      <c r="G2230" t="n">
        <v>2025</v>
      </c>
      <c r="H2230" t="inlineStr">
        <is>
          <t>Febrero</t>
        </is>
      </c>
      <c r="I2230" t="inlineStr">
        <is>
          <t>2025-1</t>
        </is>
      </c>
      <c r="J2230" t="n">
        <v>200</v>
      </c>
      <c r="K2230" t="n">
        <v>71.68000000000001</v>
      </c>
      <c r="L2230" s="59">
        <f>IFERROR(IF(OR(J2230=0,K2230=""),"",IF(E2230="Positivo",MIN(MAX(K2230/J2230,0),1.3),MIN(MAX(J2230/K2230,0),1.3))),"") </f>
        <v/>
      </c>
      <c r="M2230" s="59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434-2025-02-28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8" t="n">
        <v>45747</v>
      </c>
      <c r="G2231" t="n">
        <v>2025</v>
      </c>
      <c r="H2231" t="inlineStr">
        <is>
          <t>Marzo</t>
        </is>
      </c>
      <c r="I2231" t="inlineStr">
        <is>
          <t>2025-1</t>
        </is>
      </c>
      <c r="J2231" t="n">
        <v>200</v>
      </c>
      <c r="K2231" t="n">
        <v>53.29</v>
      </c>
      <c r="L2231" s="59">
        <f>IFERROR(IF(OR(J2231=0,K2231=""),"",IF(E2231="Positivo",MIN(MAX(K2231/J2231,0),1.3),MIN(MAX(J2231/K2231,0),1.3))),"") </f>
        <v/>
      </c>
      <c r="M2231" s="59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1</v>
      </c>
      <c r="R2231" t="inlineStr">
        <is>
          <t>434-2025-03-31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8" t="n">
        <v>45777</v>
      </c>
      <c r="G2232" t="n">
        <v>2025</v>
      </c>
      <c r="H2232" t="inlineStr">
        <is>
          <t>Abril</t>
        </is>
      </c>
      <c r="I2232" t="inlineStr">
        <is>
          <t>2025-1</t>
        </is>
      </c>
      <c r="J2232" t="n">
        <v>200</v>
      </c>
      <c r="K2232" t="n">
        <v>126.74</v>
      </c>
      <c r="L2232" s="59">
        <f>IFERROR(IF(OR(J2232=0,K2232=""),"",IF(E2232="Positivo",MIN(MAX(K2232/J2232,0),1.3),MIN(MAX(J2232/K2232,0),1.3))),"") </f>
        <v/>
      </c>
      <c r="M2232" s="59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434-2025-04-30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8" t="n">
        <v>45808</v>
      </c>
      <c r="G2233" t="n">
        <v>2025</v>
      </c>
      <c r="H2233" t="inlineStr">
        <is>
          <t>Mayo</t>
        </is>
      </c>
      <c r="I2233" t="inlineStr">
        <is>
          <t>2025-1</t>
        </is>
      </c>
      <c r="J2233" t="n">
        <v>200</v>
      </c>
      <c r="K2233" t="n">
        <v>12.6</v>
      </c>
      <c r="L2233" s="59">
        <f>IFERROR(IF(OR(J2233=0,K2233=""),"",IF(E2233="Positivo",MIN(MAX(K2233/J2233,0),1.3),MIN(MAX(J2233/K2233,0),1.3))),"") </f>
        <v/>
      </c>
      <c r="M2233" s="59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434-2025-05-31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8" t="n">
        <v>45838</v>
      </c>
      <c r="G2234" t="n">
        <v>2025</v>
      </c>
      <c r="H2234" t="inlineStr">
        <is>
          <t>Junio</t>
        </is>
      </c>
      <c r="I2234" t="inlineStr">
        <is>
          <t>2025-1</t>
        </is>
      </c>
      <c r="J2234" t="n">
        <v>200</v>
      </c>
      <c r="K2234" t="n">
        <v>130.58</v>
      </c>
      <c r="L2234" s="59">
        <f>IFERROR(IF(OR(J2234=0,K2234=""),"",IF(E2234="Positivo",MIN(MAX(K2234/J2234,0),1.3),MIN(MAX(J2234/K2234,0),1.3))),"") </f>
        <v/>
      </c>
      <c r="M2234" s="59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1</v>
      </c>
      <c r="R2234" t="inlineStr">
        <is>
          <t>434-2025-06-30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48" t="n">
        <v>45869</v>
      </c>
      <c r="G2235" t="n">
        <v>2025</v>
      </c>
      <c r="H2235" t="inlineStr">
        <is>
          <t>Julio</t>
        </is>
      </c>
      <c r="I2235" t="inlineStr">
        <is>
          <t>2025-2</t>
        </is>
      </c>
      <c r="J2235" t="n">
        <v>200</v>
      </c>
      <c r="K2235" t="n">
        <v>312.11</v>
      </c>
      <c r="L2235" s="59">
        <f>IFERROR(IF(OR(J2235=0,K2235=""),"",IF(E2235="Positivo",MIN(MAX(K2235/J2235,0),1.3),MIN(MAX(J2235/K2235,0),1.3))),"") </f>
        <v/>
      </c>
      <c r="M2235" s="59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434-2025-07-31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48" t="n">
        <v>45900</v>
      </c>
      <c r="G2236" t="n">
        <v>2025</v>
      </c>
      <c r="H2236" t="inlineStr">
        <is>
          <t>Agosto</t>
        </is>
      </c>
      <c r="I2236" t="inlineStr">
        <is>
          <t>2025-2</t>
        </is>
      </c>
      <c r="J2236" t="n">
        <v>200</v>
      </c>
      <c r="K2236" t="n">
        <v>84.75</v>
      </c>
      <c r="L2236" s="59">
        <f>IFERROR(IF(OR(J2236=0,K2236=""),"",IF(E2236="Positivo",MIN(MAX(K2236/J2236,0),1.3),MIN(MAX(J2236/K2236,0),1.3))),"") </f>
        <v/>
      </c>
      <c r="M2236" s="59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434-2025-08-31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48" t="n">
        <v>45930</v>
      </c>
      <c r="G2237" t="n">
        <v>2025</v>
      </c>
      <c r="H2237" t="inlineStr">
        <is>
          <t>Septiembre</t>
        </is>
      </c>
      <c r="I2237" t="inlineStr">
        <is>
          <t>2025-2</t>
        </is>
      </c>
      <c r="J2237" t="n">
        <v>200</v>
      </c>
      <c r="K2237" t="n">
        <v>109.73</v>
      </c>
      <c r="L2237" s="59">
        <f>IFERROR(IF(OR(J2237=0,K2237=""),"",IF(E2237="Positivo",MIN(MAX(K2237/J2237,0),1.3),MIN(MAX(J2237/K2237,0),1.3))),"") </f>
        <v/>
      </c>
      <c r="M2237" s="59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434-2025-09-30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48" t="n">
        <v>45961</v>
      </c>
      <c r="G2238" t="n">
        <v>2025</v>
      </c>
      <c r="H2238" t="inlineStr">
        <is>
          <t>Octubre</t>
        </is>
      </c>
      <c r="I2238" t="inlineStr">
        <is>
          <t>2025-2</t>
        </is>
      </c>
      <c r="J2238" t="n">
        <v>200</v>
      </c>
      <c r="K2238" t="n">
        <v>4524.46</v>
      </c>
      <c r="L2238" s="59">
        <f>IFERROR(IF(OR(J2238=0,K2238=""),"",IF(E2238="Positivo",MIN(MAX(K2238/J2238,0),1.3),MIN(MAX(J2238/K2238,0),1.3))),"") </f>
        <v/>
      </c>
      <c r="M2238" s="59">
        <f>IFERROR(IF(OR(J2238=0,K2238=""),"",IF(E2238="Positivo",MAX(K2238/J2238,0),MAX(J2238/K2238,0))),"") </f>
        <v/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434-2025-10-31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48" t="n">
        <v>45991</v>
      </c>
      <c r="G2239" t="n">
        <v>2025</v>
      </c>
      <c r="H2239" t="inlineStr">
        <is>
          <t>Noviembre</t>
        </is>
      </c>
      <c r="I2239" t="inlineStr">
        <is>
          <t>2025-2</t>
        </is>
      </c>
      <c r="J2239" t="n">
        <v>200</v>
      </c>
      <c r="K2239" t="n">
        <v>285.15</v>
      </c>
      <c r="L2239" s="59">
        <f>IFERROR(IF(OR(J2239=0,K2239=""),"",IF(E2239="Positivo",MIN(MAX(K2239/J2239,0),1.3),MIN(MAX(J2239/K2239,0),1.3))),"") </f>
        <v/>
      </c>
      <c r="M2239" s="59">
        <f>IFERROR(IF(OR(J2239=0,K2239=""),"",IF(E2239="Positivo",MAX(K2239/J2239,0),MAX(J2239/K2239,0))),"") </f>
        <v/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0</v>
      </c>
      <c r="R2239" t="inlineStr">
        <is>
          <t>434-2025-11-30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48" t="n">
        <v>46022</v>
      </c>
      <c r="G2240" t="n">
        <v>2025</v>
      </c>
      <c r="H2240" t="inlineStr">
        <is>
          <t>Diciembre</t>
        </is>
      </c>
      <c r="I2240" t="inlineStr">
        <is>
          <t>2025-2</t>
        </is>
      </c>
      <c r="J2240" t="n">
        <v>200</v>
      </c>
      <c r="K2240" t="n">
        <v>150.1299935057759</v>
      </c>
      <c r="L2240" s="59">
        <f>IFERROR(IF(OR(J2240=0,K2240=""),"",IF(E2240="Positivo",MIN(MAX(K2240/J2240,0),1.3),MIN(MAX(J2240/K2240,0),1.3))),"") </f>
        <v/>
      </c>
      <c r="M2240" s="59">
        <f>IFERROR(IF(OR(J2240=0,K2240=""),"",IF(E2240="Positivo",MAX(K2240/J2240,0),MAX(J2240/K2240,0))),"") </f>
        <v/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434-2025-12-31</t>
        </is>
      </c>
    </row>
    <row r="2241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Trimestral</t>
        </is>
      </c>
      <c r="E2241" t="inlineStr">
        <is>
          <t>Positivo</t>
        </is>
      </c>
      <c r="F2241" s="148" t="n">
        <v>45107</v>
      </c>
      <c r="G2241" t="n">
        <v>2023</v>
      </c>
      <c r="H2241" t="inlineStr">
        <is>
          <t>Junio</t>
        </is>
      </c>
      <c r="I2241" t="inlineStr">
        <is>
          <t>2023-1</t>
        </is>
      </c>
      <c r="J2241" t="n">
        <v>100</v>
      </c>
      <c r="L2241" s="59" t="n"/>
      <c r="M2241" s="59" t="n"/>
      <c r="N2241" t="inlineStr">
        <is>
          <t>%</t>
        </is>
      </c>
      <c r="O2241" t="inlineStr">
        <is>
          <t>No Aplica</t>
        </is>
      </c>
      <c r="P2241" t="n">
        <v>2</v>
      </c>
      <c r="Q2241" t="n">
        <v>2</v>
      </c>
      <c r="R2241" t="inlineStr">
        <is>
          <t>435-2023-06-30</t>
        </is>
      </c>
      <c r="S2241" t="inlineStr">
        <is>
          <t>No Aplica</t>
        </is>
      </c>
    </row>
    <row r="224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Trimestral</t>
        </is>
      </c>
      <c r="E2242" t="inlineStr">
        <is>
          <t>Positivo</t>
        </is>
      </c>
      <c r="F2242" s="148" t="n">
        <v>45291</v>
      </c>
      <c r="G2242" t="n">
        <v>2023</v>
      </c>
      <c r="H2242" t="inlineStr">
        <is>
          <t>Diciembre</t>
        </is>
      </c>
      <c r="I2242" t="inlineStr">
        <is>
          <t>2023-2</t>
        </is>
      </c>
      <c r="J2242" t="n">
        <v>100</v>
      </c>
      <c r="K2242" t="n">
        <v>-111.57</v>
      </c>
      <c r="L2242" s="59">
        <f>IFERROR(IF(OR(J2242=0,K2242=""),"",IF(E2242="Positivo",MIN(MAX(K2242/J2242,0),1.3),MIN(MAX(J2242/K2242,0),1.3))),"") </f>
        <v/>
      </c>
      <c r="M2242" s="59">
        <f>IFERROR(IF(OR(J2242=0,K2242=""),"",IF(E2242="Positivo",MAX(K2242/J2242,0),MAX(J2242/K2242,0))),"") </f>
        <v/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435-2023-12-31</t>
        </is>
      </c>
    </row>
    <row r="2243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Semestral</t>
        </is>
      </c>
      <c r="E2243" t="inlineStr">
        <is>
          <t>Positivo</t>
        </is>
      </c>
      <c r="F2243" s="148" t="n">
        <v>45473</v>
      </c>
      <c r="G2243" t="n">
        <v>2024</v>
      </c>
      <c r="H2243" t="inlineStr">
        <is>
          <t>Junio</t>
        </is>
      </c>
      <c r="I2243" t="inlineStr">
        <is>
          <t>2024-1</t>
        </is>
      </c>
      <c r="J2243" t="n">
        <v>100</v>
      </c>
      <c r="K2243" t="n">
        <v>-20.67</v>
      </c>
      <c r="L2243" s="59">
        <f>IFERROR(IF(OR(J2243=0,K2243=""),"",IF(E2243="Positivo",MIN(MAX(K2243/J2243,0),1.3),MIN(MAX(J2243/K2243,0),1.3))),"") </f>
        <v/>
      </c>
      <c r="M2243" s="59">
        <f>IFERROR(IF(OR(J2243=0,K2243=""),"",IF(E2243="Positivo",MAX(K2243/J2243,0),MAX(J2243/K2243,0))),"") </f>
        <v/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435-2024-06-30</t>
        </is>
      </c>
    </row>
    <row r="2244">
      <c r="A2244" t="n">
        <v>435</v>
      </c>
      <c r="B2244" t="inlineStr">
        <is>
          <t>Disminución de la Generación de Residuos Peligrosos per Cápita</t>
        </is>
      </c>
      <c r="C2244" t="inlineStr">
        <is>
          <t>GESTIÓN AMBIENTAL</t>
        </is>
      </c>
      <c r="D2244" t="inlineStr">
        <is>
          <t>Semestral</t>
        </is>
      </c>
      <c r="E2244" t="inlineStr">
        <is>
          <t>Positivo</t>
        </is>
      </c>
      <c r="F2244" s="148" t="n">
        <v>45657</v>
      </c>
      <c r="G2244" t="n">
        <v>2024</v>
      </c>
      <c r="H2244" t="inlineStr">
        <is>
          <t>Diciembre</t>
        </is>
      </c>
      <c r="I2244" t="inlineStr">
        <is>
          <t>2024-2</t>
        </is>
      </c>
      <c r="J2244" t="n">
        <v>100</v>
      </c>
      <c r="K2244" t="n">
        <v>71.09</v>
      </c>
      <c r="L2244" s="59">
        <f>IFERROR(IF(OR(J2244=0,K2244=""),"",IF(E2244="Positivo",MIN(MAX(K2244/J2244,0),1.3),MIN(MAX(J2244/K2244,0),1.3))),"") </f>
        <v/>
      </c>
      <c r="M2244" s="59">
        <f>IFERROR(IF(OR(J2244=0,K2244=""),"",IF(E2244="Positivo",MAX(K2244/J2244,0),MAX(J2244/K2244,0))),"") </f>
        <v/>
      </c>
      <c r="N2244" t="inlineStr">
        <is>
          <t>%</t>
        </is>
      </c>
      <c r="O2244" t="inlineStr">
        <is>
          <t>%</t>
        </is>
      </c>
      <c r="P2244" t="n">
        <v>2</v>
      </c>
      <c r="Q2244" t="n">
        <v>2</v>
      </c>
      <c r="R2244" t="inlineStr">
        <is>
          <t>435-2024-12-31</t>
        </is>
      </c>
    </row>
    <row r="2245">
      <c r="A2245" t="n">
        <v>435</v>
      </c>
      <c r="B2245" t="inlineStr">
        <is>
          <t>Disminución de la Generación de Residuos Peligrosos per Cápita</t>
        </is>
      </c>
      <c r="C2245" t="inlineStr">
        <is>
          <t>GESTIÓN AMBIENTAL</t>
        </is>
      </c>
      <c r="D2245" t="inlineStr">
        <is>
          <t>Semestral</t>
        </is>
      </c>
      <c r="E2245" t="inlineStr">
        <is>
          <t>Positivo</t>
        </is>
      </c>
      <c r="F2245" s="148" t="n">
        <v>45838</v>
      </c>
      <c r="G2245" t="n">
        <v>2025</v>
      </c>
      <c r="H2245" t="inlineStr">
        <is>
          <t>Junio</t>
        </is>
      </c>
      <c r="I2245" t="inlineStr">
        <is>
          <t>2025-1</t>
        </is>
      </c>
      <c r="J2245" t="n">
        <v>1</v>
      </c>
      <c r="K2245" t="n">
        <v>96.09</v>
      </c>
      <c r="L2245" s="59">
        <f>IFERROR(IF(OR(J2245=0,K2245=""),"",IF(E2245="Positivo",MIN(MAX(K2245/J2245,0),1.3),MIN(MAX(J2245/K2245,0),1.3))),"") </f>
        <v/>
      </c>
      <c r="M2245" s="59">
        <f>IFERROR(IF(OR(J2245=0,K2245=""),"",IF(E2245="Positivo",MAX(K2245/J2245,0),MAX(J2245/K2245,0))),"") </f>
        <v/>
      </c>
      <c r="N2245" t="inlineStr">
        <is>
          <t>%</t>
        </is>
      </c>
      <c r="O2245" t="inlineStr">
        <is>
          <t>%</t>
        </is>
      </c>
      <c r="P2245" t="n">
        <v>2</v>
      </c>
      <c r="Q2245" t="n">
        <v>2</v>
      </c>
      <c r="R2245" t="inlineStr">
        <is>
          <t>435-2025-06-30</t>
        </is>
      </c>
    </row>
    <row r="2246">
      <c r="A2246" t="n">
        <v>435</v>
      </c>
      <c r="B2246" t="inlineStr">
        <is>
          <t>Disminución de la Generación de Residuos Peligrosos per Cápita</t>
        </is>
      </c>
      <c r="C2246" t="inlineStr">
        <is>
          <t>GESTIÓN AMBIENTAL</t>
        </is>
      </c>
      <c r="D2246" t="inlineStr">
        <is>
          <t>Trimestral</t>
        </is>
      </c>
      <c r="E2246" t="inlineStr">
        <is>
          <t>Positivo</t>
        </is>
      </c>
      <c r="F2246" s="148" t="n">
        <v>46022</v>
      </c>
      <c r="G2246" t="n">
        <v>2025</v>
      </c>
      <c r="H2246" t="inlineStr">
        <is>
          <t>Diciembre</t>
        </is>
      </c>
      <c r="I2246" t="inlineStr">
        <is>
          <t>2025-2</t>
        </is>
      </c>
      <c r="J2246" t="n">
        <v>1</v>
      </c>
      <c r="K2246" t="n">
        <v>-732.08</v>
      </c>
      <c r="L2246" s="59">
        <f>IFERROR(IF(OR(J2246=0,K2246=""),"",IF(E2246="Positivo",MIN(MAX(K2246/J2246,0),1.3),MIN(MAX(J2246/K2246,0),1.3))),"") </f>
        <v/>
      </c>
      <c r="M2246" s="59">
        <f>IFERROR(IF(OR(J2246=0,K2246=""),"",IF(E2246="Positivo",MAX(K2246/J2246,0),MAX(J2246/K2246,0))),"") </f>
        <v/>
      </c>
      <c r="N2246" t="inlineStr">
        <is>
          <t>%</t>
        </is>
      </c>
      <c r="O2246" t="inlineStr">
        <is>
          <t>%</t>
        </is>
      </c>
      <c r="P2246" t="n">
        <v>2</v>
      </c>
      <c r="Q2246" t="n">
        <v>2</v>
      </c>
      <c r="R2246" t="inlineStr">
        <is>
          <t>435-2025-12-31</t>
        </is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8" t="n">
        <v>44957</v>
      </c>
      <c r="G2247" t="n">
        <v>2023</v>
      </c>
      <c r="H2247" t="inlineStr">
        <is>
          <t>Enero</t>
        </is>
      </c>
      <c r="I2247" t="inlineStr">
        <is>
          <t>2023-1</t>
        </is>
      </c>
      <c r="J2247" t="n">
        <v>14</v>
      </c>
      <c r="L2247" s="59" t="n"/>
      <c r="M2247" s="59" t="n"/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436-2023-01-31</t>
        </is>
      </c>
      <c r="S2247" t="inlineStr">
        <is>
          <t>No Aplica</t>
        </is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8" t="n">
        <v>44985</v>
      </c>
      <c r="G2248" t="n">
        <v>2023</v>
      </c>
      <c r="H2248" t="inlineStr">
        <is>
          <t>Febrero</t>
        </is>
      </c>
      <c r="I2248" t="inlineStr">
        <is>
          <t>2023-1</t>
        </is>
      </c>
      <c r="J2248" t="n">
        <v>14</v>
      </c>
      <c r="L2248" s="59" t="n"/>
      <c r="M2248" s="5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436-2023-02-28</t>
        </is>
      </c>
      <c r="S2248" t="inlineStr">
        <is>
          <t>No Aplica</t>
        </is>
      </c>
    </row>
    <row r="2249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48" t="n">
        <v>45016</v>
      </c>
      <c r="G2249" t="n">
        <v>2023</v>
      </c>
      <c r="H2249" t="inlineStr">
        <is>
          <t>Marzo</t>
        </is>
      </c>
      <c r="I2249" t="inlineStr">
        <is>
          <t>2023-1</t>
        </is>
      </c>
      <c r="J2249" t="n">
        <v>14</v>
      </c>
      <c r="L2249" s="59" t="n"/>
      <c r="M2249" s="5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436-2023-03-31</t>
        </is>
      </c>
      <c r="S2249" t="inlineStr">
        <is>
          <t>No Aplica</t>
        </is>
      </c>
    </row>
    <row r="2250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48" t="n">
        <v>45046</v>
      </c>
      <c r="G2250" t="n">
        <v>2023</v>
      </c>
      <c r="H2250" t="inlineStr">
        <is>
          <t>Abril</t>
        </is>
      </c>
      <c r="I2250" t="inlineStr">
        <is>
          <t>2023-1</t>
        </is>
      </c>
      <c r="J2250" t="n">
        <v>14</v>
      </c>
      <c r="N2250" t="inlineStr">
        <is>
          <t>Días</t>
        </is>
      </c>
      <c r="O2250" t="inlineStr">
        <is>
          <t>No Aplica</t>
        </is>
      </c>
      <c r="P2250" t="n">
        <v>0</v>
      </c>
      <c r="Q2250" t="n">
        <v>1</v>
      </c>
      <c r="R2250" t="inlineStr">
        <is>
          <t>436-2023-04-30</t>
        </is>
      </c>
      <c r="S2250" t="inlineStr">
        <is>
          <t>No Aplica</t>
        </is>
      </c>
    </row>
    <row r="225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48" t="n">
        <v>45077</v>
      </c>
      <c r="G2251" t="n">
        <v>2023</v>
      </c>
      <c r="H2251" t="inlineStr">
        <is>
          <t>Mayo</t>
        </is>
      </c>
      <c r="I2251" t="inlineStr">
        <is>
          <t>2023-1</t>
        </is>
      </c>
      <c r="J2251" t="n">
        <v>14</v>
      </c>
      <c r="N2251" t="inlineStr">
        <is>
          <t>Días</t>
        </is>
      </c>
      <c r="O2251" t="inlineStr">
        <is>
          <t>No Aplica</t>
        </is>
      </c>
      <c r="P2251" t="n">
        <v>0</v>
      </c>
      <c r="Q2251" t="n">
        <v>1</v>
      </c>
      <c r="R2251" t="inlineStr">
        <is>
          <t>436-2023-05-31</t>
        </is>
      </c>
      <c r="S2251" t="inlineStr">
        <is>
          <t>No Aplica</t>
        </is>
      </c>
    </row>
    <row r="2252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48" t="n">
        <v>45107</v>
      </c>
      <c r="G2252" t="n">
        <v>2023</v>
      </c>
      <c r="H2252" t="inlineStr">
        <is>
          <t>Junio</t>
        </is>
      </c>
      <c r="I2252" t="inlineStr">
        <is>
          <t>2023-1</t>
        </is>
      </c>
      <c r="J2252" t="n">
        <v>14</v>
      </c>
      <c r="L2252" s="59" t="n"/>
      <c r="M2252" s="59" t="n"/>
      <c r="N2252" t="inlineStr">
        <is>
          <t>Días</t>
        </is>
      </c>
      <c r="O2252" t="inlineStr">
        <is>
          <t>No Aplica</t>
        </is>
      </c>
      <c r="P2252" t="n">
        <v>0</v>
      </c>
      <c r="Q2252" t="n">
        <v>1</v>
      </c>
      <c r="R2252" t="inlineStr">
        <is>
          <t>436-2023-06-30</t>
        </is>
      </c>
      <c r="S2252" t="inlineStr">
        <is>
          <t>No Aplica</t>
        </is>
      </c>
    </row>
    <row r="2253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48" t="n">
        <v>45138</v>
      </c>
      <c r="G2253" t="n">
        <v>2023</v>
      </c>
      <c r="H2253" t="inlineStr">
        <is>
          <t>Julio</t>
        </is>
      </c>
      <c r="I2253" t="inlineStr">
        <is>
          <t>2023-2</t>
        </is>
      </c>
      <c r="J2253" t="n">
        <v>21</v>
      </c>
      <c r="K2253" t="n">
        <v>11.7</v>
      </c>
      <c r="L2253" s="59">
        <f>IFERROR(IF(OR(J2253=0,K2253=""),"",IF(E2253="Positivo",MIN(MAX(K2253/J2253,0),1.3),MIN(MAX(J2253/K2253,0),1.3))),"") </f>
        <v/>
      </c>
      <c r="M2253" s="59">
        <f>IFERROR(IF(OR(J2253=0,K2253=""),"",IF(E2253="Positivo",MAX(K2253/J2253,0),MAX(J2253/K2253,0))),"") </f>
        <v/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436-2023-07-31</t>
        </is>
      </c>
    </row>
    <row r="2254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48" t="n">
        <v>45169</v>
      </c>
      <c r="G2254" t="n">
        <v>2023</v>
      </c>
      <c r="H2254" t="inlineStr">
        <is>
          <t>Agosto</t>
        </is>
      </c>
      <c r="I2254" t="inlineStr">
        <is>
          <t>2023-2</t>
        </is>
      </c>
      <c r="J2254" t="n">
        <v>21</v>
      </c>
      <c r="K2254" t="n">
        <v>8.699999999999999</v>
      </c>
      <c r="L2254" s="59">
        <f>IFERROR(IF(OR(J2254=0,K2254=""),"",IF(E2254="Positivo",MIN(MAX(K2254/J2254,0),1.3),MIN(MAX(J2254/K2254,0),1.3))),"") </f>
        <v/>
      </c>
      <c r="M2254" s="59">
        <f>IFERROR(IF(OR(J2254=0,K2254=""),"",IF(E2254="Positivo",MAX(K2254/J2254,0),MAX(J2254/K2254,0))),"") </f>
        <v/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436-2023-08-31</t>
        </is>
      </c>
    </row>
    <row r="2255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48" t="n">
        <v>45199</v>
      </c>
      <c r="G2255" t="n">
        <v>2023</v>
      </c>
      <c r="H2255" t="inlineStr">
        <is>
          <t>Septiembre</t>
        </is>
      </c>
      <c r="I2255" t="inlineStr">
        <is>
          <t>2023-2</t>
        </is>
      </c>
      <c r="J2255" t="n">
        <v>21</v>
      </c>
      <c r="K2255" t="n">
        <v>17.3</v>
      </c>
      <c r="L2255" s="59">
        <f>IFERROR(IF(OR(J2255=0,K2255=""),"",IF(E2255="Positivo",MIN(MAX(K2255/J2255,0),1.3),MIN(MAX(J2255/K2255,0),1.3))),"") </f>
        <v/>
      </c>
      <c r="M2255" s="59">
        <f>IFERROR(IF(OR(J2255=0,K2255=""),"",IF(E2255="Positivo",MAX(K2255/J2255,0),MAX(J2255/K2255,0))),"") </f>
        <v/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436-2023-09-30</t>
        </is>
      </c>
    </row>
    <row r="2256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48" t="n">
        <v>45230</v>
      </c>
      <c r="G2256" t="n">
        <v>2023</v>
      </c>
      <c r="H2256" t="inlineStr">
        <is>
          <t>Octubre</t>
        </is>
      </c>
      <c r="I2256" t="inlineStr">
        <is>
          <t>2023-2</t>
        </is>
      </c>
      <c r="J2256" t="n">
        <v>21</v>
      </c>
      <c r="K2256" t="n">
        <v>5.1</v>
      </c>
      <c r="L2256" s="59">
        <f>IFERROR(IF(OR(J2256=0,K2256=""),"",IF(E2256="Positivo",MIN(MAX(K2256/J2256,0),1.3),MIN(MAX(J2256/K2256,0),1.3))),"") </f>
        <v/>
      </c>
      <c r="M2256" s="59">
        <f>IFERROR(IF(OR(J2256=0,K2256=""),"",IF(E2256="Positivo",MAX(K2256/J2256,0),MAX(J2256/K2256,0))),"") </f>
        <v/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436-2023-10-31</t>
        </is>
      </c>
    </row>
    <row r="2257" customFormat="1" s="2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48" t="n">
        <v>45260</v>
      </c>
      <c r="G2257" t="n">
        <v>2023</v>
      </c>
      <c r="H2257" t="inlineStr">
        <is>
          <t>Noviembre</t>
        </is>
      </c>
      <c r="I2257" t="inlineStr">
        <is>
          <t>2023-2</t>
        </is>
      </c>
      <c r="J2257" t="n">
        <v>21</v>
      </c>
      <c r="K2257" t="n">
        <v>10.91</v>
      </c>
      <c r="L2257" s="59">
        <f>IFERROR(IF(OR(J2257=0,K2257=""),"",IF(E2257="Positivo",MIN(MAX(K2257/J2257,0),1.3),MIN(MAX(J2257/K2257,0),1.3))),"") </f>
        <v/>
      </c>
      <c r="M2257" s="59">
        <f>IFERROR(IF(OR(J2257=0,K2257=""),"",IF(E2257="Positivo",MAX(K2257/J2257,0),MAX(J2257/K2257,0))),"") </f>
        <v/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436-2023-11-30</t>
        </is>
      </c>
    </row>
    <row r="2258" customFormat="1" s="2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48" t="n">
        <v>45291</v>
      </c>
      <c r="G2258" t="n">
        <v>2023</v>
      </c>
      <c r="H2258" t="inlineStr">
        <is>
          <t>Diciembre</t>
        </is>
      </c>
      <c r="I2258" t="inlineStr">
        <is>
          <t>2023-2</t>
        </is>
      </c>
      <c r="J2258" t="n">
        <v>21</v>
      </c>
      <c r="K2258" t="n">
        <v>12.7</v>
      </c>
      <c r="L2258" s="59">
        <f>IFERROR(IF(OR(J2258=0,K2258=""),"",IF(E2258="Positivo",MIN(MAX(K2258/J2258,0),1.3),MIN(MAX(J2258/K2258,0),1.3))),"") </f>
        <v/>
      </c>
      <c r="M2258" s="59">
        <f>IFERROR(IF(OR(J2258=0,K2258=""),"",IF(E2258="Positivo",MAX(K2258/J2258,0),MAX(J2258/K2258,0))),"") </f>
        <v/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436-2023-12-31</t>
        </is>
      </c>
    </row>
    <row r="2259" customFormat="1" s="2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48" t="n">
        <v>45322</v>
      </c>
      <c r="G2259" t="n">
        <v>2024</v>
      </c>
      <c r="H2259" t="inlineStr">
        <is>
          <t>Enero</t>
        </is>
      </c>
      <c r="I2259" t="inlineStr">
        <is>
          <t>2024-1</t>
        </is>
      </c>
      <c r="J2259" t="n">
        <v>14</v>
      </c>
      <c r="K2259" t="n">
        <v>9.699999999999999</v>
      </c>
      <c r="L2259" s="59">
        <f>IFERROR(IF(OR(J2259=0,K2259=""),"",IF(E2259="Positivo",MIN(MAX(K2259/J2259,0),1.3),MIN(MAX(J2259/K2259,0),1.3))),"") </f>
        <v/>
      </c>
      <c r="M2259" s="59">
        <f>IFERROR(IF(OR(J2259=0,K2259=""),"",IF(E2259="Positivo",MAX(K2259/J2259,0),MAX(J2259/K2259,0))),"") </f>
        <v/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436-2024-01-31</t>
        </is>
      </c>
    </row>
    <row r="2260" customFormat="1" s="2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48" t="n">
        <v>45351</v>
      </c>
      <c r="G2260" t="n">
        <v>2024</v>
      </c>
      <c r="H2260" t="inlineStr">
        <is>
          <t>Febrero</t>
        </is>
      </c>
      <c r="I2260" t="inlineStr">
        <is>
          <t>2024-1</t>
        </is>
      </c>
      <c r="J2260" t="n">
        <v>14</v>
      </c>
      <c r="K2260" t="n">
        <v>13.5</v>
      </c>
      <c r="L2260" s="59">
        <f>IFERROR(IF(OR(J2260=0,K2260=""),"",IF(E2260="Positivo",MIN(MAX(K2260/J2260,0),1.3),MIN(MAX(J2260/K2260,0),1.3))),"") </f>
        <v/>
      </c>
      <c r="M2260" s="59">
        <f>IFERROR(IF(OR(J2260=0,K2260=""),"",IF(E2260="Positivo",MAX(K2260/J2260,0),MAX(J2260/K2260,0))),"") </f>
        <v/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436-2024-02-29</t>
        </is>
      </c>
    </row>
    <row r="2261" customFormat="1" s="2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48" t="n">
        <v>45382</v>
      </c>
      <c r="G2261" t="n">
        <v>2024</v>
      </c>
      <c r="H2261" t="inlineStr">
        <is>
          <t>Marzo</t>
        </is>
      </c>
      <c r="I2261" t="inlineStr">
        <is>
          <t>2024-1</t>
        </is>
      </c>
      <c r="J2261" t="n">
        <v>14</v>
      </c>
      <c r="K2261" t="n">
        <v>15.7</v>
      </c>
      <c r="L2261" s="59">
        <f>IFERROR(IF(OR(J2261=0,K2261=""),"",IF(E2261="Positivo",MIN(MAX(K2261/J2261,0),1.3),MIN(MAX(J2261/K2261,0),1.3))),"") </f>
        <v/>
      </c>
      <c r="M2261" s="59">
        <f>IFERROR(IF(OR(J2261=0,K2261=""),"",IF(E2261="Positivo",MAX(K2261/J2261,0),MAX(J2261/K2261,0))),"") </f>
        <v/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436-2024-03-31</t>
        </is>
      </c>
    </row>
    <row r="2262" customFormat="1" s="2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48" t="n">
        <v>45412</v>
      </c>
      <c r="G2262" t="n">
        <v>2024</v>
      </c>
      <c r="H2262" t="inlineStr">
        <is>
          <t>Abril</t>
        </is>
      </c>
      <c r="I2262" t="inlineStr">
        <is>
          <t>2024-1</t>
        </is>
      </c>
      <c r="J2262" t="n">
        <v>14</v>
      </c>
      <c r="K2262" t="n">
        <v>11.1</v>
      </c>
      <c r="L2262" s="59">
        <f>IFERROR(IF(OR(J2262=0,K2262=""),"",IF(E2262="Positivo",MIN(MAX(K2262/J2262,0),1.3),MIN(MAX(J2262/K2262,0),1.3))),"") </f>
        <v/>
      </c>
      <c r="M2262" s="59">
        <f>IFERROR(IF(OR(J2262=0,K2262=""),"",IF(E2262="Positivo",MAX(K2262/J2262,0),MAX(J2262/K2262,0))),"") </f>
        <v/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436-2024-04-30</t>
        </is>
      </c>
    </row>
    <row r="2263" customFormat="1" s="2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48" t="n">
        <v>45443</v>
      </c>
      <c r="G2263" t="n">
        <v>2024</v>
      </c>
      <c r="H2263" t="inlineStr">
        <is>
          <t>Mayo</t>
        </is>
      </c>
      <c r="I2263" t="inlineStr">
        <is>
          <t>2024-1</t>
        </is>
      </c>
      <c r="J2263" t="n">
        <v>14</v>
      </c>
      <c r="K2263" t="n">
        <v>10.6</v>
      </c>
      <c r="L2263" s="59">
        <f>IFERROR(IF(OR(J2263=0,K2263=""),"",IF(E2263="Positivo",MIN(MAX(K2263/J2263,0),1.3),MIN(MAX(J2263/K2263,0),1.3))),"") </f>
        <v/>
      </c>
      <c r="M2263" s="59">
        <f>IFERROR(IF(OR(J2263=0,K2263=""),"",IF(E2263="Positivo",MAX(K2263/J2263,0),MAX(J2263/K2263,0))),"") </f>
        <v/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436-2024-05-31</t>
        </is>
      </c>
    </row>
    <row r="2264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48" t="n">
        <v>45473</v>
      </c>
      <c r="G2264" t="n">
        <v>2024</v>
      </c>
      <c r="H2264" t="inlineStr">
        <is>
          <t>Junio</t>
        </is>
      </c>
      <c r="I2264" t="inlineStr">
        <is>
          <t>2024-1</t>
        </is>
      </c>
      <c r="J2264" t="n">
        <v>14</v>
      </c>
      <c r="K2264" t="n">
        <v>8.800000000000001</v>
      </c>
      <c r="L2264" s="59">
        <f>IFERROR(IF(OR(J2264=0,K2264=""),"",IF(E2264="Positivo",MIN(MAX(K2264/J2264,0),1.3),MIN(MAX(J2264/K2264,0),1.3))),"") </f>
        <v/>
      </c>
      <c r="M2264" s="59">
        <f>IFERROR(IF(OR(J2264=0,K2264=""),"",IF(E2264="Positivo",MAX(K2264/J2264,0),MAX(J2264/K2264,0))),"") </f>
        <v/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436-2024-06-30</t>
        </is>
      </c>
    </row>
    <row r="2265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48" t="n">
        <v>45504</v>
      </c>
      <c r="G2265" t="n">
        <v>2024</v>
      </c>
      <c r="H2265" t="inlineStr">
        <is>
          <t>Julio</t>
        </is>
      </c>
      <c r="I2265" t="inlineStr">
        <is>
          <t>2024-2</t>
        </is>
      </c>
      <c r="J2265" t="n">
        <v>14</v>
      </c>
      <c r="K2265" t="n">
        <v>9.4</v>
      </c>
      <c r="L2265" s="59">
        <f>IFERROR(IF(OR(J2265=0,K2265=""),"",IF(E2265="Positivo",MIN(MAX(K2265/J2265,0),1.3),MIN(MAX(J2265/K2265,0),1.3))),"") </f>
        <v/>
      </c>
      <c r="M2265" s="59">
        <f>IFERROR(IF(OR(J2265=0,K2265=""),"",IF(E2265="Positivo",MAX(K2265/J2265,0),MAX(J2265/K2265,0))),"") </f>
        <v/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436-2024-07-31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48" t="n">
        <v>45535</v>
      </c>
      <c r="G2266" t="n">
        <v>2024</v>
      </c>
      <c r="H2266" t="inlineStr">
        <is>
          <t>Agosto</t>
        </is>
      </c>
      <c r="I2266" t="inlineStr">
        <is>
          <t>2024-2</t>
        </is>
      </c>
      <c r="J2266" t="n">
        <v>14</v>
      </c>
      <c r="K2266" t="n">
        <v>8.5</v>
      </c>
      <c r="L2266" s="59">
        <f>IFERROR(IF(OR(J2266=0,K2266=""),"",IF(E2266="Positivo",MIN(MAX(K2266/J2266,0),1.3),MIN(MAX(J2266/K2266,0),1.3))),"") </f>
        <v/>
      </c>
      <c r="M2266" s="59">
        <f>IFERROR(IF(OR(J2266=0,K2266=""),"",IF(E2266="Positivo",MAX(K2266/J2266,0),MAX(J2266/K2266,0))),"") </f>
        <v/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436-2024-08-31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48" t="n">
        <v>45565</v>
      </c>
      <c r="G2267" t="n">
        <v>2024</v>
      </c>
      <c r="H2267" t="inlineStr">
        <is>
          <t>Septiembre</t>
        </is>
      </c>
      <c r="I2267" t="inlineStr">
        <is>
          <t>2024-2</t>
        </is>
      </c>
      <c r="J2267" t="n">
        <v>14</v>
      </c>
      <c r="K2267" t="n">
        <v>10.5</v>
      </c>
      <c r="L2267" s="59">
        <f>IFERROR(IF(OR(J2267=0,K2267=""),"",IF(E2267="Positivo",MIN(MAX(K2267/J2267,0),1.3),MIN(MAX(J2267/K2267,0),1.3))),"") </f>
        <v/>
      </c>
      <c r="M2267" s="59">
        <f>IFERROR(IF(OR(J2267=0,K2267=""),"",IF(E2267="Positivo",MAX(K2267/J2267,0),MAX(J2267/K2267,0))),"") </f>
        <v/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436-2024-09-30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48" t="n">
        <v>45596</v>
      </c>
      <c r="G2268" t="n">
        <v>2024</v>
      </c>
      <c r="H2268" t="inlineStr">
        <is>
          <t>Octubre</t>
        </is>
      </c>
      <c r="I2268" t="inlineStr">
        <is>
          <t>2024-2</t>
        </is>
      </c>
      <c r="J2268" t="n">
        <v>14</v>
      </c>
      <c r="K2268" t="n">
        <v>8</v>
      </c>
      <c r="L2268" s="59">
        <f>IFERROR(IF(OR(J2268=0,K2268=""),"",IF(E2268="Positivo",MIN(MAX(K2268/J2268,0),1.3),MIN(MAX(J2268/K2268,0),1.3))),"") </f>
        <v/>
      </c>
      <c r="M2268" s="59">
        <f>IFERROR(IF(OR(J2268=0,K2268=""),"",IF(E2268="Positivo",MAX(K2268/J2268,0),MAX(J2268/K2268,0))),"") </f>
        <v/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0</v>
      </c>
      <c r="R2268" t="inlineStr">
        <is>
          <t>436-2024-10-31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48" t="n">
        <v>45626</v>
      </c>
      <c r="G2269" t="n">
        <v>2024</v>
      </c>
      <c r="H2269" t="inlineStr">
        <is>
          <t>Noviembre</t>
        </is>
      </c>
      <c r="I2269" t="inlineStr">
        <is>
          <t>2024-2</t>
        </is>
      </c>
      <c r="J2269" t="n">
        <v>14</v>
      </c>
      <c r="K2269" t="n">
        <v>10</v>
      </c>
      <c r="L2269" s="59">
        <f>IFERROR(IF(OR(J2269=0,K2269=""),"",IF(E2269="Positivo",MIN(MAX(K2269/J2269,0),1.3),MIN(MAX(J2269/K2269,0),1.3))),"") </f>
        <v/>
      </c>
      <c r="M2269" s="59">
        <f>IFERROR(IF(OR(J2269=0,K2269=""),"",IF(E2269="Positivo",MAX(K2269/J2269,0),MAX(J2269/K2269,0))),"") </f>
        <v/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0</v>
      </c>
      <c r="R2269" t="inlineStr">
        <is>
          <t>436-2024-11-30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48" t="n">
        <v>45657</v>
      </c>
      <c r="G2270" t="n">
        <v>2024</v>
      </c>
      <c r="H2270" t="inlineStr">
        <is>
          <t>Diciembre</t>
        </is>
      </c>
      <c r="I2270" t="inlineStr">
        <is>
          <t>2024-2</t>
        </is>
      </c>
      <c r="J2270" t="n">
        <v>14</v>
      </c>
      <c r="K2270" t="n">
        <v>16.97</v>
      </c>
      <c r="L2270" s="59">
        <f>IFERROR(IF(OR(J2270=0,K2270=""),"",IF(E2270="Positivo",MIN(MAX(K2270/J2270,0),1.3),MIN(MAX(J2270/K2270,0),1.3))),"") </f>
        <v/>
      </c>
      <c r="M2270" s="59">
        <f>IFERROR(IF(OR(J2270=0,K2270=""),"",IF(E2270="Positivo",MAX(K2270/J2270,0),MAX(J2270/K2270,0))),"") </f>
        <v/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436-2024-12-31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48" t="n">
        <v>45688</v>
      </c>
      <c r="G2271" t="n">
        <v>2025</v>
      </c>
      <c r="H2271" t="inlineStr">
        <is>
          <t>Enero</t>
        </is>
      </c>
      <c r="I2271" t="inlineStr">
        <is>
          <t>2025-1</t>
        </is>
      </c>
      <c r="J2271" t="n">
        <v>14</v>
      </c>
      <c r="K2271" t="n">
        <v>9.199999999999999</v>
      </c>
      <c r="L2271" s="59">
        <f>IFERROR(IF(OR(J2271=0,K2271=""),"",IF(E2271="Positivo",MIN(MAX(K2271/J2271,0),1.3),MIN(MAX(J2271/K2271,0),1.3))),"") </f>
        <v/>
      </c>
      <c r="M2271" s="59">
        <f>IFERROR(IF(OR(J2271=0,K2271=""),"",IF(E2271="Positivo",MAX(K2271/J2271,0),MAX(J2271/K2271,0))),"") </f>
        <v/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436-2025-01-31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48" t="n">
        <v>45716</v>
      </c>
      <c r="G2272" t="n">
        <v>2025</v>
      </c>
      <c r="H2272" t="inlineStr">
        <is>
          <t>Febrero</t>
        </is>
      </c>
      <c r="I2272" t="inlineStr">
        <is>
          <t>2025-1</t>
        </is>
      </c>
      <c r="J2272" t="n">
        <v>14</v>
      </c>
      <c r="K2272" t="n">
        <v>3.34</v>
      </c>
      <c r="L2272" s="59">
        <f>IFERROR(IF(OR(J2272=0,K2272=""),"",IF(E2272="Positivo",MIN(MAX(K2272/J2272,0),1.3),MIN(MAX(J2272/K2272,0),1.3))),"") </f>
        <v/>
      </c>
      <c r="M2272" s="59">
        <f>IFERROR(IF(OR(J2272=0,K2272=""),"",IF(E2272="Positivo",MAX(K2272/J2272,0),MAX(J2272/K2272,0))),"") </f>
        <v/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436-2025-02-28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48" t="n">
        <v>45747</v>
      </c>
      <c r="G2273" t="n">
        <v>2025</v>
      </c>
      <c r="H2273" t="inlineStr">
        <is>
          <t>Marzo</t>
        </is>
      </c>
      <c r="I2273" t="inlineStr">
        <is>
          <t>2025-1</t>
        </is>
      </c>
      <c r="J2273" t="n">
        <v>14</v>
      </c>
      <c r="K2273" t="n">
        <v>10.6</v>
      </c>
      <c r="L2273" s="59">
        <f>IFERROR(IF(OR(J2273=0,K2273=""),"",IF(E2273="Positivo",MIN(MAX(K2273/J2273,0),1.3),MIN(MAX(J2273/K2273,0),1.3))),"") </f>
        <v/>
      </c>
      <c r="M2273" s="59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436-2025-03-31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48" t="n">
        <v>45777</v>
      </c>
      <c r="G2274" t="n">
        <v>2025</v>
      </c>
      <c r="H2274" t="inlineStr">
        <is>
          <t>Abril</t>
        </is>
      </c>
      <c r="I2274" t="inlineStr">
        <is>
          <t>2025-1</t>
        </is>
      </c>
      <c r="J2274" t="n">
        <v>14</v>
      </c>
      <c r="K2274" t="n">
        <v>6.4</v>
      </c>
      <c r="L2274" s="59">
        <f>IFERROR(IF(OR(J2274=0,K2274=""),"",IF(E2274="Positivo",MIN(MAX(K2274/J2274,0),1.3),MIN(MAX(J2274/K2274,0),1.3))),"") </f>
        <v/>
      </c>
      <c r="M2274" s="59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436-2025-04-30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48" t="n">
        <v>45808</v>
      </c>
      <c r="G2275" t="n">
        <v>2025</v>
      </c>
      <c r="H2275" t="inlineStr">
        <is>
          <t>Mayo</t>
        </is>
      </c>
      <c r="I2275" t="inlineStr">
        <is>
          <t>2025-1</t>
        </is>
      </c>
      <c r="J2275" t="n">
        <v>14</v>
      </c>
      <c r="K2275" t="n">
        <v>10.17</v>
      </c>
      <c r="L2275" s="59">
        <f>IFERROR(IF(OR(J2275=0,K2275=""),"",IF(E2275="Positivo",MIN(MAX(K2275/J2275,0),1.3),MIN(MAX(J2275/K2275,0),1.3))),"") </f>
        <v/>
      </c>
      <c r="M2275" s="59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436-2025-05-31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48" t="n">
        <v>45838</v>
      </c>
      <c r="G2276" t="n">
        <v>2025</v>
      </c>
      <c r="H2276" t="inlineStr">
        <is>
          <t>Junio</t>
        </is>
      </c>
      <c r="I2276" t="inlineStr">
        <is>
          <t>2025-1</t>
        </is>
      </c>
      <c r="J2276" t="n">
        <v>14</v>
      </c>
      <c r="K2276" t="n">
        <v>11.93</v>
      </c>
      <c r="L2276" s="59">
        <f>IFERROR(IF(OR(J2276=0,K2276=""),"",IF(E2276="Positivo",MIN(MAX(K2276/J2276,0),1.3),MIN(MAX(J2276/K2276,0),1.3))),"") </f>
        <v/>
      </c>
      <c r="M2276" s="59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436-2025-06-30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48" t="n">
        <v>45869</v>
      </c>
      <c r="G2277" t="n">
        <v>2025</v>
      </c>
      <c r="H2277" t="inlineStr">
        <is>
          <t>Julio</t>
        </is>
      </c>
      <c r="I2277" t="inlineStr">
        <is>
          <t>2025-2</t>
        </is>
      </c>
      <c r="J2277" t="n">
        <v>14</v>
      </c>
      <c r="K2277" t="n">
        <v>13.41</v>
      </c>
      <c r="L2277" s="59">
        <f>IFERROR(IF(OR(J2277=0,K2277=""),"",IF(E2277="Positivo",MIN(MAX(K2277/J2277,0),1.3),MIN(MAX(J2277/K2277,0),1.3))),"") </f>
        <v/>
      </c>
      <c r="M2277" s="59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436-2025-07-31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48" t="n">
        <v>45900</v>
      </c>
      <c r="G2278" t="n">
        <v>2025</v>
      </c>
      <c r="H2278" t="inlineStr">
        <is>
          <t>Agosto</t>
        </is>
      </c>
      <c r="I2278" t="inlineStr">
        <is>
          <t>2025-2</t>
        </is>
      </c>
      <c r="J2278" t="n">
        <v>14</v>
      </c>
      <c r="K2278" t="n">
        <v>14.17</v>
      </c>
      <c r="L2278" s="59">
        <f>IFERROR(IF(OR(J2278=0,K2278=""),"",IF(E2278="Positivo",MIN(MAX(K2278/J2278,0),1.3),MIN(MAX(J2278/K2278,0),1.3))),"") </f>
        <v/>
      </c>
      <c r="M2278" s="59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436-2025-08-31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48" t="n">
        <v>45930</v>
      </c>
      <c r="G2279" t="n">
        <v>2025</v>
      </c>
      <c r="H2279" t="inlineStr">
        <is>
          <t>Septiembre</t>
        </is>
      </c>
      <c r="I2279" t="inlineStr">
        <is>
          <t>2025-2</t>
        </is>
      </c>
      <c r="J2279" t="n">
        <v>14</v>
      </c>
      <c r="K2279" t="n">
        <v>7.08</v>
      </c>
      <c r="L2279" s="59">
        <f>IFERROR(IF(OR(J2279=0,K2279=""),"",IF(E2279="Positivo",MIN(MAX(K2279/J2279,0),1.3),MIN(MAX(J2279/K2279,0),1.3))),"") </f>
        <v/>
      </c>
      <c r="M2279" s="59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436-2025-09-30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48" t="n">
        <v>45961</v>
      </c>
      <c r="G2280" t="n">
        <v>2025</v>
      </c>
      <c r="H2280" t="inlineStr">
        <is>
          <t>Octubre</t>
        </is>
      </c>
      <c r="I2280" t="inlineStr">
        <is>
          <t>2025-2</t>
        </is>
      </c>
      <c r="J2280" t="n">
        <v>14</v>
      </c>
      <c r="K2280" t="n">
        <v>15.49</v>
      </c>
      <c r="L2280" s="59">
        <f>IFERROR(IF(OR(J2280=0,K2280=""),"",IF(E2280="Positivo",MIN(MAX(K2280/J2280,0),1.3),MIN(MAX(J2280/K2280,0),1.3))),"") </f>
        <v/>
      </c>
      <c r="M2280" s="59">
        <f>IFERROR(IF(OR(J2280=0,K2280=""),"",IF(E2280="Positivo",MAX(K2280/J2280,0),MAX(J2280/K2280,0))),"") </f>
        <v/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1</v>
      </c>
      <c r="R2280" t="inlineStr">
        <is>
          <t>436-2025-10-31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48" t="n">
        <v>45991</v>
      </c>
      <c r="G2281" t="n">
        <v>2025</v>
      </c>
      <c r="H2281" t="inlineStr">
        <is>
          <t>Noviembre</t>
        </is>
      </c>
      <c r="I2281" t="inlineStr">
        <is>
          <t>2025-2</t>
        </is>
      </c>
      <c r="J2281" t="n">
        <v>14</v>
      </c>
      <c r="K2281" t="n">
        <v>8.119999999999999</v>
      </c>
      <c r="L2281" s="59">
        <f>IFERROR(IF(OR(J2281=0,K2281=""),"",IF(E2281="Positivo",MIN(MAX(K2281/J2281,0),1.3),MIN(MAX(J2281/K2281,0),1.3))),"") </f>
        <v/>
      </c>
      <c r="M2281" s="59">
        <f>IFERROR(IF(OR(J2281=0,K2281=""),"",IF(E2281="Positivo",MAX(K2281/J2281,0),MAX(J2281/K2281,0))),"") </f>
        <v/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1</v>
      </c>
      <c r="R2281" t="inlineStr">
        <is>
          <t>436-2025-11-30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48" t="n">
        <v>46022</v>
      </c>
      <c r="G2282" t="n">
        <v>2025</v>
      </c>
      <c r="H2282" t="inlineStr">
        <is>
          <t>Diciembre</t>
        </is>
      </c>
      <c r="I2282" t="inlineStr">
        <is>
          <t>2025-2</t>
        </is>
      </c>
      <c r="J2282" t="n">
        <v>14</v>
      </c>
      <c r="K2282" t="n">
        <v>11.77</v>
      </c>
      <c r="L2282" s="59">
        <f>IFERROR(IF(OR(J2282=0,K2282=""),"",IF(E2282="Positivo",MIN(MAX(K2282/J2282,0),1.3),MIN(MAX(J2282/K2282,0),1.3))),"") </f>
        <v/>
      </c>
      <c r="M2282" s="59">
        <f>IFERROR(IF(OR(J2282=0,K2282=""),"",IF(E2282="Positivo",MAX(K2282/J2282,0),MAX(J2282/K2282,0))),"") </f>
        <v/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1</v>
      </c>
      <c r="R2282" t="inlineStr">
        <is>
          <t>436-2025-12-31</t>
        </is>
      </c>
    </row>
    <row r="2283">
      <c r="A2283" t="n">
        <v>437</v>
      </c>
      <c r="B2283" t="inlineStr">
        <is>
          <t>Nivel de Satisfacción Servicios Prestados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48" t="n">
        <v>45230</v>
      </c>
      <c r="G2283" t="n">
        <v>2023</v>
      </c>
      <c r="H2283" t="inlineStr">
        <is>
          <t>Octubre</t>
        </is>
      </c>
      <c r="I2283" t="inlineStr">
        <is>
          <t>2023-2</t>
        </is>
      </c>
      <c r="J2283" t="n">
        <v>80</v>
      </c>
      <c r="K2283" t="n">
        <v>96.239806704923</v>
      </c>
      <c r="L2283" s="59">
        <f>IFERROR(IF(OR(J2283=0,K2283=""),"",IF(E2283="Positivo",MIN(MAX(K2283/J2283,0),1.3),MIN(MAX(J2283/K2283,0),1.3))),"") </f>
        <v/>
      </c>
      <c r="M2283" s="59">
        <f>IFERROR(IF(OR(J2283=0,K2283=""),"",IF(E2283="Positivo",MAX(K2283/J2283,0),MAX(J2283/K2283,0))),"") </f>
        <v/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437-2023-10-31</t>
        </is>
      </c>
    </row>
    <row r="2284">
      <c r="A2284" t="n">
        <v>437</v>
      </c>
      <c r="B2284" t="inlineStr">
        <is>
          <t>Nivel de Satisfacción Servicios Prestados - Riesgos</t>
        </is>
      </c>
      <c r="C2284" t="inlineStr">
        <is>
          <t>GESTIÓN DE RIESGOS</t>
        </is>
      </c>
      <c r="D2284" t="inlineStr">
        <is>
          <t>Anual</t>
        </is>
      </c>
      <c r="E2284" t="inlineStr">
        <is>
          <t>Positivo</t>
        </is>
      </c>
      <c r="F2284" s="148" t="n">
        <v>45291</v>
      </c>
      <c r="G2284" t="n">
        <v>2023</v>
      </c>
      <c r="H2284" t="inlineStr">
        <is>
          <t>Diciembre</t>
        </is>
      </c>
      <c r="I2284" t="inlineStr">
        <is>
          <t>2023-2</t>
        </is>
      </c>
      <c r="J2284" t="n">
        <v>80</v>
      </c>
      <c r="K2284" t="n">
        <v>96</v>
      </c>
      <c r="L2284" s="59">
        <f>IFERROR(IF(OR(J2284=0,K2284=""),"",IF(E2284="Positivo",MIN(MAX(K2284/J2284,0),1.3),MIN(MAX(J2284/K2284,0),1.3))),"") </f>
        <v/>
      </c>
      <c r="M2284" s="59">
        <f>IFERROR(IF(OR(J2284=0,K2284=""),"",IF(E2284="Positivo",MAX(K2284/J2284,0),MAX(J2284/K2284,0))),"") </f>
        <v/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437-2023-12-31</t>
        </is>
      </c>
    </row>
    <row r="2285">
      <c r="A2285" t="n">
        <v>437</v>
      </c>
      <c r="B2285" t="inlineStr">
        <is>
          <t>Nivel de Satisfacción Servicios Prestados - Riesgos</t>
        </is>
      </c>
      <c r="C2285" t="inlineStr">
        <is>
          <t>GESTIÓN DE RIESGOS</t>
        </is>
      </c>
      <c r="D2285" t="inlineStr">
        <is>
          <t>Anual</t>
        </is>
      </c>
      <c r="E2285" t="inlineStr">
        <is>
          <t>Positivo</t>
        </is>
      </c>
      <c r="F2285" s="148" t="n">
        <v>45657</v>
      </c>
      <c r="G2285" t="n">
        <v>2024</v>
      </c>
      <c r="H2285" t="inlineStr">
        <is>
          <t>Diciembre</t>
        </is>
      </c>
      <c r="I2285" t="inlineStr">
        <is>
          <t>2024-2</t>
        </is>
      </c>
      <c r="J2285" t="n">
        <v>80</v>
      </c>
      <c r="K2285" t="n">
        <v>84</v>
      </c>
      <c r="L2285" s="59">
        <f>IFERROR(IF(OR(J2285=0,K2285=""),"",IF(E2285="Positivo",MIN(MAX(K2285/J2285,0),1.3),MIN(MAX(J2285/K2285,0),1.3))),"") </f>
        <v/>
      </c>
      <c r="M2285" s="59">
        <f>IFERROR(IF(OR(J2285=0,K2285=""),"",IF(E2285="Positivo",MAX(K2285/J2285,0),MAX(J2285/K2285,0))),"") </f>
        <v/>
      </c>
      <c r="N2285" t="inlineStr">
        <is>
          <t>%</t>
        </is>
      </c>
      <c r="O2285" t="inlineStr">
        <is>
          <t>%</t>
        </is>
      </c>
      <c r="P2285" t="n">
        <v>0</v>
      </c>
      <c r="Q2285" t="n">
        <v>0</v>
      </c>
      <c r="R2285" t="inlineStr">
        <is>
          <t>437-2024-12-31</t>
        </is>
      </c>
    </row>
    <row r="2286">
      <c r="A2286" t="n">
        <v>437</v>
      </c>
      <c r="B2286" t="inlineStr">
        <is>
          <t>Nivel de Satisfacción Servicios Prestados - Riesgos</t>
        </is>
      </c>
      <c r="C2286" t="inlineStr">
        <is>
          <t>GESTIÓN DE RIESGOS</t>
        </is>
      </c>
      <c r="D2286" t="inlineStr">
        <is>
          <t>Anual</t>
        </is>
      </c>
      <c r="E2286" t="inlineStr">
        <is>
          <t>Positivo</t>
        </is>
      </c>
      <c r="F2286" s="148" t="n">
        <v>46022</v>
      </c>
      <c r="G2286" t="n">
        <v>2025</v>
      </c>
      <c r="H2286" t="inlineStr">
        <is>
          <t>Diciembre</t>
        </is>
      </c>
      <c r="I2286" t="inlineStr">
        <is>
          <t>2025-2</t>
        </is>
      </c>
      <c r="J2286" t="n">
        <v>80</v>
      </c>
      <c r="K2286" t="n">
        <v>99</v>
      </c>
      <c r="L2286" s="59">
        <f>IFERROR(IF(OR(J2286=0,K2286=""),"",IF(E2286="Positivo",MIN(MAX(K2286/J2286,0),1.3),MIN(MAX(J2286/K2286,0),1.3))),"") </f>
        <v/>
      </c>
      <c r="M2286" s="59">
        <f>IFERROR(IF(OR(J2286=0,K2286=""),"",IF(E2286="Positivo",MAX(K2286/J2286,0),MAX(J2286/K2286,0))),"") </f>
        <v/>
      </c>
      <c r="N2286" t="inlineStr">
        <is>
          <t>%</t>
        </is>
      </c>
      <c r="O2286" t="inlineStr">
        <is>
          <t>%</t>
        </is>
      </c>
      <c r="P2286" t="n">
        <v>0</v>
      </c>
      <c r="Q2286" t="n">
        <v>0</v>
      </c>
      <c r="R2286" t="inlineStr">
        <is>
          <t>437-2025-12-31</t>
        </is>
      </c>
    </row>
    <row r="2287">
      <c r="A2287" t="n">
        <v>438</v>
      </c>
      <c r="B2287" t="inlineStr">
        <is>
          <t>Seguimiento de asignación docente a NRC Pregrado-Posgrado Virtual</t>
        </is>
      </c>
      <c r="C2287" t="inlineStr">
        <is>
          <t>Operaciones Académicas</t>
        </is>
      </c>
      <c r="D2287" t="inlineStr">
        <is>
          <t>Semestral</t>
        </is>
      </c>
      <c r="E2287" t="inlineStr">
        <is>
          <t>Positivo</t>
        </is>
      </c>
      <c r="F2287" s="148" t="n">
        <v>45291</v>
      </c>
      <c r="G2287" t="n">
        <v>2023</v>
      </c>
      <c r="H2287" t="inlineStr">
        <is>
          <t>Diciembre</t>
        </is>
      </c>
      <c r="I2287" t="inlineStr">
        <is>
          <t>2023-2</t>
        </is>
      </c>
      <c r="J2287" t="n">
        <v>100</v>
      </c>
      <c r="K2287" t="n">
        <v>100</v>
      </c>
      <c r="L2287" s="59">
        <f>IFERROR(IF(OR(J2287=0,K2287=""),"",IF(E2287="Positivo",MIN(MAX(K2287/J2287,0),1.3),MIN(MAX(J2287/K2287,0),1.3))),"") </f>
        <v/>
      </c>
      <c r="M2287" s="59">
        <f>IFERROR(IF(OR(J2287=0,K2287=""),"",IF(E2287="Positivo",MAX(K2287/J2287,0),MAX(J2287/K2287,0))),"") </f>
        <v/>
      </c>
      <c r="N2287" t="inlineStr">
        <is>
          <t>%</t>
        </is>
      </c>
      <c r="O2287" t="inlineStr">
        <is>
          <t>%</t>
        </is>
      </c>
      <c r="P2287" t="n">
        <v>0</v>
      </c>
      <c r="Q2287" t="n">
        <v>0</v>
      </c>
      <c r="R2287" t="inlineStr">
        <is>
          <t>438-2023-12-31</t>
        </is>
      </c>
    </row>
    <row r="2288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Trimestral</t>
        </is>
      </c>
      <c r="E2288" t="inlineStr">
        <is>
          <t>Positivo</t>
        </is>
      </c>
      <c r="F2288" s="148" t="n">
        <v>45016</v>
      </c>
      <c r="G2288" t="n">
        <v>2023</v>
      </c>
      <c r="H2288" t="inlineStr">
        <is>
          <t>Marzo</t>
        </is>
      </c>
      <c r="I2288" t="inlineStr">
        <is>
          <t>2023-1</t>
        </is>
      </c>
      <c r="N2288" t="inlineStr">
        <is>
          <t>%</t>
        </is>
      </c>
      <c r="O2288" t="inlineStr">
        <is>
          <t>No Aplica</t>
        </is>
      </c>
      <c r="P2288" t="n">
        <v>0</v>
      </c>
      <c r="Q2288" t="n">
        <v>0</v>
      </c>
      <c r="R2288" t="inlineStr">
        <is>
          <t>439-2023-03-31</t>
        </is>
      </c>
      <c r="S2288" t="inlineStr">
        <is>
          <t>No Aplica</t>
        </is>
      </c>
    </row>
    <row r="2289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Trimestral</t>
        </is>
      </c>
      <c r="E2289" t="inlineStr">
        <is>
          <t>Positivo</t>
        </is>
      </c>
      <c r="F2289" s="148" t="n">
        <v>45107</v>
      </c>
      <c r="G2289" t="n">
        <v>2023</v>
      </c>
      <c r="H2289" t="inlineStr">
        <is>
          <t>Junio</t>
        </is>
      </c>
      <c r="I2289" t="inlineStr">
        <is>
          <t>2023-1</t>
        </is>
      </c>
      <c r="L2289" s="59" t="n"/>
      <c r="M2289" s="59" t="n"/>
      <c r="N2289" t="inlineStr">
        <is>
          <t>%</t>
        </is>
      </c>
      <c r="O2289" t="inlineStr">
        <is>
          <t>No Aplica</t>
        </is>
      </c>
      <c r="P2289" t="n">
        <v>0</v>
      </c>
      <c r="Q2289" t="n">
        <v>0</v>
      </c>
      <c r="R2289" t="inlineStr">
        <is>
          <t>439-2023-06-30</t>
        </is>
      </c>
      <c r="S2289" t="inlineStr">
        <is>
          <t>No Aplica</t>
        </is>
      </c>
    </row>
    <row r="2290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Semestral</t>
        </is>
      </c>
      <c r="E2290" t="inlineStr">
        <is>
          <t>Positivo</t>
        </is>
      </c>
      <c r="F2290" s="148" t="n">
        <v>45291</v>
      </c>
      <c r="G2290" t="n">
        <v>2023</v>
      </c>
      <c r="H2290" t="inlineStr">
        <is>
          <t>Diciembre</t>
        </is>
      </c>
      <c r="I2290" t="inlineStr">
        <is>
          <t>2023-2</t>
        </is>
      </c>
      <c r="J2290" t="n">
        <v>100</v>
      </c>
      <c r="K2290" t="n">
        <v>100</v>
      </c>
      <c r="L2290" s="59">
        <f>IFERROR(IF(OR(J2290=0,K2290=""),"",IF(E2290="Positivo",MIN(MAX(K2290/J2290,0),1.3),MIN(MAX(J2290/K2290,0),1.3))),"") </f>
        <v/>
      </c>
      <c r="M2290" s="59">
        <f>IFERROR(IF(OR(J2290=0,K2290=""),"",IF(E2290="Positivo",MAX(K2290/J2290,0),MAX(J2290/K2290,0))),"") </f>
        <v/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439-2023-12-31</t>
        </is>
      </c>
    </row>
    <row r="229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Semestral</t>
        </is>
      </c>
      <c r="E2291" t="inlineStr">
        <is>
          <t>Positivo</t>
        </is>
      </c>
      <c r="F2291" s="148" t="n">
        <v>45473</v>
      </c>
      <c r="G2291" t="n">
        <v>2024</v>
      </c>
      <c r="H2291" t="inlineStr">
        <is>
          <t>Junio</t>
        </is>
      </c>
      <c r="I2291" t="inlineStr">
        <is>
          <t>2024-1</t>
        </is>
      </c>
      <c r="J2291" t="n">
        <v>100</v>
      </c>
      <c r="K2291" t="n">
        <v>100</v>
      </c>
      <c r="L2291" s="59">
        <f>IFERROR(IF(OR(J2291=0,K2291=""),"",IF(E2291="Positivo",MIN(MAX(K2291/J2291,0),1.3),MIN(MAX(J2291/K2291,0),1.3))),"") </f>
        <v/>
      </c>
      <c r="M2291" s="59">
        <f>IFERROR(IF(OR(J2291=0,K2291=""),"",IF(E2291="Positivo",MAX(K2291/J2291,0),MAX(J2291/K2291,0))),"") </f>
        <v/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439-2024-06-30</t>
        </is>
      </c>
    </row>
    <row r="2292">
      <c r="A2292" t="n">
        <v>439</v>
      </c>
      <c r="B2292" t="inlineStr">
        <is>
          <t>Disponibilidad de catálogo de asignaturas pregrado y posgrado virtual</t>
        </is>
      </c>
      <c r="C2292" t="inlineStr">
        <is>
          <t>Operaciones Académicas</t>
        </is>
      </c>
      <c r="D2292" t="inlineStr">
        <is>
          <t>Semestral</t>
        </is>
      </c>
      <c r="E2292" t="inlineStr">
        <is>
          <t>Positivo</t>
        </is>
      </c>
      <c r="F2292" s="148" t="n">
        <v>45657</v>
      </c>
      <c r="G2292" t="n">
        <v>2024</v>
      </c>
      <c r="H2292" t="inlineStr">
        <is>
          <t>Diciembre</t>
        </is>
      </c>
      <c r="I2292" t="inlineStr">
        <is>
          <t>2024-2</t>
        </is>
      </c>
      <c r="J2292" t="n">
        <v>100</v>
      </c>
      <c r="K2292" t="n">
        <v>100</v>
      </c>
      <c r="L2292" s="59">
        <f>IFERROR(IF(OR(J2292=0,K2292=""),"",IF(E2292="Positivo",MIN(MAX(K2292/J2292,0),1.3),MIN(MAX(J2292/K2292,0),1.3))),"") </f>
        <v/>
      </c>
      <c r="M2292" s="59">
        <f>IFERROR(IF(OR(J2292=0,K2292=""),"",IF(E2292="Positivo",MAX(K2292/J2292,0),MAX(J2292/K2292,0))),"") </f>
        <v/>
      </c>
      <c r="N2292" t="inlineStr">
        <is>
          <t>%</t>
        </is>
      </c>
      <c r="O2292" t="inlineStr">
        <is>
          <t>%</t>
        </is>
      </c>
      <c r="P2292" t="n">
        <v>0</v>
      </c>
      <c r="Q2292" t="n">
        <v>0</v>
      </c>
      <c r="R2292" t="inlineStr">
        <is>
          <t>439-2024-12-31</t>
        </is>
      </c>
    </row>
    <row r="2293">
      <c r="A2293" t="n">
        <v>439</v>
      </c>
      <c r="B2293" t="inlineStr">
        <is>
          <t>Disponibilidad de catálogo de asignaturas pregrado y posgrado virtual</t>
        </is>
      </c>
      <c r="C2293" t="inlineStr">
        <is>
          <t>Operaciones Académicas</t>
        </is>
      </c>
      <c r="D2293" t="inlineStr">
        <is>
          <t>Semestral</t>
        </is>
      </c>
      <c r="E2293" t="inlineStr">
        <is>
          <t>Positivo</t>
        </is>
      </c>
      <c r="F2293" s="148" t="n">
        <v>45838</v>
      </c>
      <c r="G2293" t="n">
        <v>2025</v>
      </c>
      <c r="H2293" t="inlineStr">
        <is>
          <t>Junio</t>
        </is>
      </c>
      <c r="I2293" t="inlineStr">
        <is>
          <t>2025-1</t>
        </is>
      </c>
      <c r="J2293" t="n">
        <v>100</v>
      </c>
      <c r="K2293" t="n">
        <v>100</v>
      </c>
      <c r="L2293" s="59">
        <f>IFERROR(IF(OR(J2293=0,K2293=""),"",IF(E2293="Positivo",MIN(MAX(K2293/J2293,0),1.3),MIN(MAX(J2293/K2293,0),1.3))),"") </f>
        <v/>
      </c>
      <c r="M2293" s="59">
        <f>IFERROR(IF(OR(J2293=0,K2293=""),"",IF(E2293="Positivo",MAX(K2293/J2293,0),MAX(J2293/K2293,0))),"") </f>
        <v/>
      </c>
      <c r="N2293" t="inlineStr">
        <is>
          <t>%</t>
        </is>
      </c>
      <c r="O2293" t="inlineStr">
        <is>
          <t>%</t>
        </is>
      </c>
      <c r="P2293" t="n">
        <v>0</v>
      </c>
      <c r="Q2293" t="n">
        <v>0</v>
      </c>
      <c r="R2293" t="inlineStr">
        <is>
          <t>439-2025-06-30</t>
        </is>
      </c>
    </row>
    <row r="2294">
      <c r="A2294" t="n">
        <v>439</v>
      </c>
      <c r="B2294" t="inlineStr">
        <is>
          <t>Disponibilidad de catálogo de asignaturas pregrado y posgrado virtual</t>
        </is>
      </c>
      <c r="C2294" t="inlineStr">
        <is>
          <t>Operaciones Académicas</t>
        </is>
      </c>
      <c r="D2294" t="inlineStr">
        <is>
          <t>Trimestral</t>
        </is>
      </c>
      <c r="E2294" t="inlineStr">
        <is>
          <t>Positivo</t>
        </is>
      </c>
      <c r="F2294" s="148" t="n">
        <v>46022</v>
      </c>
      <c r="G2294" t="n">
        <v>2025</v>
      </c>
      <c r="H2294" t="inlineStr">
        <is>
          <t>Diciembre</t>
        </is>
      </c>
      <c r="I2294" t="inlineStr">
        <is>
          <t>2025-2</t>
        </is>
      </c>
      <c r="J2294" t="n">
        <v>100</v>
      </c>
      <c r="K2294" t="n">
        <v>100</v>
      </c>
      <c r="L2294" s="59">
        <f>IFERROR(IF(OR(J2294=0,K2294=""),"",IF(E2294="Positivo",MIN(MAX(K2294/J2294,0),1.3),MIN(MAX(J2294/K2294,0),1.3))),"") </f>
        <v/>
      </c>
      <c r="M2294" s="59">
        <f>IFERROR(IF(OR(J2294=0,K2294=""),"",IF(E2294="Positivo",MAX(K2294/J2294,0),MAX(J2294/K2294,0))),"") </f>
        <v/>
      </c>
      <c r="N2294" t="inlineStr">
        <is>
          <t>%</t>
        </is>
      </c>
      <c r="O2294" t="inlineStr">
        <is>
          <t>%</t>
        </is>
      </c>
      <c r="P2294" t="n">
        <v>0</v>
      </c>
      <c r="Q2294" t="n">
        <v>0</v>
      </c>
      <c r="R2294" t="inlineStr">
        <is>
          <t>439-2025-12-31</t>
        </is>
      </c>
    </row>
    <row r="2295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Trimestral</t>
        </is>
      </c>
      <c r="E2295" t="inlineStr">
        <is>
          <t>Positivo</t>
        </is>
      </c>
      <c r="F2295" s="148" t="n">
        <v>45016</v>
      </c>
      <c r="G2295" t="n">
        <v>2023</v>
      </c>
      <c r="H2295" t="inlineStr">
        <is>
          <t>Marzo</t>
        </is>
      </c>
      <c r="I2295" t="inlineStr">
        <is>
          <t>2023-1</t>
        </is>
      </c>
      <c r="L2295" s="59" t="n"/>
      <c r="M2295" s="59" t="n"/>
      <c r="N2295" t="inlineStr">
        <is>
          <t>%</t>
        </is>
      </c>
      <c r="O2295" t="inlineStr">
        <is>
          <t>No Aplica</t>
        </is>
      </c>
      <c r="P2295" t="n">
        <v>0</v>
      </c>
      <c r="Q2295" t="n">
        <v>1</v>
      </c>
      <c r="R2295" t="inlineStr">
        <is>
          <t>440-2023-03-31</t>
        </is>
      </c>
      <c r="S2295" t="inlineStr">
        <is>
          <t>No Aplica</t>
        </is>
      </c>
    </row>
    <row r="2296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Trimestral</t>
        </is>
      </c>
      <c r="E2296" t="inlineStr">
        <is>
          <t>Positivo</t>
        </is>
      </c>
      <c r="F2296" s="148" t="n">
        <v>45107</v>
      </c>
      <c r="G2296" t="n">
        <v>2023</v>
      </c>
      <c r="H2296" t="inlineStr">
        <is>
          <t>Junio</t>
        </is>
      </c>
      <c r="I2296" t="inlineStr">
        <is>
          <t>2023-1</t>
        </is>
      </c>
      <c r="L2296" s="59" t="n"/>
      <c r="M2296" s="59" t="n"/>
      <c r="N2296" t="inlineStr">
        <is>
          <t>%</t>
        </is>
      </c>
      <c r="O2296" t="inlineStr">
        <is>
          <t>No Aplica</t>
        </is>
      </c>
      <c r="P2296" t="n">
        <v>0</v>
      </c>
      <c r="Q2296" t="n">
        <v>1</v>
      </c>
      <c r="R2296" t="inlineStr">
        <is>
          <t>440-2023-06-30</t>
        </is>
      </c>
      <c r="S2296" t="inlineStr">
        <is>
          <t>No Aplica</t>
        </is>
      </c>
    </row>
    <row r="2297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Semestral</t>
        </is>
      </c>
      <c r="E2297" t="inlineStr">
        <is>
          <t>Positivo</t>
        </is>
      </c>
      <c r="F2297" s="148" t="n">
        <v>45291</v>
      </c>
      <c r="G2297" t="n">
        <v>2023</v>
      </c>
      <c r="H2297" t="inlineStr">
        <is>
          <t>Diciembre</t>
        </is>
      </c>
      <c r="I2297" t="inlineStr">
        <is>
          <t>2023-2</t>
        </is>
      </c>
      <c r="J2297" t="n">
        <v>98</v>
      </c>
      <c r="K2297" t="n">
        <v>97.746062537527</v>
      </c>
      <c r="L2297" s="59">
        <f>IFERROR(IF(OR(J2297=0,K2297=""),"",IF(E2297="Positivo",MIN(MAX(K2297/J2297,0),1.3),MIN(MAX(J2297/K2297,0),1.3))),"") </f>
        <v/>
      </c>
      <c r="M2297" s="59">
        <f>IFERROR(IF(OR(J2297=0,K2297=""),"",IF(E2297="Positivo",MAX(K2297/J2297,0),MAX(J2297/K2297,0))),"") </f>
        <v/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440-2023-12-31</t>
        </is>
      </c>
    </row>
    <row r="2298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Semestral</t>
        </is>
      </c>
      <c r="E2298" t="inlineStr">
        <is>
          <t>Positivo</t>
        </is>
      </c>
      <c r="F2298" s="148" t="n">
        <v>45473</v>
      </c>
      <c r="G2298" t="n">
        <v>2024</v>
      </c>
      <c r="H2298" t="inlineStr">
        <is>
          <t>Junio</t>
        </is>
      </c>
      <c r="I2298" t="inlineStr">
        <is>
          <t>2024-1</t>
        </is>
      </c>
      <c r="J2298" t="n">
        <v>98</v>
      </c>
      <c r="K2298" t="n">
        <v>99.73</v>
      </c>
      <c r="L2298" s="59">
        <f>IFERROR(IF(OR(J2298=0,K2298=""),"",IF(E2298="Positivo",MIN(MAX(K2298/J2298,0),1.3),MIN(MAX(J2298/K2298,0),1.3))),"") </f>
        <v/>
      </c>
      <c r="M2298" s="59">
        <f>IFERROR(IF(OR(J2298=0,K2298=""),"",IF(E2298="Positivo",MAX(K2298/J2298,0),MAX(J2298/K2298,0))),"") </f>
        <v/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440-2024-06-30</t>
        </is>
      </c>
    </row>
    <row r="2299">
      <c r="A2299" t="n">
        <v>440</v>
      </c>
      <c r="B2299" t="inlineStr">
        <is>
          <t>Aseguramiento de matricula académica virtual</t>
        </is>
      </c>
      <c r="C2299" t="inlineStr">
        <is>
          <t>Operaciones Académicas</t>
        </is>
      </c>
      <c r="D2299" t="inlineStr">
        <is>
          <t>Semestral</t>
        </is>
      </c>
      <c r="E2299" t="inlineStr">
        <is>
          <t>Positivo</t>
        </is>
      </c>
      <c r="F2299" s="148" t="n">
        <v>45657</v>
      </c>
      <c r="G2299" t="n">
        <v>2024</v>
      </c>
      <c r="H2299" t="inlineStr">
        <is>
          <t>Diciembre</t>
        </is>
      </c>
      <c r="I2299" t="inlineStr">
        <is>
          <t>2024-2</t>
        </is>
      </c>
      <c r="J2299" t="n">
        <v>98</v>
      </c>
      <c r="K2299" t="n">
        <v>99.23999999999999</v>
      </c>
      <c r="L2299" s="59">
        <f>IFERROR(IF(OR(J2299=0,K2299=""),"",IF(E2299="Positivo",MIN(MAX(K2299/J2299,0),1.3),MIN(MAX(J2299/K2299,0),1.3))),"") </f>
        <v/>
      </c>
      <c r="M2299" s="59">
        <f>IFERROR(IF(OR(J2299=0,K2299=""),"",IF(E2299="Positivo",MAX(K2299/J2299,0),MAX(J2299/K2299,0))),"") </f>
        <v/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440-2024-12-31</t>
        </is>
      </c>
    </row>
    <row r="2300">
      <c r="A2300" t="n">
        <v>440</v>
      </c>
      <c r="B2300" t="inlineStr">
        <is>
          <t>Aseguramiento de matricula académica virtual</t>
        </is>
      </c>
      <c r="C2300" t="inlineStr">
        <is>
          <t>Operaciones Académicas</t>
        </is>
      </c>
      <c r="D2300" t="inlineStr">
        <is>
          <t>Semestral</t>
        </is>
      </c>
      <c r="E2300" t="inlineStr">
        <is>
          <t>Positivo</t>
        </is>
      </c>
      <c r="F2300" s="148" t="n">
        <v>45838</v>
      </c>
      <c r="G2300" t="n">
        <v>2025</v>
      </c>
      <c r="H2300" t="inlineStr">
        <is>
          <t>Junio</t>
        </is>
      </c>
      <c r="I2300" t="inlineStr">
        <is>
          <t>2025-1</t>
        </is>
      </c>
      <c r="J2300" t="n">
        <v>98</v>
      </c>
      <c r="K2300" t="n">
        <v>99.77</v>
      </c>
      <c r="L2300" s="59">
        <f>IFERROR(IF(OR(J2300=0,K2300=""),"",IF(E2300="Positivo",MIN(MAX(K2300/J2300,0),1.3),MIN(MAX(J2300/K2300,0),1.3))),"") </f>
        <v/>
      </c>
      <c r="M2300" s="59">
        <f>IFERROR(IF(OR(J2300=0,K2300=""),"",IF(E2300="Positivo",MAX(K2300/J2300,0),MAX(J2300/K2300,0))),"") </f>
        <v/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440-2025-06-30</t>
        </is>
      </c>
    </row>
    <row r="2301">
      <c r="A2301" t="n">
        <v>440</v>
      </c>
      <c r="B2301" t="inlineStr">
        <is>
          <t>Aseguramiento de matricula académica virtual</t>
        </is>
      </c>
      <c r="C2301" t="inlineStr">
        <is>
          <t>Operaciones Académicas</t>
        </is>
      </c>
      <c r="D2301" t="inlineStr">
        <is>
          <t>Trimestral</t>
        </is>
      </c>
      <c r="E2301" t="inlineStr">
        <is>
          <t>Positivo</t>
        </is>
      </c>
      <c r="F2301" s="148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98</v>
      </c>
      <c r="K2301" t="n">
        <v>99.73999999999999</v>
      </c>
      <c r="L2301" s="59">
        <f>IFERROR(IF(OR(J2301=0,K2301=""),"",IF(E2301="Positivo",MIN(MAX(K2301/J2301,0),1.3),MIN(MAX(J2301/K2301,0),1.3))),"") </f>
        <v/>
      </c>
      <c r="M2301" s="59">
        <f>IFERROR(IF(OR(J2301=0,K2301=""),"",IF(E2301="Positivo",MAX(K2301/J2301,0),MAX(J2301/K2301,0))),"") </f>
        <v/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440-2025-12-31</t>
        </is>
      </c>
    </row>
    <row r="2302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48" t="n">
        <v>45322</v>
      </c>
      <c r="G2302" t="n">
        <v>2024</v>
      </c>
      <c r="H2302" t="inlineStr">
        <is>
          <t>Enero</t>
        </is>
      </c>
      <c r="I2302" t="inlineStr">
        <is>
          <t>2024-1</t>
        </is>
      </c>
      <c r="J2302" t="n">
        <v>90</v>
      </c>
      <c r="K2302" t="n">
        <v>87.81999999999999</v>
      </c>
      <c r="L2302" s="59">
        <f>IFERROR(IF(OR(J2302=0,K2302=""),"",IF(E2302="Positivo",MIN(MAX(K2302/J2302,0),1.3),MIN(MAX(J2302/K2302,0),1.3))),"") </f>
        <v/>
      </c>
      <c r="M2302" s="59">
        <f>IFERROR(IF(OR(J2302=0,K2302=""),"",IF(E2302="Positivo",MAX(K2302/J2302,0),MAX(J2302/K2302,0))),"") </f>
        <v/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441-2024-01-31</t>
        </is>
      </c>
    </row>
    <row r="2303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48" t="n">
        <v>45351</v>
      </c>
      <c r="G2303" t="n">
        <v>2024</v>
      </c>
      <c r="H2303" t="inlineStr">
        <is>
          <t>Febrero</t>
        </is>
      </c>
      <c r="I2303" t="inlineStr">
        <is>
          <t>2024-1</t>
        </is>
      </c>
      <c r="J2303" t="n">
        <v>90</v>
      </c>
      <c r="K2303" t="n">
        <v>90.88</v>
      </c>
      <c r="L2303" s="59">
        <f>IFERROR(IF(OR(J2303=0,K2303=""),"",IF(E2303="Positivo",MIN(MAX(K2303/J2303,0),1.3),MIN(MAX(J2303/K2303,0),1.3))),"") </f>
        <v/>
      </c>
      <c r="M2303" s="59">
        <f>IFERROR(IF(OR(J2303=0,K2303=""),"",IF(E2303="Positivo",MAX(K2303/J2303,0),MAX(J2303/K2303,0))),"") </f>
        <v/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441-2024-02-29</t>
        </is>
      </c>
    </row>
    <row r="2304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48" t="n">
        <v>45382</v>
      </c>
      <c r="G2304" t="n">
        <v>2024</v>
      </c>
      <c r="H2304" t="inlineStr">
        <is>
          <t>Marzo</t>
        </is>
      </c>
      <c r="I2304" t="inlineStr">
        <is>
          <t>2024-1</t>
        </is>
      </c>
      <c r="J2304" t="n">
        <v>90</v>
      </c>
      <c r="K2304" t="n">
        <v>91.52</v>
      </c>
      <c r="L2304" s="59">
        <f>IFERROR(IF(OR(J2304=0,K2304=""),"",IF(E2304="Positivo",MIN(MAX(K2304/J2304,0),1.3),MIN(MAX(J2304/K2304,0),1.3))),"") </f>
        <v/>
      </c>
      <c r="M2304" s="59">
        <f>IFERROR(IF(OR(J2304=0,K2304=""),"",IF(E2304="Positivo",MAX(K2304/J2304,0),MAX(J2304/K2304,0))),"") </f>
        <v/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1</v>
      </c>
      <c r="R2304" t="inlineStr">
        <is>
          <t>441-2024-03-31</t>
        </is>
      </c>
    </row>
    <row r="2305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48" t="n">
        <v>45412</v>
      </c>
      <c r="G2305" t="n">
        <v>2024</v>
      </c>
      <c r="H2305" t="inlineStr">
        <is>
          <t>Abril</t>
        </is>
      </c>
      <c r="I2305" t="inlineStr">
        <is>
          <t>2024-1</t>
        </is>
      </c>
      <c r="J2305" t="n">
        <v>90</v>
      </c>
      <c r="K2305" t="n">
        <v>95.81999999999999</v>
      </c>
      <c r="L2305" s="59">
        <f>IFERROR(IF(OR(J2305=0,K2305=""),"",IF(E2305="Positivo",MIN(MAX(K2305/J2305,0),1.3),MIN(MAX(J2305/K2305,0),1.3))),"") </f>
        <v/>
      </c>
      <c r="M2305" s="59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1</v>
      </c>
      <c r="R2305" t="inlineStr">
        <is>
          <t>441-2024-04-30</t>
        </is>
      </c>
    </row>
    <row r="2306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48" t="n">
        <v>45443</v>
      </c>
      <c r="G2306" t="n">
        <v>2024</v>
      </c>
      <c r="H2306" t="inlineStr">
        <is>
          <t>Mayo</t>
        </is>
      </c>
      <c r="I2306" t="inlineStr">
        <is>
          <t>2024-1</t>
        </is>
      </c>
      <c r="J2306" t="n">
        <v>90</v>
      </c>
      <c r="K2306" t="n">
        <v>96.89</v>
      </c>
      <c r="L2306" s="59">
        <f>IFERROR(IF(OR(J2306=0,K2306=""),"",IF(E2306="Positivo",MIN(MAX(K2306/J2306,0),1.3),MIN(MAX(J2306/K2306,0),1.3))),"") </f>
        <v/>
      </c>
      <c r="M2306" s="59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1</v>
      </c>
      <c r="R2306" t="inlineStr">
        <is>
          <t>441-2024-05-31</t>
        </is>
      </c>
    </row>
    <row r="2307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48" t="n">
        <v>45473</v>
      </c>
      <c r="G2307" t="n">
        <v>2024</v>
      </c>
      <c r="H2307" t="inlineStr">
        <is>
          <t>Junio</t>
        </is>
      </c>
      <c r="I2307" t="inlineStr">
        <is>
          <t>2024-1</t>
        </is>
      </c>
      <c r="J2307" t="n">
        <v>90</v>
      </c>
      <c r="K2307" t="n">
        <v>101.449275362318</v>
      </c>
      <c r="L2307" s="59">
        <f>IFERROR(IF(OR(J2307=0,K2307=""),"",IF(E2307="Positivo",MIN(MAX(K2307/J2307,0),1.3),MIN(MAX(J2307/K2307,0),1.3))),"") </f>
        <v/>
      </c>
      <c r="M2307" s="59">
        <f>IFERROR(IF(OR(J2307=0,K2307=""),"",IF(E2307="Positivo",MAX(K2307/J2307,0),MAX(J2307/K2307,0))),"") </f>
        <v/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441-2024-06-30</t>
        </is>
      </c>
    </row>
    <row r="2308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48" t="n">
        <v>45504</v>
      </c>
      <c r="G2308" t="n">
        <v>2024</v>
      </c>
      <c r="H2308" t="inlineStr">
        <is>
          <t>Julio</t>
        </is>
      </c>
      <c r="I2308" t="inlineStr">
        <is>
          <t>2024-2</t>
        </is>
      </c>
      <c r="J2308" t="n">
        <v>90</v>
      </c>
      <c r="K2308" t="n">
        <v>91.2</v>
      </c>
      <c r="L2308" s="59">
        <f>IFERROR(IF(OR(J2308=0,K2308=""),"",IF(E2308="Positivo",MIN(MAX(K2308/J2308,0),1.3),MIN(MAX(J2308/K2308,0),1.3))),"") </f>
        <v/>
      </c>
      <c r="M2308" s="59">
        <f>IFERROR(IF(OR(J2308=0,K2308=""),"",IF(E2308="Positivo",MAX(K2308/J2308,0),MAX(J2308/K2308,0))),"") </f>
        <v/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441-2024-07-31</t>
        </is>
      </c>
    </row>
    <row r="2309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48" t="n">
        <v>45535</v>
      </c>
      <c r="G2309" t="n">
        <v>2024</v>
      </c>
      <c r="H2309" t="inlineStr">
        <is>
          <t>Agosto</t>
        </is>
      </c>
      <c r="I2309" t="inlineStr">
        <is>
          <t>2024-2</t>
        </is>
      </c>
      <c r="J2309" t="n">
        <v>90</v>
      </c>
      <c r="K2309" t="n">
        <v>98.1605351170568</v>
      </c>
      <c r="L2309" s="59">
        <f>IFERROR(IF(OR(J2309=0,K2309=""),"",IF(E2309="Positivo",MIN(MAX(K2309/J2309,0),1.3),MIN(MAX(J2309/K2309,0),1.3))),"") </f>
        <v/>
      </c>
      <c r="M2309" s="59">
        <f>IFERROR(IF(OR(J2309=0,K2309=""),"",IF(E2309="Positivo",MAX(K2309/J2309,0),MAX(J2309/K2309,0))),"") </f>
        <v/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441-2024-08-31</t>
        </is>
      </c>
    </row>
    <row r="2310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48" t="n">
        <v>45565</v>
      </c>
      <c r="G2310" t="n">
        <v>2024</v>
      </c>
      <c r="H2310" t="inlineStr">
        <is>
          <t>Septiembre</t>
        </is>
      </c>
      <c r="I2310" t="inlineStr">
        <is>
          <t>2024-2</t>
        </is>
      </c>
      <c r="J2310" t="n">
        <v>90</v>
      </c>
      <c r="K2310" t="n">
        <v>97.789566755084</v>
      </c>
      <c r="L2310" s="59">
        <f>IFERROR(IF(OR(J2310=0,K2310=""),"",IF(E2310="Positivo",MIN(MAX(K2310/J2310,0),1.3),MIN(MAX(J2310/K2310,0),1.3))),"") </f>
        <v/>
      </c>
      <c r="M2310" s="59">
        <f>IFERROR(IF(OR(J2310=0,K2310=""),"",IF(E2310="Positivo",MAX(K2310/J2310,0),MAX(J2310/K2310,0))),"") </f>
        <v/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441-2024-09-30</t>
        </is>
      </c>
    </row>
    <row r="2311">
      <c r="A2311" t="n">
        <v>441</v>
      </c>
      <c r="B2311" t="inlineStr">
        <is>
          <t>Cumplimiento a cronograma de proyectos 2024</t>
        </is>
      </c>
      <c r="C2311" t="inlineStr">
        <is>
          <t>Gestión de Proyectos</t>
        </is>
      </c>
      <c r="D2311" t="inlineStr">
        <is>
          <t>Mensual</t>
        </is>
      </c>
      <c r="E2311" t="inlineStr">
        <is>
          <t>Positivo</t>
        </is>
      </c>
      <c r="F2311" s="148" t="n">
        <v>45596</v>
      </c>
      <c r="G2311" t="n">
        <v>2024</v>
      </c>
      <c r="H2311" t="inlineStr">
        <is>
          <t>Octubre</t>
        </is>
      </c>
      <c r="I2311" t="inlineStr">
        <is>
          <t>2024-2</t>
        </is>
      </c>
      <c r="J2311" t="n">
        <v>90</v>
      </c>
      <c r="K2311" t="n">
        <v>96.61908339594289</v>
      </c>
      <c r="L2311" s="59">
        <f>IFERROR(IF(OR(J2311=0,K2311=""),"",IF(E2311="Positivo",MIN(MAX(K2311/J2311,0),1.3),MIN(MAX(J2311/K2311,0),1.3))),"") </f>
        <v/>
      </c>
      <c r="M2311" s="59">
        <f>IFERROR(IF(OR(J2311=0,K2311=""),"",IF(E2311="Positivo",MAX(K2311/J2311,0),MAX(J2311/K2311,0))),"") </f>
        <v/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441-2024-10-31</t>
        </is>
      </c>
    </row>
    <row r="2312">
      <c r="A2312" t="n">
        <v>441</v>
      </c>
      <c r="B2312" t="inlineStr">
        <is>
          <t>Cumplimiento a cronograma de proyectos 2024</t>
        </is>
      </c>
      <c r="C2312" t="inlineStr">
        <is>
          <t>Gestión de Proyectos</t>
        </is>
      </c>
      <c r="D2312" t="inlineStr">
        <is>
          <t>Mensual</t>
        </is>
      </c>
      <c r="E2312" t="inlineStr">
        <is>
          <t>Positivo</t>
        </is>
      </c>
      <c r="F2312" s="148" t="n">
        <v>45626</v>
      </c>
      <c r="G2312" t="n">
        <v>2024</v>
      </c>
      <c r="H2312" t="inlineStr">
        <is>
          <t>Noviembre</t>
        </is>
      </c>
      <c r="I2312" t="inlineStr">
        <is>
          <t>2024-2</t>
        </is>
      </c>
      <c r="J2312" t="n">
        <v>90</v>
      </c>
      <c r="K2312" t="n">
        <v>97.5359342915811</v>
      </c>
      <c r="L2312" s="59">
        <f>IFERROR(IF(OR(J2312=0,K2312=""),"",IF(E2312="Positivo",MIN(MAX(K2312/J2312,0),1.3),MIN(MAX(J2312/K2312,0),1.3))),"") </f>
        <v/>
      </c>
      <c r="M2312" s="59">
        <f>IFERROR(IF(OR(J2312=0,K2312=""),"",IF(E2312="Positivo",MAX(K2312/J2312,0),MAX(J2312/K2312,0))),"") </f>
        <v/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441-2024-11-30</t>
        </is>
      </c>
    </row>
    <row r="2313">
      <c r="A2313" t="n">
        <v>441</v>
      </c>
      <c r="B2313" t="inlineStr">
        <is>
          <t>Cumplimiento a cronograma de proyectos 2024</t>
        </is>
      </c>
      <c r="C2313" t="inlineStr">
        <is>
          <t>Gestión de Proyectos</t>
        </is>
      </c>
      <c r="D2313" t="inlineStr">
        <is>
          <t>Mensual</t>
        </is>
      </c>
      <c r="E2313" t="inlineStr">
        <is>
          <t>Positivo</t>
        </is>
      </c>
      <c r="F2313" s="148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90</v>
      </c>
      <c r="K2313" t="n">
        <v>99.919935948759</v>
      </c>
      <c r="L2313" s="59">
        <f>IFERROR(IF(OR(J2313=0,K2313=""),"",IF(E2313="Positivo",MIN(MAX(K2313/J2313,0),1.3),MIN(MAX(J2313/K2313,0),1.3))),"") </f>
        <v/>
      </c>
      <c r="M2313" s="59">
        <f>IFERROR(IF(OR(J2313=0,K2313=""),"",IF(E2313="Positivo",MAX(K2313/J2313,0),MAX(J2313/K2313,0))),"") </f>
        <v/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441-2024-12-31</t>
        </is>
      </c>
    </row>
    <row r="2314">
      <c r="A2314" t="n">
        <v>442</v>
      </c>
      <c r="B2314" t="inlineStr">
        <is>
          <t>Participación de docentes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48" t="n">
        <v>45473</v>
      </c>
      <c r="G2314" t="n">
        <v>2024</v>
      </c>
      <c r="H2314" t="inlineStr">
        <is>
          <t>Junio</t>
        </is>
      </c>
      <c r="I2314" t="inlineStr">
        <is>
          <t>2024-1</t>
        </is>
      </c>
      <c r="J2314" t="n">
        <v>100</v>
      </c>
      <c r="K2314" t="n">
        <v>80</v>
      </c>
      <c r="L2314" s="59">
        <f>IFERROR(IF(OR(J2314=0,K2314=""),"",IF(E2314="Positivo",MIN(MAX(K2314/J2314,0),1.3),MIN(MAX(J2314/K2314,0),1.3))),"") </f>
        <v/>
      </c>
      <c r="M2314" s="59">
        <f>IFERROR(IF(OR(J2314=0,K2314=""),"",IF(E2314="Positivo",MAX(K2314/J2314,0),MAX(J2314/K2314,0))),"") </f>
        <v/>
      </c>
      <c r="P2314" t="n">
        <v>0</v>
      </c>
      <c r="Q2314" t="n">
        <v>0</v>
      </c>
      <c r="R2314" t="inlineStr">
        <is>
          <t>442-2024-06-30</t>
        </is>
      </c>
    </row>
    <row r="2315">
      <c r="A2315" t="n">
        <v>442</v>
      </c>
      <c r="B2315" t="inlineStr">
        <is>
          <t>Participación de docentes invitados en eventos académicos virtuales en Poli</t>
        </is>
      </c>
      <c r="C2315" t="inlineStr">
        <is>
          <t>VISIBILIDAD NACIONAL E INTERNACIONAL</t>
        </is>
      </c>
      <c r="D2315" t="inlineStr">
        <is>
          <t>Semestral</t>
        </is>
      </c>
      <c r="E2315" t="inlineStr">
        <is>
          <t>Positivo</t>
        </is>
      </c>
      <c r="F2315" s="148" t="n">
        <v>45657</v>
      </c>
      <c r="G2315" t="n">
        <v>2024</v>
      </c>
      <c r="H2315" t="inlineStr">
        <is>
          <t>Diciembre</t>
        </is>
      </c>
      <c r="I2315" t="inlineStr">
        <is>
          <t>2024-2</t>
        </is>
      </c>
      <c r="J2315" t="n">
        <v>100</v>
      </c>
      <c r="K2315" t="n">
        <v>145</v>
      </c>
      <c r="L2315" s="59">
        <f>IFERROR(IF(OR(J2315=0,K2315=""),"",IF(E2315="Positivo",MIN(MAX(K2315/J2315,0),1.3),MIN(MAX(J2315/K2315,0),1.3))),"") </f>
        <v/>
      </c>
      <c r="M2315" s="59">
        <f>IFERROR(IF(OR(J2315=0,K2315=""),"",IF(E2315="Positivo",MAX(K2315/J2315,0),MAX(J2315/K2315,0))),"") </f>
        <v/>
      </c>
      <c r="P2315" t="n">
        <v>0</v>
      </c>
      <c r="Q2315" t="n">
        <v>0</v>
      </c>
      <c r="R2315" t="inlineStr">
        <is>
          <t>442-2024-12-31</t>
        </is>
      </c>
    </row>
    <row r="2316">
      <c r="A2316" t="n">
        <v>443</v>
      </c>
      <c r="B2316" t="inlineStr">
        <is>
          <t>Participación de estudiantes invitados en eventos académicos virtuales en Poli</t>
        </is>
      </c>
      <c r="C2316" t="inlineStr">
        <is>
          <t>VISIBILIDAD NACIONAL E INTERNACIONAL</t>
        </is>
      </c>
      <c r="D2316" t="inlineStr">
        <is>
          <t>Semestral</t>
        </is>
      </c>
      <c r="E2316" t="inlineStr">
        <is>
          <t>Positivo</t>
        </is>
      </c>
      <c r="F2316" s="148" t="n">
        <v>45473</v>
      </c>
      <c r="G2316" t="n">
        <v>2024</v>
      </c>
      <c r="H2316" t="inlineStr">
        <is>
          <t>Junio</t>
        </is>
      </c>
      <c r="I2316" t="inlineStr">
        <is>
          <t>2024-1</t>
        </is>
      </c>
      <c r="J2316" t="n">
        <v>100</v>
      </c>
      <c r="K2316" t="n">
        <v>114.33</v>
      </c>
      <c r="L2316" s="59">
        <f>IFERROR(IF(OR(J2316=0,K2316=""),"",IF(E2316="Positivo",MIN(MAX(K2316/J2316,0),1.3),MIN(MAX(J2316/K2316,0),1.3))),"") </f>
        <v/>
      </c>
      <c r="M2316" s="59">
        <f>IFERROR(IF(OR(J2316=0,K2316=""),"",IF(E2316="Positivo",MAX(K2316/J2316,0),MAX(J2316/K2316,0))),"") </f>
        <v/>
      </c>
      <c r="P2316" t="n">
        <v>0</v>
      </c>
      <c r="Q2316" t="n">
        <v>0</v>
      </c>
      <c r="R2316" t="inlineStr">
        <is>
          <t>443-2024-06-30</t>
        </is>
      </c>
    </row>
    <row r="2317">
      <c r="A2317" t="n">
        <v>443</v>
      </c>
      <c r="B2317" t="inlineStr">
        <is>
          <t>Participación de estudiantes invitados en eventos académicos virtuales en Poli</t>
        </is>
      </c>
      <c r="C2317" t="inlineStr">
        <is>
          <t>VISIBILIDAD NACIONAL E INTERNACIONAL</t>
        </is>
      </c>
      <c r="D2317" t="inlineStr">
        <is>
          <t>Semestral</t>
        </is>
      </c>
      <c r="E2317" t="inlineStr">
        <is>
          <t>Positivo</t>
        </is>
      </c>
      <c r="F2317" s="148" t="n">
        <v>45657</v>
      </c>
      <c r="G2317" t="n">
        <v>2024</v>
      </c>
      <c r="H2317" t="inlineStr">
        <is>
          <t>Diciembre</t>
        </is>
      </c>
      <c r="I2317" t="inlineStr">
        <is>
          <t>2024-2</t>
        </is>
      </c>
      <c r="J2317" t="n">
        <v>100</v>
      </c>
      <c r="K2317" t="n">
        <v>209</v>
      </c>
      <c r="L2317" s="59">
        <f>IFERROR(IF(OR(J2317=0,K2317=""),"",IF(E2317="Positivo",MIN(MAX(K2317/J2317,0),1.3),MIN(MAX(J2317/K2317,0),1.3))),"") </f>
        <v/>
      </c>
      <c r="M2317" s="59">
        <f>IFERROR(IF(OR(J2317=0,K2317=""),"",IF(E2317="Positivo",MAX(K2317/J2317,0),MAX(J2317/K2317,0))),"") </f>
        <v/>
      </c>
      <c r="P2317" t="n">
        <v>0</v>
      </c>
      <c r="Q2317" t="n">
        <v>0</v>
      </c>
      <c r="R2317" t="inlineStr">
        <is>
          <t>443-2024-12-31</t>
        </is>
      </c>
    </row>
    <row r="2318">
      <c r="A2318" t="n">
        <v>444</v>
      </c>
      <c r="B2318" t="inlineStr">
        <is>
          <t>CES Proceso de grados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48" t="n">
        <v>45657</v>
      </c>
      <c r="G2318" t="n">
        <v>2024</v>
      </c>
      <c r="H2318" t="inlineStr">
        <is>
          <t>Diciembre</t>
        </is>
      </c>
      <c r="I2318" t="inlineStr">
        <is>
          <t>2024-2</t>
        </is>
      </c>
      <c r="K2318" t="n">
        <v>2.1</v>
      </c>
      <c r="L2318" s="59" t="n"/>
      <c r="M2318" s="59" t="n"/>
      <c r="N2318" t="inlineStr">
        <is>
          <t>Linea Base</t>
        </is>
      </c>
      <c r="P2318" t="n">
        <v>0</v>
      </c>
      <c r="Q2318" t="n">
        <v>1</v>
      </c>
      <c r="R2318" t="inlineStr">
        <is>
          <t>444-2024-12-31</t>
        </is>
      </c>
    </row>
    <row r="2319">
      <c r="A2319" t="n">
        <v>444</v>
      </c>
      <c r="B2319" t="inlineStr">
        <is>
          <t>CES Proceso de grados</t>
        </is>
      </c>
      <c r="C2319" t="inlineStr">
        <is>
          <t>Registro y Control</t>
        </is>
      </c>
      <c r="D2319" t="inlineStr">
        <is>
          <t>Semestral</t>
        </is>
      </c>
      <c r="E2319" t="inlineStr">
        <is>
          <t>Positivo</t>
        </is>
      </c>
      <c r="F2319" s="148" t="n">
        <v>45838</v>
      </c>
      <c r="G2319" t="n">
        <v>2025</v>
      </c>
      <c r="H2319" t="inlineStr">
        <is>
          <t>Junio</t>
        </is>
      </c>
      <c r="I2319" t="inlineStr">
        <is>
          <t>2025-1</t>
        </is>
      </c>
      <c r="J2319" t="n">
        <v>3</v>
      </c>
      <c r="K2319" t="n">
        <v>1.6</v>
      </c>
      <c r="L2319" s="59">
        <f>IFERROR(IF(OR(J2319=0,K2319=""),"",IF(E2319="Positivo",MIN(MAX(K2319/J2319,0),1.3),MIN(MAX(J2319/K2319,0),1.3))),"") </f>
        <v/>
      </c>
      <c r="M2319" s="59">
        <f>IFERROR(IF(OR(J2319=0,K2319=""),"",IF(E2319="Positivo",MAX(K2319/J2319,0),MAX(J2319/K2319,0))),"") </f>
        <v/>
      </c>
      <c r="N2319" t="inlineStr">
        <is>
          <t>DEC</t>
        </is>
      </c>
      <c r="O2319" t="inlineStr">
        <is>
          <t>DEC</t>
        </is>
      </c>
      <c r="P2319" t="n">
        <v>0</v>
      </c>
      <c r="Q2319" t="n">
        <v>1</v>
      </c>
      <c r="R2319" t="inlineStr">
        <is>
          <t>444-2025-06-30</t>
        </is>
      </c>
    </row>
    <row r="2320">
      <c r="A2320" t="n">
        <v>444</v>
      </c>
      <c r="B2320" t="inlineStr">
        <is>
          <t>CES Proceso de grados</t>
        </is>
      </c>
      <c r="C2320" t="inlineStr">
        <is>
          <t>Registro y Control</t>
        </is>
      </c>
      <c r="D2320" t="inlineStr">
        <is>
          <t>Trimestral</t>
        </is>
      </c>
      <c r="E2320" t="inlineStr">
        <is>
          <t>Negativo</t>
        </is>
      </c>
      <c r="F2320" s="148" t="n">
        <v>46022</v>
      </c>
      <c r="G2320" t="n">
        <v>2025</v>
      </c>
      <c r="H2320" t="inlineStr">
        <is>
          <t>Diciembre</t>
        </is>
      </c>
      <c r="I2320" t="inlineStr">
        <is>
          <t>2025-2</t>
        </is>
      </c>
      <c r="J2320" t="n">
        <v>3</v>
      </c>
      <c r="K2320" t="n">
        <v>1.7</v>
      </c>
      <c r="L2320" s="59">
        <f>IFERROR(IF(OR(J2320=0,K2320=""),"",IF(E2320="Positivo",MIN(MAX(K2320/J2320,0),1.3),MIN(MAX(J2320/K2320,0),1.3))),"") </f>
        <v/>
      </c>
      <c r="M2320" s="59">
        <f>IFERROR(IF(OR(J2320=0,K2320=""),"",IF(E2320="Positivo",MAX(K2320/J2320,0),MAX(J2320/K2320,0))),"") </f>
        <v/>
      </c>
      <c r="N2320" t="inlineStr">
        <is>
          <t>ENT</t>
        </is>
      </c>
      <c r="O2320" t="inlineStr">
        <is>
          <t>DEC</t>
        </is>
      </c>
      <c r="P2320" t="n">
        <v>0</v>
      </c>
      <c r="Q2320" t="n">
        <v>1</v>
      </c>
      <c r="R2320" t="inlineStr">
        <is>
          <t>444-2025-12-31</t>
        </is>
      </c>
    </row>
    <row r="232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Semestral</t>
        </is>
      </c>
      <c r="E2321" t="inlineStr">
        <is>
          <t>Positivo</t>
        </is>
      </c>
      <c r="F2321" s="148" t="n">
        <v>45473</v>
      </c>
      <c r="G2321" t="n">
        <v>2024</v>
      </c>
      <c r="H2321" t="inlineStr">
        <is>
          <t>Junio</t>
        </is>
      </c>
      <c r="I2321" t="inlineStr">
        <is>
          <t>2024-1</t>
        </is>
      </c>
      <c r="J2321" t="n">
        <v>67.5</v>
      </c>
      <c r="K2321" t="n">
        <v>55.2</v>
      </c>
      <c r="L2321" s="59">
        <f>IFERROR(IF(OR(J2321=0,K2321=""),"",IF(E2321="Positivo",MIN(MAX(K2321/J2321,0),1.3),MIN(MAX(J2321/K2321,0),1.3))),"") </f>
        <v/>
      </c>
      <c r="M2321" s="59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445-2024-06-30</t>
        </is>
      </c>
    </row>
    <row r="2322">
      <c r="A2322" t="n">
        <v>445</v>
      </c>
      <c r="B2322" t="inlineStr">
        <is>
          <t>Satisfacción del proceso de grados virtual</t>
        </is>
      </c>
      <c r="C2322" t="inlineStr">
        <is>
          <t>Registro y Control</t>
        </is>
      </c>
      <c r="D2322" t="inlineStr">
        <is>
          <t>Semestral</t>
        </is>
      </c>
      <c r="E2322" t="inlineStr">
        <is>
          <t>Positivo</t>
        </is>
      </c>
      <c r="F2322" s="148" t="n">
        <v>45657</v>
      </c>
      <c r="G2322" t="n">
        <v>2024</v>
      </c>
      <c r="H2322" t="inlineStr">
        <is>
          <t>Diciembre</t>
        </is>
      </c>
      <c r="I2322" t="inlineStr">
        <is>
          <t>2024-2</t>
        </is>
      </c>
      <c r="J2322" t="n">
        <v>67.5</v>
      </c>
      <c r="K2322" t="n">
        <v>86.5</v>
      </c>
      <c r="L2322" s="59">
        <f>IFERROR(IF(OR(J2322=0,K2322=""),"",IF(E2322="Positivo",MIN(MAX(K2322/J2322,0),1.3),MIN(MAX(J2322/K2322,0),1.3))),"") </f>
        <v/>
      </c>
      <c r="M2322" s="59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445-2024-12-31</t>
        </is>
      </c>
    </row>
    <row r="2323">
      <c r="A2323" t="n">
        <v>445</v>
      </c>
      <c r="B2323" t="inlineStr">
        <is>
          <t>Satisfacción del proceso de grados virtual</t>
        </is>
      </c>
      <c r="C2323" t="inlineStr">
        <is>
          <t>Registro y Control</t>
        </is>
      </c>
      <c r="D2323" t="inlineStr">
        <is>
          <t>Trimestral</t>
        </is>
      </c>
      <c r="E2323" t="inlineStr">
        <is>
          <t>Positivo</t>
        </is>
      </c>
      <c r="F2323" s="148" t="n">
        <v>45838</v>
      </c>
      <c r="G2323" t="n">
        <v>2025</v>
      </c>
      <c r="H2323" t="inlineStr">
        <is>
          <t>Junio</t>
        </is>
      </c>
      <c r="I2323" t="inlineStr">
        <is>
          <t>2025-1</t>
        </is>
      </c>
      <c r="J2323" t="n">
        <v>70</v>
      </c>
      <c r="K2323" t="n">
        <v>75.7</v>
      </c>
      <c r="L2323" s="59">
        <f>IFERROR(IF(OR(J2323=0,K2323=""),"",IF(E2323="Positivo",MIN(MAX(K2323/J2323,0),1.3),MIN(MAX(J2323/K2323,0),1.3))),"") </f>
        <v/>
      </c>
      <c r="M2323" s="59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445-2025-06-30</t>
        </is>
      </c>
    </row>
    <row r="2324">
      <c r="A2324" t="n">
        <v>445</v>
      </c>
      <c r="B2324" t="inlineStr">
        <is>
          <t>Satisfacción del proceso de grados virtual</t>
        </is>
      </c>
      <c r="C2324" t="inlineStr">
        <is>
          <t>Registro y Control</t>
        </is>
      </c>
      <c r="D2324" t="inlineStr">
        <is>
          <t>Trimestral</t>
        </is>
      </c>
      <c r="E2324" t="inlineStr">
        <is>
          <t>Positivo</t>
        </is>
      </c>
      <c r="F2324" s="148" t="n">
        <v>46022</v>
      </c>
      <c r="G2324" t="n">
        <v>2025</v>
      </c>
      <c r="H2324" t="inlineStr">
        <is>
          <t>Diciembre</t>
        </is>
      </c>
      <c r="I2324" t="inlineStr">
        <is>
          <t>2025-2</t>
        </is>
      </c>
      <c r="J2324" t="n">
        <v>70</v>
      </c>
      <c r="K2324" t="n">
        <v>85.3</v>
      </c>
      <c r="L2324" s="59">
        <f>IFERROR(IF(OR(J2324=0,K2324=""),"",IF(E2324="Positivo",MIN(MAX(K2324/J2324,0),1.3),MIN(MAX(J2324/K2324,0),1.3))),"") </f>
        <v/>
      </c>
      <c r="M2324" s="59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445-2025-12-31</t>
        </is>
      </c>
    </row>
    <row r="2325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Semestral</t>
        </is>
      </c>
      <c r="E2325" t="inlineStr">
        <is>
          <t>Positivo</t>
        </is>
      </c>
      <c r="F2325" s="148" t="n">
        <v>45473</v>
      </c>
      <c r="G2325" t="n">
        <v>2024</v>
      </c>
      <c r="H2325" t="inlineStr">
        <is>
          <t>Junio</t>
        </is>
      </c>
      <c r="I2325" t="inlineStr">
        <is>
          <t>2024-1</t>
        </is>
      </c>
      <c r="J2325" t="n">
        <v>15</v>
      </c>
      <c r="K2325" t="n">
        <v>31.04</v>
      </c>
      <c r="L2325" s="59">
        <f>IFERROR(IF(OR(J2325=0,K2325=""),"",IF(E2325="Positivo",MIN(MAX(K2325/J2325,0),1.3),MIN(MAX(J2325/K2325,0),1.3))),"") </f>
        <v/>
      </c>
      <c r="M2325" s="59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447-2024-06-30</t>
        </is>
      </c>
    </row>
    <row r="2326">
      <c r="A2326" t="n">
        <v>447</v>
      </c>
      <c r="B2326" t="inlineStr">
        <is>
          <t>Participación en actividades culturales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48" t="n">
        <v>45657</v>
      </c>
      <c r="G2326" t="n">
        <v>2024</v>
      </c>
      <c r="H2326" t="inlineStr">
        <is>
          <t>Diciembre</t>
        </is>
      </c>
      <c r="I2326" t="inlineStr">
        <is>
          <t>2024-2</t>
        </is>
      </c>
      <c r="J2326" t="n">
        <v>15</v>
      </c>
      <c r="K2326" t="n">
        <v>16.16</v>
      </c>
      <c r="L2326" s="59">
        <f>IFERROR(IF(OR(J2326=0,K2326=""),"",IF(E2326="Positivo",MIN(MAX(K2326/J2326,0),1.3),MIN(MAX(J2326/K2326,0),1.3))),"") </f>
        <v/>
      </c>
      <c r="M2326" s="59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447-2024-12-31</t>
        </is>
      </c>
    </row>
    <row r="2327">
      <c r="A2327" t="n">
        <v>447</v>
      </c>
      <c r="B2327" t="inlineStr">
        <is>
          <t>Participación en actividades culturales</t>
        </is>
      </c>
      <c r="C2327" t="inlineStr">
        <is>
          <t>Biblioteca Institucional</t>
        </is>
      </c>
      <c r="D2327" t="inlineStr">
        <is>
          <t>Semestral</t>
        </is>
      </c>
      <c r="E2327" t="inlineStr">
        <is>
          <t>Positivo</t>
        </is>
      </c>
      <c r="F2327" s="148" t="n">
        <v>45838</v>
      </c>
      <c r="G2327" t="n">
        <v>2025</v>
      </c>
      <c r="H2327" t="inlineStr">
        <is>
          <t>Junio</t>
        </is>
      </c>
      <c r="I2327" t="inlineStr">
        <is>
          <t>2025-1</t>
        </is>
      </c>
      <c r="J2327" t="n">
        <v>15</v>
      </c>
      <c r="K2327" t="n">
        <v>16.54</v>
      </c>
      <c r="L2327" s="59">
        <f>IFERROR(IF(OR(J2327=0,K2327=""),"",IF(E2327="Positivo",MIN(MAX(K2327/J2327,0),1.3),MIN(MAX(J2327/K2327,0),1.3))),"") </f>
        <v/>
      </c>
      <c r="M2327" s="59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447-2025-06-30</t>
        </is>
      </c>
    </row>
    <row r="2328">
      <c r="A2328" t="n">
        <v>447</v>
      </c>
      <c r="B2328" t="inlineStr">
        <is>
          <t>Participación en actividades culturales</t>
        </is>
      </c>
      <c r="C2328" t="inlineStr">
        <is>
          <t>Biblioteca Institucional</t>
        </is>
      </c>
      <c r="D2328" t="inlineStr">
        <is>
          <t>Trimestral</t>
        </is>
      </c>
      <c r="E2328" t="inlineStr">
        <is>
          <t>Positivo</t>
        </is>
      </c>
      <c r="F2328" s="148" t="n">
        <v>46022</v>
      </c>
      <c r="G2328" t="n">
        <v>2025</v>
      </c>
      <c r="H2328" t="inlineStr">
        <is>
          <t>Diciembre</t>
        </is>
      </c>
      <c r="I2328" t="inlineStr">
        <is>
          <t>2025-2</t>
        </is>
      </c>
      <c r="J2328" t="n">
        <v>15</v>
      </c>
      <c r="K2328" t="n">
        <v>15.01</v>
      </c>
      <c r="L2328" s="59">
        <f>IFERROR(IF(OR(J2328=0,K2328=""),"",IF(E2328="Positivo",MIN(MAX(K2328/J2328,0),1.3),MIN(MAX(J2328/K2328,0),1.3))),"") </f>
        <v/>
      </c>
      <c r="M2328" s="59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447-2025-12-31</t>
        </is>
      </c>
    </row>
    <row r="2329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Semestral</t>
        </is>
      </c>
      <c r="E2329" t="inlineStr">
        <is>
          <t>Positivo</t>
        </is>
      </c>
      <c r="F2329" s="148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</v>
      </c>
      <c r="K2329" t="n">
        <v>18.93</v>
      </c>
      <c r="L2329" s="59">
        <f>IFERROR(IF(OR(J2329=0,K2329=""),"",IF(E2329="Positivo",MIN(MAX(K2329/J2329,0),1.3),MIN(MAX(J2329/K2329,0),1.3))),"") </f>
        <v/>
      </c>
      <c r="M2329" s="59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448-2024-06-30</t>
        </is>
      </c>
    </row>
    <row r="2330">
      <c r="A2330" t="n">
        <v>448</v>
      </c>
      <c r="B2330" t="inlineStr">
        <is>
          <t>Participación en actividades de formación</t>
        </is>
      </c>
      <c r="C2330" t="inlineStr">
        <is>
          <t>Biblioteca Institucional</t>
        </is>
      </c>
      <c r="D2330" t="inlineStr">
        <is>
          <t>Semestral</t>
        </is>
      </c>
      <c r="E2330" t="inlineStr">
        <is>
          <t>Positivo</t>
        </is>
      </c>
      <c r="F2330" s="148" t="n">
        <v>45657</v>
      </c>
      <c r="G2330" t="n">
        <v>2024</v>
      </c>
      <c r="H2330" t="inlineStr">
        <is>
          <t>Diciembre</t>
        </is>
      </c>
      <c r="I2330" t="inlineStr">
        <is>
          <t>2024-2</t>
        </is>
      </c>
      <c r="J2330" t="n">
        <v>9</v>
      </c>
      <c r="K2330" t="n">
        <v>9.32</v>
      </c>
      <c r="L2330" s="59">
        <f>IFERROR(IF(OR(J2330=0,K2330=""),"",IF(E2330="Positivo",MIN(MAX(K2330/J2330,0),1.3),MIN(MAX(J2330/K2330,0),1.3))),"") </f>
        <v/>
      </c>
      <c r="M2330" s="59">
        <f>IFERROR(IF(OR(J2330=0,K2330=""),"",IF(E2330="Positivo",MAX(K2330/J2330,0),MAX(J2330/K2330,0))),"") </f>
        <v/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448-2024-12-31</t>
        </is>
      </c>
    </row>
    <row r="2331">
      <c r="A2331" t="n">
        <v>448</v>
      </c>
      <c r="B2331" t="inlineStr">
        <is>
          <t>Participación en actividades de formación</t>
        </is>
      </c>
      <c r="C2331" t="inlineStr">
        <is>
          <t>Biblioteca Institucional</t>
        </is>
      </c>
      <c r="D2331" t="inlineStr">
        <is>
          <t>Semestral</t>
        </is>
      </c>
      <c r="E2331" t="inlineStr">
        <is>
          <t>Positivo</t>
        </is>
      </c>
      <c r="F2331" s="148" t="n">
        <v>45838</v>
      </c>
      <c r="G2331" t="n">
        <v>2025</v>
      </c>
      <c r="H2331" t="inlineStr">
        <is>
          <t>Junio</t>
        </is>
      </c>
      <c r="I2331" t="inlineStr">
        <is>
          <t>2025-1</t>
        </is>
      </c>
      <c r="J2331" t="n">
        <v>17</v>
      </c>
      <c r="K2331" t="n">
        <v>39.62</v>
      </c>
      <c r="L2331" s="59">
        <f>IFERROR(IF(OR(J2331=0,K2331=""),"",IF(E2331="Positivo",MIN(MAX(K2331/J2331,0),1.3),MIN(MAX(J2331/K2331,0),1.3))),"") </f>
        <v/>
      </c>
      <c r="M2331" s="59">
        <f>IFERROR(IF(OR(J2331=0,K2331=""),"",IF(E2331="Positivo",MAX(K2331/J2331,0),MAX(J2331/K2331,0))),"") </f>
        <v/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448-2025-06-30</t>
        </is>
      </c>
    </row>
    <row r="2332">
      <c r="A2332" t="n">
        <v>448</v>
      </c>
      <c r="B2332" t="inlineStr">
        <is>
          <t>Participación en actividades de formación</t>
        </is>
      </c>
      <c r="C2332" t="inlineStr">
        <is>
          <t>Biblioteca Institucional</t>
        </is>
      </c>
      <c r="D2332" t="inlineStr">
        <is>
          <t>Trimestral</t>
        </is>
      </c>
      <c r="E2332" t="inlineStr">
        <is>
          <t>Positivo</t>
        </is>
      </c>
      <c r="F2332" s="148" t="n">
        <v>46022</v>
      </c>
      <c r="G2332" t="n">
        <v>2025</v>
      </c>
      <c r="H2332" t="inlineStr">
        <is>
          <t>Diciembre</t>
        </is>
      </c>
      <c r="I2332" t="inlineStr">
        <is>
          <t>2025-2</t>
        </is>
      </c>
      <c r="J2332" t="n">
        <v>17</v>
      </c>
      <c r="K2332" t="n">
        <v>59.36</v>
      </c>
      <c r="L2332" s="59">
        <f>IFERROR(IF(OR(J2332=0,K2332=""),"",IF(E2332="Positivo",MIN(MAX(K2332/J2332,0),1.3),MIN(MAX(J2332/K2332,0),1.3))),"") </f>
        <v/>
      </c>
      <c r="M2332" s="59">
        <f>IFERROR(IF(OR(J2332=0,K2332=""),"",IF(E2332="Positivo",MAX(K2332/J2332,0),MAX(J2332/K2332,0))),"") </f>
        <v/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1</v>
      </c>
      <c r="R2332" t="inlineStr">
        <is>
          <t>448-2025-12-31</t>
        </is>
      </c>
    </row>
    <row r="2333">
      <c r="A2333" t="n">
        <v>449</v>
      </c>
      <c r="B2333" t="inlineStr">
        <is>
          <t>Cumplimiento en la supervisión y monitoreo a los planes de tratamiento de los riesgos institucionales en nivel alto y extremo</t>
        </is>
      </c>
      <c r="C2333" t="inlineStr">
        <is>
          <t>GESTIÓN DE RIESGOS</t>
        </is>
      </c>
      <c r="D2333" t="inlineStr">
        <is>
          <t>Trimestral</t>
        </is>
      </c>
      <c r="E2333" t="inlineStr">
        <is>
          <t>Positivo</t>
        </is>
      </c>
      <c r="F2333" s="148" t="n">
        <v>45382</v>
      </c>
      <c r="G2333" t="n">
        <v>2024</v>
      </c>
      <c r="H2333" t="inlineStr">
        <is>
          <t>Marzo</t>
        </is>
      </c>
      <c r="I2333" t="inlineStr">
        <is>
          <t>2024-1</t>
        </is>
      </c>
      <c r="J2333" t="n">
        <v>20</v>
      </c>
      <c r="K2333" t="n">
        <v>51.28</v>
      </c>
      <c r="L2333" s="59">
        <f>IFERROR(IF(OR(J2333=0,K2333=""),"",IF(E2333="Positivo",MIN(MAX(K2333/J2333,0),1.3),MIN(MAX(J2333/K2333,0),1.3))),"") </f>
        <v/>
      </c>
      <c r="M2333" s="59">
        <f>IFERROR(IF(OR(J2333=0,K2333=""),"",IF(E2333="Positivo",MAX(K2333/J2333,0),MAX(J2333/K2333,0))),"") </f>
        <v/>
      </c>
      <c r="P2333" t="n">
        <v>0</v>
      </c>
      <c r="Q2333" t="n">
        <v>0</v>
      </c>
      <c r="R2333" t="inlineStr">
        <is>
          <t>449-2024-03-31</t>
        </is>
      </c>
    </row>
    <row r="2334">
      <c r="A2334" t="n">
        <v>449</v>
      </c>
      <c r="B2334" t="inlineStr">
        <is>
          <t>Cumplimiento en la supervisión y monitoreo a los planes de tratamiento de los riesgos institucionales en nivel alto y extremo</t>
        </is>
      </c>
      <c r="C2334" t="inlineStr">
        <is>
          <t>GESTIÓN DE RIESGOS</t>
        </is>
      </c>
      <c r="D2334" t="inlineStr">
        <is>
          <t>Trimestral</t>
        </is>
      </c>
      <c r="E2334" t="inlineStr">
        <is>
          <t>Positivo</t>
        </is>
      </c>
      <c r="F2334" s="148" t="n">
        <v>45565</v>
      </c>
      <c r="G2334" t="n">
        <v>2024</v>
      </c>
      <c r="H2334" t="inlineStr">
        <is>
          <t>Septiembre</t>
        </is>
      </c>
      <c r="I2334" t="inlineStr">
        <is>
          <t>2024-2</t>
        </is>
      </c>
      <c r="J2334" t="n">
        <v>70</v>
      </c>
      <c r="K2334" t="n">
        <v>84.6153846153846</v>
      </c>
      <c r="L2334" s="59">
        <f>IFERROR(IF(OR(J2334=0,K2334=""),"",IF(E2334="Positivo",MIN(MAX(K2334/J2334,0),1.3),MIN(MAX(J2334/K2334,0),1.3))),"") </f>
        <v/>
      </c>
      <c r="M2334" s="59">
        <f>IFERROR(IF(OR(J2334=0,K2334=""),"",IF(E2334="Positivo",MAX(K2334/J2334,0),MAX(J2334/K2334,0))),"") </f>
        <v/>
      </c>
      <c r="P2334" t="n">
        <v>0</v>
      </c>
      <c r="Q2334" t="n">
        <v>0</v>
      </c>
      <c r="R2334" t="inlineStr">
        <is>
          <t>449-2024-09-30</t>
        </is>
      </c>
    </row>
    <row r="2335">
      <c r="A2335" t="n">
        <v>449</v>
      </c>
      <c r="B2335" t="inlineStr">
        <is>
          <t>Cumplimiento en la supervisión y monitoreo a los planes de tratamiento de los riesgos institucionales en nivel alto y extremo</t>
        </is>
      </c>
      <c r="C2335" t="inlineStr">
        <is>
          <t>GESTIÓN DE RIESGOS</t>
        </is>
      </c>
      <c r="D2335" t="inlineStr">
        <is>
          <t>Trimestral</t>
        </is>
      </c>
      <c r="E2335" t="inlineStr">
        <is>
          <t>Positivo</t>
        </is>
      </c>
      <c r="F2335" s="148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100</v>
      </c>
      <c r="K2335" t="n">
        <v>100</v>
      </c>
      <c r="L2335" s="59">
        <f>IFERROR(IF(OR(J2335=0,K2335=""),"",IF(E2335="Positivo",MIN(MAX(K2335/J2335,0),1.3),MIN(MAX(J2335/K2335,0),1.3))),"") </f>
        <v/>
      </c>
      <c r="M2335" s="59">
        <f>IFERROR(IF(OR(J2335=0,K2335=""),"",IF(E2335="Positivo",MAX(K2335/J2335,0),MAX(J2335/K2335,0))),"") </f>
        <v/>
      </c>
      <c r="P2335" t="n">
        <v>0</v>
      </c>
      <c r="Q2335" t="n">
        <v>0</v>
      </c>
      <c r="R2335" t="inlineStr">
        <is>
          <t>449-2024-12-31</t>
        </is>
      </c>
    </row>
    <row r="2336">
      <c r="A2336" t="n">
        <v>451</v>
      </c>
      <c r="B2336" t="inlineStr">
        <is>
          <t>% Participación de publicaciones positiva</t>
        </is>
      </c>
      <c r="C2336" t="inlineStr">
        <is>
          <t>Comunicaciones Externas</t>
        </is>
      </c>
      <c r="D2336" t="inlineStr">
        <is>
          <t>Semestral</t>
        </is>
      </c>
      <c r="E2336" t="inlineStr">
        <is>
          <t>Positivo</t>
        </is>
      </c>
      <c r="F2336" s="148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0</v>
      </c>
      <c r="K2336" t="n">
        <v>34.9</v>
      </c>
      <c r="L2336" s="59">
        <f>IFERROR(IF(OR(J2336=0,K2336=""),"",IF(E2336="Positivo",MIN(MAX(K2336/J2336,0),1.3),MIN(MAX(J2336/K2336,0),1.3))),"") </f>
        <v/>
      </c>
      <c r="M2336" s="59">
        <f>IFERROR(IF(OR(J2336=0,K2336=""),"",IF(E2336="Positivo",MAX(K2336/J2336,0),MAX(J2336/K2336,0))),"") </f>
        <v/>
      </c>
      <c r="P2336" t="n">
        <v>0</v>
      </c>
      <c r="Q2336" t="n">
        <v>0</v>
      </c>
      <c r="R2336" t="inlineStr">
        <is>
          <t>451-2024-06-30</t>
        </is>
      </c>
    </row>
    <row r="2337">
      <c r="A2337" t="n">
        <v>451</v>
      </c>
      <c r="B2337" t="inlineStr">
        <is>
          <t>% Participación de publicaciones positiva</t>
        </is>
      </c>
      <c r="C2337" t="inlineStr">
        <is>
          <t>Comunicaciones Externas</t>
        </is>
      </c>
      <c r="D2337" t="inlineStr">
        <is>
          <t>Semestral</t>
        </is>
      </c>
      <c r="E2337" t="inlineStr">
        <is>
          <t>Positivo</t>
        </is>
      </c>
      <c r="F2337" s="148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0</v>
      </c>
      <c r="K2337" t="n">
        <v>42.7</v>
      </c>
      <c r="L2337" s="59">
        <f>IFERROR(IF(OR(J2337=0,K2337=""),"",IF(E2337="Positivo",MIN(MAX(K2337/J2337,0),1.3),MIN(MAX(J2337/K2337,0),1.3))),"") </f>
        <v/>
      </c>
      <c r="M2337" s="59">
        <f>IFERROR(IF(OR(J2337=0,K2337=""),"",IF(E2337="Positivo",MAX(K2337/J2337,0),MAX(J2337/K2337,0))),"") </f>
        <v/>
      </c>
      <c r="P2337" t="n">
        <v>0</v>
      </c>
      <c r="Q2337" t="n">
        <v>0</v>
      </c>
      <c r="R2337" t="inlineStr">
        <is>
          <t>451-2024-12-31</t>
        </is>
      </c>
    </row>
    <row r="2338">
      <c r="A2338" t="n">
        <v>451</v>
      </c>
      <c r="B2338" t="inlineStr">
        <is>
          <t>% Participación de publicaciones positiva</t>
        </is>
      </c>
      <c r="C2338" t="inlineStr">
        <is>
          <t>Comunicaciones Externas</t>
        </is>
      </c>
      <c r="D2338" t="inlineStr">
        <is>
          <t>Semestral</t>
        </is>
      </c>
      <c r="E2338" t="inlineStr">
        <is>
          <t>Positivo</t>
        </is>
      </c>
      <c r="F2338" s="148" t="n">
        <v>45838</v>
      </c>
      <c r="G2338" t="n">
        <v>2025</v>
      </c>
      <c r="H2338" t="inlineStr">
        <is>
          <t>Junio</t>
        </is>
      </c>
      <c r="I2338" t="inlineStr">
        <is>
          <t>2025-1</t>
        </is>
      </c>
      <c r="J2338" t="n">
        <v>100</v>
      </c>
      <c r="K2338" t="n">
        <v>119.5</v>
      </c>
      <c r="L2338" s="59">
        <f>IFERROR(IF(OR(J2338=0,K2338=""),"",IF(E2338="Positivo",MIN(MAX(K2338/J2338,0),1.3),MIN(MAX(J2338/K2338,0),1.3))),"") </f>
        <v/>
      </c>
      <c r="M2338" s="59">
        <f>IFERROR(IF(OR(J2338=0,K2338=""),"",IF(E2338="Positivo",MAX(K2338/J2338,0),MAX(J2338/K2338,0))),"") </f>
        <v/>
      </c>
      <c r="P2338" t="n">
        <v>0</v>
      </c>
      <c r="Q2338" t="n">
        <v>0</v>
      </c>
      <c r="R2338" t="inlineStr">
        <is>
          <t>451-2025-06-30</t>
        </is>
      </c>
    </row>
    <row r="2339">
      <c r="A2339" t="n">
        <v>451</v>
      </c>
      <c r="B2339" t="inlineStr">
        <is>
          <t>% de publicaciones con sentimiento positivo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48" t="n">
        <v>46022</v>
      </c>
      <c r="G2339" t="n">
        <v>2025</v>
      </c>
      <c r="H2339" t="inlineStr">
        <is>
          <t>Diciembre</t>
        </is>
      </c>
      <c r="I2339" t="inlineStr">
        <is>
          <t>2025-2</t>
        </is>
      </c>
      <c r="J2339" t="n">
        <v>100</v>
      </c>
      <c r="K2339" t="n">
        <v>130.8</v>
      </c>
      <c r="L2339" s="59">
        <f>IFERROR(IF(OR(J2339=0,K2339=""),"",IF(E2339="Positivo",MIN(MAX(K2339/J2339,0),1.3),MIN(MAX(J2339/K2339,0),1.3))),"") </f>
        <v/>
      </c>
      <c r="M2339" s="59">
        <f>IFERROR(IF(OR(J2339=0,K2339=""),"",IF(E2339="Positivo",MAX(K2339/J2339,0),MAX(J2339/K2339,0))),"") </f>
        <v/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451-2025-12-31</t>
        </is>
      </c>
    </row>
    <row r="2340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Trimestral</t>
        </is>
      </c>
      <c r="E2340" t="inlineStr">
        <is>
          <t>Positivo</t>
        </is>
      </c>
      <c r="F2340" s="148" t="n">
        <v>45473</v>
      </c>
      <c r="G2340" t="n">
        <v>2024</v>
      </c>
      <c r="H2340" t="inlineStr">
        <is>
          <t>Junio</t>
        </is>
      </c>
      <c r="I2340" t="inlineStr">
        <is>
          <t>2024-1</t>
        </is>
      </c>
      <c r="J2340" t="n">
        <v>100</v>
      </c>
      <c r="K2340" t="n">
        <v>100</v>
      </c>
      <c r="L2340" s="59">
        <f>IFERROR(IF(OR(J2340=0,K2340=""),"",IF(E2340="Positivo",MIN(MAX(K2340/J2340,0),1.3),MIN(MAX(J2340/K2340,0),1.3))),"") </f>
        <v/>
      </c>
      <c r="M2340" s="59">
        <f>IFERROR(IF(OR(J2340=0,K2340=""),"",IF(E2340="Positivo",MAX(K2340/J2340,0),MAX(J2340/K2340,0))),"") </f>
        <v/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452-2024-06-30</t>
        </is>
      </c>
    </row>
    <row r="2341">
      <c r="A2341" t="n">
        <v>452</v>
      </c>
      <c r="B2341" t="inlineStr">
        <is>
          <t>Seguimiento a eventos internos y externos institucionales</t>
        </is>
      </c>
      <c r="C2341" t="inlineStr">
        <is>
          <t>Comunicaciones Externas</t>
        </is>
      </c>
      <c r="D2341" t="inlineStr">
        <is>
          <t>Semestral</t>
        </is>
      </c>
      <c r="E2341" t="inlineStr">
        <is>
          <t>Positivo</t>
        </is>
      </c>
      <c r="F2341" s="148" t="n">
        <v>45657</v>
      </c>
      <c r="G2341" t="n">
        <v>2024</v>
      </c>
      <c r="H2341" t="inlineStr">
        <is>
          <t>Diciembre</t>
        </is>
      </c>
      <c r="I2341" t="inlineStr">
        <is>
          <t>2024-2</t>
        </is>
      </c>
      <c r="J2341" t="n">
        <v>100</v>
      </c>
      <c r="K2341" t="n">
        <v>160</v>
      </c>
      <c r="L2341" s="59">
        <f>IFERROR(IF(OR(J2341=0,K2341=""),"",IF(E2341="Positivo",MIN(MAX(K2341/J2341,0),1.3),MIN(MAX(J2341/K2341,0),1.3))),"") </f>
        <v/>
      </c>
      <c r="M2341" s="59">
        <f>IFERROR(IF(OR(J2341=0,K2341=""),"",IF(E2341="Positivo",MAX(K2341/J2341,0),MAX(J2341/K2341,0))),"") </f>
        <v/>
      </c>
      <c r="P2341" t="n">
        <v>0</v>
      </c>
      <c r="Q2341" t="n">
        <v>0</v>
      </c>
      <c r="R2341" t="inlineStr">
        <is>
          <t>452-2024-12-31</t>
        </is>
      </c>
    </row>
    <row r="2342">
      <c r="A2342" t="n">
        <v>452</v>
      </c>
      <c r="B2342" t="inlineStr">
        <is>
          <t>Seguimiento a eventos internos y externos institucionales</t>
        </is>
      </c>
      <c r="C2342" t="inlineStr">
        <is>
          <t>Comunicaciones Externas</t>
        </is>
      </c>
      <c r="D2342" t="inlineStr">
        <is>
          <t>Trimestral</t>
        </is>
      </c>
      <c r="E2342" t="inlineStr">
        <is>
          <t>Positivo</t>
        </is>
      </c>
      <c r="F2342" s="148" t="n">
        <v>45838</v>
      </c>
      <c r="G2342" t="n">
        <v>2025</v>
      </c>
      <c r="H2342" t="inlineStr">
        <is>
          <t>Junio</t>
        </is>
      </c>
      <c r="I2342" t="inlineStr">
        <is>
          <t>2025-1</t>
        </is>
      </c>
      <c r="J2342" t="n">
        <v>100</v>
      </c>
      <c r="K2342" t="n">
        <v>102.27</v>
      </c>
      <c r="L2342" s="59">
        <f>IFERROR(IF(OR(J2342=0,K2342=""),"",IF(E2342="Positivo",MIN(MAX(K2342/J2342,0),1.3),MIN(MAX(J2342/K2342,0),1.3))),"") </f>
        <v/>
      </c>
      <c r="M2342" s="59">
        <f>IFERROR(IF(OR(J2342=0,K2342=""),"",IF(E2342="Positivo",MAX(K2342/J2342,0),MAX(J2342/K2342,0))),"") </f>
        <v/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452-2025-06-30</t>
        </is>
      </c>
    </row>
    <row r="2343">
      <c r="A2343" t="n">
        <v>452</v>
      </c>
      <c r="B2343" t="inlineStr">
        <is>
          <t>Seguimiento a eventos internos y externos institucionales</t>
        </is>
      </c>
      <c r="C2343" t="inlineStr">
        <is>
          <t>Comunicaciones Externas</t>
        </is>
      </c>
      <c r="D2343" t="inlineStr">
        <is>
          <t>Trimestral</t>
        </is>
      </c>
      <c r="E2343" t="inlineStr">
        <is>
          <t>Positivo</t>
        </is>
      </c>
      <c r="F2343" s="148" t="n">
        <v>46022</v>
      </c>
      <c r="G2343" t="n">
        <v>2025</v>
      </c>
      <c r="H2343" t="inlineStr">
        <is>
          <t>Diciembre</t>
        </is>
      </c>
      <c r="I2343" t="inlineStr">
        <is>
          <t>2025-2</t>
        </is>
      </c>
      <c r="J2343" t="n">
        <v>100</v>
      </c>
      <c r="K2343" t="n">
        <v>200</v>
      </c>
      <c r="L2343" s="59">
        <f>IFERROR(IF(OR(J2343=0,K2343=""),"",IF(E2343="Positivo",MIN(MAX(K2343/J2343,0),1.3),MIN(MAX(J2343/K2343,0),1.3))),"") </f>
        <v/>
      </c>
      <c r="M2343" s="59">
        <f>IFERROR(IF(OR(J2343=0,K2343=""),"",IF(E2343="Positivo",MAX(K2343/J2343,0),MAX(J2343/K2343,0))),"") </f>
        <v/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452-2025-12-31</t>
        </is>
      </c>
    </row>
    <row r="2344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48" t="n">
        <v>45382</v>
      </c>
      <c r="G2344" t="n">
        <v>2024</v>
      </c>
      <c r="H2344" t="inlineStr">
        <is>
          <t>Marzo</t>
        </is>
      </c>
      <c r="I2344" t="inlineStr">
        <is>
          <t>2024-1</t>
        </is>
      </c>
      <c r="J2344" t="n">
        <v>0</v>
      </c>
      <c r="K2344" t="n">
        <v>52</v>
      </c>
      <c r="L2344" s="59">
        <f>IFERROR(IF(OR(J2344=0,K2344=""),"",IF(E2344="Positivo",MIN(MAX(K2344/J2344,0),1.3),MIN(MAX(J2344/K2344,0),1.3))),"") </f>
        <v/>
      </c>
      <c r="M2344" s="59">
        <f>IFERROR(IF(OR(J2344=0,K2344=""),"",IF(E2344="Positivo",MAX(K2344/J2344,0),MAX(J2344/K2344,0))),"") </f>
        <v/>
      </c>
      <c r="P2344" t="n">
        <v>0</v>
      </c>
      <c r="Q2344" t="n">
        <v>0</v>
      </c>
      <c r="R2344" t="inlineStr">
        <is>
          <t>453-2024-03-31</t>
        </is>
      </c>
    </row>
    <row r="2345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Trimestral</t>
        </is>
      </c>
      <c r="E2345" t="inlineStr">
        <is>
          <t>Positivo</t>
        </is>
      </c>
      <c r="F2345" s="148" t="n">
        <v>45473</v>
      </c>
      <c r="G2345" t="n">
        <v>2024</v>
      </c>
      <c r="H2345" t="inlineStr">
        <is>
          <t>Junio</t>
        </is>
      </c>
      <c r="I2345" t="inlineStr">
        <is>
          <t>2024-1</t>
        </is>
      </c>
      <c r="J2345" t="n">
        <v>100</v>
      </c>
      <c r="K2345" t="n">
        <v>140</v>
      </c>
      <c r="L2345" s="59">
        <f>IFERROR(IF(OR(J2345=0,K2345=""),"",IF(E2345="Positivo",MIN(MAX(K2345/J2345,0),1.3),MIN(MAX(J2345/K2345,0),1.3))),"") </f>
        <v/>
      </c>
      <c r="M2345" s="59">
        <f>IFERROR(IF(OR(J2345=0,K2345=""),"",IF(E2345="Positivo",MAX(K2345/J2345,0),MAX(J2345/K2345,0))),"") </f>
        <v/>
      </c>
      <c r="P2345" t="n">
        <v>0</v>
      </c>
      <c r="Q2345" t="n">
        <v>0</v>
      </c>
      <c r="R2345" t="inlineStr">
        <is>
          <t>453-2024-06-30</t>
        </is>
      </c>
    </row>
    <row r="2346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Trimestral</t>
        </is>
      </c>
      <c r="E2346" t="inlineStr">
        <is>
          <t>Positivo</t>
        </is>
      </c>
      <c r="F2346" s="148" t="n">
        <v>45565</v>
      </c>
      <c r="G2346" t="n">
        <v>2024</v>
      </c>
      <c r="H2346" t="inlineStr">
        <is>
          <t>Septiembre</t>
        </is>
      </c>
      <c r="I2346" t="inlineStr">
        <is>
          <t>2024-2</t>
        </is>
      </c>
      <c r="J2346" t="n">
        <v>100</v>
      </c>
      <c r="K2346" t="n">
        <v>300</v>
      </c>
      <c r="L2346" s="59">
        <f>IFERROR(IF(OR(J2346=0,K2346=""),"",IF(E2346="Positivo",MIN(MAX(K2346/J2346,0),1.3),MIN(MAX(J2346/K2346,0),1.3))),"") </f>
        <v/>
      </c>
      <c r="M2346" s="59">
        <f>IFERROR(IF(OR(J2346=0,K2346=""),"",IF(E2346="Positivo",MAX(K2346/J2346,0),MAX(J2346/K2346,0))),"") </f>
        <v/>
      </c>
      <c r="P2346" t="n">
        <v>0</v>
      </c>
      <c r="Q2346" t="n">
        <v>0</v>
      </c>
      <c r="R2346" t="inlineStr">
        <is>
          <t>453-2024-09-30</t>
        </is>
      </c>
    </row>
    <row r="2347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Trimestral</t>
        </is>
      </c>
      <c r="E2347" t="inlineStr">
        <is>
          <t>Positivo</t>
        </is>
      </c>
      <c r="F2347" s="148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100</v>
      </c>
      <c r="K2347" t="n">
        <v>148</v>
      </c>
      <c r="L2347" s="59">
        <f>IFERROR(IF(OR(J2347=0,K2347=""),"",IF(E2347="Positivo",MIN(MAX(K2347/J2347,0),1.3),MIN(MAX(J2347/K2347,0),1.3))),"") </f>
        <v/>
      </c>
      <c r="M2347" s="59">
        <f>IFERROR(IF(OR(J2347=0,K2347=""),"",IF(E2347="Positivo",MAX(K2347/J2347,0),MAX(J2347/K2347,0))),"") </f>
        <v/>
      </c>
      <c r="P2347" t="n">
        <v>0</v>
      </c>
      <c r="Q2347" t="n">
        <v>0</v>
      </c>
      <c r="R2347" t="inlineStr">
        <is>
          <t>453-2024-12-31</t>
        </is>
      </c>
    </row>
    <row r="2348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Trimestral</t>
        </is>
      </c>
      <c r="E2348" t="inlineStr">
        <is>
          <t>Positivo</t>
        </is>
      </c>
      <c r="F2348" s="148" t="n">
        <v>45747</v>
      </c>
      <c r="G2348" t="n">
        <v>2025</v>
      </c>
      <c r="H2348" t="inlineStr">
        <is>
          <t>Marzo</t>
        </is>
      </c>
      <c r="I2348" t="inlineStr">
        <is>
          <t>2025-1</t>
        </is>
      </c>
      <c r="J2348" t="n">
        <v>100</v>
      </c>
      <c r="K2348" t="n">
        <v>48</v>
      </c>
      <c r="L2348" s="59">
        <f>IFERROR(IF(OR(J2348=0,K2348=""),"",IF(E2348="Positivo",MIN(MAX(K2348/J2348,0),1.3),MIN(MAX(J2348/K2348,0),1.3))),"") </f>
        <v/>
      </c>
      <c r="M2348" s="59">
        <f>IFERROR(IF(OR(J2348=0,K2348=""),"",IF(E2348="Positivo",MAX(K2348/J2348,0),MAX(J2348/K2348,0))),"") </f>
        <v/>
      </c>
      <c r="P2348" t="n">
        <v>0</v>
      </c>
      <c r="Q2348" t="n">
        <v>0</v>
      </c>
      <c r="R2348" t="inlineStr">
        <is>
          <t>453-2025-03-31</t>
        </is>
      </c>
    </row>
    <row r="2349">
      <c r="A2349" t="n">
        <v>453</v>
      </c>
      <c r="B2349" t="inlineStr">
        <is>
          <t>Número de cursos diseñados</t>
        </is>
      </c>
      <c r="C2349" t="inlineStr">
        <is>
          <t>Diseño de Contenido Virtual</t>
        </is>
      </c>
      <c r="D2349" t="inlineStr">
        <is>
          <t>Trimestral</t>
        </is>
      </c>
      <c r="E2349" t="inlineStr">
        <is>
          <t>Positivo</t>
        </is>
      </c>
      <c r="F2349" s="148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100</v>
      </c>
      <c r="K2349" t="n">
        <v>100</v>
      </c>
      <c r="L2349" s="59">
        <f>IFERROR(IF(OR(J2349=0,K2349=""),"",IF(E2349="Positivo",MIN(MAX(K2349/J2349,0),1.3),MIN(MAX(J2349/K2349,0),1.3))),"") </f>
        <v/>
      </c>
      <c r="M2349" s="59">
        <f>IFERROR(IF(OR(J2349=0,K2349=""),"",IF(E2349="Positivo",MAX(K2349/J2349,0),MAX(J2349/K2349,0))),"") </f>
        <v/>
      </c>
      <c r="P2349" t="n">
        <v>0</v>
      </c>
      <c r="Q2349" t="n">
        <v>0</v>
      </c>
      <c r="R2349" t="inlineStr">
        <is>
          <t>453-2025-06-30</t>
        </is>
      </c>
    </row>
    <row r="2350">
      <c r="A2350" t="n">
        <v>453</v>
      </c>
      <c r="B2350" t="inlineStr">
        <is>
          <t>Número de cursos diseñados</t>
        </is>
      </c>
      <c r="C2350" t="inlineStr">
        <is>
          <t>Diseño de Contenido Virtual</t>
        </is>
      </c>
      <c r="D2350" t="inlineStr">
        <is>
          <t>Semestral</t>
        </is>
      </c>
      <c r="E2350" t="inlineStr">
        <is>
          <t>Positivo</t>
        </is>
      </c>
      <c r="F2350" s="148" t="n">
        <v>45930</v>
      </c>
      <c r="G2350" t="n">
        <v>2025</v>
      </c>
      <c r="H2350" t="inlineStr">
        <is>
          <t>Septiembre</t>
        </is>
      </c>
      <c r="I2350" t="inlineStr">
        <is>
          <t>2025-2</t>
        </is>
      </c>
      <c r="J2350" t="n">
        <v>100</v>
      </c>
      <c r="K2350" t="n">
        <v>100</v>
      </c>
      <c r="L2350" s="59">
        <f>IFERROR(IF(OR(J2350=0,K2350=""),"",IF(E2350="Positivo",MIN(MAX(K2350/J2350,0),1.3),MIN(MAX(J2350/K2350,0),1.3))),"") </f>
        <v/>
      </c>
      <c r="M2350" s="59">
        <f>IFERROR(IF(OR(J2350=0,K2350=""),"",IF(E2350="Positivo",MAX(K2350/J2350,0),MAX(J2350/K2350,0))),"") </f>
        <v/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453-2025-09-30</t>
        </is>
      </c>
    </row>
    <row r="2351">
      <c r="A2351" t="n">
        <v>453</v>
      </c>
      <c r="B2351" t="inlineStr">
        <is>
          <t>Número de cursos diseñados</t>
        </is>
      </c>
      <c r="C2351" t="inlineStr">
        <is>
          <t>Diseño de Contenido Virtual</t>
        </is>
      </c>
      <c r="D2351" t="inlineStr">
        <is>
          <t>Semestral</t>
        </is>
      </c>
      <c r="E2351" t="inlineStr">
        <is>
          <t>Positivo</t>
        </is>
      </c>
      <c r="F2351" s="148" t="n">
        <v>46022</v>
      </c>
      <c r="G2351" t="n">
        <v>2025</v>
      </c>
      <c r="H2351" t="inlineStr">
        <is>
          <t>Diciembre</t>
        </is>
      </c>
      <c r="I2351" t="inlineStr">
        <is>
          <t>2025-2</t>
        </is>
      </c>
      <c r="J2351" t="n">
        <v>100</v>
      </c>
      <c r="K2351" t="n">
        <v>100</v>
      </c>
      <c r="L2351" s="59">
        <f>IFERROR(IF(OR(J2351=0,K2351=""),"",IF(E2351="Positivo",MIN(MAX(K2351/J2351,0),1.3),MIN(MAX(J2351/K2351,0),1.3))),"") </f>
        <v/>
      </c>
      <c r="M2351" s="59">
        <f>IFERROR(IF(OR(J2351=0,K2351=""),"",IF(E2351="Positivo",MAX(K2351/J2351,0),MAX(J2351/K2351,0))),"") </f>
        <v/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453-2025-12-31</t>
        </is>
      </c>
    </row>
    <row r="2352">
      <c r="A2352" t="n">
        <v>454</v>
      </c>
      <c r="B2352" t="inlineStr">
        <is>
          <t>Satisfacción de la calidad del contenido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48" t="n">
        <v>45565</v>
      </c>
      <c r="G2352" t="n">
        <v>2024</v>
      </c>
      <c r="H2352" t="inlineStr">
        <is>
          <t>Septiembre</t>
        </is>
      </c>
      <c r="I2352" t="inlineStr">
        <is>
          <t>2024-2</t>
        </is>
      </c>
      <c r="J2352" t="n">
        <v>0</v>
      </c>
      <c r="K2352" t="n">
        <v>88</v>
      </c>
      <c r="L2352" s="59">
        <f>IFERROR(IF(OR(J2352=0,K2352=""),"",IF(E2352="Positivo",MIN(MAX(K2352/J2352,0),1.3),MIN(MAX(J2352/K2352,0),1.3))),"") </f>
        <v/>
      </c>
      <c r="M2352" s="59">
        <f>IFERROR(IF(OR(J2352=0,K2352=""),"",IF(E2352="Positivo",MAX(K2352/J2352,0),MAX(J2352/K2352,0))),"") </f>
        <v/>
      </c>
      <c r="P2352" t="n">
        <v>0</v>
      </c>
      <c r="Q2352" t="n">
        <v>0</v>
      </c>
      <c r="R2352" t="inlineStr">
        <is>
          <t>454-2024-09-30</t>
        </is>
      </c>
    </row>
    <row r="2353">
      <c r="A2353" t="n">
        <v>454</v>
      </c>
      <c r="B2353" t="inlineStr">
        <is>
          <t>Satisfacción de la calidad del contenido</t>
        </is>
      </c>
      <c r="C2353" t="inlineStr">
        <is>
          <t>Diseño de Contenido Virtual</t>
        </is>
      </c>
      <c r="D2353" t="inlineStr">
        <is>
          <t>Trimestral</t>
        </is>
      </c>
      <c r="E2353" t="inlineStr">
        <is>
          <t>Positivo</t>
        </is>
      </c>
      <c r="F2353" s="148" t="n">
        <v>45657</v>
      </c>
      <c r="G2353" t="n">
        <v>2024</v>
      </c>
      <c r="H2353" t="inlineStr">
        <is>
          <t>Diciembre</t>
        </is>
      </c>
      <c r="I2353" t="inlineStr">
        <is>
          <t>2024-2</t>
        </is>
      </c>
      <c r="J2353" t="n">
        <v>0</v>
      </c>
      <c r="K2353" t="n">
        <v>88</v>
      </c>
      <c r="L2353" s="59">
        <f>IFERROR(IF(OR(J2353=0,K2353=""),"",IF(E2353="Positivo",MIN(MAX(K2353/J2353,0),1.3),MIN(MAX(J2353/K2353,0),1.3))),"") </f>
        <v/>
      </c>
      <c r="M2353" s="59">
        <f>IFERROR(IF(OR(J2353=0,K2353=""),"",IF(E2353="Positivo",MAX(K2353/J2353,0),MAX(J2353/K2353,0))),"") </f>
        <v/>
      </c>
      <c r="P2353" t="n">
        <v>0</v>
      </c>
      <c r="Q2353" t="n">
        <v>0</v>
      </c>
      <c r="R2353" t="inlineStr">
        <is>
          <t>454-2024-12-31</t>
        </is>
      </c>
    </row>
    <row r="2354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Trimestral</t>
        </is>
      </c>
      <c r="E2354" t="inlineStr">
        <is>
          <t>Positivo</t>
        </is>
      </c>
      <c r="F2354" s="148" t="n">
        <v>45565</v>
      </c>
      <c r="G2354" t="n">
        <v>2024</v>
      </c>
      <c r="H2354" t="inlineStr">
        <is>
          <t>Septiembre</t>
        </is>
      </c>
      <c r="I2354" t="inlineStr">
        <is>
          <t>2024-2</t>
        </is>
      </c>
      <c r="J2354" t="n">
        <v>90</v>
      </c>
      <c r="K2354" t="n">
        <v>100</v>
      </c>
      <c r="L2354" s="59">
        <f>IFERROR(IF(OR(J2354=0,K2354=""),"",IF(E2354="Positivo",MIN(MAX(K2354/J2354,0),1.3),MIN(MAX(J2354/K2354,0),1.3))),"") </f>
        <v/>
      </c>
      <c r="M2354" s="59">
        <f>IFERROR(IF(OR(J2354=0,K2354=""),"",IF(E2354="Positivo",MAX(K2354/J2354,0),MAX(J2354/K2354,0))),"") </f>
        <v/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455-2024-09-30</t>
        </is>
      </c>
    </row>
    <row r="2355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Trimestral</t>
        </is>
      </c>
      <c r="E2355" t="inlineStr">
        <is>
          <t>Positivo</t>
        </is>
      </c>
      <c r="F2355" s="148" t="n">
        <v>45657</v>
      </c>
      <c r="G2355" t="n">
        <v>2024</v>
      </c>
      <c r="H2355" t="inlineStr">
        <is>
          <t>Diciembre</t>
        </is>
      </c>
      <c r="I2355" t="inlineStr">
        <is>
          <t>2024-2</t>
        </is>
      </c>
      <c r="J2355" t="n">
        <v>90</v>
      </c>
      <c r="K2355" t="n">
        <v>100</v>
      </c>
      <c r="L2355" s="59">
        <f>IFERROR(IF(OR(J2355=0,K2355=""),"",IF(E2355="Positivo",MIN(MAX(K2355/J2355,0),1.3),MIN(MAX(J2355/K2355,0),1.3))),"") </f>
        <v/>
      </c>
      <c r="M2355" s="59">
        <f>IFERROR(IF(OR(J2355=0,K2355=""),"",IF(E2355="Positivo",MAX(K2355/J2355,0),MAX(J2355/K2355,0))),"") </f>
        <v/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455-2024-12-31</t>
        </is>
      </c>
    </row>
    <row r="2356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Semestral</t>
        </is>
      </c>
      <c r="E2356" t="inlineStr">
        <is>
          <t>Positivo</t>
        </is>
      </c>
      <c r="F2356" s="148" t="n">
        <v>45747</v>
      </c>
      <c r="G2356" t="n">
        <v>2025</v>
      </c>
      <c r="H2356" t="inlineStr">
        <is>
          <t>Marzo</t>
        </is>
      </c>
      <c r="I2356" t="inlineStr">
        <is>
          <t>2025-1</t>
        </is>
      </c>
      <c r="J2356" t="n">
        <v>100</v>
      </c>
      <c r="K2356" t="n">
        <v>100</v>
      </c>
      <c r="L2356" s="59">
        <f>IFERROR(IF(OR(J2356=0,K2356=""),"",IF(E2356="Positivo",MIN(MAX(K2356/J2356,0),1.3),MIN(MAX(J2356/K2356,0),1.3))),"") </f>
        <v/>
      </c>
      <c r="M2356" s="59">
        <f>IFERROR(IF(OR(J2356=0,K2356=""),"",IF(E2356="Positivo",MAX(K2356/J2356,0),MAX(J2356/K2356,0))),"") </f>
        <v/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455-2025-03-31</t>
        </is>
      </c>
    </row>
    <row r="2357">
      <c r="A2357" t="n">
        <v>455</v>
      </c>
      <c r="B2357" t="inlineStr">
        <is>
          <t>ANS Diseño de contenidos virtuales</t>
        </is>
      </c>
      <c r="C2357" t="inlineStr">
        <is>
          <t>Diseño de Contenido Virtual</t>
        </is>
      </c>
      <c r="D2357" t="inlineStr">
        <is>
          <t>Trimestral</t>
        </is>
      </c>
      <c r="E2357" t="inlineStr">
        <is>
          <t>Positivo</t>
        </is>
      </c>
      <c r="F2357" s="148" t="n">
        <v>45838</v>
      </c>
      <c r="G2357" t="n">
        <v>2025</v>
      </c>
      <c r="H2357" t="inlineStr">
        <is>
          <t>Junio</t>
        </is>
      </c>
      <c r="I2357" t="inlineStr">
        <is>
          <t>2025-1</t>
        </is>
      </c>
      <c r="J2357" t="n">
        <v>100</v>
      </c>
      <c r="K2357" t="n">
        <v>100</v>
      </c>
      <c r="L2357" s="59">
        <f>IFERROR(IF(OR(J2357=0,K2357=""),"",IF(E2357="Positivo",MIN(MAX(K2357/J2357,0),1.3),MIN(MAX(J2357/K2357,0),1.3))),"") </f>
        <v/>
      </c>
      <c r="M2357" s="59">
        <f>IFERROR(IF(OR(J2357=0,K2357=""),"",IF(E2357="Positivo",MAX(K2357/J2357,0),MAX(J2357/K2357,0))),"") </f>
        <v/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455-2025-06-30</t>
        </is>
      </c>
    </row>
    <row r="2358">
      <c r="A2358" t="n">
        <v>455</v>
      </c>
      <c r="B2358" t="inlineStr">
        <is>
          <t>ANS Diseño de contenidos virtuales</t>
        </is>
      </c>
      <c r="C2358" t="inlineStr">
        <is>
          <t>Diseño de Contenido Virtual</t>
        </is>
      </c>
      <c r="D2358" t="inlineStr">
        <is>
          <t>Semestral</t>
        </is>
      </c>
      <c r="E2358" t="inlineStr">
        <is>
          <t>Positivo</t>
        </is>
      </c>
      <c r="F2358" s="148" t="n">
        <v>45930</v>
      </c>
      <c r="G2358" t="n">
        <v>2025</v>
      </c>
      <c r="H2358" t="inlineStr">
        <is>
          <t>Septiembre</t>
        </is>
      </c>
      <c r="I2358" t="inlineStr">
        <is>
          <t>2025-2</t>
        </is>
      </c>
      <c r="J2358" t="n">
        <v>100</v>
      </c>
      <c r="K2358" t="n">
        <v>100</v>
      </c>
      <c r="L2358" s="59">
        <f>IFERROR(IF(OR(J2358=0,K2358=""),"",IF(E2358="Positivo",MIN(MAX(K2358/J2358,0),1.3),MIN(MAX(J2358/K2358,0),1.3))),"") </f>
        <v/>
      </c>
      <c r="M2358" s="59">
        <f>IFERROR(IF(OR(J2358=0,K2358=""),"",IF(E2358="Positivo",MAX(K2358/J2358,0),MAX(J2358/K2358,0))),"") </f>
        <v/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455-2025-09-30</t>
        </is>
      </c>
    </row>
    <row r="2359">
      <c r="A2359" t="n">
        <v>455</v>
      </c>
      <c r="B2359" t="inlineStr">
        <is>
          <t>ANS Diseño de contenidos virtuales</t>
        </is>
      </c>
      <c r="C2359" t="inlineStr">
        <is>
          <t>Diseño de Contenido Virtual</t>
        </is>
      </c>
      <c r="D2359" t="inlineStr">
        <is>
          <t>Semestral</t>
        </is>
      </c>
      <c r="E2359" t="inlineStr">
        <is>
          <t>Positivo</t>
        </is>
      </c>
      <c r="F2359" s="148" t="n">
        <v>46022</v>
      </c>
      <c r="G2359" t="n">
        <v>2025</v>
      </c>
      <c r="H2359" t="inlineStr">
        <is>
          <t>Diciembre</t>
        </is>
      </c>
      <c r="I2359" t="inlineStr">
        <is>
          <t>2025-2</t>
        </is>
      </c>
      <c r="J2359" t="n">
        <v>100</v>
      </c>
      <c r="K2359" t="n">
        <v>100</v>
      </c>
      <c r="L2359" s="59">
        <f>IFERROR(IF(OR(J2359=0,K2359=""),"",IF(E2359="Positivo",MIN(MAX(K2359/J2359,0),1.3),MIN(MAX(J2359/K2359,0),1.3))),"") </f>
        <v/>
      </c>
      <c r="M2359" s="59">
        <f>IFERROR(IF(OR(J2359=0,K2359=""),"",IF(E2359="Positivo",MAX(K2359/J2359,0),MAX(J2359/K2359,0))),"") </f>
        <v/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455-2025-12-31</t>
        </is>
      </c>
    </row>
    <row r="2360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48" t="n">
        <v>45473</v>
      </c>
      <c r="G2360" t="n">
        <v>2024</v>
      </c>
      <c r="H2360" t="inlineStr">
        <is>
          <t>Junio</t>
        </is>
      </c>
      <c r="I2360" t="inlineStr">
        <is>
          <t>2024-1</t>
        </is>
      </c>
      <c r="J2360" t="n">
        <v>100</v>
      </c>
      <c r="K2360" t="n">
        <v>100</v>
      </c>
      <c r="L2360" s="59">
        <f>IFERROR(IF(OR(J2360=0,K2360=""),"",IF(E2360="Positivo",MIN(MAX(K2360/J2360,0),1.3),MIN(MAX(J2360/K2360,0),1.3))),"") </f>
        <v/>
      </c>
      <c r="M2360" s="59">
        <f>IFERROR(IF(OR(J2360=0,K2360=""),"",IF(E2360="Positivo",MAX(K2360/J2360,0),MAX(J2360/K2360,0))),"") </f>
        <v/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456-2024-06-30</t>
        </is>
      </c>
    </row>
    <row r="236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48" t="n">
        <v>45657</v>
      </c>
      <c r="G2361" t="n">
        <v>2024</v>
      </c>
      <c r="H2361" t="inlineStr">
        <is>
          <t>Diciembre</t>
        </is>
      </c>
      <c r="I2361" t="inlineStr">
        <is>
          <t>2024-2</t>
        </is>
      </c>
      <c r="J2361" t="n">
        <v>100</v>
      </c>
      <c r="K2361" t="n">
        <v>94.69</v>
      </c>
      <c r="L2361" s="59">
        <f>IFERROR(IF(OR(J2361=0,K2361=""),"",IF(E2361="Positivo",MIN(MAX(K2361/J2361,0),1.3),MIN(MAX(J2361/K2361,0),1.3))),"") </f>
        <v/>
      </c>
      <c r="M2361" s="59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456-2024-12-31</t>
        </is>
      </c>
    </row>
    <row r="2362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48" t="n">
        <v>45747</v>
      </c>
      <c r="G2362" t="n">
        <v>2025</v>
      </c>
      <c r="H2362" t="inlineStr">
        <is>
          <t>Marzo</t>
        </is>
      </c>
      <c r="I2362" t="inlineStr">
        <is>
          <t>2025-1</t>
        </is>
      </c>
      <c r="J2362" t="n">
        <v>100</v>
      </c>
      <c r="K2362" t="n">
        <v>106.25</v>
      </c>
      <c r="L2362" s="59">
        <f>IFERROR(IF(OR(J2362=0,K2362=""),"",IF(E2362="Positivo",MIN(MAX(K2362/J2362,0),1.3),MIN(MAX(J2362/K2362,0),1.3))),"") </f>
        <v/>
      </c>
      <c r="M2362" s="59">
        <f>IFERROR(IF(OR(J2362=0,K2362=""),"",IF(E2362="Positivo",MAX(K2362/J2362,0),MAX(J2362/K2362,0))),"") </f>
        <v/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456-2025-03-31</t>
        </is>
      </c>
    </row>
    <row r="2363">
      <c r="A2363" t="n">
        <v>456</v>
      </c>
      <c r="B2363" t="inlineStr">
        <is>
          <t>Impacto de campañas de Mailing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48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104.12</v>
      </c>
      <c r="L2363" s="59">
        <f>IFERROR(IF(OR(J2363=0,K2363=""),"",IF(E2363="Positivo",MIN(MAX(K2363/J2363,0),1.3),MIN(MAX(J2363/K2363,0),1.3))),"") </f>
        <v/>
      </c>
      <c r="M2363" s="59">
        <f>IFERROR(IF(OR(J2363=0,K2363=""),"",IF(E2363="Positivo",MAX(K2363/J2363,0),MAX(J2363/K2363,0))),"") </f>
        <v/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456-2025-06-30</t>
        </is>
      </c>
    </row>
    <row r="2364">
      <c r="A2364" t="n">
        <v>456</v>
      </c>
      <c r="B2364" t="inlineStr">
        <is>
          <t>Impacto de campañas de Mailing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48" t="n">
        <v>45930</v>
      </c>
      <c r="G2364" t="n">
        <v>2025</v>
      </c>
      <c r="H2364" t="inlineStr">
        <is>
          <t>Septiembre</t>
        </is>
      </c>
      <c r="I2364" t="inlineStr">
        <is>
          <t>2025-2</t>
        </is>
      </c>
      <c r="J2364" t="n">
        <v>100</v>
      </c>
      <c r="K2364" t="n">
        <v>121.57</v>
      </c>
      <c r="L2364" s="59">
        <f>IFERROR(IF(OR(J2364=0,K2364=""),"",IF(E2364="Positivo",MIN(MAX(K2364/J2364,0),1.3),MIN(MAX(J2364/K2364,0),1.3))),"") </f>
        <v/>
      </c>
      <c r="M2364" s="59">
        <f>IFERROR(IF(OR(J2364=0,K2364=""),"",IF(E2364="Positivo",MAX(K2364/J2364,0),MAX(J2364/K2364,0))),"") </f>
        <v/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456-2025-09-30</t>
        </is>
      </c>
    </row>
    <row r="2365">
      <c r="A2365" t="n">
        <v>456</v>
      </c>
      <c r="B2365" t="inlineStr">
        <is>
          <t>Impacto de campañas de Mailing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48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114.43</v>
      </c>
      <c r="L2365" s="59">
        <f>IFERROR(IF(OR(J2365=0,K2365=""),"",IF(E2365="Positivo",MIN(MAX(K2365/J2365,0),1.3),MIN(MAX(J2365/K2365,0),1.3))),"") </f>
        <v/>
      </c>
      <c r="M2365" s="59">
        <f>IFERROR(IF(OR(J2365=0,K2365=""),"",IF(E2365="Positivo",MAX(K2365/J2365,0),MAX(J2365/K2365,0))),"") </f>
        <v/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456-2025-12-31</t>
        </is>
      </c>
    </row>
    <row r="2366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48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90</v>
      </c>
      <c r="L2366" s="59">
        <f>IFERROR(IF(OR(J2366=0,K2366=""),"",IF(E2366="Positivo",MIN(MAX(K2366/J2366,0),1.3),MIN(MAX(J2366/K2366,0),1.3))),"") </f>
        <v/>
      </c>
      <c r="M2366" s="59">
        <f>IFERROR(IF(OR(J2366=0,K2366=""),"",IF(E2366="Positivo",MAX(K2366/J2366,0),MAX(J2366/K2366,0))),"") </f>
        <v/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457-2024-06-30</t>
        </is>
      </c>
    </row>
    <row r="2367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48" t="n">
        <v>45657</v>
      </c>
      <c r="G2367" t="n">
        <v>2024</v>
      </c>
      <c r="H2367" t="inlineStr">
        <is>
          <t>Diciembre</t>
        </is>
      </c>
      <c r="I2367" t="inlineStr">
        <is>
          <t>2024-2</t>
        </is>
      </c>
      <c r="J2367" t="n">
        <v>100</v>
      </c>
      <c r="K2367" t="n">
        <v>70</v>
      </c>
      <c r="L2367" s="59">
        <f>IFERROR(IF(OR(J2367=0,K2367=""),"",IF(E2367="Positivo",MIN(MAX(K2367/J2367,0),1.3),MIN(MAX(J2367/K2367,0),1.3))),"") </f>
        <v/>
      </c>
      <c r="M2367" s="59">
        <f>IFERROR(IF(OR(J2367=0,K2367=""),"",IF(E2367="Positivo",MAX(K2367/J2367,0),MAX(J2367/K2367,0))),"") </f>
        <v/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457-2024-12-31</t>
        </is>
      </c>
    </row>
    <row r="2368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48" t="n">
        <v>45747</v>
      </c>
      <c r="G2368" t="n">
        <v>2025</v>
      </c>
      <c r="H2368" t="inlineStr">
        <is>
          <t>Marzo</t>
        </is>
      </c>
      <c r="I2368" t="inlineStr">
        <is>
          <t>2025-1</t>
        </is>
      </c>
      <c r="J2368" t="n">
        <v>100</v>
      </c>
      <c r="K2368" t="n">
        <v>200</v>
      </c>
      <c r="L2368" s="59">
        <f>IFERROR(IF(OR(J2368=0,K2368=""),"",IF(E2368="Positivo",MIN(MAX(K2368/J2368,0),1.3),MIN(MAX(J2368/K2368,0),1.3))),"") </f>
        <v/>
      </c>
      <c r="M2368" s="59">
        <f>IFERROR(IF(OR(J2368=0,K2368=""),"",IF(E2368="Positivo",MAX(K2368/J2368,0),MAX(J2368/K2368,0))),"") </f>
        <v/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457-2025-03-31</t>
        </is>
      </c>
    </row>
    <row r="2369">
      <c r="A2369" t="n">
        <v>457</v>
      </c>
      <c r="B2369" t="inlineStr">
        <is>
          <t>Apertura de enlaces en mensajes de texto</t>
        </is>
      </c>
      <c r="C2369" t="inlineStr">
        <is>
          <t>Comunicaciones Internas</t>
        </is>
      </c>
      <c r="D2369" t="inlineStr">
        <is>
          <t>Semestral</t>
        </is>
      </c>
      <c r="E2369" t="inlineStr">
        <is>
          <t>Positivo</t>
        </is>
      </c>
      <c r="F2369" s="148" t="n">
        <v>45838</v>
      </c>
      <c r="G2369" t="n">
        <v>2025</v>
      </c>
      <c r="H2369" t="inlineStr">
        <is>
          <t>Junio</t>
        </is>
      </c>
      <c r="I2369" t="inlineStr">
        <is>
          <t>2025-1</t>
        </is>
      </c>
      <c r="J2369" t="n">
        <v>100</v>
      </c>
      <c r="K2369" t="n">
        <v>83.33</v>
      </c>
      <c r="L2369" s="59">
        <f>IFERROR(IF(OR(J2369=0,K2369=""),"",IF(E2369="Positivo",MIN(MAX(K2369/J2369,0),1.3),MIN(MAX(J2369/K2369,0),1.3))),"") </f>
        <v/>
      </c>
      <c r="M2369" s="59">
        <f>IFERROR(IF(OR(J2369=0,K2369=""),"",IF(E2369="Positivo",MAX(K2369/J2369,0),MAX(J2369/K2369,0))),"") </f>
        <v/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457-2025-06-30</t>
        </is>
      </c>
    </row>
    <row r="2370">
      <c r="A2370" t="n">
        <v>457</v>
      </c>
      <c r="B2370" t="inlineStr">
        <is>
          <t>Apertura de enlaces en mensajes de texto</t>
        </is>
      </c>
      <c r="C2370" t="inlineStr">
        <is>
          <t>Comunicaciones Internas</t>
        </is>
      </c>
      <c r="D2370" t="inlineStr">
        <is>
          <t>Semestral</t>
        </is>
      </c>
      <c r="E2370" t="inlineStr">
        <is>
          <t>Positivo</t>
        </is>
      </c>
      <c r="F2370" s="148" t="n">
        <v>45930</v>
      </c>
      <c r="G2370" t="n">
        <v>2025</v>
      </c>
      <c r="H2370" t="inlineStr">
        <is>
          <t>Septiembre</t>
        </is>
      </c>
      <c r="I2370" t="inlineStr">
        <is>
          <t>2025-2</t>
        </is>
      </c>
      <c r="J2370" t="n">
        <v>100</v>
      </c>
      <c r="K2370" t="n">
        <v>85.70999999999999</v>
      </c>
      <c r="L2370" s="59">
        <f>IFERROR(IF(OR(J2370=0,K2370=""),"",IF(E2370="Positivo",MIN(MAX(K2370/J2370,0),1.3),MIN(MAX(J2370/K2370,0),1.3))),"") </f>
        <v/>
      </c>
      <c r="M2370" s="59">
        <f>IFERROR(IF(OR(J2370=0,K2370=""),"",IF(E2370="Positivo",MAX(K2370/J2370,0),MAX(J2370/K2370,0))),"") </f>
        <v/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457-2025-09-30</t>
        </is>
      </c>
    </row>
    <row r="2371">
      <c r="A2371" t="n">
        <v>457</v>
      </c>
      <c r="B2371" t="inlineStr">
        <is>
          <t>Apertura de enlaces en mensajes de texto</t>
        </is>
      </c>
      <c r="C2371" t="inlineStr">
        <is>
          <t>Comunicaciones Internas</t>
        </is>
      </c>
      <c r="D2371" t="inlineStr">
        <is>
          <t>Semestral</t>
        </is>
      </c>
      <c r="E2371" t="inlineStr">
        <is>
          <t>Positivo</t>
        </is>
      </c>
      <c r="F2371" s="148" t="n">
        <v>46022</v>
      </c>
      <c r="G2371" t="n">
        <v>2025</v>
      </c>
      <c r="H2371" t="inlineStr">
        <is>
          <t>Diciembre</t>
        </is>
      </c>
      <c r="I2371" t="inlineStr">
        <is>
          <t>2025-2</t>
        </is>
      </c>
      <c r="J2371" t="n">
        <v>100</v>
      </c>
      <c r="K2371" t="n">
        <v>83.33</v>
      </c>
      <c r="L2371" s="59">
        <f>IFERROR(IF(OR(J2371=0,K2371=""),"",IF(E2371="Positivo",MIN(MAX(K2371/J2371,0),1.3),MIN(MAX(J2371/K2371,0),1.3))),"") </f>
        <v/>
      </c>
      <c r="M2371" s="59">
        <f>IFERROR(IF(OR(J2371=0,K2371=""),"",IF(E2371="Positivo",MAX(K2371/J2371,0),MAX(J2371/K2371,0))),"") </f>
        <v/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457-2025-12-31</t>
        </is>
      </c>
    </row>
    <row r="2372">
      <c r="A2372" t="n">
        <v>459</v>
      </c>
      <c r="B2372" t="inlineStr">
        <is>
          <t>Número de publicaciones e historias</t>
        </is>
      </c>
      <c r="C2372" t="inlineStr">
        <is>
          <t>Comunicaciones Externas</t>
        </is>
      </c>
      <c r="D2372" t="inlineStr">
        <is>
          <t>Trimestral</t>
        </is>
      </c>
      <c r="E2372" t="inlineStr">
        <is>
          <t>Positivo</t>
        </is>
      </c>
      <c r="F2372" s="148" t="n">
        <v>45473</v>
      </c>
      <c r="G2372" t="n">
        <v>2024</v>
      </c>
      <c r="H2372" t="inlineStr">
        <is>
          <t>Junio</t>
        </is>
      </c>
      <c r="I2372" t="inlineStr">
        <is>
          <t>2024-1</t>
        </is>
      </c>
      <c r="J2372" t="n">
        <v>100</v>
      </c>
      <c r="K2372" t="n">
        <v>130.43</v>
      </c>
      <c r="L2372" s="59">
        <f>IFERROR(IF(OR(J2372=0,K2372=""),"",IF(E2372="Positivo",MIN(MAX(K2372/J2372,0),1.3),MIN(MAX(J2372/K2372,0),1.3))),"") </f>
        <v/>
      </c>
      <c r="M2372" s="59">
        <f>IFERROR(IF(OR(J2372=0,K2372=""),"",IF(E2372="Positivo",MAX(K2372/J2372,0),MAX(J2372/K2372,0))),"") </f>
        <v/>
      </c>
      <c r="P2372" t="n">
        <v>0</v>
      </c>
      <c r="Q2372" t="n">
        <v>0</v>
      </c>
      <c r="R2372" t="inlineStr">
        <is>
          <t>459-2024-06-30</t>
        </is>
      </c>
    </row>
    <row r="2373">
      <c r="A2373" t="n">
        <v>459</v>
      </c>
      <c r="B2373" t="inlineStr">
        <is>
          <t>Número de publicaciones e historias</t>
        </is>
      </c>
      <c r="C2373" t="inlineStr">
        <is>
          <t>Comunicaciones Externas</t>
        </is>
      </c>
      <c r="D2373" t="inlineStr">
        <is>
          <t>Trimestral</t>
        </is>
      </c>
      <c r="E2373" t="inlineStr">
        <is>
          <t>Positivo</t>
        </is>
      </c>
      <c r="F2373" s="148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100</v>
      </c>
      <c r="K2373" t="n">
        <v>147.83</v>
      </c>
      <c r="L2373" s="59">
        <f>IFERROR(IF(OR(J2373=0,K2373=""),"",IF(E2373="Positivo",MIN(MAX(K2373/J2373,0),1.3),MIN(MAX(J2373/K2373,0),1.3))),"") </f>
        <v/>
      </c>
      <c r="M2373" s="59">
        <f>IFERROR(IF(OR(J2373=0,K2373=""),"",IF(E2373="Positivo",MAX(K2373/J2373,0),MAX(J2373/K2373,0))),"") </f>
        <v/>
      </c>
      <c r="P2373" t="n">
        <v>0</v>
      </c>
      <c r="Q2373" t="n">
        <v>0</v>
      </c>
      <c r="R2373" t="inlineStr">
        <is>
          <t>459-2024-09-30</t>
        </is>
      </c>
    </row>
    <row r="2374">
      <c r="A2374" t="n">
        <v>460</v>
      </c>
      <c r="B2374" t="inlineStr">
        <is>
          <t>% de profesores (Contrato Indefinido- Fijo) impactados plan de desarrollo docente</t>
        </is>
      </c>
      <c r="C2374" t="inlineStr">
        <is>
          <t>GESTIÓN Y DESARROLLO DEL TALENTO HUMANO</t>
        </is>
      </c>
      <c r="D2374" t="inlineStr">
        <is>
          <t>Anual</t>
        </is>
      </c>
      <c r="E2374" t="inlineStr">
        <is>
          <t>Positivo</t>
        </is>
      </c>
      <c r="F2374" s="148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80</v>
      </c>
      <c r="K2374" t="n">
        <v>91.43968871595332</v>
      </c>
      <c r="L2374" s="59">
        <f>IFERROR(IF(OR(J2374=0,K2374=""),"",IF(E2374="Positivo",MIN(MAX(K2374/J2374,0),1.3),MIN(MAX(J2374/K2374,0),1.3))),"") </f>
        <v/>
      </c>
      <c r="M2374" s="59">
        <f>IFERROR(IF(OR(J2374=0,K2374=""),"",IF(E2374="Positivo",MAX(K2374/J2374,0),MAX(J2374/K2374,0))),"") </f>
        <v/>
      </c>
      <c r="P2374" t="n">
        <v>0</v>
      </c>
      <c r="Q2374" t="n">
        <v>0</v>
      </c>
      <c r="R2374" t="inlineStr">
        <is>
          <t>460-2024-12-31</t>
        </is>
      </c>
    </row>
    <row r="2375">
      <c r="A2375" t="n">
        <v>460</v>
      </c>
      <c r="B2375" t="inlineStr">
        <is>
          <t>% de profesores (Contrato Indefinido- Fijo) impactados plan de desarrollo docente</t>
        </is>
      </c>
      <c r="C2375" t="inlineStr">
        <is>
          <t>GESTIÓN Y DESARROLLO DEL TALENTO HUMANO</t>
        </is>
      </c>
      <c r="D2375" t="inlineStr">
        <is>
          <t>Anual</t>
        </is>
      </c>
      <c r="E2375" t="inlineStr">
        <is>
          <t>Positivo</t>
        </is>
      </c>
      <c r="F2375" s="148" t="n">
        <v>46022</v>
      </c>
      <c r="G2375" t="n">
        <v>2025</v>
      </c>
      <c r="H2375" t="inlineStr">
        <is>
          <t>Diciembre</t>
        </is>
      </c>
      <c r="I2375" t="inlineStr">
        <is>
          <t>2025-2</t>
        </is>
      </c>
      <c r="J2375" t="n">
        <v>80</v>
      </c>
      <c r="K2375" t="n">
        <v>84.18000000000001</v>
      </c>
      <c r="L2375" s="59">
        <f>IFERROR(IF(OR(J2375=0,K2375=""),"",IF(E2375="Positivo",MIN(MAX(K2375/J2375,0),1.3),MIN(MAX(J2375/K2375,0),1.3))),"") </f>
        <v/>
      </c>
      <c r="M2375" s="59">
        <f>IFERROR(IF(OR(J2375=0,K2375=""),"",IF(E2375="Positivo",MAX(K2375/J2375,0),MAX(J2375/K2375,0))),"") </f>
        <v/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1</v>
      </c>
      <c r="R2375" t="inlineStr">
        <is>
          <t>460-2025-12-31</t>
        </is>
      </c>
    </row>
    <row r="2376">
      <c r="A2376" t="n">
        <v>462</v>
      </c>
      <c r="B2376" t="inlineStr">
        <is>
          <t>Nivel Esfuerzo Editorial</t>
        </is>
      </c>
      <c r="C2376" t="inlineStr">
        <is>
          <t>Editorial y Publicaciones</t>
        </is>
      </c>
      <c r="D2376" t="inlineStr">
        <is>
          <t>Semestral</t>
        </is>
      </c>
      <c r="E2376" t="inlineStr">
        <is>
          <t>Positivo</t>
        </is>
      </c>
      <c r="F2376" s="148" t="n">
        <v>45473</v>
      </c>
      <c r="G2376" t="n">
        <v>2024</v>
      </c>
      <c r="H2376" t="inlineStr">
        <is>
          <t>Junio</t>
        </is>
      </c>
      <c r="I2376" t="inlineStr">
        <is>
          <t>2024-1</t>
        </is>
      </c>
      <c r="J2376" t="n">
        <v>85</v>
      </c>
      <c r="K2376" t="n">
        <v>100</v>
      </c>
      <c r="L2376" s="59">
        <f>IFERROR(IF(OR(J2376=0,K2376=""),"",IF(E2376="Positivo",MIN(MAX(K2376/J2376,0),1.3),MIN(MAX(J2376/K2376,0),1.3))),"") </f>
        <v/>
      </c>
      <c r="M2376" s="59">
        <f>IFERROR(IF(OR(J2376=0,K2376=""),"",IF(E2376="Positivo",MAX(K2376/J2376,0),MAX(J2376/K2376,0))),"") </f>
        <v/>
      </c>
      <c r="P2376" t="n">
        <v>0</v>
      </c>
      <c r="Q2376" t="n">
        <v>0</v>
      </c>
      <c r="R2376" t="inlineStr">
        <is>
          <t>462-2024-06-30</t>
        </is>
      </c>
    </row>
    <row r="2377">
      <c r="A2377" t="n">
        <v>462</v>
      </c>
      <c r="B2377" t="inlineStr">
        <is>
          <t>Nivel Esfuerzo Editorial</t>
        </is>
      </c>
      <c r="C2377" t="inlineStr">
        <is>
          <t>Editorial y Publicaciones</t>
        </is>
      </c>
      <c r="D2377" t="inlineStr">
        <is>
          <t>Semestral</t>
        </is>
      </c>
      <c r="E2377" t="inlineStr">
        <is>
          <t>Positivo</t>
        </is>
      </c>
      <c r="F2377" s="148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85</v>
      </c>
      <c r="K2377" t="n">
        <v>100</v>
      </c>
      <c r="L2377" s="59">
        <f>IFERROR(IF(OR(J2377=0,K2377=""),"",IF(E2377="Positivo",MIN(MAX(K2377/J2377,0),1.3),MIN(MAX(J2377/K2377,0),1.3))),"") </f>
        <v/>
      </c>
      <c r="M2377" s="59">
        <f>IFERROR(IF(OR(J2377=0,K2377=""),"",IF(E2377="Positivo",MAX(K2377/J2377,0),MAX(J2377/K2377,0))),"") </f>
        <v/>
      </c>
      <c r="P2377" t="n">
        <v>0</v>
      </c>
      <c r="Q2377" t="n">
        <v>0</v>
      </c>
      <c r="R2377" t="inlineStr">
        <is>
          <t>462-2024-12-31</t>
        </is>
      </c>
    </row>
    <row r="2378">
      <c r="A2378" t="n">
        <v>463</v>
      </c>
      <c r="B2378" t="inlineStr">
        <is>
          <t>Cumplimiento de las acciones del Plan de mejoramiento GPW</t>
        </is>
      </c>
      <c r="C2378" t="inlineStr">
        <is>
          <t>GESTIÓN Y DESARROLLO DEL TALENTO HUMANO</t>
        </is>
      </c>
      <c r="D2378" t="inlineStr">
        <is>
          <t>Semestral</t>
        </is>
      </c>
      <c r="E2378" t="inlineStr">
        <is>
          <t>Positivo</t>
        </is>
      </c>
      <c r="F2378" s="148" t="n">
        <v>45473</v>
      </c>
      <c r="G2378" t="n">
        <v>2024</v>
      </c>
      <c r="H2378" t="inlineStr">
        <is>
          <t>Junio</t>
        </is>
      </c>
      <c r="I2378" t="inlineStr">
        <is>
          <t>2024-1</t>
        </is>
      </c>
      <c r="J2378" t="n">
        <v>100</v>
      </c>
      <c r="K2378" t="n">
        <v>95</v>
      </c>
      <c r="L2378" s="59">
        <f>IFERROR(IF(OR(J2378=0,K2378=""),"",IF(E2378="Positivo",MIN(MAX(K2378/J2378,0),1.3),MIN(MAX(J2378/K2378,0),1.3))),"") </f>
        <v/>
      </c>
      <c r="M2378" s="59">
        <f>IFERROR(IF(OR(J2378=0,K2378=""),"",IF(E2378="Positivo",MAX(K2378/J2378,0),MAX(J2378/K2378,0))),"") </f>
        <v/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463-2024-06-30</t>
        </is>
      </c>
    </row>
    <row r="2379">
      <c r="A2379" t="n">
        <v>463</v>
      </c>
      <c r="B2379" t="inlineStr">
        <is>
          <t>Cumplimiento de las acciones del Plan de mejoramiento GPW</t>
        </is>
      </c>
      <c r="C2379" t="inlineStr">
        <is>
          <t>GESTIÓN Y DESARROLLO DEL TALENTO HUMANO</t>
        </is>
      </c>
      <c r="D2379" t="inlineStr">
        <is>
          <t>Semestral</t>
        </is>
      </c>
      <c r="E2379" t="inlineStr">
        <is>
          <t>Positivo</t>
        </is>
      </c>
      <c r="F2379" s="148" t="n">
        <v>45657</v>
      </c>
      <c r="G2379" t="n">
        <v>2024</v>
      </c>
      <c r="H2379" t="inlineStr">
        <is>
          <t>Diciembre</t>
        </is>
      </c>
      <c r="I2379" t="inlineStr">
        <is>
          <t>2024-2</t>
        </is>
      </c>
      <c r="J2379" t="n">
        <v>100</v>
      </c>
      <c r="K2379" t="n">
        <v>100</v>
      </c>
      <c r="L2379" s="59">
        <f>IFERROR(IF(OR(J2379=0,K2379=""),"",IF(E2379="Positivo",MIN(MAX(K2379/J2379,0),1.3),MIN(MAX(J2379/K2379,0),1.3))),"") </f>
        <v/>
      </c>
      <c r="M2379" s="59">
        <f>IFERROR(IF(OR(J2379=0,K2379=""),"",IF(E2379="Positivo",MAX(K2379/J2379,0),MAX(J2379/K2379,0))),"") </f>
        <v/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463-2024-12-31</t>
        </is>
      </c>
    </row>
    <row r="2380">
      <c r="A2380" t="n">
        <v>465</v>
      </c>
      <c r="B2380" t="inlineStr">
        <is>
          <t>% de depuración histórico  SNIES</t>
        </is>
      </c>
      <c r="C2380" t="inlineStr">
        <is>
          <t>DATOS Y ANALÍTICA</t>
        </is>
      </c>
      <c r="D2380" t="inlineStr">
        <is>
          <t>Semestral</t>
        </is>
      </c>
      <c r="E2380" t="inlineStr">
        <is>
          <t>Positivo</t>
        </is>
      </c>
      <c r="F2380" s="148" t="n">
        <v>45473</v>
      </c>
      <c r="G2380" t="n">
        <v>2024</v>
      </c>
      <c r="H2380" t="inlineStr">
        <is>
          <t>Junio</t>
        </is>
      </c>
      <c r="I2380" t="inlineStr">
        <is>
          <t>2024-1</t>
        </is>
      </c>
      <c r="J2380" t="n">
        <v>75</v>
      </c>
      <c r="K2380" t="n">
        <v>57.86</v>
      </c>
      <c r="L2380" s="59">
        <f>IFERROR(IF(OR(J2380=0,K2380=""),"",IF(E2380="Positivo",MIN(MAX(K2380/J2380,0),1.3),MIN(MAX(J2380/K2380,0),1.3))),"") </f>
        <v/>
      </c>
      <c r="M2380" s="59">
        <f>IFERROR(IF(OR(J2380=0,K2380=""),"",IF(E2380="Positivo",MAX(K2380/J2380,0),MAX(J2380/K2380,0))),"") </f>
        <v/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465-2024-06-30</t>
        </is>
      </c>
    </row>
    <row r="2381">
      <c r="A2381" t="n">
        <v>465</v>
      </c>
      <c r="B2381" t="inlineStr">
        <is>
          <t>% de depuración histórico  SNIES</t>
        </is>
      </c>
      <c r="C2381" t="inlineStr">
        <is>
          <t>DATOS Y ANALÍTICA</t>
        </is>
      </c>
      <c r="D2381" t="inlineStr">
        <is>
          <t>Semestral</t>
        </is>
      </c>
      <c r="E2381" t="inlineStr">
        <is>
          <t>Positivo</t>
        </is>
      </c>
      <c r="F2381" s="148" t="n">
        <v>45657</v>
      </c>
      <c r="G2381" t="n">
        <v>2024</v>
      </c>
      <c r="H2381" t="inlineStr">
        <is>
          <t>Diciembre</t>
        </is>
      </c>
      <c r="I2381" t="inlineStr">
        <is>
          <t>2024-2</t>
        </is>
      </c>
      <c r="J2381" t="n">
        <v>100</v>
      </c>
      <c r="K2381" t="n">
        <v>56.83</v>
      </c>
      <c r="L2381" s="59">
        <f>IFERROR(IF(OR(J2381=0,K2381=""),"",IF(E2381="Positivo",MIN(MAX(K2381/J2381,0),1.3),MIN(MAX(J2381/K2381,0),1.3))),"") </f>
        <v/>
      </c>
      <c r="M2381" s="59">
        <f>IFERROR(IF(OR(J2381=0,K2381=""),"",IF(E2381="Positivo",MAX(K2381/J2381,0),MAX(J2381/K2381,0))),"") </f>
        <v/>
      </c>
      <c r="P2381" t="n">
        <v>0</v>
      </c>
      <c r="Q2381" t="n">
        <v>0</v>
      </c>
      <c r="R2381" t="inlineStr">
        <is>
          <t>465-2024-12-31</t>
        </is>
      </c>
    </row>
    <row r="2382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Semestral</t>
        </is>
      </c>
      <c r="E2382" t="inlineStr">
        <is>
          <t>Positivo</t>
        </is>
      </c>
      <c r="F2382" s="148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119.2</v>
      </c>
      <c r="L2382" s="59">
        <f>IFERROR(IF(OR(J2382=0,K2382=""),"",IF(E2382="Positivo",MIN(MAX(K2382/J2382,0),1.3),MIN(MAX(J2382/K2382,0),1.3))),"") </f>
        <v/>
      </c>
      <c r="M2382" s="59">
        <f>IFERROR(IF(OR(J2382=0,K2382=""),"",IF(E2382="Positivo",MAX(K2382/J2382,0),MAX(J2382/K2382,0))),"") </f>
        <v/>
      </c>
      <c r="N2382" t="inlineStr">
        <is>
          <t>ENT</t>
        </is>
      </c>
      <c r="O2382" t="inlineStr">
        <is>
          <t>ENT</t>
        </is>
      </c>
      <c r="P2382" t="n">
        <v>0</v>
      </c>
      <c r="Q2382" t="n">
        <v>1</v>
      </c>
      <c r="R2382" t="inlineStr">
        <is>
          <t>466-2024-06-30</t>
        </is>
      </c>
    </row>
    <row r="2383">
      <c r="A2383" t="n">
        <v>466</v>
      </c>
      <c r="B2383" t="inlineStr">
        <is>
          <t>NPS Estudiantes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48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107.6</v>
      </c>
      <c r="L2383" s="59">
        <f>IFERROR(IF(OR(J2383=0,K2383=""),"",IF(E2383="Positivo",MIN(MAX(K2383/J2383,0),1.3),MIN(MAX(J2383/K2383,0),1.3))),"") </f>
        <v/>
      </c>
      <c r="M2383" s="59">
        <f>IFERROR(IF(OR(J2383=0,K2383=""),"",IF(E2383="Positivo",MAX(K2383/J2383,0),MAX(J2383/K2383,0))),"") </f>
        <v/>
      </c>
      <c r="N2383" t="inlineStr">
        <is>
          <t>ENT</t>
        </is>
      </c>
      <c r="O2383" t="inlineStr">
        <is>
          <t>DEC</t>
        </is>
      </c>
      <c r="P2383" t="n">
        <v>0</v>
      </c>
      <c r="Q2383" t="n">
        <v>1</v>
      </c>
      <c r="R2383" t="inlineStr">
        <is>
          <t>466-2024-12-31</t>
        </is>
      </c>
    </row>
    <row r="2384">
      <c r="A2384" t="n">
        <v>466</v>
      </c>
      <c r="B2384" t="inlineStr">
        <is>
          <t>NPS Estudiantes</t>
        </is>
      </c>
      <c r="C2384" t="inlineStr">
        <is>
          <t>EXPERIENCIA INSTITUCIONAL</t>
        </is>
      </c>
      <c r="D2384" t="inlineStr">
        <is>
          <t>Semestral</t>
        </is>
      </c>
      <c r="E2384" t="inlineStr">
        <is>
          <t>Positivo</t>
        </is>
      </c>
      <c r="F2384" s="148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K2384" t="n">
        <v>48</v>
      </c>
      <c r="L2384" s="59">
        <f>IFERROR(IF(OR(J2384=0,K2384=""),"",IF(E2384="Positivo",MIN(MAX(K2384/J2384,0),1.3),MIN(MAX(J2384/K2384,0),1.3))),"") </f>
        <v/>
      </c>
      <c r="M2384" s="59">
        <f>IFERROR(IF(OR(J2384=0,K2384=""),"",IF(E2384="Positivo",MAX(K2384/J2384,0),MAX(J2384/K2384,0))),"") </f>
        <v/>
      </c>
      <c r="N2384" t="inlineStr">
        <is>
          <t>ENT</t>
        </is>
      </c>
      <c r="O2384" t="inlineStr">
        <is>
          <t>ENT</t>
        </is>
      </c>
      <c r="P2384" t="n">
        <v>0</v>
      </c>
      <c r="Q2384" t="n">
        <v>0</v>
      </c>
      <c r="R2384" t="inlineStr">
        <is>
          <t>466-2025-06-30</t>
        </is>
      </c>
    </row>
    <row r="2385">
      <c r="A2385" t="n">
        <v>466</v>
      </c>
      <c r="B2385" t="inlineStr">
        <is>
          <t>NPS Estudiantes</t>
        </is>
      </c>
      <c r="C2385" t="inlineStr">
        <is>
          <t>EXPERIENCIA INSTITUCIONAL</t>
        </is>
      </c>
      <c r="D2385" t="inlineStr">
        <is>
          <t>Trimestral</t>
        </is>
      </c>
      <c r="E2385" t="inlineStr">
        <is>
          <t>Positivo</t>
        </is>
      </c>
      <c r="F2385" s="148" t="n">
        <v>46022</v>
      </c>
      <c r="G2385" t="n">
        <v>2025</v>
      </c>
      <c r="H2385" t="inlineStr">
        <is>
          <t>Diciembre</t>
        </is>
      </c>
      <c r="I2385" t="inlineStr">
        <is>
          <t>2025-2</t>
        </is>
      </c>
      <c r="J2385" t="n">
        <v>100</v>
      </c>
      <c r="K2385" t="n">
        <v>106.55</v>
      </c>
      <c r="L2385" s="59">
        <f>IFERROR(IF(OR(J2385=0,K2385=""),"",IF(E2385="Positivo",MIN(MAX(K2385/J2385,0),1.3),MIN(MAX(J2385/K2385,0),1.3))),"") </f>
        <v/>
      </c>
      <c r="M2385" s="59">
        <f>IFERROR(IF(OR(J2385=0,K2385=""),"",IF(E2385="Positivo",MAX(K2385/J2385,0),MAX(J2385/K2385,0))),"") </f>
        <v/>
      </c>
      <c r="N2385" t="inlineStr">
        <is>
          <t>ENT</t>
        </is>
      </c>
      <c r="O2385" t="inlineStr">
        <is>
          <t>DEC</t>
        </is>
      </c>
      <c r="P2385" t="n">
        <v>1</v>
      </c>
      <c r="Q2385" t="n">
        <v>1</v>
      </c>
      <c r="R2385" t="inlineStr">
        <is>
          <t>466-2025-12-31</t>
        </is>
      </c>
    </row>
    <row r="2386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Semestral</t>
        </is>
      </c>
      <c r="E2386" t="inlineStr">
        <is>
          <t>Positivo</t>
        </is>
      </c>
      <c r="F2386" s="148" t="n">
        <v>45473</v>
      </c>
      <c r="G2386" t="n">
        <v>2024</v>
      </c>
      <c r="H2386" t="inlineStr">
        <is>
          <t>Junio</t>
        </is>
      </c>
      <c r="I2386" t="inlineStr">
        <is>
          <t>2024-1</t>
        </is>
      </c>
      <c r="J2386" t="n">
        <v>100</v>
      </c>
      <c r="K2386" t="n">
        <v>121.25</v>
      </c>
      <c r="L2386" s="59">
        <f>IFERROR(IF(OR(J2386=0,K2386=""),"",IF(E2386="Positivo",MIN(MAX(K2386/J2386,0),1.3),MIN(MAX(J2386/K2386,0),1.3))),"") </f>
        <v/>
      </c>
      <c r="M2386" s="59">
        <f>IFERROR(IF(OR(J2386=0,K2386=""),"",IF(E2386="Positivo",MAX(K2386/J2386,0),MAX(J2386/K2386,0))),"") </f>
        <v/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467-2024-06-30</t>
        </is>
      </c>
    </row>
    <row r="2387">
      <c r="A2387" t="n">
        <v>467</v>
      </c>
      <c r="B2387" t="inlineStr">
        <is>
          <t>NPS Graduados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Positivo</t>
        </is>
      </c>
      <c r="F2387" s="148" t="n">
        <v>45657</v>
      </c>
      <c r="G2387" t="n">
        <v>2024</v>
      </c>
      <c r="H2387" t="inlineStr">
        <is>
          <t>Diciembre</t>
        </is>
      </c>
      <c r="I2387" t="inlineStr">
        <is>
          <t>2024-2</t>
        </is>
      </c>
      <c r="J2387" t="n">
        <v>100</v>
      </c>
      <c r="K2387" t="n">
        <v>121.83</v>
      </c>
      <c r="L2387" s="59">
        <f>IFERROR(IF(OR(J2387=0,K2387=""),"",IF(E2387="Positivo",MIN(MAX(K2387/J2387,0),1.3),MIN(MAX(J2387/K2387,0),1.3))),"") </f>
        <v/>
      </c>
      <c r="M2387" s="59">
        <f>IFERROR(IF(OR(J2387=0,K2387=""),"",IF(E2387="Positivo",MAX(K2387/J2387,0),MAX(J2387/K2387,0))),"") </f>
        <v/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467-2024-12-31</t>
        </is>
      </c>
    </row>
    <row r="2388">
      <c r="A2388" t="n">
        <v>467</v>
      </c>
      <c r="B2388" t="inlineStr">
        <is>
          <t>NPS Graduados</t>
        </is>
      </c>
      <c r="C2388" t="inlineStr">
        <is>
          <t>EXPERIENCIA INSTITUCIONAL</t>
        </is>
      </c>
      <c r="D2388" t="inlineStr">
        <is>
          <t>Semestral</t>
        </is>
      </c>
      <c r="E2388" t="inlineStr">
        <is>
          <t>Positivo</t>
        </is>
      </c>
      <c r="F2388" s="148" t="n">
        <v>45838</v>
      </c>
      <c r="G2388" t="n">
        <v>2025</v>
      </c>
      <c r="H2388" t="inlineStr">
        <is>
          <t>Junio</t>
        </is>
      </c>
      <c r="I2388" t="inlineStr">
        <is>
          <t>2025-1</t>
        </is>
      </c>
      <c r="J2388" t="n">
        <v>100</v>
      </c>
      <c r="K2388" t="n">
        <v>118</v>
      </c>
      <c r="L2388" s="59">
        <f>IFERROR(IF(OR(J2388=0,K2388=""),"",IF(E2388="Positivo",MIN(MAX(K2388/J2388,0),1.3),MIN(MAX(J2388/K2388,0),1.3))),"") </f>
        <v/>
      </c>
      <c r="M2388" s="59">
        <f>IFERROR(IF(OR(J2388=0,K2388=""),"",IF(E2388="Positivo",MAX(K2388/J2388,0),MAX(J2388/K2388,0))),"") </f>
        <v/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467-2025-06-30</t>
        </is>
      </c>
    </row>
    <row r="2389">
      <c r="A2389" t="n">
        <v>467</v>
      </c>
      <c r="B2389" t="inlineStr">
        <is>
          <t>NPS Graduados</t>
        </is>
      </c>
      <c r="C2389" t="inlineStr">
        <is>
          <t>EXPERIENCIA INSTITUCIONAL</t>
        </is>
      </c>
      <c r="D2389" t="inlineStr">
        <is>
          <t>Trimestral</t>
        </is>
      </c>
      <c r="E2389" t="inlineStr">
        <is>
          <t>Positivo</t>
        </is>
      </c>
      <c r="F2389" s="148" t="n">
        <v>46022</v>
      </c>
      <c r="G2389" t="n">
        <v>2025</v>
      </c>
      <c r="H2389" t="inlineStr">
        <is>
          <t>Diciembre</t>
        </is>
      </c>
      <c r="I2389" t="inlineStr">
        <is>
          <t>2025-2</t>
        </is>
      </c>
      <c r="J2389" t="n">
        <v>100</v>
      </c>
      <c r="K2389" t="n">
        <v>99.5</v>
      </c>
      <c r="L2389" s="59">
        <f>IFERROR(IF(OR(J2389=0,K2389=""),"",IF(E2389="Positivo",MIN(MAX(K2389/J2389,0),1.3),MIN(MAX(J2389/K2389,0),1.3))),"") </f>
        <v/>
      </c>
      <c r="M2389" s="59">
        <f>IFERROR(IF(OR(J2389=0,K2389=""),"",IF(E2389="Positivo",MAX(K2389/J2389,0),MAX(J2389/K2389,0))),"") </f>
        <v/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467-2025-12-31</t>
        </is>
      </c>
    </row>
    <row r="2390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Semestral</t>
        </is>
      </c>
      <c r="E2390" t="inlineStr">
        <is>
          <t>Negativo</t>
        </is>
      </c>
      <c r="F2390" s="148" t="n">
        <v>45473</v>
      </c>
      <c r="G2390" t="n">
        <v>2024</v>
      </c>
      <c r="H2390" t="inlineStr">
        <is>
          <t>Junio</t>
        </is>
      </c>
      <c r="I2390" t="inlineStr">
        <is>
          <t>2024-1</t>
        </is>
      </c>
      <c r="J2390" t="n">
        <v>3</v>
      </c>
      <c r="K2390" t="n">
        <v>2.85</v>
      </c>
      <c r="L2390" s="59">
        <f>IFERROR(IF(OR(J2390=0,K2390=""),"",IF(E2390="Positivo",MIN(MAX(K2390/J2390,0),1.3),MIN(MAX(J2390/K2390,0),1.3))),"") </f>
        <v/>
      </c>
      <c r="M2390" s="59">
        <f>IFERROR(IF(OR(J2390=0,K2390=""),"",IF(E2390="Positivo",MAX(K2390/J2390,0),MAX(J2390/K2390,0))),"") </f>
        <v/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468-2024-06-30</t>
        </is>
      </c>
    </row>
    <row r="2391">
      <c r="A2391" t="n">
        <v>468</v>
      </c>
      <c r="B2391" t="inlineStr">
        <is>
          <t>CES General</t>
        </is>
      </c>
      <c r="C2391" t="inlineStr">
        <is>
          <t>EXPERIENCIA INSTITUCIONAL</t>
        </is>
      </c>
      <c r="D2391" t="inlineStr">
        <is>
          <t>Semestral</t>
        </is>
      </c>
      <c r="E2391" t="inlineStr">
        <is>
          <t>Negativo</t>
        </is>
      </c>
      <c r="F2391" s="148" t="n">
        <v>45657</v>
      </c>
      <c r="G2391" t="n">
        <v>2024</v>
      </c>
      <c r="H2391" t="inlineStr">
        <is>
          <t>Diciembre</t>
        </is>
      </c>
      <c r="I2391" t="inlineStr">
        <is>
          <t>2024-2</t>
        </is>
      </c>
      <c r="J2391" t="n">
        <v>3</v>
      </c>
      <c r="K2391" t="n">
        <v>2.6</v>
      </c>
      <c r="L2391" s="59">
        <f>IFERROR(IF(OR(J2391=0,K2391=""),"",IF(E2391="Positivo",MIN(MAX(K2391/J2391,0),1.3),MIN(MAX(J2391/K2391,0),1.3))),"") </f>
        <v/>
      </c>
      <c r="M2391" s="59">
        <f>IFERROR(IF(OR(J2391=0,K2391=""),"",IF(E2391="Positivo",MAX(K2391/J2391,0),MAX(J2391/K2391,0))),"") </f>
        <v/>
      </c>
      <c r="N2391" t="inlineStr">
        <is>
          <t>ENT</t>
        </is>
      </c>
      <c r="O2391" t="inlineStr">
        <is>
          <t>DEC</t>
        </is>
      </c>
      <c r="P2391" t="n">
        <v>0</v>
      </c>
      <c r="Q2391" t="n">
        <v>1</v>
      </c>
      <c r="R2391" t="inlineStr">
        <is>
          <t>468-2024-12-31</t>
        </is>
      </c>
    </row>
    <row r="2392">
      <c r="A2392" t="n">
        <v>468</v>
      </c>
      <c r="B2392" t="inlineStr">
        <is>
          <t>CES General</t>
        </is>
      </c>
      <c r="C2392" t="inlineStr">
        <is>
          <t>EXPERIENCIA INSTITUCIONAL</t>
        </is>
      </c>
      <c r="D2392" t="inlineStr">
        <is>
          <t>Semestral</t>
        </is>
      </c>
      <c r="E2392" t="inlineStr">
        <is>
          <t>Negativo</t>
        </is>
      </c>
      <c r="F2392" s="148" t="n">
        <v>45838</v>
      </c>
      <c r="G2392" t="n">
        <v>2025</v>
      </c>
      <c r="H2392" t="inlineStr">
        <is>
          <t>Junio</t>
        </is>
      </c>
      <c r="I2392" t="inlineStr">
        <is>
          <t>2025-1</t>
        </is>
      </c>
      <c r="J2392" t="n">
        <v>2.5</v>
      </c>
      <c r="K2392" t="n">
        <v>2.4</v>
      </c>
      <c r="L2392" s="59">
        <f>IFERROR(IF(OR(J2392=0,K2392=""),"",IF(E2392="Positivo",MIN(MAX(K2392/J2392,0),1.3),MIN(MAX(J2392/K2392,0),1.3))),"") </f>
        <v/>
      </c>
      <c r="M2392" s="59">
        <f>IFERROR(IF(OR(J2392=0,K2392=""),"",IF(E2392="Positivo",MAX(K2392/J2392,0),MAX(J2392/K2392,0))),"") </f>
        <v/>
      </c>
      <c r="N2392" t="inlineStr">
        <is>
          <t>DEC</t>
        </is>
      </c>
      <c r="O2392" t="inlineStr">
        <is>
          <t>DEC</t>
        </is>
      </c>
      <c r="P2392" t="n">
        <v>1</v>
      </c>
      <c r="Q2392" t="n">
        <v>1</v>
      </c>
      <c r="R2392" t="inlineStr">
        <is>
          <t>468-2025-06-30</t>
        </is>
      </c>
    </row>
    <row r="2393">
      <c r="A2393" t="n">
        <v>468</v>
      </c>
      <c r="B2393" t="inlineStr">
        <is>
          <t>CES General</t>
        </is>
      </c>
      <c r="C2393" t="inlineStr">
        <is>
          <t>EXPERIENCIA INSTITUCIONAL</t>
        </is>
      </c>
      <c r="D2393" t="inlineStr">
        <is>
          <t>Trimestral</t>
        </is>
      </c>
      <c r="E2393" t="inlineStr">
        <is>
          <t>Negativo</t>
        </is>
      </c>
      <c r="F2393" s="148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2.5</v>
      </c>
      <c r="K2393" t="n">
        <v>2.1</v>
      </c>
      <c r="L2393" s="59">
        <f>IFERROR(IF(OR(J2393=0,K2393=""),"",IF(E2393="Positivo",MIN(MAX(K2393/J2393,0),1.3),MIN(MAX(J2393/K2393,0),1.3))),"") </f>
        <v/>
      </c>
      <c r="M2393" s="59">
        <f>IFERROR(IF(OR(J2393=0,K2393=""),"",IF(E2393="Positivo",MAX(K2393/J2393,0),MAX(J2393/K2393,0))),"") </f>
        <v/>
      </c>
      <c r="N2393" t="inlineStr">
        <is>
          <t>DEC</t>
        </is>
      </c>
      <c r="O2393" t="inlineStr">
        <is>
          <t>DEC</t>
        </is>
      </c>
      <c r="P2393" t="n">
        <v>1</v>
      </c>
      <c r="Q2393" t="n">
        <v>1</v>
      </c>
      <c r="R2393" t="inlineStr">
        <is>
          <t>468-2025-12-31</t>
        </is>
      </c>
    </row>
    <row r="2394">
      <c r="A2394" t="n">
        <v>469</v>
      </c>
      <c r="B2394" t="inlineStr">
        <is>
          <t>Cumplimiento Plan Anual Áreas sede Medellín</t>
        </is>
      </c>
      <c r="C2394" t="inlineStr">
        <is>
          <t>Planeación Estratégica</t>
        </is>
      </c>
      <c r="D2394" t="inlineStr">
        <is>
          <t>Trimestral</t>
        </is>
      </c>
      <c r="E2394" t="inlineStr">
        <is>
          <t>Positivo</t>
        </is>
      </c>
      <c r="F2394" s="148" t="n">
        <v>45382</v>
      </c>
      <c r="G2394" t="n">
        <v>2024</v>
      </c>
      <c r="H2394" t="inlineStr">
        <is>
          <t>Marzo</t>
        </is>
      </c>
      <c r="I2394" t="inlineStr">
        <is>
          <t>2024-1</t>
        </is>
      </c>
      <c r="J2394" t="n">
        <v>100</v>
      </c>
      <c r="K2394" t="n">
        <v>195.07</v>
      </c>
      <c r="L2394" s="59">
        <f>IFERROR(IF(OR(J2394=0,K2394=""),"",IF(E2394="Positivo",MIN(MAX(K2394/J2394,0),1.0),MIN(MAX(J2394/K2394,0),1.0))),"") </f>
        <v/>
      </c>
      <c r="M2394" s="59">
        <f>IFERROR(IF(OR(J2394=0,K2394=""),"",IF(E2394="Positivo",MAX(K2394/J2394,0),MAX(J2394/K2394,0))),"") </f>
        <v/>
      </c>
      <c r="N2394" t="inlineStr">
        <is>
          <t>%</t>
        </is>
      </c>
      <c r="O2394" t="inlineStr">
        <is>
          <t>%</t>
        </is>
      </c>
      <c r="P2394" t="n">
        <v>1</v>
      </c>
      <c r="Q2394" t="n">
        <v>1</v>
      </c>
      <c r="R2394" t="inlineStr">
        <is>
          <t>469-2024-03-31</t>
        </is>
      </c>
    </row>
    <row r="2395">
      <c r="A2395" t="n">
        <v>469</v>
      </c>
      <c r="B2395" t="inlineStr">
        <is>
          <t>Cumplimiento Plan Anual Áreas sede Medellín</t>
        </is>
      </c>
      <c r="C2395" t="inlineStr">
        <is>
          <t>Sede Medellín</t>
        </is>
      </c>
      <c r="D2395" t="inlineStr">
        <is>
          <t>Trimestral</t>
        </is>
      </c>
      <c r="E2395" t="inlineStr">
        <is>
          <t>Positivo</t>
        </is>
      </c>
      <c r="F2395" s="148" t="n">
        <v>45473</v>
      </c>
      <c r="G2395" t="n">
        <v>2024</v>
      </c>
      <c r="H2395" t="inlineStr">
        <is>
          <t>Junio</t>
        </is>
      </c>
      <c r="I2395" t="inlineStr">
        <is>
          <t>2024-1</t>
        </is>
      </c>
      <c r="J2395" t="n">
        <v>100</v>
      </c>
      <c r="K2395" t="n">
        <v>114.33</v>
      </c>
      <c r="L2395" s="59">
        <f>IFERROR(IF(OR(J2395=0,K2395=""),"",IF(E2395="Positivo",MIN(MAX(K2395/J2395,0),1.0),MIN(MAX(J2395/K2395,0),1.0))),"") </f>
        <v/>
      </c>
      <c r="M2395" s="59">
        <f>IFERROR(IF(OR(J2395=0,K2395=""),"",IF(E2395="Positivo",MAX(K2395/J2395,0),MAX(J2395/K2395,0))),"") </f>
        <v/>
      </c>
      <c r="N2395" t="inlineStr">
        <is>
          <t>%</t>
        </is>
      </c>
      <c r="O2395" t="inlineStr">
        <is>
          <t>%</t>
        </is>
      </c>
      <c r="P2395" t="n">
        <v>0</v>
      </c>
      <c r="Q2395" t="n">
        <v>0</v>
      </c>
      <c r="R2395" t="inlineStr">
        <is>
          <t>469-2024-06-30</t>
        </is>
      </c>
    </row>
    <row r="2396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Trimestral</t>
        </is>
      </c>
      <c r="E2396" t="inlineStr">
        <is>
          <t>Positivo</t>
        </is>
      </c>
      <c r="F2396" s="148" t="n">
        <v>45565</v>
      </c>
      <c r="G2396" t="n">
        <v>2024</v>
      </c>
      <c r="H2396" t="inlineStr">
        <is>
          <t>Septiembre</t>
        </is>
      </c>
      <c r="I2396" t="inlineStr">
        <is>
          <t>2024-2</t>
        </is>
      </c>
      <c r="J2396" t="n">
        <v>100</v>
      </c>
      <c r="K2396" t="n">
        <v>94.86</v>
      </c>
      <c r="L2396" s="59">
        <f>IFERROR(IF(OR(J2396=0,K2396=""),"",IF(E2396="Positivo",MIN(MAX(K2396/J2396,0),1.0),MIN(MAX(J2396/K2396,0),1.0))),"") </f>
        <v/>
      </c>
      <c r="M2396" s="59">
        <f>IFERROR(IF(OR(J2396=0,K2396=""),"",IF(E2396="Positivo",MAX(K2396/J2396,0),MAX(J2396/K2396,0))),"") </f>
        <v/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0</v>
      </c>
      <c r="R2396" t="inlineStr">
        <is>
          <t>469-2024-09-30</t>
        </is>
      </c>
    </row>
    <row r="2397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Trimestral</t>
        </is>
      </c>
      <c r="E2397" t="inlineStr">
        <is>
          <t>Positivo</t>
        </is>
      </c>
      <c r="F2397" s="148" t="n">
        <v>45657</v>
      </c>
      <c r="G2397" t="n">
        <v>2024</v>
      </c>
      <c r="H2397" t="inlineStr">
        <is>
          <t>Diciembre</t>
        </is>
      </c>
      <c r="I2397" t="inlineStr">
        <is>
          <t>2024-2</t>
        </is>
      </c>
      <c r="J2397" t="n">
        <v>100</v>
      </c>
      <c r="K2397" t="n">
        <v>99.7</v>
      </c>
      <c r="L2397" s="59">
        <f>IFERROR(IF(OR(J2397=0,K2397=""),"",IF(E2397="Positivo",MIN(MAX(K2397/J2397,0),1.0),MIN(MAX(J2397/K2397,0),1.0))),"") </f>
        <v/>
      </c>
      <c r="M2397" s="59">
        <f>IFERROR(IF(OR(J2397=0,K2397=""),"",IF(E2397="Positivo",MAX(K2397/J2397,0),MAX(J2397/K2397,0))),"") </f>
        <v/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469-2024-12-31</t>
        </is>
      </c>
    </row>
    <row r="2398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48" t="n">
        <v>45747</v>
      </c>
      <c r="G2398" t="n">
        <v>2025</v>
      </c>
      <c r="H2398" t="inlineStr">
        <is>
          <t>Marzo</t>
        </is>
      </c>
      <c r="I2398" t="inlineStr">
        <is>
          <t>2025-1</t>
        </is>
      </c>
      <c r="J2398" t="n">
        <v>100</v>
      </c>
      <c r="K2398" t="n">
        <v>118.03</v>
      </c>
      <c r="L2398" s="59">
        <f>IFERROR(IF(OR(J2398=0,K2398=""),"",IF(E2398="Positivo",MIN(MAX(K2398/J2398,0),1.0),MIN(MAX(J2398/K2398,0),1.0))),"") </f>
        <v/>
      </c>
      <c r="M2398" s="59">
        <f>IFERROR(IF(OR(J2398=0,K2398=""),"",IF(E2398="Positivo",MAX(K2398/J2398,0),MAX(J2398/K2398,0))),"") </f>
        <v/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469-2025-03-31</t>
        </is>
      </c>
    </row>
    <row r="2399">
      <c r="A2399" t="n">
        <v>469</v>
      </c>
      <c r="B2399" t="inlineStr">
        <is>
          <t>Cumplimiento Plan Anual Áreas sede Medellín</t>
        </is>
      </c>
      <c r="C2399" t="inlineStr">
        <is>
          <t>Planeación Estratégica</t>
        </is>
      </c>
      <c r="D2399" t="inlineStr">
        <is>
          <t>Semestral</t>
        </is>
      </c>
      <c r="E2399" t="inlineStr">
        <is>
          <t>Positivo</t>
        </is>
      </c>
      <c r="F2399" s="148" t="n">
        <v>45838</v>
      </c>
      <c r="G2399" t="n">
        <v>2025</v>
      </c>
      <c r="H2399" t="inlineStr">
        <is>
          <t>Junio</t>
        </is>
      </c>
      <c r="I2399" t="inlineStr">
        <is>
          <t>2025-1</t>
        </is>
      </c>
      <c r="J2399" t="n">
        <v>100</v>
      </c>
      <c r="K2399" t="n">
        <v>103.52</v>
      </c>
      <c r="L2399" s="59">
        <f>IFERROR(IF(OR(J2399=0,K2399=""),"",IF(E2399="Positivo",MIN(MAX(K2399/J2399,0),1.0),MIN(MAX(J2399/K2399,0),1.0))),"") </f>
        <v/>
      </c>
      <c r="M2399" s="59">
        <f>IFERROR(IF(OR(J2399=0,K2399=""),"",IF(E2399="Positivo",MAX(K2399/J2399,0),MAX(J2399/K2399,0))),"") </f>
        <v/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469-2025-06-30</t>
        </is>
      </c>
    </row>
    <row r="2400">
      <c r="A2400" t="n">
        <v>469</v>
      </c>
      <c r="B2400" t="inlineStr">
        <is>
          <t>Cumplimiento Plan Anual Áreas sede Medellín</t>
        </is>
      </c>
      <c r="C2400" t="inlineStr">
        <is>
          <t>Planeación Estratégica</t>
        </is>
      </c>
      <c r="D2400" t="inlineStr">
        <is>
          <t>Semestral</t>
        </is>
      </c>
      <c r="E2400" t="inlineStr">
        <is>
          <t>Positivo</t>
        </is>
      </c>
      <c r="F2400" s="148" t="n">
        <v>45930</v>
      </c>
      <c r="G2400" t="n">
        <v>2025</v>
      </c>
      <c r="H2400" t="inlineStr">
        <is>
          <t>Septiembre</t>
        </is>
      </c>
      <c r="I2400" t="inlineStr">
        <is>
          <t>2025-2</t>
        </is>
      </c>
      <c r="J2400" t="n">
        <v>100</v>
      </c>
      <c r="K2400" t="n">
        <v>92.65000000000001</v>
      </c>
      <c r="L2400" s="59">
        <f>IFERROR(IF(OR(J2400=0,K2400=""),"",IF(E2400="Positivo",MIN(MAX(K2400/J2400,0),1.0),MIN(MAX(J2400/K2400,0),1.0))),"") </f>
        <v/>
      </c>
      <c r="M2400" s="59">
        <f>IFERROR(IF(OR(J2400=0,K2400=""),"",IF(E2400="Positivo",MAX(K2400/J2400,0),MAX(J2400/K2400,0))),"") </f>
        <v/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469-2025-09-30</t>
        </is>
      </c>
    </row>
    <row r="2401">
      <c r="A2401" t="n">
        <v>469</v>
      </c>
      <c r="B2401" t="inlineStr">
        <is>
          <t>Cumplimiento Plan Anual Áreas sede Medellín</t>
        </is>
      </c>
      <c r="C2401" t="inlineStr">
        <is>
          <t>Planeación Estratégica</t>
        </is>
      </c>
      <c r="D2401" t="inlineStr">
        <is>
          <t>Semestral</t>
        </is>
      </c>
      <c r="E2401" t="inlineStr">
        <is>
          <t>Positivo</t>
        </is>
      </c>
      <c r="F2401" s="148" t="n">
        <v>46022</v>
      </c>
      <c r="G2401" t="n">
        <v>2025</v>
      </c>
      <c r="H2401" t="inlineStr">
        <is>
          <t>Diciembre</t>
        </is>
      </c>
      <c r="I2401" t="inlineStr">
        <is>
          <t>2025-2</t>
        </is>
      </c>
      <c r="J2401" t="n">
        <v>100</v>
      </c>
      <c r="K2401" t="n">
        <v>99.13</v>
      </c>
      <c r="L2401" s="59">
        <f>IFERROR(IF(OR(J2401=0,K2401=""),"",IF(E2401="Positivo",MIN(MAX(K2401/J2401,0),1.0),MIN(MAX(J2401/K2401,0),1.0))),"") </f>
        <v/>
      </c>
      <c r="M2401" s="59">
        <f>IFERROR(IF(OR(J2401=0,K2401=""),"",IF(E2401="Positivo",MAX(K2401/J2401,0),MAX(J2401/K2401,0))),"") </f>
        <v/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469-2025-12-31</t>
        </is>
      </c>
    </row>
    <row r="2402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48" t="n">
        <v>45382</v>
      </c>
      <c r="G2402" t="n">
        <v>2024</v>
      </c>
      <c r="H2402" t="inlineStr">
        <is>
          <t>Marzo</t>
        </is>
      </c>
      <c r="I2402" t="inlineStr">
        <is>
          <t>2024-1</t>
        </is>
      </c>
      <c r="J2402" t="n">
        <v>100</v>
      </c>
      <c r="K2402" t="n">
        <v>79.59999999999999</v>
      </c>
      <c r="L2402" s="59">
        <f>IFERROR(IF(OR(J2402=0,K2402=""),"",IF(E2402="Positivo",MIN(MAX(K2402/J2402,0),1.0),MIN(MAX(J2402/K2402,0),1.0))),"") </f>
        <v/>
      </c>
      <c r="M2402" s="59">
        <f>IFERROR(IF(OR(J2402=0,K2402=""),"",IF(E2402="Positivo",MAX(K2402/J2402,0),MAX(J2402/K2402,0))),"") </f>
        <v/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470-2024-03-31</t>
        </is>
      </c>
    </row>
    <row r="2403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Trimestral</t>
        </is>
      </c>
      <c r="E2403" t="inlineStr">
        <is>
          <t>Positivo</t>
        </is>
      </c>
      <c r="F2403" s="148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118.1</v>
      </c>
      <c r="L2403" s="59">
        <f>IFERROR(IF(OR(J2403=0,K2403=""),"",IF(E2403="Positivo",MIN(MAX(K2403/J2403,0),1.0),MIN(MAX(J2403/K2403,0),1.0))),"") </f>
        <v/>
      </c>
      <c r="M2403" s="59">
        <f>IFERROR(IF(OR(J2403=0,K2403=""),"",IF(E2403="Positivo",MAX(K2403/J2403,0),MAX(J2403/K2403,0))),"") </f>
        <v/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470-2024-06-30</t>
        </is>
      </c>
    </row>
    <row r="2404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Trimestral</t>
        </is>
      </c>
      <c r="E2404" t="inlineStr">
        <is>
          <t>Positivo</t>
        </is>
      </c>
      <c r="F2404" s="148" t="n">
        <v>45565</v>
      </c>
      <c r="G2404" t="n">
        <v>2024</v>
      </c>
      <c r="H2404" t="inlineStr">
        <is>
          <t>Septiembre</t>
        </is>
      </c>
      <c r="I2404" t="inlineStr">
        <is>
          <t>2024-2</t>
        </is>
      </c>
      <c r="J2404" t="n">
        <v>100</v>
      </c>
      <c r="K2404" t="n">
        <v>104.86</v>
      </c>
      <c r="L2404" s="59">
        <f>IFERROR(IF(OR(J2404=0,K2404=""),"",IF(E2404="Positivo",MIN(MAX(K2404/J2404,0),1.0),MIN(MAX(J2404/K2404,0),1.0))),"") </f>
        <v/>
      </c>
      <c r="M2404" s="59">
        <f>IFERROR(IF(OR(J2404=0,K2404=""),"",IF(E2404="Positivo",MAX(K2404/J2404,0),MAX(J2404/K2404,0))),"") </f>
        <v/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470-2024-09-30</t>
        </is>
      </c>
    </row>
    <row r="2405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Trimestral</t>
        </is>
      </c>
      <c r="E2405" t="inlineStr">
        <is>
          <t>Positivo</t>
        </is>
      </c>
      <c r="F2405" s="148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100</v>
      </c>
      <c r="L2405" s="59">
        <f>IFERROR(IF(OR(J2405=0,K2405=""),"",IF(E2405="Positivo",MIN(MAX(K2405/J2405,0),1.0),MIN(MAX(J2405/K2405,0),1.0))),"") </f>
        <v/>
      </c>
      <c r="M2405" s="59">
        <f>IFERROR(IF(OR(J2405=0,K2405=""),"",IF(E2405="Positivo",MAX(K2405/J2405,0),MAX(J2405/K2405,0))),"") </f>
        <v/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470-2024-12-31</t>
        </is>
      </c>
    </row>
    <row r="2406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48" t="n">
        <v>45747</v>
      </c>
      <c r="G2406" t="n">
        <v>2025</v>
      </c>
      <c r="H2406" t="inlineStr">
        <is>
          <t>Marzo</t>
        </is>
      </c>
      <c r="I2406" t="inlineStr">
        <is>
          <t>2025-1</t>
        </is>
      </c>
      <c r="J2406" t="n">
        <v>100</v>
      </c>
      <c r="K2406" t="n">
        <v>352.81</v>
      </c>
      <c r="L2406" s="59">
        <f>IFERROR(IF(OR(J2406=0,K2406=""),"",IF(E2406="Positivo",MIN(MAX(K2406/J2406,0),1.0),MIN(MAX(J2406/K2406,0),1.0))),"") </f>
        <v/>
      </c>
      <c r="M2406" s="59">
        <f>IFERROR(IF(OR(J2406=0,K2406=""),"",IF(E2406="Positivo",MAX(K2406/J2406,0),MAX(J2406/K2406,0))),"") </f>
        <v/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470-2025-03-31</t>
        </is>
      </c>
    </row>
    <row r="2407">
      <c r="A2407" t="n">
        <v>470</v>
      </c>
      <c r="B2407" t="inlineStr">
        <is>
          <t>Cumplimiento plan anual Secretaria académica y de extensión</t>
        </is>
      </c>
      <c r="C2407" t="inlineStr">
        <is>
          <t>Planeación Estratégica</t>
        </is>
      </c>
      <c r="D2407" t="inlineStr">
        <is>
          <t>Semestral</t>
        </is>
      </c>
      <c r="E2407" t="inlineStr">
        <is>
          <t>Positivo</t>
        </is>
      </c>
      <c r="F2407" s="148" t="n">
        <v>45838</v>
      </c>
      <c r="G2407" t="n">
        <v>2025</v>
      </c>
      <c r="H2407" t="inlineStr">
        <is>
          <t>Junio</t>
        </is>
      </c>
      <c r="I2407" t="inlineStr">
        <is>
          <t>2025-1</t>
        </is>
      </c>
      <c r="J2407" t="n">
        <v>100</v>
      </c>
      <c r="K2407" t="n">
        <v>148.38</v>
      </c>
      <c r="L2407" s="59">
        <f>IFERROR(IF(OR(J2407=0,K2407=""),"",IF(E2407="Positivo",MIN(MAX(K2407/J2407,0),1.0),MIN(MAX(J2407/K2407,0),1.0))),"") </f>
        <v/>
      </c>
      <c r="M2407" s="59">
        <f>IFERROR(IF(OR(J2407=0,K2407=""),"",IF(E2407="Positivo",MAX(K2407/J2407,0),MAX(J2407/K2407,0))),"") </f>
        <v/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470-2025-06-30</t>
        </is>
      </c>
    </row>
    <row r="2408">
      <c r="A2408" t="n">
        <v>470</v>
      </c>
      <c r="B2408" t="inlineStr">
        <is>
          <t>Cumplimiento plan anual Secretaria académica y de extensión</t>
        </is>
      </c>
      <c r="C2408" t="inlineStr">
        <is>
          <t>Planeación Estratégica</t>
        </is>
      </c>
      <c r="D2408" t="inlineStr">
        <is>
          <t>Semestral</t>
        </is>
      </c>
      <c r="E2408" t="inlineStr">
        <is>
          <t>Positivo</t>
        </is>
      </c>
      <c r="F2408" s="148" t="n">
        <v>45930</v>
      </c>
      <c r="G2408" t="n">
        <v>2025</v>
      </c>
      <c r="H2408" t="inlineStr">
        <is>
          <t>Septiembre</t>
        </is>
      </c>
      <c r="I2408" t="inlineStr">
        <is>
          <t>2025-2</t>
        </is>
      </c>
      <c r="J2408" t="n">
        <v>100</v>
      </c>
      <c r="K2408" t="n">
        <v>105.6</v>
      </c>
      <c r="L2408" s="59">
        <f>IFERROR(IF(OR(J2408=0,K2408=""),"",IF(E2408="Positivo",MIN(MAX(K2408/J2408,0),1.0),MIN(MAX(J2408/K2408,0),1.0))),"") </f>
        <v/>
      </c>
      <c r="M2408" s="59">
        <f>IFERROR(IF(OR(J2408=0,K2408=""),"",IF(E2408="Positivo",MAX(K2408/J2408,0),MAX(J2408/K2408,0))),"") </f>
        <v/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470-2025-09-30</t>
        </is>
      </c>
    </row>
    <row r="2409">
      <c r="A2409" t="n">
        <v>470</v>
      </c>
      <c r="B2409" t="inlineStr">
        <is>
          <t>Cumplimiento plan anual Secretaria académica y de extensión</t>
        </is>
      </c>
      <c r="C2409" t="inlineStr">
        <is>
          <t>Planeación Estratégica</t>
        </is>
      </c>
      <c r="D2409" t="inlineStr">
        <is>
          <t>Semestral</t>
        </is>
      </c>
      <c r="E2409" t="inlineStr">
        <is>
          <t>Positivo</t>
        </is>
      </c>
      <c r="F2409" s="148" t="n">
        <v>46022</v>
      </c>
      <c r="G2409" t="n">
        <v>2025</v>
      </c>
      <c r="H2409" t="inlineStr">
        <is>
          <t>Diciembre</t>
        </is>
      </c>
      <c r="I2409" t="inlineStr">
        <is>
          <t>2025-2</t>
        </is>
      </c>
      <c r="J2409" t="n">
        <v>100</v>
      </c>
      <c r="K2409" t="n">
        <v>100</v>
      </c>
      <c r="L2409" s="59">
        <f>IFERROR(IF(OR(J2409=0,K2409=""),"",IF(E2409="Positivo",MIN(MAX(K2409/J2409,0),1.0),MIN(MAX(J2409/K2409,0),1.0))),"") </f>
        <v/>
      </c>
      <c r="M2409" s="59">
        <f>IFERROR(IF(OR(J2409=0,K2409=""),"",IF(E2409="Positivo",MAX(K2409/J2409,0),MAX(J2409/K2409,0))),"") </f>
        <v/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470-2025-12-31</t>
        </is>
      </c>
    </row>
    <row r="2410">
      <c r="A2410" t="n">
        <v>471</v>
      </c>
      <c r="B2410" t="inlineStr">
        <is>
          <t>Cumplimiento plan anual Gerencia de Talento Humano</t>
        </is>
      </c>
      <c r="C2410" t="inlineStr">
        <is>
          <t>Planeación Estratégica</t>
        </is>
      </c>
      <c r="D2410" t="inlineStr">
        <is>
          <t>Trimestral</t>
        </is>
      </c>
      <c r="E2410" t="inlineStr">
        <is>
          <t>Positivo</t>
        </is>
      </c>
      <c r="F2410" s="148" t="n">
        <v>45382</v>
      </c>
      <c r="G2410" t="n">
        <v>2024</v>
      </c>
      <c r="H2410" t="inlineStr">
        <is>
          <t>Marzo</t>
        </is>
      </c>
      <c r="I2410" t="inlineStr">
        <is>
          <t>2024-1</t>
        </is>
      </c>
      <c r="J2410" t="n">
        <v>100</v>
      </c>
      <c r="K2410" t="n">
        <v>108.48</v>
      </c>
      <c r="L2410" s="59">
        <f>IFERROR(IF(OR(J2410=0,K2410=""),"",IF(E2410="Positivo",MIN(MAX(K2410/J2410,0),1.0),MIN(MAX(J2410/K2410,0),1.0))),"") </f>
        <v/>
      </c>
      <c r="M2410" s="59">
        <f>IFERROR(IF(OR(J2410=0,K2410=""),"",IF(E2410="Positivo",MAX(K2410/J2410,0),MAX(J2410/K2410,0))),"") </f>
        <v/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471-2024-03-31</t>
        </is>
      </c>
    </row>
    <row r="2411">
      <c r="A2411" t="n">
        <v>471</v>
      </c>
      <c r="B2411" t="inlineStr">
        <is>
          <t>Cumplimiento plan anual Gerencia de Talento Humano</t>
        </is>
      </c>
      <c r="C2411" t="inlineStr">
        <is>
          <t>GESTIÓN Y DESARROLLO DEL TALENTO HUMANO</t>
        </is>
      </c>
      <c r="D2411" t="inlineStr">
        <is>
          <t>Trimestral</t>
        </is>
      </c>
      <c r="E2411" t="inlineStr">
        <is>
          <t>Positivo</t>
        </is>
      </c>
      <c r="F2411" s="148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100</v>
      </c>
      <c r="K2411" t="n">
        <v>105.56</v>
      </c>
      <c r="L2411" s="59">
        <f>IFERROR(IF(OR(J2411=0,K2411=""),"",IF(E2411="Positivo",MIN(MAX(K2411/J2411,0),1.0),MIN(MAX(J2411/K2411,0),1.0))),"") </f>
        <v/>
      </c>
      <c r="M2411" s="59">
        <f>IFERROR(IF(OR(J2411=0,K2411=""),"",IF(E2411="Positivo",MAX(K2411/J2411,0),MAX(J2411/K2411,0))),"") </f>
        <v/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471-2024-06-30</t>
        </is>
      </c>
    </row>
    <row r="2412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Trimestral</t>
        </is>
      </c>
      <c r="E2412" t="inlineStr">
        <is>
          <t>Positivo</t>
        </is>
      </c>
      <c r="F2412" s="148" t="n">
        <v>45565</v>
      </c>
      <c r="G2412" t="n">
        <v>2024</v>
      </c>
      <c r="H2412" t="inlineStr">
        <is>
          <t>Septiembre</t>
        </is>
      </c>
      <c r="I2412" t="inlineStr">
        <is>
          <t>2024-2</t>
        </is>
      </c>
      <c r="J2412" t="n">
        <v>100</v>
      </c>
      <c r="K2412" t="n">
        <v>91.06999999999999</v>
      </c>
      <c r="L2412" s="59">
        <f>IFERROR(IF(OR(J2412=0,K2412=""),"",IF(E2412="Positivo",MIN(MAX(K2412/J2412,0),1.0),MIN(MAX(J2412/K2412,0),1.0))),"") </f>
        <v/>
      </c>
      <c r="M2412" s="59">
        <f>IFERROR(IF(OR(J2412=0,K2412=""),"",IF(E2412="Positivo",MAX(K2412/J2412,0),MAX(J2412/K2412,0))),"") </f>
        <v/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471-2024-09-30</t>
        </is>
      </c>
    </row>
    <row r="2413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Trimestral</t>
        </is>
      </c>
      <c r="E2413" t="inlineStr">
        <is>
          <t>Positivo</t>
        </is>
      </c>
      <c r="F2413" s="148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100</v>
      </c>
      <c r="K2413" t="n">
        <v>99</v>
      </c>
      <c r="L2413" s="59">
        <f>IFERROR(IF(OR(J2413=0,K2413=""),"",IF(E2413="Positivo",MIN(MAX(K2413/J2413,0),1.0),MIN(MAX(J2413/K2413,0),1.0))),"") </f>
        <v/>
      </c>
      <c r="M2413" s="59">
        <f>IFERROR(IF(OR(J2413=0,K2413=""),"",IF(E2413="Positivo",MAX(K2413/J2413,0),MAX(J2413/K2413,0))),"") </f>
        <v/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471-2024-12-31</t>
        </is>
      </c>
    </row>
    <row r="2414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48" t="n">
        <v>45747</v>
      </c>
      <c r="G2414" t="n">
        <v>2025</v>
      </c>
      <c r="H2414" t="inlineStr">
        <is>
          <t>Marzo</t>
        </is>
      </c>
      <c r="I2414" t="inlineStr">
        <is>
          <t>2025-1</t>
        </is>
      </c>
      <c r="J2414" t="n">
        <v>100</v>
      </c>
      <c r="K2414" t="n">
        <v>103.51</v>
      </c>
      <c r="L2414" s="59">
        <f>IFERROR(IF(OR(J2414=0,K2414=""),"",IF(E2414="Positivo",MIN(MAX(K2414/J2414,0),1.0),MIN(MAX(J2414/K2414,0),1.0))),"") </f>
        <v/>
      </c>
      <c r="M2414" s="59">
        <f>IFERROR(IF(OR(J2414=0,K2414=""),"",IF(E2414="Positivo",MAX(K2414/J2414,0),MAX(J2414/K2414,0))),"") </f>
        <v/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471-2025-03-31</t>
        </is>
      </c>
    </row>
    <row r="2415">
      <c r="A2415" t="n">
        <v>471</v>
      </c>
      <c r="B2415" t="inlineStr">
        <is>
          <t>Cumplimiento plan anual Gerencia de Talento Humano</t>
        </is>
      </c>
      <c r="C2415" t="inlineStr">
        <is>
          <t>Planeación Estratégica</t>
        </is>
      </c>
      <c r="D2415" t="inlineStr">
        <is>
          <t>Semestral</t>
        </is>
      </c>
      <c r="E2415" t="inlineStr">
        <is>
          <t>Positivo</t>
        </is>
      </c>
      <c r="F2415" s="148" t="n">
        <v>45838</v>
      </c>
      <c r="G2415" t="n">
        <v>2025</v>
      </c>
      <c r="H2415" t="inlineStr">
        <is>
          <t>Junio</t>
        </is>
      </c>
      <c r="I2415" t="inlineStr">
        <is>
          <t>2025-1</t>
        </is>
      </c>
      <c r="J2415" t="n">
        <v>100</v>
      </c>
      <c r="K2415" t="n">
        <v>94.02</v>
      </c>
      <c r="L2415" s="59">
        <f>IFERROR(IF(OR(J2415=0,K2415=""),"",IF(E2415="Positivo",MIN(MAX(K2415/J2415,0),1.0),MIN(MAX(J2415/K2415,0),1.0))),"") </f>
        <v/>
      </c>
      <c r="M2415" s="59">
        <f>IFERROR(IF(OR(J2415=0,K2415=""),"",IF(E2415="Positivo",MAX(K2415/J2415,0),MAX(J2415/K2415,0))),"") </f>
        <v/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471-2025-06-30</t>
        </is>
      </c>
    </row>
    <row r="2416">
      <c r="A2416" t="n">
        <v>471</v>
      </c>
      <c r="B2416" t="inlineStr">
        <is>
          <t>Cumplimiento plan anual Gerencia de Talento Humano</t>
        </is>
      </c>
      <c r="C2416" t="inlineStr">
        <is>
          <t>Planeación Estratégica</t>
        </is>
      </c>
      <c r="D2416" t="inlineStr">
        <is>
          <t>Semestral</t>
        </is>
      </c>
      <c r="E2416" t="inlineStr">
        <is>
          <t>Positivo</t>
        </is>
      </c>
      <c r="F2416" s="148" t="n">
        <v>45930</v>
      </c>
      <c r="G2416" t="n">
        <v>2025</v>
      </c>
      <c r="H2416" t="inlineStr">
        <is>
          <t>Septiembre</t>
        </is>
      </c>
      <c r="I2416" t="inlineStr">
        <is>
          <t>2025-2</t>
        </is>
      </c>
      <c r="J2416" t="n">
        <v>100</v>
      </c>
      <c r="K2416" t="n">
        <v>98.93000000000001</v>
      </c>
      <c r="L2416" s="59">
        <f>IFERROR(IF(OR(J2416=0,K2416=""),"",IF(E2416="Positivo",MIN(MAX(K2416/J2416,0),1.0),MIN(MAX(J2416/K2416,0),1.0))),"") </f>
        <v/>
      </c>
      <c r="M2416" s="59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471-2025-09-30</t>
        </is>
      </c>
    </row>
    <row r="2417">
      <c r="A2417" t="n">
        <v>471</v>
      </c>
      <c r="B2417" t="inlineStr">
        <is>
          <t>Cumplimiento plan anual Gerencia de Talento Humano</t>
        </is>
      </c>
      <c r="C2417" t="inlineStr">
        <is>
          <t>Planeación Estratégica</t>
        </is>
      </c>
      <c r="D2417" t="inlineStr">
        <is>
          <t>Semestral</t>
        </is>
      </c>
      <c r="E2417" t="inlineStr">
        <is>
          <t>Positivo</t>
        </is>
      </c>
      <c r="F2417" s="148" t="n">
        <v>46022</v>
      </c>
      <c r="G2417" t="n">
        <v>2025</v>
      </c>
      <c r="H2417" t="inlineStr">
        <is>
          <t>Diciembre</t>
        </is>
      </c>
      <c r="I2417" t="inlineStr">
        <is>
          <t>2025-2</t>
        </is>
      </c>
      <c r="J2417" t="n">
        <v>100</v>
      </c>
      <c r="K2417" t="n">
        <v>99.86</v>
      </c>
      <c r="L2417" s="59">
        <f>IFERROR(IF(OR(J2417=0,K2417=""),"",IF(E2417="Positivo",MIN(MAX(K2417/J2417,0),1.0),MIN(MAX(J2417/K2417,0),1.0))),"") </f>
        <v/>
      </c>
      <c r="M2417" s="59">
        <f>IFERROR(IF(OR(J2417=0,K2417=""),"",IF(E2417="Positivo",MAX(K2417/J2417,0),MAX(J2417/K2417,0))),"") </f>
        <v/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471-2025-12-31</t>
        </is>
      </c>
    </row>
    <row r="2418">
      <c r="A2418" t="n">
        <v>472</v>
      </c>
      <c r="B2418" t="inlineStr">
        <is>
          <t>Cobertura de Recolección de Variables ADA (Arquitectura de datos para la analitica)</t>
        </is>
      </c>
      <c r="C2418" t="inlineStr">
        <is>
          <t>DATOS Y ANALÍTICA</t>
        </is>
      </c>
      <c r="D2418" t="inlineStr">
        <is>
          <t>Semestral</t>
        </is>
      </c>
      <c r="E2418" t="inlineStr">
        <is>
          <t>Positivo</t>
        </is>
      </c>
      <c r="F2418" s="148" t="n">
        <v>45473</v>
      </c>
      <c r="G2418" t="n">
        <v>2024</v>
      </c>
      <c r="H2418" t="inlineStr">
        <is>
          <t>Junio</t>
        </is>
      </c>
      <c r="I2418" t="inlineStr">
        <is>
          <t>2024-1</t>
        </is>
      </c>
      <c r="J2418" t="n">
        <v>100</v>
      </c>
      <c r="K2418" t="n">
        <v>82.09999999999999</v>
      </c>
      <c r="L2418" s="59">
        <f>IFERROR(IF(OR(J2418=0,K2418=""),"",IF(E2418="Positivo",MIN(MAX(K2418/J2418,0),1.3),MIN(MAX(J2418/K2418,0),1.3))),"") </f>
        <v/>
      </c>
      <c r="M2418" s="59">
        <f>IFERROR(IF(OR(J2418=0,K2418=""),"",IF(E2418="Positivo",MAX(K2418/J2418,0),MAX(J2418/K2418,0))),"") </f>
        <v/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472-2024-06-30</t>
        </is>
      </c>
    </row>
    <row r="2419">
      <c r="A2419" t="n">
        <v>472</v>
      </c>
      <c r="B2419" t="inlineStr">
        <is>
          <t>Cobertura de Recolección de Variables ADA (Arquitectura de datos para la analitica)</t>
        </is>
      </c>
      <c r="C2419" t="inlineStr">
        <is>
          <t>DATOS Y ANALÍTICA</t>
        </is>
      </c>
      <c r="D2419" t="inlineStr">
        <is>
          <t>Semestral</t>
        </is>
      </c>
      <c r="E2419" t="inlineStr">
        <is>
          <t>Positivo</t>
        </is>
      </c>
      <c r="F2419" s="148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100</v>
      </c>
      <c r="L2419" s="59">
        <f>IFERROR(IF(OR(J2419=0,K2419=""),"",IF(E2419="Positivo",MIN(MAX(K2419/J2419,0),1.3),MIN(MAX(J2419/K2419,0),1.3))),"") </f>
        <v/>
      </c>
      <c r="M2419" s="59">
        <f>IFERROR(IF(OR(J2419=0,K2419=""),"",IF(E2419="Positivo",MAX(K2419/J2419,0),MAX(J2419/K2419,0))),"") </f>
        <v/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472-2024-12-31</t>
        </is>
      </c>
    </row>
    <row r="2420">
      <c r="A2420" t="n">
        <v>473</v>
      </c>
      <c r="B2420" t="inlineStr">
        <is>
          <t>Programas con alineación curricular</t>
        </is>
      </c>
      <c r="C2420" t="inlineStr">
        <is>
          <t>Gestión, Evaluación e Innovación Curricular</t>
        </is>
      </c>
      <c r="D2420" t="inlineStr">
        <is>
          <t>Semestral</t>
        </is>
      </c>
      <c r="E2420" t="inlineStr">
        <is>
          <t>Positivo</t>
        </is>
      </c>
      <c r="F2420" s="148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59">
        <f>IFERROR(IF(OR(J2420=0,K2420=""),"",IF(E2420="Positivo",MIN(MAX(K2420/J2420,0),1.3),MIN(MAX(J2420/K2420,0),1.3))),"") </f>
        <v/>
      </c>
      <c r="M2420" s="59">
        <f>IFERROR(IF(OR(J2420=0,K2420=""),"",IF(E2420="Positivo",MAX(K2420/J2420,0),MAX(J2420/K2420,0))),"") </f>
        <v/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473-2024-06-30</t>
        </is>
      </c>
    </row>
    <row r="2421">
      <c r="A2421" t="n">
        <v>473</v>
      </c>
      <c r="B2421" t="inlineStr">
        <is>
          <t>Programas con planes de estudios definidos</t>
        </is>
      </c>
      <c r="C2421" t="inlineStr">
        <is>
          <t>Gestión, Evaluación e Innovación Curricular</t>
        </is>
      </c>
      <c r="D2421" t="inlineStr">
        <is>
          <t>Semestral</t>
        </is>
      </c>
      <c r="E2421" t="inlineStr">
        <is>
          <t>Positivo</t>
        </is>
      </c>
      <c r="F2421" s="148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100</v>
      </c>
      <c r="L2421" s="59">
        <f>IFERROR(IF(OR(J2421=0,K2421=""),"",IF(E2421="Positivo",MIN(MAX(K2421/J2421,0),1.3),MIN(MAX(J2421/K2421,0),1.3))),"") </f>
        <v/>
      </c>
      <c r="M2421" s="59">
        <f>IFERROR(IF(OR(J2421=0,K2421=""),"",IF(E2421="Positivo",MAX(K2421/J2421,0),MAX(J2421/K2421,0))),"") </f>
        <v/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473-2024-12-31</t>
        </is>
      </c>
    </row>
    <row r="2422">
      <c r="A2422" t="n">
        <v>473</v>
      </c>
      <c r="B2422" t="inlineStr">
        <is>
          <t>Programas con planes de estudios definidos</t>
        </is>
      </c>
      <c r="C2422" t="inlineStr">
        <is>
          <t>Gestión, Evaluación e Innovación Curricular</t>
        </is>
      </c>
      <c r="D2422" t="inlineStr">
        <is>
          <t>Semestral</t>
        </is>
      </c>
      <c r="E2422" t="inlineStr">
        <is>
          <t>Positivo</t>
        </is>
      </c>
      <c r="F2422" s="148" t="n">
        <v>45838</v>
      </c>
      <c r="G2422" t="n">
        <v>2025</v>
      </c>
      <c r="H2422" t="inlineStr">
        <is>
          <t>Junio</t>
        </is>
      </c>
      <c r="I2422" t="inlineStr">
        <is>
          <t>2025-1</t>
        </is>
      </c>
      <c r="J2422" t="n">
        <v>100</v>
      </c>
      <c r="K2422" t="n">
        <v>100</v>
      </c>
      <c r="L2422" s="59">
        <f>IFERROR(IF(OR(J2422=0,K2422=""),"",IF(E2422="Positivo",MIN(MAX(K2422/J2422,0),1.3),MIN(MAX(J2422/K2422,0),1.3))),"") </f>
        <v/>
      </c>
      <c r="M2422" s="59">
        <f>IFERROR(IF(OR(J2422=0,K2422=""),"",IF(E2422="Positivo",MAX(K2422/J2422,0),MAX(J2422/K2422,0))),"") </f>
        <v/>
      </c>
      <c r="N2422" t="inlineStr">
        <is>
          <t>ENT</t>
        </is>
      </c>
      <c r="O2422" t="inlineStr">
        <is>
          <t>ENT</t>
        </is>
      </c>
      <c r="P2422" t="n">
        <v>0</v>
      </c>
      <c r="Q2422" t="n">
        <v>0</v>
      </c>
      <c r="R2422" t="inlineStr">
        <is>
          <t>473-2025-06-30</t>
        </is>
      </c>
    </row>
    <row r="2423">
      <c r="A2423" t="n">
        <v>474</v>
      </c>
      <c r="B2423" t="inlineStr">
        <is>
          <t>Programas con alineación curricular por escuela</t>
        </is>
      </c>
      <c r="C2423" t="inlineStr">
        <is>
          <t>Gestión de Unidades Académicas</t>
        </is>
      </c>
      <c r="D2423" t="inlineStr">
        <is>
          <t>Semestral</t>
        </is>
      </c>
      <c r="E2423" t="inlineStr">
        <is>
          <t>Positivo</t>
        </is>
      </c>
      <c r="F2423" s="148" t="n">
        <v>45473</v>
      </c>
      <c r="G2423" t="n">
        <v>2024</v>
      </c>
      <c r="H2423" t="inlineStr">
        <is>
          <t>Junio</t>
        </is>
      </c>
      <c r="I2423" t="inlineStr">
        <is>
          <t>2024-1</t>
        </is>
      </c>
      <c r="J2423" t="n">
        <v>100</v>
      </c>
      <c r="K2423" t="n">
        <v>100</v>
      </c>
      <c r="L2423" s="59">
        <f>IFERROR(IF(OR(J2423=0,K2423=""),"",IF(E2423="Positivo",MIN(MAX(K2423/J2423,0),1.3),MIN(MAX(J2423/K2423,0),1.3))),"") </f>
        <v/>
      </c>
      <c r="M2423" s="59">
        <f>IFERROR(IF(OR(J2423=0,K2423=""),"",IF(E2423="Positivo",MAX(K2423/J2423,0),MAX(J2423/K2423,0))),"") </f>
        <v/>
      </c>
      <c r="N2423" t="inlineStr">
        <is>
          <t>ENT</t>
        </is>
      </c>
      <c r="O2423" t="inlineStr">
        <is>
          <t>ENT</t>
        </is>
      </c>
      <c r="P2423" t="n">
        <v>0</v>
      </c>
      <c r="Q2423" t="n">
        <v>0</v>
      </c>
      <c r="R2423" t="inlineStr">
        <is>
          <t>474-2024-06-30</t>
        </is>
      </c>
    </row>
    <row r="2424">
      <c r="A2424" t="n">
        <v>474</v>
      </c>
      <c r="B2424" t="inlineStr">
        <is>
          <t>Programas con planes de estudios definidos por escuela (Nuevos Programas)</t>
        </is>
      </c>
      <c r="C2424" t="inlineStr">
        <is>
          <t>Gestión de Unidades Académicas</t>
        </is>
      </c>
      <c r="D2424" t="inlineStr">
        <is>
          <t>Semestral</t>
        </is>
      </c>
      <c r="E2424" t="inlineStr">
        <is>
          <t>Positivo</t>
        </is>
      </c>
      <c r="F2424" s="148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59">
        <f>IFERROR(IF(OR(J2424=0,K2424=""),"",IF(E2424="Positivo",MIN(MAX(K2424/J2424,0),1.3),MIN(MAX(J2424/K2424,0),1.3))),"") </f>
        <v/>
      </c>
      <c r="M2424" s="59">
        <f>IFERROR(IF(OR(J2424=0,K2424=""),"",IF(E2424="Positivo",MAX(K2424/J2424,0),MAX(J2424/K2424,0))),"") </f>
        <v/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474-2024-12-31</t>
        </is>
      </c>
    </row>
    <row r="2425">
      <c r="A2425" t="n">
        <v>474</v>
      </c>
      <c r="B2425" t="inlineStr">
        <is>
          <t>Programas con planes de estudios definidos por escuela (Nuevos Programas)</t>
        </is>
      </c>
      <c r="C2425" t="inlineStr">
        <is>
          <t>Gestión de Unidades Académicas</t>
        </is>
      </c>
      <c r="D2425" t="inlineStr">
        <is>
          <t>Trimestral</t>
        </is>
      </c>
      <c r="E2425" t="inlineStr">
        <is>
          <t>Positivo</t>
        </is>
      </c>
      <c r="F2425" s="148" t="n">
        <v>45838</v>
      </c>
      <c r="G2425" t="n">
        <v>2025</v>
      </c>
      <c r="H2425" t="inlineStr">
        <is>
          <t>Junio</t>
        </is>
      </c>
      <c r="I2425" t="inlineStr">
        <is>
          <t>2025-1</t>
        </is>
      </c>
      <c r="K2425" t="n">
        <v>0</v>
      </c>
      <c r="L2425" s="59" t="n"/>
      <c r="M2425" s="59" t="n"/>
      <c r="N2425" t="inlineStr">
        <is>
          <t>ENT</t>
        </is>
      </c>
      <c r="O2425" t="inlineStr">
        <is>
          <t>ENT</t>
        </is>
      </c>
      <c r="P2425" t="n">
        <v>0</v>
      </c>
      <c r="Q2425" t="n">
        <v>0</v>
      </c>
      <c r="R2425" t="inlineStr">
        <is>
          <t>474-2025-06-30</t>
        </is>
      </c>
    </row>
    <row r="2426">
      <c r="A2426" t="n">
        <v>474</v>
      </c>
      <c r="B2426" t="inlineStr">
        <is>
          <t>Programas con planes de estudios definidos por escuela (Nuevos Programas)</t>
        </is>
      </c>
      <c r="C2426" t="inlineStr">
        <is>
          <t>Gestión de Unidades Académicas</t>
        </is>
      </c>
      <c r="D2426" t="inlineStr">
        <is>
          <t>Trimestral</t>
        </is>
      </c>
      <c r="E2426" t="inlineStr">
        <is>
          <t>Positivo</t>
        </is>
      </c>
      <c r="F2426" s="148" t="n">
        <v>46022</v>
      </c>
      <c r="G2426" t="n">
        <v>2025</v>
      </c>
      <c r="H2426" t="inlineStr">
        <is>
          <t>Diciembre</t>
        </is>
      </c>
      <c r="I2426" t="inlineStr">
        <is>
          <t>2025-2</t>
        </is>
      </c>
      <c r="L2426" s="59" t="n"/>
      <c r="M2426" s="59" t="n"/>
      <c r="N2426" t="inlineStr">
        <is>
          <t>ENT</t>
        </is>
      </c>
      <c r="O2426" t="inlineStr">
        <is>
          <t>No Aplica</t>
        </is>
      </c>
      <c r="P2426" t="n">
        <v>0</v>
      </c>
      <c r="Q2426" t="n">
        <v>0</v>
      </c>
      <c r="R2426" t="inlineStr">
        <is>
          <t>474-2025-12-31</t>
        </is>
      </c>
      <c r="S2426" t="inlineStr">
        <is>
          <t>No Aplica</t>
        </is>
      </c>
    </row>
    <row r="2427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48" t="n">
        <v>45473</v>
      </c>
      <c r="G2427" t="n">
        <v>2024</v>
      </c>
      <c r="H2427" t="inlineStr">
        <is>
          <t>Junio</t>
        </is>
      </c>
      <c r="I2427" t="inlineStr">
        <is>
          <t>2024-1</t>
        </is>
      </c>
      <c r="J2427" t="n">
        <v>100</v>
      </c>
      <c r="K2427" t="n">
        <v>0</v>
      </c>
      <c r="L2427" s="59">
        <f>IFERROR(IF(OR(J2427=0,K2427=""),"",IF(E2427="Positivo",MIN(MAX(K2427/J2427,0),1.3),MIN(MAX(J2427/K2427,0),1.3))),"") </f>
        <v/>
      </c>
      <c r="M2427" s="59">
        <f>IFERROR(IF(OR(J2427=0,K2427=""),"",IF(E2427="Positivo",MAX(K2427/J2427,0),MAX(J2427/K2427,0))),"") </f>
        <v/>
      </c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475-2024-06-30</t>
        </is>
      </c>
    </row>
    <row r="2428">
      <c r="A2428" t="n">
        <v>475</v>
      </c>
      <c r="B2428" t="inlineStr">
        <is>
          <t>Número de renovaciones de registro calificado radicadas al MEN</t>
        </is>
      </c>
      <c r="C2428" t="inlineStr">
        <is>
          <t>Creación, modificación y cierre de programas académicos</t>
        </is>
      </c>
      <c r="D2428" t="inlineStr">
        <is>
          <t>Semestral</t>
        </is>
      </c>
      <c r="E2428" t="inlineStr">
        <is>
          <t>Positivo</t>
        </is>
      </c>
      <c r="F2428" s="148" t="n">
        <v>45657</v>
      </c>
      <c r="G2428" t="n">
        <v>2024</v>
      </c>
      <c r="H2428" t="inlineStr">
        <is>
          <t>Diciembre</t>
        </is>
      </c>
      <c r="I2428" t="inlineStr">
        <is>
          <t>2024-2</t>
        </is>
      </c>
      <c r="J2428" t="n">
        <v>100</v>
      </c>
      <c r="K2428" t="n">
        <v>140</v>
      </c>
      <c r="L2428" s="59">
        <f>IFERROR(IF(OR(J2428=0,K2428=""),"",IF(E2428="Positivo",MIN(MAX(K2428/J2428,0),1.3),MIN(MAX(J2428/K2428,0),1.3))),"") </f>
        <v/>
      </c>
      <c r="M2428" s="59">
        <f>IFERROR(IF(OR(J2428=0,K2428=""),"",IF(E2428="Positivo",MAX(K2428/J2428,0),MAX(J2428/K2428,0))),"") </f>
        <v/>
      </c>
      <c r="P2428" t="n">
        <v>0</v>
      </c>
      <c r="Q2428" t="n">
        <v>0</v>
      </c>
      <c r="R2428" t="inlineStr">
        <is>
          <t>475-2024-12-31</t>
        </is>
      </c>
    </row>
    <row r="2429">
      <c r="A2429" t="n">
        <v>475</v>
      </c>
      <c r="B2429" t="inlineStr">
        <is>
          <t>Número de renovaciones de registro calificado radicadas al MEN</t>
        </is>
      </c>
      <c r="C2429" t="inlineStr">
        <is>
          <t>Creación, modificación y cierre de programas académicos</t>
        </is>
      </c>
      <c r="D2429" t="inlineStr">
        <is>
          <t>Trimestral</t>
        </is>
      </c>
      <c r="E2429" t="inlineStr">
        <is>
          <t>Positivo</t>
        </is>
      </c>
      <c r="F2429" s="148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K2429" t="n">
        <v>0</v>
      </c>
      <c r="L2429" s="59">
        <f>IFERROR(IF(OR(J2429=0,K2429=""),"",IF(E2429="Positivo",MIN(MAX(K2429/J2429,0),1.3),MIN(MAX(J2429/K2429,0),1.3))),"") </f>
        <v/>
      </c>
      <c r="M2429" s="59">
        <f>IFERROR(IF(OR(J2429=0,K2429=""),"",IF(E2429="Positivo",MAX(K2429/J2429,0),MAX(J2429/K2429,0))),"") </f>
        <v/>
      </c>
      <c r="N2429" t="inlineStr">
        <is>
          <t>ENT</t>
        </is>
      </c>
      <c r="O2429" t="inlineStr">
        <is>
          <t>ENT</t>
        </is>
      </c>
      <c r="P2429" t="n">
        <v>0</v>
      </c>
      <c r="Q2429" t="n">
        <v>0</v>
      </c>
      <c r="R2429" t="inlineStr">
        <is>
          <t>475-2025-06-30</t>
        </is>
      </c>
    </row>
    <row r="2430">
      <c r="A2430" t="n">
        <v>475</v>
      </c>
      <c r="B2430" t="inlineStr">
        <is>
          <t>Número de renovaciones de registro calificado radicadas al MEN</t>
        </is>
      </c>
      <c r="C2430" t="inlineStr">
        <is>
          <t>Creación, modificación y cierre de programas académicos</t>
        </is>
      </c>
      <c r="D2430" t="inlineStr">
        <is>
          <t>Trimestral</t>
        </is>
      </c>
      <c r="E2430" t="inlineStr">
        <is>
          <t>Positivo</t>
        </is>
      </c>
      <c r="F2430" s="148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59">
        <f>IFERROR(IF(OR(J2430=0,K2430=""),"",IF(E2430="Positivo",MIN(MAX(K2430/J2430,0),1.3),MIN(MAX(J2430/K2430,0),1.3))),"") </f>
        <v/>
      </c>
      <c r="M2430" s="59">
        <f>IFERROR(IF(OR(J2430=0,K2430=""),"",IF(E2430="Positivo",MAX(K2430/J2430,0),MAX(J2430/K2430,0))),"") </f>
        <v/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475-2025-12-31</t>
        </is>
      </c>
    </row>
    <row r="243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Semestral</t>
        </is>
      </c>
      <c r="E2431" t="inlineStr">
        <is>
          <t>Positivo</t>
        </is>
      </c>
      <c r="F2431" s="148" t="n">
        <v>45473</v>
      </c>
      <c r="G2431" t="n">
        <v>2024</v>
      </c>
      <c r="H2431" t="inlineStr">
        <is>
          <t>Junio</t>
        </is>
      </c>
      <c r="I2431" t="inlineStr">
        <is>
          <t>2024-1</t>
        </is>
      </c>
      <c r="J2431" t="n">
        <v>100</v>
      </c>
      <c r="K2431" t="n">
        <v>100</v>
      </c>
      <c r="L2431" s="59">
        <f>IFERROR(IF(OR(J2431=0,K2431=""),"",IF(E2431="Positivo",MIN(MAX(K2431/J2431,0),1.3),MIN(MAX(J2431/K2431,0),1.3))),"") </f>
        <v/>
      </c>
      <c r="M2431" s="59">
        <f>IFERROR(IF(OR(J2431=0,K2431=""),"",IF(E2431="Positivo",MAX(K2431/J2431,0),MAX(J2431/K2431,0))),"") </f>
        <v/>
      </c>
      <c r="P2431" t="n">
        <v>0</v>
      </c>
      <c r="Q2431" t="n">
        <v>0</v>
      </c>
      <c r="R2431" t="inlineStr">
        <is>
          <t>476-2024-06-30</t>
        </is>
      </c>
    </row>
    <row r="2432">
      <c r="A2432" t="n">
        <v>476</v>
      </c>
      <c r="B2432" t="inlineStr">
        <is>
          <t>Programas con resultados de aprendizaje definidos</t>
        </is>
      </c>
      <c r="C2432" t="inlineStr">
        <is>
          <t>Gestión, Evaluación e Innovación Curricular</t>
        </is>
      </c>
      <c r="D2432" t="inlineStr">
        <is>
          <t>Semestral</t>
        </is>
      </c>
      <c r="E2432" t="inlineStr">
        <is>
          <t>Positivo</t>
        </is>
      </c>
      <c r="F2432" s="148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100</v>
      </c>
      <c r="L2432" s="59">
        <f>IFERROR(IF(OR(J2432=0,K2432=""),"",IF(E2432="Positivo",MIN(MAX(K2432/J2432,0),1.3),MIN(MAX(J2432/K2432,0),1.3))),"") </f>
        <v/>
      </c>
      <c r="M2432" s="59">
        <f>IFERROR(IF(OR(J2432=0,K2432=""),"",IF(E2432="Positivo",MAX(K2432/J2432,0),MAX(J2432/K2432,0))),"") </f>
        <v/>
      </c>
      <c r="P2432" t="n">
        <v>0</v>
      </c>
      <c r="Q2432" t="n">
        <v>0</v>
      </c>
      <c r="R2432" t="inlineStr">
        <is>
          <t>476-2024-12-31</t>
        </is>
      </c>
    </row>
    <row r="2433">
      <c r="A2433" t="n">
        <v>476</v>
      </c>
      <c r="B2433" t="inlineStr">
        <is>
          <t>Programas con resultados de aprendizaje definidos</t>
        </is>
      </c>
      <c r="C2433" t="inlineStr">
        <is>
          <t>Gestión, Evaluación e Innovación Curricular</t>
        </is>
      </c>
      <c r="D2433" t="inlineStr">
        <is>
          <t>Semestral</t>
        </is>
      </c>
      <c r="E2433" t="inlineStr">
        <is>
          <t>Positivo</t>
        </is>
      </c>
      <c r="F2433" s="148" t="n">
        <v>45838</v>
      </c>
      <c r="G2433" t="n">
        <v>2025</v>
      </c>
      <c r="H2433" t="inlineStr">
        <is>
          <t>Junio</t>
        </is>
      </c>
      <c r="I2433" t="inlineStr">
        <is>
          <t>2025-1</t>
        </is>
      </c>
      <c r="J2433" t="n">
        <v>100</v>
      </c>
      <c r="K2433" t="n">
        <v>100</v>
      </c>
      <c r="L2433" s="59">
        <f>IFERROR(IF(OR(J2433=0,K2433=""),"",IF(E2433="Positivo",MIN(MAX(K2433/J2433,0),1.3),MIN(MAX(J2433/K2433,0),1.3))),"") </f>
        <v/>
      </c>
      <c r="M2433" s="59">
        <f>IFERROR(IF(OR(J2433=0,K2433=""),"",IF(E2433="Positivo",MAX(K2433/J2433,0),MAX(J2433/K2433,0))),"") </f>
        <v/>
      </c>
      <c r="N2433" t="inlineStr">
        <is>
          <t>ENT</t>
        </is>
      </c>
      <c r="O2433" t="inlineStr">
        <is>
          <t>ENT</t>
        </is>
      </c>
      <c r="P2433" t="n">
        <v>0</v>
      </c>
      <c r="Q2433" t="n">
        <v>0</v>
      </c>
      <c r="R2433" t="inlineStr">
        <is>
          <t>476-2025-06-30</t>
        </is>
      </c>
    </row>
    <row r="2434">
      <c r="A2434" t="n">
        <v>476</v>
      </c>
      <c r="B2434" t="inlineStr">
        <is>
          <t>Programas con resultados de aprendizaje definidos</t>
        </is>
      </c>
      <c r="C2434" t="inlineStr">
        <is>
          <t>Gestión, Evaluación e Innovación Curricular</t>
        </is>
      </c>
      <c r="D2434" t="inlineStr">
        <is>
          <t>Trimestral</t>
        </is>
      </c>
      <c r="E2434" t="inlineStr">
        <is>
          <t>Positivo</t>
        </is>
      </c>
      <c r="F2434" s="148" t="n">
        <v>46022</v>
      </c>
      <c r="G2434" t="n">
        <v>2025</v>
      </c>
      <c r="H2434" t="inlineStr">
        <is>
          <t>Diciembre</t>
        </is>
      </c>
      <c r="I2434" t="inlineStr">
        <is>
          <t>2025-2</t>
        </is>
      </c>
      <c r="J2434" t="n">
        <v>100</v>
      </c>
      <c r="K2434" t="n">
        <v>100</v>
      </c>
      <c r="L2434" s="59">
        <f>IFERROR(IF(OR(J2434=0,K2434=""),"",IF(E2434="Positivo",MIN(MAX(K2434/J2434,0),1.3),MIN(MAX(J2434/K2434,0),1.3))),"") </f>
        <v/>
      </c>
      <c r="M2434" s="59">
        <f>IFERROR(IF(OR(J2434=0,K2434=""),"",IF(E2434="Positivo",MAX(K2434/J2434,0),MAX(J2434/K2434,0))),"") </f>
        <v/>
      </c>
      <c r="N2434" t="inlineStr">
        <is>
          <t>ENT</t>
        </is>
      </c>
      <c r="O2434" t="inlineStr">
        <is>
          <t>ENT</t>
        </is>
      </c>
      <c r="P2434" t="n">
        <v>0</v>
      </c>
      <c r="Q2434" t="n">
        <v>0</v>
      </c>
      <c r="R2434" t="inlineStr">
        <is>
          <t>476-2025-12-31</t>
        </is>
      </c>
    </row>
    <row r="2435">
      <c r="A2435" t="n">
        <v>477</v>
      </c>
      <c r="B2435" t="inlineStr">
        <is>
          <t>Programas con planes de estudios definidos por escuela (Programas Renovación, modificación y acreditación)</t>
        </is>
      </c>
      <c r="C2435" t="inlineStr">
        <is>
          <t>Gestión de Unidades Académicas</t>
        </is>
      </c>
      <c r="D2435" t="inlineStr">
        <is>
          <t>Semestral</t>
        </is>
      </c>
      <c r="E2435" t="inlineStr">
        <is>
          <t>Positivo</t>
        </is>
      </c>
      <c r="F2435" s="148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K2435" t="n">
        <v>100</v>
      </c>
      <c r="L2435" s="59">
        <f>IFERROR(IF(OR(J2435=0,K2435=""),"",IF(E2435="Positivo",MIN(MAX(K2435/J2435,0),1.3),MIN(MAX(J2435/K2435,0),1.3))),"") </f>
        <v/>
      </c>
      <c r="M2435" s="59">
        <f>IFERROR(IF(OR(J2435=0,K2435=""),"",IF(E2435="Positivo",MAX(K2435/J2435,0),MAX(J2435/K2435,0))),"") </f>
        <v/>
      </c>
      <c r="P2435" t="n">
        <v>0</v>
      </c>
      <c r="Q2435" t="n">
        <v>0</v>
      </c>
      <c r="R2435" t="inlineStr">
        <is>
          <t>477-2024-06-30</t>
        </is>
      </c>
    </row>
    <row r="2436">
      <c r="A2436" t="n">
        <v>477</v>
      </c>
      <c r="B2436" t="inlineStr">
        <is>
          <t>Programas con planes de estudios definidos por escuela (Programas Renovación, modificación y acreditación)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48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59">
        <f>IFERROR(IF(OR(J2436=0,K2436=""),"",IF(E2436="Positivo",MIN(MAX(K2436/J2436,0),1.3),MIN(MAX(J2436/K2436,0),1.3))),"") </f>
        <v/>
      </c>
      <c r="M2436" s="59">
        <f>IFERROR(IF(OR(J2436=0,K2436=""),"",IF(E2436="Positivo",MAX(K2436/J2436,0),MAX(J2436/K2436,0))),"") </f>
        <v/>
      </c>
      <c r="P2436" t="n">
        <v>0</v>
      </c>
      <c r="Q2436" t="n">
        <v>0</v>
      </c>
      <c r="R2436" t="inlineStr">
        <is>
          <t>477-2024-12-31</t>
        </is>
      </c>
    </row>
    <row r="2437">
      <c r="A2437" t="n">
        <v>477</v>
      </c>
      <c r="B2437" t="inlineStr">
        <is>
          <t>Programas con planes de estudios definidos por escuela (Programas Renovación, modificación y acreditación)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48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L2437" s="59" t="n"/>
      <c r="M2437" s="59" t="n"/>
      <c r="N2437" t="inlineStr">
        <is>
          <t>ENT</t>
        </is>
      </c>
      <c r="O2437" t="inlineStr">
        <is>
          <t>No Aplica</t>
        </is>
      </c>
      <c r="P2437" t="n">
        <v>0</v>
      </c>
      <c r="Q2437" t="n">
        <v>0</v>
      </c>
      <c r="R2437" t="inlineStr">
        <is>
          <t>477-2025-06-30</t>
        </is>
      </c>
      <c r="S2437" t="inlineStr">
        <is>
          <t>No Aplica</t>
        </is>
      </c>
    </row>
    <row r="2438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48" t="n">
        <v>45473</v>
      </c>
      <c r="G2438" t="n">
        <v>2024</v>
      </c>
      <c r="H2438" t="inlineStr">
        <is>
          <t>Junio</t>
        </is>
      </c>
      <c r="I2438" t="inlineStr">
        <is>
          <t>2024-1</t>
        </is>
      </c>
      <c r="J2438" t="n">
        <v>100</v>
      </c>
      <c r="L2438" s="59" t="n"/>
      <c r="M2438" s="5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478-2024-06-30</t>
        </is>
      </c>
      <c r="S2438" t="inlineStr">
        <is>
          <t>No Aplica</t>
        </is>
      </c>
    </row>
    <row r="2439">
      <c r="A2439" t="n">
        <v>478</v>
      </c>
      <c r="B2439" t="inlineStr">
        <is>
          <t>Programas con planes de estudios definidos por escuela (Mantenimiento de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48" t="n">
        <v>45657</v>
      </c>
      <c r="G2439" t="n">
        <v>2024</v>
      </c>
      <c r="H2439" t="inlineStr">
        <is>
          <t>Diciembre</t>
        </is>
      </c>
      <c r="I2439" t="inlineStr">
        <is>
          <t>2024-2</t>
        </is>
      </c>
      <c r="J2439" t="n">
        <v>100</v>
      </c>
      <c r="K2439" t="n">
        <v>100</v>
      </c>
      <c r="L2439" s="59">
        <f>IFERROR(IF(OR(J2439=0,K2439=""),"",IF(E2439="Positivo",MIN(MAX(K2439/J2439,0),1.3),MIN(MAX(J2439/K2439,0),1.3))),"") </f>
        <v/>
      </c>
      <c r="M2439" s="59">
        <f>IFERROR(IF(OR(J2439=0,K2439=""),"",IF(E2439="Positivo",MAX(K2439/J2439,0),MAX(J2439/K2439,0))),"") </f>
        <v/>
      </c>
      <c r="P2439" t="n">
        <v>0</v>
      </c>
      <c r="Q2439" t="n">
        <v>0</v>
      </c>
      <c r="R2439" t="inlineStr">
        <is>
          <t>478-2024-12-31</t>
        </is>
      </c>
    </row>
    <row r="2440">
      <c r="A2440" t="n">
        <v>478</v>
      </c>
      <c r="B2440" t="inlineStr">
        <is>
          <t>Programas con planes de estudios definidos por escuela (Mantenimiento de programas)</t>
        </is>
      </c>
      <c r="C2440" t="inlineStr">
        <is>
          <t>Gestión de Unidades Académicas</t>
        </is>
      </c>
      <c r="D2440" t="inlineStr">
        <is>
          <t>Trimestral</t>
        </is>
      </c>
      <c r="E2440" t="inlineStr">
        <is>
          <t>Positivo</t>
        </is>
      </c>
      <c r="F2440" s="148" t="n">
        <v>45838</v>
      </c>
      <c r="G2440" t="n">
        <v>2025</v>
      </c>
      <c r="H2440" t="inlineStr">
        <is>
          <t>Junio</t>
        </is>
      </c>
      <c r="I2440" t="inlineStr">
        <is>
          <t>2025-1</t>
        </is>
      </c>
      <c r="K2440" t="n">
        <v>0</v>
      </c>
      <c r="L2440" s="59" t="n"/>
      <c r="M2440" s="59" t="n"/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478-2025-06-30</t>
        </is>
      </c>
    </row>
    <row r="2441">
      <c r="A2441" t="n">
        <v>478</v>
      </c>
      <c r="B2441" t="inlineStr">
        <is>
          <t>Programas con planes de estudios definidos por escuela (Mantenimiento de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48" t="n">
        <v>46022</v>
      </c>
      <c r="G2441" t="n">
        <v>2025</v>
      </c>
      <c r="H2441" t="inlineStr">
        <is>
          <t>Diciembre</t>
        </is>
      </c>
      <c r="I2441" t="inlineStr">
        <is>
          <t>2025-2</t>
        </is>
      </c>
      <c r="L2441" s="59" t="n"/>
      <c r="M2441" s="5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478-2025-12-31</t>
        </is>
      </c>
      <c r="S2441" t="inlineStr">
        <is>
          <t>No Aplica</t>
        </is>
      </c>
    </row>
    <row r="2442">
      <c r="A2442" t="n">
        <v>479</v>
      </c>
      <c r="B2442" t="inlineStr">
        <is>
          <t>Programas con resultados de aprendizaje definidos por escuela (Nuevos Programas)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48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59">
        <f>IFERROR(IF(OR(J2442=0,K2442=""),"",IF(E2442="Positivo",MIN(MAX(K2442/J2442,0),1.3),MIN(MAX(J2442/K2442,0),1.3))),"") </f>
        <v/>
      </c>
      <c r="M2442" s="59">
        <f>IFERROR(IF(OR(J2442=0,K2442=""),"",IF(E2442="Positivo",MAX(K2442/J2442,0),MAX(J2442/K2442,0))),"") </f>
        <v/>
      </c>
      <c r="P2442" t="n">
        <v>0</v>
      </c>
      <c r="Q2442" t="n">
        <v>0</v>
      </c>
      <c r="R2442" t="inlineStr">
        <is>
          <t>479-2024-06-30</t>
        </is>
      </c>
    </row>
    <row r="2443">
      <c r="A2443" t="n">
        <v>479</v>
      </c>
      <c r="B2443" t="inlineStr">
        <is>
          <t>Programas con resultados de aprendizaje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48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59">
        <f>IFERROR(IF(OR(J2443=0,K2443=""),"",IF(E2443="Positivo",MIN(MAX(K2443/J2443,0),1.3),MIN(MAX(J2443/K2443,0),1.3))),"") </f>
        <v/>
      </c>
      <c r="M2443" s="59">
        <f>IFERROR(IF(OR(J2443=0,K2443=""),"",IF(E2443="Positivo",MAX(K2443/J2443,0),MAX(J2443/K2443,0))),"") </f>
        <v/>
      </c>
      <c r="P2443" t="n">
        <v>0</v>
      </c>
      <c r="Q2443" t="n">
        <v>0</v>
      </c>
      <c r="R2443" t="inlineStr">
        <is>
          <t>479-2024-12-31</t>
        </is>
      </c>
    </row>
    <row r="2444">
      <c r="A2444" t="n">
        <v>479</v>
      </c>
      <c r="B2444" t="inlineStr">
        <is>
          <t>Programas con resultados de aprendizaje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48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59" t="n"/>
      <c r="M2444" s="5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479-2025-06-30</t>
        </is>
      </c>
      <c r="S2444" t="inlineStr">
        <is>
          <t>No Aplica</t>
        </is>
      </c>
    </row>
    <row r="2445">
      <c r="A2445" t="n">
        <v>480</v>
      </c>
      <c r="B2445" t="inlineStr">
        <is>
          <t>Programas con resultados de aprendizaje definidos por escuela (Programas Renovación, modificación y acreditación)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48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59">
        <f>IFERROR(IF(OR(J2445=0,K2445=""),"",IF(E2445="Positivo",MIN(MAX(K2445/J2445,0),1.3),MIN(MAX(J2445/K2445,0),1.3))),"") </f>
        <v/>
      </c>
      <c r="M2445" s="59">
        <f>IFERROR(IF(OR(J2445=0,K2445=""),"",IF(E2445="Positivo",MAX(K2445/J2445,0),MAX(J2445/K2445,0))),"") </f>
        <v/>
      </c>
      <c r="P2445" t="n">
        <v>0</v>
      </c>
      <c r="Q2445" t="n">
        <v>0</v>
      </c>
      <c r="R2445" t="inlineStr">
        <is>
          <t>480-2024-06-30</t>
        </is>
      </c>
    </row>
    <row r="2446">
      <c r="A2446" t="n">
        <v>480</v>
      </c>
      <c r="B2446" t="inlineStr">
        <is>
          <t>Programas con resultados de aprendizaje definidos por escuela (Programas Renovación, modificación y acreditación)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48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59">
        <f>IFERROR(IF(OR(J2446=0,K2446=""),"",IF(E2446="Positivo",MIN(MAX(K2446/J2446,0),1.3),MIN(MAX(J2446/K2446,0),1.3))),"") </f>
        <v/>
      </c>
      <c r="M2446" s="59">
        <f>IFERROR(IF(OR(J2446=0,K2446=""),"",IF(E2446="Positivo",MAX(K2446/J2446,0),MAX(J2446/K2446,0))),"") </f>
        <v/>
      </c>
      <c r="P2446" t="n">
        <v>0</v>
      </c>
      <c r="Q2446" t="n">
        <v>0</v>
      </c>
      <c r="R2446" t="inlineStr">
        <is>
          <t>480-2024-12-31</t>
        </is>
      </c>
    </row>
    <row r="2447">
      <c r="A2447" t="n">
        <v>480</v>
      </c>
      <c r="B2447" t="inlineStr">
        <is>
          <t>Programas con resultados de aprendizaje definidos por escuela (Programas Renovación, modificación y acreditación)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48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L2447" s="59" t="n"/>
      <c r="M2447" s="59" t="n"/>
      <c r="N2447" t="inlineStr">
        <is>
          <t>ENT</t>
        </is>
      </c>
      <c r="O2447" t="inlineStr">
        <is>
          <t>No Aplica</t>
        </is>
      </c>
      <c r="P2447" t="n">
        <v>0</v>
      </c>
      <c r="Q2447" t="n">
        <v>0</v>
      </c>
      <c r="R2447" t="inlineStr">
        <is>
          <t>480-2025-06-30</t>
        </is>
      </c>
      <c r="S2447" t="inlineStr">
        <is>
          <t>No Aplica</t>
        </is>
      </c>
    </row>
    <row r="2448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Semestral</t>
        </is>
      </c>
      <c r="E2448" t="inlineStr">
        <is>
          <t>Positivo</t>
        </is>
      </c>
      <c r="F2448" s="148" t="n">
        <v>45473</v>
      </c>
      <c r="G2448" t="n">
        <v>2024</v>
      </c>
      <c r="H2448" t="inlineStr">
        <is>
          <t>Junio</t>
        </is>
      </c>
      <c r="I2448" t="inlineStr">
        <is>
          <t>2024-1</t>
        </is>
      </c>
      <c r="J2448" t="n">
        <v>100</v>
      </c>
      <c r="K2448" t="n">
        <v>100</v>
      </c>
      <c r="L2448" s="59">
        <f>IFERROR(IF(OR(J2448=0,K2448=""),"",IF(E2448="Positivo",MIN(MAX(K2448/J2448,0),1.3),MIN(MAX(J2448/K2448,0),1.3))),"") </f>
        <v/>
      </c>
      <c r="M2448" s="59">
        <f>IFERROR(IF(OR(J2448=0,K2448=""),"",IF(E2448="Positivo",MAX(K2448/J2448,0),MAX(J2448/K2448,0))),"") </f>
        <v/>
      </c>
      <c r="P2448" t="n">
        <v>0</v>
      </c>
      <c r="Q2448" t="n">
        <v>0</v>
      </c>
      <c r="R2448" t="inlineStr">
        <is>
          <t>481-2024-06-30</t>
        </is>
      </c>
    </row>
    <row r="2449">
      <c r="A2449" t="n">
        <v>481</v>
      </c>
      <c r="B2449" t="inlineStr">
        <is>
          <t>Solicitudes de documentación completadas</t>
        </is>
      </c>
      <c r="C2449" t="inlineStr">
        <is>
          <t>Gestión, Evaluación e Innovación Curricular</t>
        </is>
      </c>
      <c r="D2449" t="inlineStr">
        <is>
          <t>Trimestral</t>
        </is>
      </c>
      <c r="E2449" t="inlineStr">
        <is>
          <t>Positivo</t>
        </is>
      </c>
      <c r="F2449" s="148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100</v>
      </c>
      <c r="L2449" s="59" t="n"/>
      <c r="M2449" s="59" t="n"/>
      <c r="N2449" t="inlineStr">
        <is>
          <t>%</t>
        </is>
      </c>
      <c r="O2449" t="inlineStr">
        <is>
          <t>No Aplica</t>
        </is>
      </c>
      <c r="P2449" t="n">
        <v>0</v>
      </c>
      <c r="Q2449" t="n">
        <v>0</v>
      </c>
      <c r="R2449" t="inlineStr">
        <is>
          <t>481-2024-12-31</t>
        </is>
      </c>
      <c r="S2449" t="inlineStr">
        <is>
          <t>No Aplica</t>
        </is>
      </c>
    </row>
    <row r="2450">
      <c r="A2450" t="n">
        <v>481</v>
      </c>
      <c r="B2450" t="inlineStr">
        <is>
          <t>Solicitudes de documentación completadas</t>
        </is>
      </c>
      <c r="C2450" t="inlineStr">
        <is>
          <t>Gestión, Evaluación e Innovación Curricular</t>
        </is>
      </c>
      <c r="D2450" t="inlineStr">
        <is>
          <t>Trimestral</t>
        </is>
      </c>
      <c r="E2450" t="inlineStr">
        <is>
          <t>Positivo</t>
        </is>
      </c>
      <c r="F2450" s="148" t="n">
        <v>45838</v>
      </c>
      <c r="G2450" t="n">
        <v>2025</v>
      </c>
      <c r="H2450" t="inlineStr">
        <is>
          <t>Junio</t>
        </is>
      </c>
      <c r="I2450" t="inlineStr">
        <is>
          <t>2025-1</t>
        </is>
      </c>
      <c r="J2450" t="n">
        <v>100</v>
      </c>
      <c r="K2450" t="n">
        <v>100</v>
      </c>
      <c r="L2450" s="59">
        <f>IFERROR(IF(OR(J2450=0,K2450=""),"",IF(E2450="Positivo",MIN(MAX(K2450/J2450,0),1.3),MIN(MAX(J2450/K2450,0),1.3))),"") </f>
        <v/>
      </c>
      <c r="M2450" s="59">
        <f>IFERROR(IF(OR(J2450=0,K2450=""),"",IF(E2450="Positivo",MAX(K2450/J2450,0),MAX(J2450/K2450,0))),"") </f>
        <v/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481-2025-06-30</t>
        </is>
      </c>
    </row>
    <row r="2451">
      <c r="A2451" t="n">
        <v>481</v>
      </c>
      <c r="B2451" t="inlineStr">
        <is>
          <t>Solicitudes de documentación completadas</t>
        </is>
      </c>
      <c r="C2451" t="inlineStr">
        <is>
          <t>Gestión, Evaluación e Innovación Curricular</t>
        </is>
      </c>
      <c r="D2451" t="inlineStr">
        <is>
          <t>Trimestral</t>
        </is>
      </c>
      <c r="E2451" t="inlineStr">
        <is>
          <t>Positivo</t>
        </is>
      </c>
      <c r="F2451" s="148" t="n">
        <v>46022</v>
      </c>
      <c r="G2451" t="n">
        <v>2025</v>
      </c>
      <c r="H2451" t="inlineStr">
        <is>
          <t>Diciembre</t>
        </is>
      </c>
      <c r="I2451" t="inlineStr">
        <is>
          <t>2025-2</t>
        </is>
      </c>
      <c r="J2451" t="n">
        <v>100</v>
      </c>
      <c r="L2451" s="59" t="n"/>
      <c r="M2451" s="59" t="n"/>
      <c r="N2451" t="inlineStr">
        <is>
          <t>%</t>
        </is>
      </c>
      <c r="O2451" t="inlineStr">
        <is>
          <t>No Aplica</t>
        </is>
      </c>
      <c r="P2451" t="n">
        <v>0</v>
      </c>
      <c r="Q2451" t="n">
        <v>0</v>
      </c>
      <c r="R2451" t="inlineStr">
        <is>
          <t>481-2025-12-31</t>
        </is>
      </c>
      <c r="S2451" t="inlineStr">
        <is>
          <t>No Aplica</t>
        </is>
      </c>
    </row>
    <row r="2452">
      <c r="A2452" t="n">
        <v>483</v>
      </c>
      <c r="B2452" t="inlineStr">
        <is>
          <t>Tasa de incremento en la resolución de solicitudes de la vicerrectoría de crecimiento</t>
        </is>
      </c>
      <c r="C2452" t="inlineStr">
        <is>
          <t>Gestión de campañas integradas de marketing</t>
        </is>
      </c>
      <c r="D2452" t="inlineStr">
        <is>
          <t>Anual</t>
        </is>
      </c>
      <c r="E2452" t="inlineStr">
        <is>
          <t>Positivo</t>
        </is>
      </c>
      <c r="F2452" s="148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10</v>
      </c>
      <c r="K2452" t="n">
        <v>91.65000000000001</v>
      </c>
      <c r="L2452" s="59">
        <f>IFERROR(IF(OR(J2452=0,K2452=""),"",IF(E2452="Positivo",MIN(MAX(K2452/J2452,0),1.3),MIN(MAX(J2452/K2452,0),1.3))),"") </f>
        <v/>
      </c>
      <c r="M2452" s="59">
        <f>IFERROR(IF(OR(J2452=0,K2452=""),"",IF(E2452="Positivo",MAX(K2452/J2452,0),MAX(J2452/K2452,0))),"") </f>
        <v/>
      </c>
      <c r="P2452" t="n">
        <v>0</v>
      </c>
      <c r="Q2452" t="n">
        <v>0</v>
      </c>
      <c r="R2452" t="inlineStr">
        <is>
          <t>483-2024-12-31</t>
        </is>
      </c>
    </row>
    <row r="2453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Trimestral</t>
        </is>
      </c>
      <c r="E2453" t="inlineStr">
        <is>
          <t>Positivo</t>
        </is>
      </c>
      <c r="F2453" s="148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90</v>
      </c>
      <c r="K2453" t="n">
        <v>100</v>
      </c>
      <c r="L2453" s="59">
        <f>IFERROR(IF(OR(J2453=0,K2453=""),"",IF(E2453="Positivo",MIN(MAX(K2453/J2453,0),1.3),MIN(MAX(J2453/K2453,0),1.3))),"") </f>
        <v/>
      </c>
      <c r="M2453" s="59">
        <f>IFERROR(IF(OR(J2453=0,K2453=""),"",IF(E2453="Positivo",MAX(K2453/J2453,0),MAX(J2453/K2453,0))),"") </f>
        <v/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484-2024-06-30</t>
        </is>
      </c>
    </row>
    <row r="2454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Trimestral</t>
        </is>
      </c>
      <c r="E2454" t="inlineStr">
        <is>
          <t>Positivo</t>
        </is>
      </c>
      <c r="F2454" s="148" t="n">
        <v>45565</v>
      </c>
      <c r="G2454" t="n">
        <v>2024</v>
      </c>
      <c r="H2454" t="inlineStr">
        <is>
          <t>Septiembre</t>
        </is>
      </c>
      <c r="I2454" t="inlineStr">
        <is>
          <t>2024-2</t>
        </is>
      </c>
      <c r="J2454" t="n">
        <v>90</v>
      </c>
      <c r="K2454" t="n">
        <v>100</v>
      </c>
      <c r="L2454" s="59">
        <f>IFERROR(IF(OR(J2454=0,K2454=""),"",IF(E2454="Positivo",MIN(MAX(K2454/J2454,0),1.3),MIN(MAX(J2454/K2454,0),1.3))),"") </f>
        <v/>
      </c>
      <c r="M2454" s="59">
        <f>IFERROR(IF(OR(J2454=0,K2454=""),"",IF(E2454="Positivo",MAX(K2454/J2454,0),MAX(J2454/K2454,0))),"") </f>
        <v/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484-2024-09-30</t>
        </is>
      </c>
    </row>
    <row r="2455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Trimestral</t>
        </is>
      </c>
      <c r="E2455" t="inlineStr">
        <is>
          <t>Positivo</t>
        </is>
      </c>
      <c r="F2455" s="148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90</v>
      </c>
      <c r="K2455" t="n">
        <v>100</v>
      </c>
      <c r="L2455" s="59">
        <f>IFERROR(IF(OR(J2455=0,K2455=""),"",IF(E2455="Positivo",MIN(MAX(K2455/J2455,0),1.3),MIN(MAX(J2455/K2455,0),1.3))),"") </f>
        <v/>
      </c>
      <c r="M2455" s="59">
        <f>IFERROR(IF(OR(J2455=0,K2455=""),"",IF(E2455="Positivo",MAX(K2455/J2455,0),MAX(J2455/K2455,0))),"") </f>
        <v/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484-2024-12-31</t>
        </is>
      </c>
    </row>
    <row r="2456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Trimestral</t>
        </is>
      </c>
      <c r="E2456" t="inlineStr">
        <is>
          <t>Positivo</t>
        </is>
      </c>
      <c r="F2456" s="148" t="n">
        <v>45747</v>
      </c>
      <c r="G2456" t="n">
        <v>2025</v>
      </c>
      <c r="H2456" t="inlineStr">
        <is>
          <t>Marzo</t>
        </is>
      </c>
      <c r="I2456" t="inlineStr">
        <is>
          <t>2025-1</t>
        </is>
      </c>
      <c r="J2456" t="n">
        <v>90</v>
      </c>
      <c r="K2456" t="n">
        <v>100</v>
      </c>
      <c r="L2456" s="59">
        <f>IFERROR(IF(OR(J2456=0,K2456=""),"",IF(E2456="Positivo",MIN(MAX(K2456/J2456,0),1.3),MIN(MAX(J2456/K2456,0),1.3))),"") </f>
        <v/>
      </c>
      <c r="M2456" s="59">
        <f>IFERROR(IF(OR(J2456=0,K2456=""),"",IF(E2456="Positivo",MAX(K2456/J2456,0),MAX(J2456/K2456,0))),"") </f>
        <v/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484-2025-03-31</t>
        </is>
      </c>
    </row>
    <row r="2457">
      <c r="A2457" t="n">
        <v>484</v>
      </c>
      <c r="B2457" t="inlineStr">
        <is>
          <t>Cumplimiento del Programa de la Cultura del Autocuidado</t>
        </is>
      </c>
      <c r="C2457" t="inlineStr">
        <is>
          <t>GESTIÓN DE SEGURIDAD Y SALUD EN EL TRABAJO</t>
        </is>
      </c>
      <c r="D2457" t="inlineStr">
        <is>
          <t>Trimestral</t>
        </is>
      </c>
      <c r="E2457" t="inlineStr">
        <is>
          <t>Positivo</t>
        </is>
      </c>
      <c r="F2457" s="148" t="n">
        <v>45838</v>
      </c>
      <c r="G2457" t="n">
        <v>2025</v>
      </c>
      <c r="H2457" t="inlineStr">
        <is>
          <t>Junio</t>
        </is>
      </c>
      <c r="I2457" t="inlineStr">
        <is>
          <t>2025-1</t>
        </is>
      </c>
      <c r="J2457" t="n">
        <v>90</v>
      </c>
      <c r="K2457" t="n">
        <v>100</v>
      </c>
      <c r="L2457" s="59">
        <f>IFERROR(IF(OR(J2457=0,K2457=""),"",IF(E2457="Positivo",MIN(MAX(K2457/J2457,0),1.3),MIN(MAX(J2457/K2457,0),1.3))),"") </f>
        <v/>
      </c>
      <c r="M2457" s="59">
        <f>IFERROR(IF(OR(J2457=0,K2457=""),"",IF(E2457="Positivo",MAX(K2457/J2457,0),MAX(J2457/K2457,0))),"") </f>
        <v/>
      </c>
      <c r="N2457" t="inlineStr">
        <is>
          <t>%</t>
        </is>
      </c>
      <c r="O2457" t="inlineStr">
        <is>
          <t>%</t>
        </is>
      </c>
      <c r="P2457" t="n">
        <v>0</v>
      </c>
      <c r="Q2457" t="n">
        <v>0</v>
      </c>
      <c r="R2457" t="inlineStr">
        <is>
          <t>484-2025-06-30</t>
        </is>
      </c>
    </row>
    <row r="2458">
      <c r="A2458" t="n">
        <v>484</v>
      </c>
      <c r="B2458" t="inlineStr">
        <is>
          <t>Cumplimiento del Programa de la Cultura del Autocuidado</t>
        </is>
      </c>
      <c r="C2458" t="inlineStr">
        <is>
          <t>GESTIÓN DE SEGURIDAD Y SALUD EN EL TRABAJO</t>
        </is>
      </c>
      <c r="D2458" t="inlineStr">
        <is>
          <t>Semestral</t>
        </is>
      </c>
      <c r="E2458" t="inlineStr">
        <is>
          <t>Positivo</t>
        </is>
      </c>
      <c r="F2458" s="148" t="n">
        <v>45930</v>
      </c>
      <c r="G2458" t="n">
        <v>2025</v>
      </c>
      <c r="H2458" t="inlineStr">
        <is>
          <t>Septiembre</t>
        </is>
      </c>
      <c r="I2458" t="inlineStr">
        <is>
          <t>2025-2</t>
        </is>
      </c>
      <c r="J2458" t="n">
        <v>90</v>
      </c>
      <c r="K2458" t="n">
        <v>100</v>
      </c>
      <c r="L2458" s="59">
        <f>IFERROR(IF(OR(J2458=0,K2458=""),"",IF(E2458="Positivo",MIN(MAX(K2458/J2458,0),1.3),MIN(MAX(J2458/K2458,0),1.3))),"") </f>
        <v/>
      </c>
      <c r="M2458" s="59">
        <f>IFERROR(IF(OR(J2458=0,K2458=""),"",IF(E2458="Positivo",MAX(K2458/J2458,0),MAX(J2458/K2458,0))),"") </f>
        <v/>
      </c>
      <c r="N2458" t="inlineStr">
        <is>
          <t>%</t>
        </is>
      </c>
      <c r="O2458" t="inlineStr">
        <is>
          <t>%</t>
        </is>
      </c>
      <c r="P2458" t="n">
        <v>0</v>
      </c>
      <c r="Q2458" t="n">
        <v>0</v>
      </c>
      <c r="R2458" t="inlineStr">
        <is>
          <t>484-2025-09-30</t>
        </is>
      </c>
    </row>
    <row r="2459">
      <c r="A2459" t="n">
        <v>484</v>
      </c>
      <c r="B2459" t="inlineStr">
        <is>
          <t>Cumplimiento del Programa de la Cultura del Autocuidado</t>
        </is>
      </c>
      <c r="C2459" t="inlineStr">
        <is>
          <t>GESTIÓN DE SEGURIDAD Y SALUD EN EL TRABAJO</t>
        </is>
      </c>
      <c r="D2459" t="inlineStr">
        <is>
          <t>Semestral</t>
        </is>
      </c>
      <c r="E2459" t="inlineStr">
        <is>
          <t>Positivo</t>
        </is>
      </c>
      <c r="F2459" s="148" t="n">
        <v>46022</v>
      </c>
      <c r="G2459" t="n">
        <v>2025</v>
      </c>
      <c r="H2459" t="inlineStr">
        <is>
          <t>Diciembre</t>
        </is>
      </c>
      <c r="I2459" t="inlineStr">
        <is>
          <t>2025-2</t>
        </is>
      </c>
      <c r="J2459" t="n">
        <v>90</v>
      </c>
      <c r="K2459" t="n">
        <v>100</v>
      </c>
      <c r="L2459" s="59">
        <f>IFERROR(IF(OR(J2459=0,K2459=""),"",IF(E2459="Positivo",MIN(MAX(K2459/J2459,0),1.3),MIN(MAX(J2459/K2459,0),1.3))),"") </f>
        <v/>
      </c>
      <c r="M2459" s="59">
        <f>IFERROR(IF(OR(J2459=0,K2459=""),"",IF(E2459="Positivo",MAX(K2459/J2459,0),MAX(J2459/K2459,0))),"") </f>
        <v/>
      </c>
      <c r="N2459" t="inlineStr">
        <is>
          <t>%</t>
        </is>
      </c>
      <c r="O2459" t="inlineStr">
        <is>
          <t>%</t>
        </is>
      </c>
      <c r="P2459" t="n">
        <v>0</v>
      </c>
      <c r="Q2459" t="n">
        <v>0</v>
      </c>
      <c r="R2459" t="inlineStr">
        <is>
          <t>484-2025-12-31</t>
        </is>
      </c>
    </row>
    <row r="2460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48" t="n">
        <v>45322</v>
      </c>
      <c r="G2460" t="n">
        <v>2024</v>
      </c>
      <c r="H2460" t="inlineStr">
        <is>
          <t>Enero</t>
        </is>
      </c>
      <c r="I2460" t="inlineStr">
        <is>
          <t>2024-1</t>
        </is>
      </c>
      <c r="L2460" s="59" t="n"/>
      <c r="M2460" s="5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485-2024-01-31</t>
        </is>
      </c>
      <c r="S2460" t="inlineStr">
        <is>
          <t>No Aplica</t>
        </is>
      </c>
    </row>
    <row r="246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48" t="n">
        <v>45351</v>
      </c>
      <c r="G2461" t="n">
        <v>2024</v>
      </c>
      <c r="H2461" t="inlineStr">
        <is>
          <t>Febrero</t>
        </is>
      </c>
      <c r="I2461" t="inlineStr">
        <is>
          <t>2024-1</t>
        </is>
      </c>
      <c r="L2461" s="59" t="n"/>
      <c r="M2461" s="5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485-2024-02-29</t>
        </is>
      </c>
      <c r="S2461" t="inlineStr">
        <is>
          <t>No Aplica</t>
        </is>
      </c>
    </row>
    <row r="2462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48" t="n">
        <v>45382</v>
      </c>
      <c r="G2462" t="n">
        <v>2024</v>
      </c>
      <c r="H2462" t="inlineStr">
        <is>
          <t>Marzo</t>
        </is>
      </c>
      <c r="I2462" t="inlineStr">
        <is>
          <t>2024-1</t>
        </is>
      </c>
      <c r="L2462" s="59" t="n"/>
      <c r="M2462" s="5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485-2024-03-31</t>
        </is>
      </c>
      <c r="S2462" t="inlineStr">
        <is>
          <t>No Aplica</t>
        </is>
      </c>
    </row>
    <row r="2463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48" t="n">
        <v>45412</v>
      </c>
      <c r="G2463" t="n">
        <v>2024</v>
      </c>
      <c r="H2463" t="inlineStr">
        <is>
          <t>Abril</t>
        </is>
      </c>
      <c r="I2463" t="inlineStr">
        <is>
          <t>2024-1</t>
        </is>
      </c>
      <c r="L2463" s="59" t="n"/>
      <c r="M2463" s="5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485-2024-04-30</t>
        </is>
      </c>
      <c r="S2463" t="inlineStr">
        <is>
          <t>No Aplica</t>
        </is>
      </c>
    </row>
    <row r="2464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48" t="n">
        <v>45443</v>
      </c>
      <c r="G2464" t="n">
        <v>2024</v>
      </c>
      <c r="H2464" t="inlineStr">
        <is>
          <t>Mayo</t>
        </is>
      </c>
      <c r="I2464" t="inlineStr">
        <is>
          <t>2024-1</t>
        </is>
      </c>
      <c r="L2464" s="59" t="n"/>
      <c r="M2464" s="59" t="n"/>
      <c r="N2464" t="inlineStr">
        <is>
          <t>%</t>
        </is>
      </c>
      <c r="O2464" t="inlineStr">
        <is>
          <t>No Aplica</t>
        </is>
      </c>
      <c r="P2464" t="n">
        <v>0</v>
      </c>
      <c r="Q2464" t="n">
        <v>0</v>
      </c>
      <c r="R2464" t="inlineStr">
        <is>
          <t>485-2024-05-31</t>
        </is>
      </c>
      <c r="S2464" t="inlineStr">
        <is>
          <t>No Aplica</t>
        </is>
      </c>
    </row>
    <row r="2465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48" t="n">
        <v>45473</v>
      </c>
      <c r="G2465" t="n">
        <v>2024</v>
      </c>
      <c r="H2465" t="inlineStr">
        <is>
          <t>Junio</t>
        </is>
      </c>
      <c r="I2465" t="inlineStr">
        <is>
          <t>2024-1</t>
        </is>
      </c>
      <c r="L2465" s="59" t="n"/>
      <c r="M2465" s="59" t="n"/>
      <c r="N2465" t="inlineStr">
        <is>
          <t>%</t>
        </is>
      </c>
      <c r="O2465" t="inlineStr">
        <is>
          <t>No Aplica</t>
        </is>
      </c>
      <c r="P2465" t="n">
        <v>0</v>
      </c>
      <c r="Q2465" t="n">
        <v>0</v>
      </c>
      <c r="R2465" t="inlineStr">
        <is>
          <t>485-2024-06-30</t>
        </is>
      </c>
      <c r="S2465" t="inlineStr">
        <is>
          <t>No Aplica</t>
        </is>
      </c>
    </row>
    <row r="2466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48" t="n">
        <v>45504</v>
      </c>
      <c r="G2466" t="n">
        <v>2024</v>
      </c>
      <c r="H2466" t="inlineStr">
        <is>
          <t>Julio</t>
        </is>
      </c>
      <c r="I2466" t="inlineStr">
        <is>
          <t>2024-2</t>
        </is>
      </c>
      <c r="J2466" t="n">
        <v>80</v>
      </c>
      <c r="L2466" s="59" t="n"/>
      <c r="M2466" s="59" t="n"/>
      <c r="N2466" t="inlineStr">
        <is>
          <t>%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485-2024-07-31</t>
        </is>
      </c>
      <c r="S2466" t="inlineStr">
        <is>
          <t>No Aplica</t>
        </is>
      </c>
    </row>
    <row r="2467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48" t="n">
        <v>45565</v>
      </c>
      <c r="G2467" t="n">
        <v>2024</v>
      </c>
      <c r="H2467" t="inlineStr">
        <is>
          <t>Septiembre</t>
        </is>
      </c>
      <c r="I2467" t="inlineStr">
        <is>
          <t>2024-2</t>
        </is>
      </c>
      <c r="J2467" t="n">
        <v>80</v>
      </c>
      <c r="K2467" t="n">
        <v>100</v>
      </c>
      <c r="L2467" s="59">
        <f>IFERROR(IF(OR(J2467=0,K2467=""),"",IF(E2467="Positivo",MIN(MAX(K2467/J2467,0),1.3),MIN(MAX(J2467/K2467,0),1.3))),"") </f>
        <v/>
      </c>
      <c r="M2467" s="59">
        <f>IFERROR(IF(OR(J2467=0,K2467=""),"",IF(E2467="Positivo",MAX(K2467/J2467,0),MAX(J2467/K2467,0))),"") </f>
        <v/>
      </c>
      <c r="P2467" t="n">
        <v>0</v>
      </c>
      <c r="Q2467" t="n">
        <v>0</v>
      </c>
      <c r="R2467" t="inlineStr">
        <is>
          <t>485-2024-09-30</t>
        </is>
      </c>
    </row>
    <row r="2468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48" t="n">
        <v>45596</v>
      </c>
      <c r="G2468" t="n">
        <v>2024</v>
      </c>
      <c r="H2468" t="inlineStr">
        <is>
          <t>Octubre</t>
        </is>
      </c>
      <c r="I2468" t="inlineStr">
        <is>
          <t>2024-2</t>
        </is>
      </c>
      <c r="J2468" t="n">
        <v>80</v>
      </c>
      <c r="K2468" t="n">
        <v>100</v>
      </c>
      <c r="L2468" s="59">
        <f>IFERROR(IF(OR(J2468=0,K2468=""),"",IF(E2468="Positivo",MIN(MAX(K2468/J2468,0),1.3),MIN(MAX(J2468/K2468,0),1.3))),"") </f>
        <v/>
      </c>
      <c r="M2468" s="59">
        <f>IFERROR(IF(OR(J2468=0,K2468=""),"",IF(E2468="Positivo",MAX(K2468/J2468,0),MAX(J2468/K2468,0))),"") </f>
        <v/>
      </c>
      <c r="P2468" t="n">
        <v>0</v>
      </c>
      <c r="Q2468" t="n">
        <v>0</v>
      </c>
      <c r="R2468" t="inlineStr">
        <is>
          <t>485-2024-10-31</t>
        </is>
      </c>
    </row>
    <row r="2469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48" t="n">
        <v>45626</v>
      </c>
      <c r="G2469" t="n">
        <v>2024</v>
      </c>
      <c r="H2469" t="inlineStr">
        <is>
          <t>Noviembre</t>
        </is>
      </c>
      <c r="I2469" t="inlineStr">
        <is>
          <t>2024-2</t>
        </is>
      </c>
      <c r="J2469" t="n">
        <v>80</v>
      </c>
      <c r="K2469" t="n">
        <v>100</v>
      </c>
      <c r="L2469" s="59">
        <f>IFERROR(IF(OR(J2469=0,K2469=""),"",IF(E2469="Positivo",MIN(MAX(K2469/J2469,0),1.3),MIN(MAX(J2469/K2469,0),1.3))),"") </f>
        <v/>
      </c>
      <c r="M2469" s="59">
        <f>IFERROR(IF(OR(J2469=0,K2469=""),"",IF(E2469="Positivo",MAX(K2469/J2469,0),MAX(J2469/K2469,0))),"") </f>
        <v/>
      </c>
      <c r="P2469" t="n">
        <v>0</v>
      </c>
      <c r="Q2469" t="n">
        <v>0</v>
      </c>
      <c r="R2469" t="inlineStr">
        <is>
          <t>485-2024-11-30</t>
        </is>
      </c>
    </row>
    <row r="2470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48" t="n">
        <v>45657</v>
      </c>
      <c r="G2470" t="n">
        <v>2024</v>
      </c>
      <c r="H2470" t="inlineStr">
        <is>
          <t>Diciembre</t>
        </is>
      </c>
      <c r="I2470" t="inlineStr">
        <is>
          <t>2024-2</t>
        </is>
      </c>
      <c r="J2470" t="n">
        <v>80</v>
      </c>
      <c r="K2470" t="n">
        <v>66.66666666666666</v>
      </c>
      <c r="L2470" s="59">
        <f>IFERROR(IF(OR(J2470=0,K2470=""),"",IF(E2470="Positivo",MIN(MAX(K2470/J2470,0),1.3),MIN(MAX(J2470/K2470,0),1.3))),"") </f>
        <v/>
      </c>
      <c r="M2470" s="59">
        <f>IFERROR(IF(OR(J2470=0,K2470=""),"",IF(E2470="Positivo",MAX(K2470/J2470,0),MAX(J2470/K2470,0))),"") </f>
        <v/>
      </c>
      <c r="P2470" t="n">
        <v>0</v>
      </c>
      <c r="Q2470" t="n">
        <v>0</v>
      </c>
      <c r="R2470" t="inlineStr">
        <is>
          <t>485-2024-12-31</t>
        </is>
      </c>
    </row>
    <row r="247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48" t="n">
        <v>45688</v>
      </c>
      <c r="G2471" t="n">
        <v>2025</v>
      </c>
      <c r="H2471" t="inlineStr">
        <is>
          <t>Enero</t>
        </is>
      </c>
      <c r="I2471" t="inlineStr">
        <is>
          <t>2025-1</t>
        </is>
      </c>
      <c r="J2471" t="n">
        <v>80</v>
      </c>
      <c r="K2471" t="n">
        <v>100</v>
      </c>
      <c r="L2471" s="59">
        <f>IFERROR(IF(OR(J2471=0,K2471=""),"",IF(E2471="Positivo",MIN(MAX(K2471/J2471,0),1.3),MIN(MAX(J2471/K2471,0),1.3))),"") </f>
        <v/>
      </c>
      <c r="M2471" s="59">
        <f>IFERROR(IF(OR(J2471=0,K2471=""),"",IF(E2471="Positivo",MAX(K2471/J2471,0),MAX(J2471/K2471,0))),"") </f>
        <v/>
      </c>
      <c r="P2471" t="n">
        <v>0</v>
      </c>
      <c r="Q2471" t="n">
        <v>0</v>
      </c>
      <c r="R2471" t="inlineStr">
        <is>
          <t>485-2025-01-31</t>
        </is>
      </c>
    </row>
    <row r="2472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48" t="n">
        <v>45716</v>
      </c>
      <c r="G2472" t="n">
        <v>2025</v>
      </c>
      <c r="H2472" t="inlineStr">
        <is>
          <t>Febrero</t>
        </is>
      </c>
      <c r="I2472" t="inlineStr">
        <is>
          <t>2025-1</t>
        </is>
      </c>
      <c r="J2472" t="n">
        <v>80</v>
      </c>
      <c r="K2472" t="n">
        <v>50</v>
      </c>
      <c r="L2472" s="59">
        <f>IFERROR(IF(OR(J2472=0,K2472=""),"",IF(E2472="Positivo",MIN(MAX(K2472/J2472,0),1.3),MIN(MAX(J2472/K2472,0),1.3))),"") </f>
        <v/>
      </c>
      <c r="M2472" s="59">
        <f>IFERROR(IF(OR(J2472=0,K2472=""),"",IF(E2472="Positivo",MAX(K2472/J2472,0),MAX(J2472/K2472,0))),"") </f>
        <v/>
      </c>
      <c r="P2472" t="n">
        <v>0</v>
      </c>
      <c r="Q2472" t="n">
        <v>0</v>
      </c>
      <c r="R2472" t="inlineStr">
        <is>
          <t>485-2025-02-28</t>
        </is>
      </c>
    </row>
    <row r="2473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48" t="n">
        <v>45747</v>
      </c>
      <c r="G2473" t="n">
        <v>2025</v>
      </c>
      <c r="H2473" t="inlineStr">
        <is>
          <t>Marzo</t>
        </is>
      </c>
      <c r="I2473" t="inlineStr">
        <is>
          <t>2025-1</t>
        </is>
      </c>
      <c r="J2473" t="n">
        <v>80</v>
      </c>
      <c r="K2473" t="n">
        <v>100</v>
      </c>
      <c r="L2473" s="59">
        <f>IFERROR(IF(OR(J2473=0,K2473=""),"",IF(E2473="Positivo",MIN(MAX(K2473/J2473,0),1.3),MIN(MAX(J2473/K2473,0),1.3))),"") </f>
        <v/>
      </c>
      <c r="M2473" s="59">
        <f>IFERROR(IF(OR(J2473=0,K2473=""),"",IF(E2473="Positivo",MAX(K2473/J2473,0),MAX(J2473/K2473,0))),"") </f>
        <v/>
      </c>
      <c r="P2473" t="n">
        <v>0</v>
      </c>
      <c r="Q2473" t="n">
        <v>0</v>
      </c>
      <c r="R2473" t="inlineStr">
        <is>
          <t>485-2025-03-31</t>
        </is>
      </c>
    </row>
    <row r="2474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48" t="n">
        <v>45777</v>
      </c>
      <c r="G2474" t="n">
        <v>2025</v>
      </c>
      <c r="H2474" t="inlineStr">
        <is>
          <t>Abril</t>
        </is>
      </c>
      <c r="I2474" t="inlineStr">
        <is>
          <t>2025-1</t>
        </is>
      </c>
      <c r="J2474" t="n">
        <v>80</v>
      </c>
      <c r="K2474" t="n">
        <v>100</v>
      </c>
      <c r="L2474" s="59">
        <f>IFERROR(IF(OR(J2474=0,K2474=""),"",IF(E2474="Positivo",MIN(MAX(K2474/J2474,0),1.3),MIN(MAX(J2474/K2474,0),1.3))),"") </f>
        <v/>
      </c>
      <c r="M2474" s="59">
        <f>IFERROR(IF(OR(J2474=0,K2474=""),"",IF(E2474="Positivo",MAX(K2474/J2474,0),MAX(J2474/K2474,0))),"") </f>
        <v/>
      </c>
      <c r="P2474" t="n">
        <v>0</v>
      </c>
      <c r="Q2474" t="n">
        <v>0</v>
      </c>
      <c r="R2474" t="inlineStr">
        <is>
          <t>485-2025-04-30</t>
        </is>
      </c>
    </row>
    <row r="2475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48" t="n">
        <v>45808</v>
      </c>
      <c r="G2475" t="n">
        <v>2025</v>
      </c>
      <c r="H2475" t="inlineStr">
        <is>
          <t>Mayo</t>
        </is>
      </c>
      <c r="I2475" t="inlineStr">
        <is>
          <t>2025-1</t>
        </is>
      </c>
      <c r="J2475" t="n">
        <v>80</v>
      </c>
      <c r="K2475" t="n">
        <v>100</v>
      </c>
      <c r="L2475" s="59">
        <f>IFERROR(IF(OR(J2475=0,K2475=""),"",IF(E2475="Positivo",MIN(MAX(K2475/J2475,0),1.3),MIN(MAX(J2475/K2475,0),1.3))),"") </f>
        <v/>
      </c>
      <c r="M2475" s="59">
        <f>IFERROR(IF(OR(J2475=0,K2475=""),"",IF(E2475="Positivo",MAX(K2475/J2475,0),MAX(J2475/K2475,0))),"") </f>
        <v/>
      </c>
      <c r="P2475" t="n">
        <v>0</v>
      </c>
      <c r="Q2475" t="n">
        <v>0</v>
      </c>
      <c r="R2475" t="inlineStr">
        <is>
          <t>485-2025-05-31</t>
        </is>
      </c>
    </row>
    <row r="2476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48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80</v>
      </c>
      <c r="K2476" t="n">
        <v>66.67</v>
      </c>
      <c r="L2476" s="59">
        <f>IFERROR(IF(OR(J2476=0,K2476=""),"",IF(E2476="Positivo",MIN(MAX(K2476/J2476,0),1.3),MIN(MAX(J2476/K2476,0),1.3))),"") </f>
        <v/>
      </c>
      <c r="M2476" s="59">
        <f>IFERROR(IF(OR(J2476=0,K2476=""),"",IF(E2476="Positivo",MAX(K2476/J2476,0),MAX(J2476/K2476,0))),"") </f>
        <v/>
      </c>
      <c r="P2476" t="n">
        <v>0</v>
      </c>
      <c r="Q2476" t="n">
        <v>0</v>
      </c>
      <c r="R2476" t="inlineStr">
        <is>
          <t>485-2025-06-30</t>
        </is>
      </c>
    </row>
    <row r="2477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48" t="n">
        <v>45869</v>
      </c>
      <c r="G2477" t="n">
        <v>2025</v>
      </c>
      <c r="H2477" t="inlineStr">
        <is>
          <t>Julio</t>
        </is>
      </c>
      <c r="I2477" t="inlineStr">
        <is>
          <t>2025-2</t>
        </is>
      </c>
      <c r="J2477" t="n">
        <v>80</v>
      </c>
      <c r="K2477" t="n">
        <v>66.67</v>
      </c>
      <c r="L2477" s="59">
        <f>IFERROR(IF(OR(J2477=0,K2477=""),"",IF(E2477="Positivo",MIN(MAX(K2477/J2477,0),1.3),MIN(MAX(J2477/K2477,0),1.3))),"") </f>
        <v/>
      </c>
      <c r="M2477" s="59">
        <f>IFERROR(IF(OR(J2477=0,K2477=""),"",IF(E2477="Positivo",MAX(K2477/J2477,0),MAX(J2477/K2477,0))),"") </f>
        <v/>
      </c>
      <c r="P2477" t="n">
        <v>0</v>
      </c>
      <c r="Q2477" t="n">
        <v>0</v>
      </c>
      <c r="R2477" t="inlineStr">
        <is>
          <t>485-2025-07-31</t>
        </is>
      </c>
    </row>
    <row r="2478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48" t="n">
        <v>45900</v>
      </c>
      <c r="G2478" t="n">
        <v>2025</v>
      </c>
      <c r="H2478" t="inlineStr">
        <is>
          <t>Agosto</t>
        </is>
      </c>
      <c r="I2478" t="inlineStr">
        <is>
          <t>2025-2</t>
        </is>
      </c>
      <c r="J2478" t="n">
        <v>80</v>
      </c>
      <c r="K2478" t="n">
        <v>50</v>
      </c>
      <c r="L2478" s="59">
        <f>IFERROR(IF(OR(J2478=0,K2478=""),"",IF(E2478="Positivo",MIN(MAX(K2478/J2478,0),1.3),MIN(MAX(J2478/K2478,0),1.3))),"") </f>
        <v/>
      </c>
      <c r="M2478" s="59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485-2025-08-31</t>
        </is>
      </c>
    </row>
    <row r="2479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48" t="n">
        <v>45930</v>
      </c>
      <c r="G2479" t="n">
        <v>2025</v>
      </c>
      <c r="H2479" t="inlineStr">
        <is>
          <t>Septiembre</t>
        </is>
      </c>
      <c r="I2479" t="inlineStr">
        <is>
          <t>2025-2</t>
        </is>
      </c>
      <c r="J2479" t="n">
        <v>80</v>
      </c>
      <c r="K2479" t="n">
        <v>62.5</v>
      </c>
      <c r="L2479" s="59">
        <f>IFERROR(IF(OR(J2479=0,K2479=""),"",IF(E2479="Positivo",MIN(MAX(K2479/J2479,0),1.3),MIN(MAX(J2479/K2479,0),1.3))),"") </f>
        <v/>
      </c>
      <c r="M2479" s="59">
        <f>IFERROR(IF(OR(J2479=0,K2479=""),"",IF(E2479="Positivo",MAX(K2479/J2479,0),MAX(J2479/K2479,0))),"") </f>
        <v/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485-2025-09-30</t>
        </is>
      </c>
    </row>
    <row r="2480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148" t="n">
        <v>45961</v>
      </c>
      <c r="G2480" t="n">
        <v>2025</v>
      </c>
      <c r="H2480" t="inlineStr">
        <is>
          <t>Octubre</t>
        </is>
      </c>
      <c r="I2480" t="inlineStr">
        <is>
          <t>2025-2</t>
        </is>
      </c>
      <c r="J2480" t="n">
        <v>80</v>
      </c>
      <c r="K2480" t="n">
        <v>100</v>
      </c>
      <c r="L2480" s="59">
        <f>IFERROR(IF(OR(J2480=0,K2480=""),"",IF(E2480="Positivo",MIN(MAX(K2480/J2480,0),1.3),MIN(MAX(J2480/K2480,0),1.3))),"") </f>
        <v/>
      </c>
      <c r="M2480" s="59">
        <f>IFERROR(IF(OR(J2480=0,K2480=""),"",IF(E2480="Positivo",MAX(K2480/J2480,0),MAX(J2480/K2480,0))),"") </f>
        <v/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485-2025-10-31</t>
        </is>
      </c>
    </row>
    <row r="248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148" t="n">
        <v>45991</v>
      </c>
      <c r="G2481" t="n">
        <v>2025</v>
      </c>
      <c r="H2481" t="inlineStr">
        <is>
          <t>Noviembre</t>
        </is>
      </c>
      <c r="I2481" t="inlineStr">
        <is>
          <t>2025-2</t>
        </is>
      </c>
      <c r="J2481" t="n">
        <v>80</v>
      </c>
      <c r="K2481" t="n">
        <v>85.70999999999999</v>
      </c>
      <c r="L2481" s="59">
        <f>IFERROR(IF(OR(J2481=0,K2481=""),"",IF(E2481="Positivo",MIN(MAX(K2481/J2481,0),1.3),MIN(MAX(J2481/K2481,0),1.3))),"") </f>
        <v/>
      </c>
      <c r="M2481" s="59">
        <f>IFERROR(IF(OR(J2481=0,K2481=""),"",IF(E2481="Positivo",MAX(K2481/J2481,0),MAX(J2481/K2481,0))),"") </f>
        <v/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485-2025-11-30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48" t="n">
        <v>46022</v>
      </c>
      <c r="G2482" t="n">
        <v>2025</v>
      </c>
      <c r="H2482" t="inlineStr">
        <is>
          <t>Diciembre</t>
        </is>
      </c>
      <c r="I2482" t="inlineStr">
        <is>
          <t>2025-2</t>
        </is>
      </c>
      <c r="J2482" t="n">
        <v>80</v>
      </c>
      <c r="L2482" s="59" t="n"/>
      <c r="M2482" s="5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485-2025-12-31</t>
        </is>
      </c>
      <c r="S2482" t="inlineStr">
        <is>
          <t>No Aplica</t>
        </is>
      </c>
    </row>
    <row r="2483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Semestral</t>
        </is>
      </c>
      <c r="E2483" t="inlineStr">
        <is>
          <t>Positivo</t>
        </is>
      </c>
      <c r="F2483" s="148" t="n">
        <v>45473</v>
      </c>
      <c r="G2483" t="n">
        <v>2024</v>
      </c>
      <c r="H2483" t="inlineStr">
        <is>
          <t>Junio</t>
        </is>
      </c>
      <c r="I2483" t="inlineStr">
        <is>
          <t>2024-1</t>
        </is>
      </c>
      <c r="K2483" t="n">
        <v>4900000</v>
      </c>
      <c r="L2483" s="59" t="n"/>
      <c r="M2483" s="59" t="n"/>
      <c r="N2483" t="inlineStr">
        <is>
          <t>No Aplica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486-2024-06-30</t>
        </is>
      </c>
    </row>
    <row r="2484">
      <c r="A2484" t="n">
        <v>486</v>
      </c>
      <c r="B2484" t="inlineStr">
        <is>
          <t>Número de visitas a la página web</t>
        </is>
      </c>
      <c r="C2484" t="inlineStr">
        <is>
          <t>Comunicaciones Internas</t>
        </is>
      </c>
      <c r="D2484" t="inlineStr">
        <is>
          <t>Semestral</t>
        </is>
      </c>
      <c r="E2484" t="inlineStr">
        <is>
          <t>Positivo</t>
        </is>
      </c>
      <c r="F2484" s="148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K2484" t="n">
        <v>2700000</v>
      </c>
      <c r="L2484" s="59" t="n"/>
      <c r="M2484" s="59" t="n"/>
      <c r="N2484" t="inlineStr">
        <is>
          <t>No Aplica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486-2024-12-31</t>
        </is>
      </c>
    </row>
    <row r="2485">
      <c r="A2485" t="n">
        <v>486</v>
      </c>
      <c r="B2485" t="inlineStr">
        <is>
          <t>Número de visitas a la página web</t>
        </is>
      </c>
      <c r="C2485" t="inlineStr">
        <is>
          <t>Comunicaciones Internas</t>
        </is>
      </c>
      <c r="D2485" t="inlineStr">
        <is>
          <t>Trimestral</t>
        </is>
      </c>
      <c r="E2485" t="inlineStr">
        <is>
          <t>Positivo</t>
        </is>
      </c>
      <c r="F2485" s="148" t="n">
        <v>45838</v>
      </c>
      <c r="G2485" t="n">
        <v>2025</v>
      </c>
      <c r="H2485" t="inlineStr">
        <is>
          <t>Junio</t>
        </is>
      </c>
      <c r="I2485" t="inlineStr">
        <is>
          <t>2025-1</t>
        </is>
      </c>
      <c r="K2485" t="n">
        <v>2890610</v>
      </c>
      <c r="L2485" s="59" t="n"/>
      <c r="M2485" s="59" t="n"/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486-2025-06-30</t>
        </is>
      </c>
    </row>
    <row r="2486">
      <c r="A2486" t="n">
        <v>486</v>
      </c>
      <c r="B2486" t="inlineStr">
        <is>
          <t>Número de visitas a la página web</t>
        </is>
      </c>
      <c r="C2486" t="inlineStr">
        <is>
          <t>Comunicaciones Internas</t>
        </is>
      </c>
      <c r="D2486" t="inlineStr">
        <is>
          <t>Trimestral</t>
        </is>
      </c>
      <c r="E2486" t="inlineStr">
        <is>
          <t>Positivo</t>
        </is>
      </c>
      <c r="F2486" s="148" t="n">
        <v>46022</v>
      </c>
      <c r="G2486" t="n">
        <v>2025</v>
      </c>
      <c r="H2486" t="inlineStr">
        <is>
          <t>Diciembre</t>
        </is>
      </c>
      <c r="I2486" t="inlineStr">
        <is>
          <t>2025-2</t>
        </is>
      </c>
      <c r="K2486" t="n">
        <v>2703941</v>
      </c>
      <c r="L2486" s="59" t="n"/>
      <c r="M2486" s="59" t="n"/>
      <c r="N2486" t="inlineStr">
        <is>
          <t>%</t>
        </is>
      </c>
      <c r="O2486" t="inlineStr">
        <is>
          <t>%</t>
        </is>
      </c>
      <c r="P2486" t="n">
        <v>0</v>
      </c>
      <c r="Q2486" t="n">
        <v>0</v>
      </c>
      <c r="R2486" t="inlineStr">
        <is>
          <t>486-2025-12-31</t>
        </is>
      </c>
    </row>
    <row r="2487">
      <c r="A2487" t="n">
        <v>487</v>
      </c>
      <c r="B2487" t="inlineStr">
        <is>
          <t>Impactados Talleres de formación</t>
        </is>
      </c>
      <c r="C2487" t="inlineStr">
        <is>
          <t>Centro de Medios Audiovisuales</t>
        </is>
      </c>
      <c r="D2487" t="inlineStr">
        <is>
          <t>Anual</t>
        </is>
      </c>
      <c r="E2487" t="inlineStr">
        <is>
          <t>Positivo</t>
        </is>
      </c>
      <c r="F2487" s="148" t="n">
        <v>45657</v>
      </c>
      <c r="G2487" t="n">
        <v>2024</v>
      </c>
      <c r="H2487" t="inlineStr">
        <is>
          <t>Diciembre</t>
        </is>
      </c>
      <c r="I2487" t="inlineStr">
        <is>
          <t>2024-2</t>
        </is>
      </c>
      <c r="J2487" t="n">
        <v>20</v>
      </c>
      <c r="K2487" t="n">
        <v>6.06</v>
      </c>
      <c r="L2487" s="59">
        <f>IFERROR(IF(OR(J2487=0,K2487=""),"",IF(E2487="Positivo",MIN(MAX(K2487/J2487,0),1.3),MIN(MAX(J2487/K2487,0),1.3))),"") </f>
        <v/>
      </c>
      <c r="M2487" s="59">
        <f>IFERROR(IF(OR(J2487=0,K2487=""),"",IF(E2487="Positivo",MAX(K2487/J2487,0),MAX(J2487/K2487,0))),"") </f>
        <v/>
      </c>
      <c r="P2487" t="n">
        <v>0</v>
      </c>
      <c r="Q2487" t="n">
        <v>0</v>
      </c>
      <c r="R2487" t="inlineStr">
        <is>
          <t>487-2024-12-31</t>
        </is>
      </c>
    </row>
    <row r="2488">
      <c r="A2488" t="n">
        <v>487</v>
      </c>
      <c r="B2488" t="inlineStr">
        <is>
          <t>Número Impactados Talleres de formación</t>
        </is>
      </c>
      <c r="C2488" t="inlineStr">
        <is>
          <t>Centro de Medios Audiovisuales</t>
        </is>
      </c>
      <c r="D2488" t="inlineStr">
        <is>
          <t>Anual</t>
        </is>
      </c>
      <c r="E2488" t="inlineStr">
        <is>
          <t>Positivo</t>
        </is>
      </c>
      <c r="F2488" s="148" t="n">
        <v>46022</v>
      </c>
      <c r="G2488" t="n">
        <v>2025</v>
      </c>
      <c r="H2488" t="inlineStr">
        <is>
          <t>Diciembre</t>
        </is>
      </c>
      <c r="I2488" t="inlineStr">
        <is>
          <t>2025-2</t>
        </is>
      </c>
      <c r="J2488" t="n">
        <v>20</v>
      </c>
      <c r="K2488" t="n">
        <v>58.86</v>
      </c>
      <c r="L2488" s="59">
        <f>IFERROR(IF(OR(J2488=0,K2488=""),"",IF(E2488="Positivo",MIN(MAX(K2488/J2488,0),1.3),MIN(MAX(J2488/K2488,0),1.3))),"") </f>
        <v/>
      </c>
      <c r="M2488" s="59">
        <f>IFERROR(IF(OR(J2488=0,K2488=""),"",IF(E2488="Positivo",MAX(K2488/J2488,0),MAX(J2488/K2488,0))),"") </f>
        <v/>
      </c>
      <c r="N2488" t="inlineStr">
        <is>
          <t>%</t>
        </is>
      </c>
      <c r="O2488" t="inlineStr">
        <is>
          <t>%</t>
        </is>
      </c>
      <c r="P2488" t="n">
        <v>0</v>
      </c>
      <c r="Q2488" t="n">
        <v>0</v>
      </c>
      <c r="R2488" t="inlineStr">
        <is>
          <t>487-2025-12-31</t>
        </is>
      </c>
    </row>
    <row r="2489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48" t="n">
        <v>45322</v>
      </c>
      <c r="G2489" t="n">
        <v>2024</v>
      </c>
      <c r="H2489" t="inlineStr">
        <is>
          <t>Enero</t>
        </is>
      </c>
      <c r="I2489" t="inlineStr">
        <is>
          <t>2024-1</t>
        </is>
      </c>
      <c r="L2489" s="59" t="n"/>
      <c r="M2489" s="5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488-2024-01-31</t>
        </is>
      </c>
      <c r="S2489" t="inlineStr">
        <is>
          <t>No Aplica</t>
        </is>
      </c>
    </row>
    <row r="2490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48" t="n">
        <v>45351</v>
      </c>
      <c r="G2490" t="n">
        <v>2024</v>
      </c>
      <c r="H2490" t="inlineStr">
        <is>
          <t>Febrero</t>
        </is>
      </c>
      <c r="I2490" t="inlineStr">
        <is>
          <t>2024-1</t>
        </is>
      </c>
      <c r="L2490" s="59" t="n"/>
      <c r="M2490" s="5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488-2024-02-29</t>
        </is>
      </c>
      <c r="S2490" t="inlineStr">
        <is>
          <t>No Aplica</t>
        </is>
      </c>
    </row>
    <row r="249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48" t="n">
        <v>45382</v>
      </c>
      <c r="G2491" t="n">
        <v>2024</v>
      </c>
      <c r="H2491" t="inlineStr">
        <is>
          <t>Marzo</t>
        </is>
      </c>
      <c r="I2491" t="inlineStr">
        <is>
          <t>2024-1</t>
        </is>
      </c>
      <c r="L2491" s="59" t="n"/>
      <c r="M2491" s="5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488-2024-03-31</t>
        </is>
      </c>
      <c r="S2491" t="inlineStr">
        <is>
          <t>No Aplica</t>
        </is>
      </c>
    </row>
    <row r="2492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48" t="n">
        <v>45412</v>
      </c>
      <c r="G2492" t="n">
        <v>2024</v>
      </c>
      <c r="H2492" t="inlineStr">
        <is>
          <t>Abril</t>
        </is>
      </c>
      <c r="I2492" t="inlineStr">
        <is>
          <t>2024-1</t>
        </is>
      </c>
      <c r="L2492" s="59" t="n"/>
      <c r="M2492" s="5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488-2024-04-30</t>
        </is>
      </c>
      <c r="S2492" t="inlineStr">
        <is>
          <t>No Aplica</t>
        </is>
      </c>
    </row>
    <row r="2493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48" t="n">
        <v>45443</v>
      </c>
      <c r="G2493" t="n">
        <v>2024</v>
      </c>
      <c r="H2493" t="inlineStr">
        <is>
          <t>Mayo</t>
        </is>
      </c>
      <c r="I2493" t="inlineStr">
        <is>
          <t>2024-1</t>
        </is>
      </c>
      <c r="L2493" s="59" t="n"/>
      <c r="M2493" s="5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488-2024-05-31</t>
        </is>
      </c>
      <c r="S2493" t="inlineStr">
        <is>
          <t>No Aplica</t>
        </is>
      </c>
    </row>
    <row r="2494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48" t="n">
        <v>45473</v>
      </c>
      <c r="G2494" t="n">
        <v>2024</v>
      </c>
      <c r="H2494" t="inlineStr">
        <is>
          <t>Junio</t>
        </is>
      </c>
      <c r="I2494" t="inlineStr">
        <is>
          <t>2024-1</t>
        </is>
      </c>
      <c r="L2494" s="59" t="n"/>
      <c r="M2494" s="5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488-2024-06-30</t>
        </is>
      </c>
      <c r="S2494" t="inlineStr">
        <is>
          <t>No Aplica</t>
        </is>
      </c>
    </row>
    <row r="2495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48" t="n">
        <v>45504</v>
      </c>
      <c r="G2495" t="n">
        <v>2024</v>
      </c>
      <c r="H2495" t="inlineStr">
        <is>
          <t>Julio</t>
        </is>
      </c>
      <c r="I2495" t="inlineStr">
        <is>
          <t>2024-2</t>
        </is>
      </c>
      <c r="L2495" s="59" t="n"/>
      <c r="M2495" s="59" t="n"/>
      <c r="N2495" t="inlineStr">
        <is>
          <t>%</t>
        </is>
      </c>
      <c r="O2495" t="inlineStr">
        <is>
          <t>No Aplica</t>
        </is>
      </c>
      <c r="P2495" t="n">
        <v>0</v>
      </c>
      <c r="Q2495" t="n">
        <v>0</v>
      </c>
      <c r="R2495" t="inlineStr">
        <is>
          <t>488-2024-07-31</t>
        </is>
      </c>
      <c r="S2495" t="inlineStr">
        <is>
          <t>No Aplica</t>
        </is>
      </c>
    </row>
    <row r="2496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48" t="n">
        <v>45535</v>
      </c>
      <c r="G2496" t="n">
        <v>2024</v>
      </c>
      <c r="H2496" t="inlineStr">
        <is>
          <t>Agosto</t>
        </is>
      </c>
      <c r="I2496" t="inlineStr">
        <is>
          <t>2024-2</t>
        </is>
      </c>
      <c r="L2496" s="59" t="n"/>
      <c r="M2496" s="59" t="n"/>
      <c r="N2496" t="inlineStr">
        <is>
          <t>%</t>
        </is>
      </c>
      <c r="O2496" t="inlineStr">
        <is>
          <t>No Aplica</t>
        </is>
      </c>
      <c r="P2496" t="n">
        <v>0</v>
      </c>
      <c r="Q2496" t="n">
        <v>0</v>
      </c>
      <c r="R2496" t="inlineStr">
        <is>
          <t>488-2024-08-31</t>
        </is>
      </c>
      <c r="S2496" t="inlineStr">
        <is>
          <t>No Aplica</t>
        </is>
      </c>
    </row>
    <row r="2497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48" t="n">
        <v>45565</v>
      </c>
      <c r="G2497" t="n">
        <v>2024</v>
      </c>
      <c r="H2497" t="inlineStr">
        <is>
          <t>Septiembre</t>
        </is>
      </c>
      <c r="I2497" t="inlineStr">
        <is>
          <t>2024-2</t>
        </is>
      </c>
      <c r="L2497" s="59" t="n"/>
      <c r="M2497" s="59" t="n"/>
      <c r="N2497" t="inlineStr">
        <is>
          <t>%</t>
        </is>
      </c>
      <c r="O2497" t="inlineStr">
        <is>
          <t>No Aplica</t>
        </is>
      </c>
      <c r="P2497" t="n">
        <v>0</v>
      </c>
      <c r="Q2497" t="n">
        <v>0</v>
      </c>
      <c r="R2497" t="inlineStr">
        <is>
          <t>488-2024-09-30</t>
        </is>
      </c>
      <c r="S2497" t="inlineStr">
        <is>
          <t>No Aplica</t>
        </is>
      </c>
    </row>
    <row r="2498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48" t="n">
        <v>45596</v>
      </c>
      <c r="G2498" t="n">
        <v>2024</v>
      </c>
      <c r="H2498" t="inlineStr">
        <is>
          <t>Octubre</t>
        </is>
      </c>
      <c r="I2498" t="inlineStr">
        <is>
          <t>2024-2</t>
        </is>
      </c>
      <c r="J2498" t="n">
        <v>85</v>
      </c>
      <c r="K2498" t="n">
        <v>91.78082191780824</v>
      </c>
      <c r="L2498" s="59">
        <f>IFERROR(IF(OR(J2498=0,K2498=""),"",IF(E2498="Positivo",MIN(MAX(K2498/J2498,0),1.3),MIN(MAX(J2498/K2498,0),1.3))),"") </f>
        <v/>
      </c>
      <c r="M2498" s="59">
        <f>IFERROR(IF(OR(J2498=0,K2498=""),"",IF(E2498="Positivo",MAX(K2498/J2498,0),MAX(J2498/K2498,0))),"") </f>
        <v/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488-2024-10-31</t>
        </is>
      </c>
    </row>
    <row r="2499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48" t="n">
        <v>45626</v>
      </c>
      <c r="G2499" t="n">
        <v>2024</v>
      </c>
      <c r="H2499" t="inlineStr">
        <is>
          <t>Noviembre</t>
        </is>
      </c>
      <c r="I2499" t="inlineStr">
        <is>
          <t>2024-2</t>
        </is>
      </c>
      <c r="J2499" t="n">
        <v>85</v>
      </c>
      <c r="K2499" t="n">
        <v>95.78651685393258</v>
      </c>
      <c r="L2499" s="59">
        <f>IFERROR(IF(OR(J2499=0,K2499=""),"",IF(E2499="Positivo",MIN(MAX(K2499/J2499,0),1.3),MIN(MAX(J2499/K2499,0),1.3))),"") </f>
        <v/>
      </c>
      <c r="M2499" s="59">
        <f>IFERROR(IF(OR(J2499=0,K2499=""),"",IF(E2499="Positivo",MAX(K2499/J2499,0),MAX(J2499/K2499,0))),"") </f>
        <v/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488-2024-11-30</t>
        </is>
      </c>
    </row>
    <row r="2500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48" t="n">
        <v>45657</v>
      </c>
      <c r="G2500" t="n">
        <v>2024</v>
      </c>
      <c r="H2500" t="inlineStr">
        <is>
          <t>Diciembre</t>
        </is>
      </c>
      <c r="I2500" t="inlineStr">
        <is>
          <t>2024-2</t>
        </is>
      </c>
      <c r="J2500" t="n">
        <v>85</v>
      </c>
      <c r="K2500" t="n">
        <v>91.31652661064426</v>
      </c>
      <c r="L2500" s="59">
        <f>IFERROR(IF(OR(J2500=0,K2500=""),"",IF(E2500="Positivo",MIN(MAX(K2500/J2500,0),1.3),MIN(MAX(J2500/K2500,0),1.3))),"") </f>
        <v/>
      </c>
      <c r="M2500" s="59">
        <f>IFERROR(IF(OR(J2500=0,K2500=""),"",IF(E2500="Positivo",MAX(K2500/J2500,0),MAX(J2500/K2500,0))),"") </f>
        <v/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488-2024-12-31</t>
        </is>
      </c>
    </row>
    <row r="250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48" t="n">
        <v>45688</v>
      </c>
      <c r="G2501" t="n">
        <v>2025</v>
      </c>
      <c r="H2501" t="inlineStr">
        <is>
          <t>Enero</t>
        </is>
      </c>
      <c r="I2501" t="inlineStr">
        <is>
          <t>2025-1</t>
        </is>
      </c>
      <c r="J2501" t="n">
        <v>85</v>
      </c>
      <c r="K2501" t="n">
        <v>78.04878048780488</v>
      </c>
      <c r="L2501" s="59">
        <f>IFERROR(IF(OR(J2501=0,K2501=""),"",IF(E2501="Positivo",MIN(MAX(K2501/J2501,0),1.3),MIN(MAX(J2501/K2501,0),1.3))),"") </f>
        <v/>
      </c>
      <c r="M2501" s="59">
        <f>IFERROR(IF(OR(J2501=0,K2501=""),"",IF(E2501="Positivo",MAX(K2501/J2501,0),MAX(J2501/K2501,0))),"") </f>
        <v/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488-2025-01-31</t>
        </is>
      </c>
    </row>
    <row r="2502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48" t="n">
        <v>45716</v>
      </c>
      <c r="G2502" t="n">
        <v>2025</v>
      </c>
      <c r="H2502" t="inlineStr">
        <is>
          <t>Febrero</t>
        </is>
      </c>
      <c r="I2502" t="inlineStr">
        <is>
          <t>2025-1</t>
        </is>
      </c>
      <c r="J2502" t="n">
        <v>85</v>
      </c>
      <c r="K2502" t="n">
        <v>77.20588235294117</v>
      </c>
      <c r="L2502" s="59">
        <f>IFERROR(IF(OR(J2502=0,K2502=""),"",IF(E2502="Positivo",MIN(MAX(K2502/J2502,0),1.3),MIN(MAX(J2502/K2502,0),1.3))),"") </f>
        <v/>
      </c>
      <c r="M2502" s="59">
        <f>IFERROR(IF(OR(J2502=0,K2502=""),"",IF(E2502="Positivo",MAX(K2502/J2502,0),MAX(J2502/K2502,0))),"") </f>
        <v/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488-2025-02-28</t>
        </is>
      </c>
    </row>
    <row r="2503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48" t="n">
        <v>45747</v>
      </c>
      <c r="G2503" t="n">
        <v>2025</v>
      </c>
      <c r="H2503" t="inlineStr">
        <is>
          <t>Marzo</t>
        </is>
      </c>
      <c r="I2503" t="inlineStr">
        <is>
          <t>2025-1</t>
        </is>
      </c>
      <c r="J2503" t="n">
        <v>85</v>
      </c>
      <c r="L2503" s="59" t="n"/>
      <c r="M2503" s="59" t="n"/>
      <c r="N2503" t="inlineStr">
        <is>
          <t>%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488-2025-03-31</t>
        </is>
      </c>
      <c r="S2503" t="inlineStr">
        <is>
          <t>No Aplica</t>
        </is>
      </c>
    </row>
    <row r="2504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48" t="n">
        <v>45777</v>
      </c>
      <c r="G2504" t="n">
        <v>2025</v>
      </c>
      <c r="H2504" t="inlineStr">
        <is>
          <t>Abril</t>
        </is>
      </c>
      <c r="I2504" t="inlineStr">
        <is>
          <t>2025-1</t>
        </is>
      </c>
      <c r="J2504" t="n">
        <v>85</v>
      </c>
      <c r="K2504" t="n">
        <v>64.91</v>
      </c>
      <c r="L2504" s="59">
        <f>IFERROR(IF(OR(J2504=0,K2504=""),"",IF(E2504="Positivo",MIN(MAX(K2504/J2504,0),1.3),MIN(MAX(J2504/K2504,0),1.3))),"") </f>
        <v/>
      </c>
      <c r="M2504" s="59">
        <f>IFERROR(IF(OR(J2504=0,K2504=""),"",IF(E2504="Positivo",MAX(K2504/J2504,0),MAX(J2504/K2504,0))),"") </f>
        <v/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488-2025-04-30</t>
        </is>
      </c>
    </row>
    <row r="2505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48" t="n">
        <v>45808</v>
      </c>
      <c r="G2505" t="n">
        <v>2025</v>
      </c>
      <c r="H2505" t="inlineStr">
        <is>
          <t>Mayo</t>
        </is>
      </c>
      <c r="I2505" t="inlineStr">
        <is>
          <t>2025-1</t>
        </is>
      </c>
      <c r="J2505" t="n">
        <v>85</v>
      </c>
      <c r="K2505" t="n">
        <v>67.86</v>
      </c>
      <c r="L2505" s="59">
        <f>IFERROR(IF(OR(J2505=0,K2505=""),"",IF(E2505="Positivo",MIN(MAX(K2505/J2505,0),1.3),MIN(MAX(J2505/K2505,0),1.3))),"") </f>
        <v/>
      </c>
      <c r="M2505" s="59">
        <f>IFERROR(IF(OR(J2505=0,K2505=""),"",IF(E2505="Positivo",MAX(K2505/J2505,0),MAX(J2505/K2505,0))),"") </f>
        <v/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488-2025-05-31</t>
        </is>
      </c>
    </row>
    <row r="2506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48" t="n">
        <v>45838</v>
      </c>
      <c r="G2506" t="n">
        <v>2025</v>
      </c>
      <c r="H2506" t="inlineStr">
        <is>
          <t>Junio</t>
        </is>
      </c>
      <c r="I2506" t="inlineStr">
        <is>
          <t>2025-1</t>
        </is>
      </c>
      <c r="J2506" t="n">
        <v>85</v>
      </c>
      <c r="K2506" t="n">
        <v>72.41</v>
      </c>
      <c r="L2506" s="59">
        <f>IFERROR(IF(OR(J2506=0,K2506=""),"",IF(E2506="Positivo",MIN(MAX(K2506/J2506,0),1.3),MIN(MAX(J2506/K2506,0),1.3))),"") </f>
        <v/>
      </c>
      <c r="M2506" s="59">
        <f>IFERROR(IF(OR(J2506=0,K2506=""),"",IF(E2506="Positivo",MAX(K2506/J2506,0),MAX(J2506/K2506,0))),"") </f>
        <v/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488-2025-06-30</t>
        </is>
      </c>
    </row>
    <row r="2507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48" t="n">
        <v>45869</v>
      </c>
      <c r="G2507" t="n">
        <v>2025</v>
      </c>
      <c r="H2507" t="inlineStr">
        <is>
          <t>Julio</t>
        </is>
      </c>
      <c r="I2507" t="inlineStr">
        <is>
          <t>2025-2</t>
        </is>
      </c>
      <c r="J2507" t="n">
        <v>85</v>
      </c>
      <c r="K2507" t="n">
        <v>83.54000000000001</v>
      </c>
      <c r="L2507" s="59">
        <f>IFERROR(IF(OR(J2507=0,K2507=""),"",IF(E2507="Positivo",MIN(MAX(K2507/J2507,0),1.3),MIN(MAX(J2507/K2507,0),1.3))),"") </f>
        <v/>
      </c>
      <c r="M2507" s="59">
        <f>IFERROR(IF(OR(J2507=0,K2507=""),"",IF(E2507="Positivo",MAX(K2507/J2507,0),MAX(J2507/K2507,0))),"") </f>
        <v/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488-2025-07-31</t>
        </is>
      </c>
    </row>
    <row r="2508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48" t="n">
        <v>45900</v>
      </c>
      <c r="G2508" t="n">
        <v>2025</v>
      </c>
      <c r="H2508" t="inlineStr">
        <is>
          <t>Agosto</t>
        </is>
      </c>
      <c r="I2508" t="inlineStr">
        <is>
          <t>2025-2</t>
        </is>
      </c>
      <c r="J2508" t="n">
        <v>85</v>
      </c>
      <c r="K2508" t="n">
        <v>81.01000000000001</v>
      </c>
      <c r="L2508" s="59">
        <f>IFERROR(IF(OR(J2508=0,K2508=""),"",IF(E2508="Positivo",MIN(MAX(K2508/J2508,0),1.3),MIN(MAX(J2508/K2508,0),1.3))),"") </f>
        <v/>
      </c>
      <c r="M2508" s="59">
        <f>IFERROR(IF(OR(J2508=0,K2508=""),"",IF(E2508="Positivo",MAX(K2508/J2508,0),MAX(J2508/K2508,0))),"") </f>
        <v/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488-2025-08-31</t>
        </is>
      </c>
    </row>
    <row r="2509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48" t="n">
        <v>45930</v>
      </c>
      <c r="G2509" t="n">
        <v>2025</v>
      </c>
      <c r="H2509" t="inlineStr">
        <is>
          <t>Septiembre</t>
        </is>
      </c>
      <c r="I2509" t="inlineStr">
        <is>
          <t>2025-2</t>
        </is>
      </c>
      <c r="J2509" t="n">
        <v>85</v>
      </c>
      <c r="K2509" t="n">
        <v>86.89</v>
      </c>
      <c r="L2509" s="59">
        <f>IFERROR(IF(OR(J2509=0,K2509=""),"",IF(E2509="Positivo",MIN(MAX(K2509/J2509,0),1.3),MIN(MAX(J2509/K2509,0),1.3))),"") </f>
        <v/>
      </c>
      <c r="M2509" s="59">
        <f>IFERROR(IF(OR(J2509=0,K2509=""),"",IF(E2509="Positivo",MAX(K2509/J2509,0),MAX(J2509/K2509,0))),"") </f>
        <v/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488-2025-09-30</t>
        </is>
      </c>
    </row>
    <row r="2510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48" t="n">
        <v>45961</v>
      </c>
      <c r="G2510" t="n">
        <v>2025</v>
      </c>
      <c r="H2510" t="inlineStr">
        <is>
          <t>Octubre</t>
        </is>
      </c>
      <c r="I2510" t="inlineStr">
        <is>
          <t>2025-2</t>
        </is>
      </c>
      <c r="J2510" t="n">
        <v>85</v>
      </c>
      <c r="K2510" t="n">
        <v>85.59</v>
      </c>
      <c r="L2510" s="59">
        <f>IFERROR(IF(OR(J2510=0,K2510=""),"",IF(E2510="Positivo",MIN(MAX(K2510/J2510,0),1.3),MIN(MAX(J2510/K2510,0),1.3))),"") </f>
        <v/>
      </c>
      <c r="M2510" s="59">
        <f>IFERROR(IF(OR(J2510=0,K2510=""),"",IF(E2510="Positivo",MAX(K2510/J2510,0),MAX(J2510/K2510,0))),"") </f>
        <v/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488-2025-10-31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48" t="n">
        <v>45991</v>
      </c>
      <c r="G2511" t="n">
        <v>2025</v>
      </c>
      <c r="H2511" t="inlineStr">
        <is>
          <t>Noviembre</t>
        </is>
      </c>
      <c r="I2511" t="inlineStr">
        <is>
          <t>2025-2</t>
        </is>
      </c>
      <c r="J2511" t="n">
        <v>85</v>
      </c>
      <c r="K2511" t="n">
        <v>75</v>
      </c>
      <c r="L2511" s="59">
        <f>IFERROR(IF(OR(J2511=0,K2511=""),"",IF(E2511="Positivo",MIN(MAX(K2511/J2511,0),1.3),MIN(MAX(J2511/K2511,0),1.3))),"") </f>
        <v/>
      </c>
      <c r="M2511" s="59">
        <f>IFERROR(IF(OR(J2511=0,K2511=""),"",IF(E2511="Positivo",MAX(K2511/J2511,0),MAX(J2511/K2511,0))),"") </f>
        <v/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488-2025-11-30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48" t="n">
        <v>46022</v>
      </c>
      <c r="G2512" t="n">
        <v>2025</v>
      </c>
      <c r="H2512" t="inlineStr">
        <is>
          <t>Diciembre</t>
        </is>
      </c>
      <c r="I2512" t="inlineStr">
        <is>
          <t>2025-2</t>
        </is>
      </c>
      <c r="J2512" t="n">
        <v>85</v>
      </c>
      <c r="K2512" t="n">
        <v>76.73999999999999</v>
      </c>
      <c r="L2512" s="59">
        <f>IFERROR(IF(OR(J2512=0,K2512=""),"",IF(E2512="Positivo",MIN(MAX(K2512/J2512,0),1.3),MIN(MAX(J2512/K2512,0),1.3))),"") </f>
        <v/>
      </c>
      <c r="M2512" s="59">
        <f>IFERROR(IF(OR(J2512=0,K2512=""),"",IF(E2512="Positivo",MAX(K2512/J2512,0),MAX(J2512/K2512,0))),"") </f>
        <v/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488-2025-12-31</t>
        </is>
      </c>
    </row>
    <row r="2513">
      <c r="A2513" t="n">
        <v>489</v>
      </c>
      <c r="B2513" t="inlineStr">
        <is>
          <t>Cumplimiento en la evaluación de las oportunidades de mejora (OM)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48" t="n">
        <v>45596</v>
      </c>
      <c r="G2513" t="n">
        <v>2024</v>
      </c>
      <c r="H2513" t="inlineStr">
        <is>
          <t>Octubre</t>
        </is>
      </c>
      <c r="I2513" t="inlineStr">
        <is>
          <t>2024-2</t>
        </is>
      </c>
      <c r="J2513" t="n">
        <v>80</v>
      </c>
      <c r="K2513" t="n">
        <v>80</v>
      </c>
      <c r="L2513" s="59">
        <f>IFERROR(IF(OR(J2513=0,K2513=""),"",IF(E2513="Positivo",MIN(MAX(K2513/J2513,0),1.3),MIN(MAX(J2513/K2513,0),1.3))),"") </f>
        <v/>
      </c>
      <c r="M2513" s="59">
        <f>IFERROR(IF(OR(J2513=0,K2513=""),"",IF(E2513="Positivo",MAX(K2513/J2513,0),MAX(J2513/K2513,0))),"") </f>
        <v/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489-2024-10-31</t>
        </is>
      </c>
    </row>
    <row r="2514">
      <c r="A2514" t="n">
        <v>489</v>
      </c>
      <c r="B2514" t="inlineStr">
        <is>
          <t>Cumplimiento en la evaluación de las oportunidades de mejora (OM)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48" t="n">
        <v>45626</v>
      </c>
      <c r="G2514" t="n">
        <v>2024</v>
      </c>
      <c r="H2514" t="inlineStr">
        <is>
          <t>Noviembre</t>
        </is>
      </c>
      <c r="I2514" t="inlineStr">
        <is>
          <t>2024-2</t>
        </is>
      </c>
      <c r="J2514" t="n">
        <v>80</v>
      </c>
      <c r="K2514" t="n">
        <v>100</v>
      </c>
      <c r="L2514" s="59">
        <f>IFERROR(IF(OR(J2514=0,K2514=""),"",IF(E2514="Positivo",MIN(MAX(K2514/J2514,0),1.3),MIN(MAX(J2514/K2514,0),1.3))),"") </f>
        <v/>
      </c>
      <c r="M2514" s="59">
        <f>IFERROR(IF(OR(J2514=0,K2514=""),"",IF(E2514="Positivo",MAX(K2514/J2514,0),MAX(J2514/K2514,0))),"") </f>
        <v/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489-2024-11-30</t>
        </is>
      </c>
    </row>
    <row r="2515">
      <c r="A2515" t="n">
        <v>489</v>
      </c>
      <c r="B2515" t="inlineStr">
        <is>
          <t>Cumplimiento en la evaluación de las oportunidades de mejora (OM)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48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100</v>
      </c>
      <c r="L2515" s="59">
        <f>IFERROR(IF(OR(J2515=0,K2515=""),"",IF(E2515="Positivo",MIN(MAX(K2515/J2515,0),1.3),MIN(MAX(J2515/K2515,0),1.3))),"") </f>
        <v/>
      </c>
      <c r="M2515" s="59">
        <f>IFERROR(IF(OR(J2515=0,K2515=""),"",IF(E2515="Positivo",MAX(K2515/J2515,0),MAX(J2515/K2515,0))),"") </f>
        <v/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489-2024-12-31</t>
        </is>
      </c>
    </row>
    <row r="2516">
      <c r="A2516" t="n">
        <v>490</v>
      </c>
      <c r="B2516" t="inlineStr">
        <is>
          <t>Nivel de Satisfacción Servicios Prestados - Planeación Estratégica</t>
        </is>
      </c>
      <c r="C2516" t="inlineStr">
        <is>
          <t>Planeación Estratégica</t>
        </is>
      </c>
      <c r="D2516" t="inlineStr">
        <is>
          <t>Anual</t>
        </is>
      </c>
      <c r="E2516" t="inlineStr">
        <is>
          <t>Positivo</t>
        </is>
      </c>
      <c r="F2516" s="148" t="n">
        <v>45657</v>
      </c>
      <c r="G2516" t="n">
        <v>2024</v>
      </c>
      <c r="H2516" t="inlineStr">
        <is>
          <t>Diciembre</t>
        </is>
      </c>
      <c r="I2516" t="inlineStr">
        <is>
          <t>2024-2</t>
        </is>
      </c>
      <c r="J2516" t="n">
        <v>80</v>
      </c>
      <c r="K2516" t="n">
        <v>88</v>
      </c>
      <c r="L2516" s="59">
        <f>IFERROR(IF(OR(J2516=0,K2516=""),"",IF(E2516="Positivo",MIN(MAX(K2516/J2516,0),1.3),MIN(MAX(J2516/K2516,0),1.3))),"") </f>
        <v/>
      </c>
      <c r="M2516" s="59">
        <f>IFERROR(IF(OR(J2516=0,K2516=""),"",IF(E2516="Positivo",MAX(K2516/J2516,0),MAX(J2516/K2516,0))),"") </f>
        <v/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490-2024-12-31</t>
        </is>
      </c>
    </row>
    <row r="2517">
      <c r="A2517" t="n">
        <v>490</v>
      </c>
      <c r="B2517" t="inlineStr">
        <is>
          <t>Nivel de Satisfacción Servicios Prestados - Planeación Estratégica</t>
        </is>
      </c>
      <c r="C2517" t="inlineStr">
        <is>
          <t>Planeación Estratégica</t>
        </is>
      </c>
      <c r="D2517" t="inlineStr">
        <is>
          <t>Anual</t>
        </is>
      </c>
      <c r="E2517" t="inlineStr">
        <is>
          <t>Positivo</t>
        </is>
      </c>
      <c r="F2517" s="148" t="n">
        <v>46022</v>
      </c>
      <c r="G2517" t="n">
        <v>2025</v>
      </c>
      <c r="H2517" t="inlineStr">
        <is>
          <t>Diciembre</t>
        </is>
      </c>
      <c r="I2517" t="inlineStr">
        <is>
          <t>2025-2</t>
        </is>
      </c>
      <c r="J2517" t="n">
        <v>80</v>
      </c>
      <c r="K2517" t="n">
        <v>100</v>
      </c>
      <c r="L2517" s="59">
        <f>IFERROR(IF(OR(J2517=0,K2517=""),"",IF(E2517="Positivo",MIN(MAX(K2517/J2517,0),1.3),MIN(MAX(J2517/K2517,0),1.3))),"") </f>
        <v/>
      </c>
      <c r="M2517" s="59">
        <f>IFERROR(IF(OR(J2517=0,K2517=""),"",IF(E2517="Positivo",MAX(K2517/J2517,0),MAX(J2517/K2517,0))),"") </f>
        <v/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490-2025-12-31</t>
        </is>
      </c>
    </row>
    <row r="2518">
      <c r="A2518" t="n">
        <v>491</v>
      </c>
      <c r="B2518" t="inlineStr">
        <is>
          <t>Nivel de Satisfacción Servicios Prestados - Gestión de proyectos</t>
        </is>
      </c>
      <c r="C2518" t="inlineStr">
        <is>
          <t>Gestión de Proyectos</t>
        </is>
      </c>
      <c r="D2518" t="inlineStr">
        <is>
          <t>Anual</t>
        </is>
      </c>
      <c r="E2518" t="inlineStr">
        <is>
          <t>Positivo</t>
        </is>
      </c>
      <c r="F2518" s="148" t="n">
        <v>45657</v>
      </c>
      <c r="G2518" t="n">
        <v>2024</v>
      </c>
      <c r="H2518" t="inlineStr">
        <is>
          <t>Diciembre</t>
        </is>
      </c>
      <c r="I2518" t="inlineStr">
        <is>
          <t>2024-2</t>
        </is>
      </c>
      <c r="J2518" t="n">
        <v>80</v>
      </c>
      <c r="K2518" t="n">
        <v>88</v>
      </c>
      <c r="L2518" s="59">
        <f>IFERROR(IF(OR(J2518=0,K2518=""),"",IF(E2518="Positivo",MIN(MAX(K2518/J2518,0),1.3),MIN(MAX(J2518/K2518,0),1.3))),"") </f>
        <v/>
      </c>
      <c r="M2518" s="59">
        <f>IFERROR(IF(OR(J2518=0,K2518=""),"",IF(E2518="Positivo",MAX(K2518/J2518,0),MAX(J2518/K2518,0))),"") </f>
        <v/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491-2024-12-31</t>
        </is>
      </c>
    </row>
    <row r="2519">
      <c r="A2519" t="n">
        <v>491</v>
      </c>
      <c r="B2519" t="inlineStr">
        <is>
          <t>Nivel de Satisfacción Servicios Prestados - Gestión de proyectos</t>
        </is>
      </c>
      <c r="C2519" t="inlineStr">
        <is>
          <t>Gestión de Proyectos</t>
        </is>
      </c>
      <c r="D2519" t="inlineStr">
        <is>
          <t>Anual</t>
        </is>
      </c>
      <c r="E2519" t="inlineStr">
        <is>
          <t>Positivo</t>
        </is>
      </c>
      <c r="F2519" s="148" t="n">
        <v>46022</v>
      </c>
      <c r="G2519" t="n">
        <v>2025</v>
      </c>
      <c r="H2519" t="inlineStr">
        <is>
          <t>Diciembre</t>
        </is>
      </c>
      <c r="I2519" t="inlineStr">
        <is>
          <t>2025-2</t>
        </is>
      </c>
      <c r="J2519" t="n">
        <v>80</v>
      </c>
      <c r="K2519" t="n">
        <v>100</v>
      </c>
      <c r="L2519" s="59">
        <f>IFERROR(IF(OR(J2519=0,K2519=""),"",IF(E2519="Positivo",MIN(MAX(K2519/J2519,0),1.3),MIN(MAX(J2519/K2519,0),1.3))),"") </f>
        <v/>
      </c>
      <c r="M2519" s="59">
        <f>IFERROR(IF(OR(J2519=0,K2519=""),"",IF(E2519="Positivo",MAX(K2519/J2519,0),MAX(J2519/K2519,0))),"") </f>
        <v/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491-2025-12-31</t>
        </is>
      </c>
    </row>
    <row r="2520">
      <c r="A2520" t="n">
        <v>492</v>
      </c>
      <c r="B2520" t="inlineStr">
        <is>
          <t>Nivel de Satisfacción Servicios Prestados - Desempeño Institucional</t>
        </is>
      </c>
      <c r="C2520" t="inlineStr">
        <is>
          <t>Desempeño Institucional</t>
        </is>
      </c>
      <c r="D2520" t="inlineStr">
        <is>
          <t>Anual</t>
        </is>
      </c>
      <c r="E2520" t="inlineStr">
        <is>
          <t>Positivo</t>
        </is>
      </c>
      <c r="F2520" s="148" t="n">
        <v>45657</v>
      </c>
      <c r="G2520" t="n">
        <v>2024</v>
      </c>
      <c r="H2520" t="inlineStr">
        <is>
          <t>Diciembre</t>
        </is>
      </c>
      <c r="I2520" t="inlineStr">
        <is>
          <t>2024-2</t>
        </is>
      </c>
      <c r="J2520" t="n">
        <v>80</v>
      </c>
      <c r="K2520" t="n">
        <v>83</v>
      </c>
      <c r="L2520" s="59">
        <f>IFERROR(IF(OR(J2520=0,K2520=""),"",IF(E2520="Positivo",MIN(MAX(K2520/J2520,0),1.3),MIN(MAX(J2520/K2520,0),1.3))),"") </f>
        <v/>
      </c>
      <c r="M2520" s="59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492-2024-12-31</t>
        </is>
      </c>
    </row>
    <row r="2521">
      <c r="A2521" t="n">
        <v>492</v>
      </c>
      <c r="B2521" t="inlineStr">
        <is>
          <t>Nivel de Satisfacción Servicios Prestados - Desempeño Institucional</t>
        </is>
      </c>
      <c r="C2521" t="inlineStr">
        <is>
          <t>Desempeño Institucional</t>
        </is>
      </c>
      <c r="D2521" t="inlineStr">
        <is>
          <t>Anual</t>
        </is>
      </c>
      <c r="E2521" t="inlineStr">
        <is>
          <t>Positivo</t>
        </is>
      </c>
      <c r="F2521" s="148" t="n">
        <v>46022</v>
      </c>
      <c r="G2521" t="n">
        <v>2025</v>
      </c>
      <c r="H2521" t="inlineStr">
        <is>
          <t>Diciembre</t>
        </is>
      </c>
      <c r="I2521" t="inlineStr">
        <is>
          <t>2025-2</t>
        </is>
      </c>
      <c r="J2521" t="n">
        <v>80</v>
      </c>
      <c r="K2521" t="n">
        <v>95</v>
      </c>
      <c r="L2521" s="59">
        <f>IFERROR(IF(OR(J2521=0,K2521=""),"",IF(E2521="Positivo",MIN(MAX(K2521/J2521,0),1.3),MIN(MAX(J2521/K2521,0),1.3))),"") </f>
        <v/>
      </c>
      <c r="M2521" s="59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492-2025-12-31</t>
        </is>
      </c>
    </row>
    <row r="2522">
      <c r="A2522" t="n">
        <v>493</v>
      </c>
      <c r="B2522" t="inlineStr">
        <is>
          <t>Nivel de Satisfacción Servicios Prestados - Gestión Jurídica Y Normativa</t>
        </is>
      </c>
      <c r="C2522" t="inlineStr">
        <is>
          <t>GESTIÓN JURÍDICA Y NORMATIVA</t>
        </is>
      </c>
      <c r="D2522" t="inlineStr">
        <is>
          <t>Anual</t>
        </is>
      </c>
      <c r="E2522" t="inlineStr">
        <is>
          <t>Positivo</t>
        </is>
      </c>
      <c r="F2522" s="148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80</v>
      </c>
      <c r="K2522" t="n">
        <v>81</v>
      </c>
      <c r="L2522" s="59">
        <f>IFERROR(IF(OR(J2522=0,K2522=""),"",IF(E2522="Positivo",MIN(MAX(K2522/J2522,0),1.3),MIN(MAX(J2522/K2522,0),1.3))),"") </f>
        <v/>
      </c>
      <c r="M2522" s="59">
        <f>IFERROR(IF(OR(J2522=0,K2522=""),"",IF(E2522="Positivo",MAX(K2522/J2522,0),MAX(J2522/K2522,0))),"") </f>
        <v/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493-2024-12-31</t>
        </is>
      </c>
    </row>
    <row r="2523">
      <c r="A2523" t="n">
        <v>493</v>
      </c>
      <c r="B2523" t="inlineStr">
        <is>
          <t>Nivel de Satisfacción Servicios Prestados - Gestión Jurídica Y Normativa</t>
        </is>
      </c>
      <c r="C2523" t="inlineStr">
        <is>
          <t>GESTIÓN JURÍDICA Y NORMATIVA</t>
        </is>
      </c>
      <c r="D2523" t="inlineStr">
        <is>
          <t>Anual</t>
        </is>
      </c>
      <c r="E2523" t="inlineStr">
        <is>
          <t>Positivo</t>
        </is>
      </c>
      <c r="F2523" s="148" t="n">
        <v>46022</v>
      </c>
      <c r="G2523" t="n">
        <v>2025</v>
      </c>
      <c r="H2523" t="inlineStr">
        <is>
          <t>Diciembre</t>
        </is>
      </c>
      <c r="I2523" t="inlineStr">
        <is>
          <t>2025-2</t>
        </is>
      </c>
      <c r="J2523" t="n">
        <v>80</v>
      </c>
      <c r="K2523" t="n">
        <v>77</v>
      </c>
      <c r="L2523" s="59">
        <f>IFERROR(IF(OR(J2523=0,K2523=""),"",IF(E2523="Positivo",MIN(MAX(K2523/J2523,0),1.3),MIN(MAX(J2523/K2523,0),1.3))),"") </f>
        <v/>
      </c>
      <c r="M2523" s="59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493-2025-12-31</t>
        </is>
      </c>
    </row>
    <row r="2524">
      <c r="A2524" t="n">
        <v>494</v>
      </c>
      <c r="B2524" t="inlineStr">
        <is>
          <t>Nivel de Satisfacción Servicios Prestados - Administración De Servicios Generales</t>
        </is>
      </c>
      <c r="C2524" t="inlineStr">
        <is>
          <t>Administración de Servicios Generales</t>
        </is>
      </c>
      <c r="D2524" t="inlineStr">
        <is>
          <t>Anual</t>
        </is>
      </c>
      <c r="E2524" t="inlineStr">
        <is>
          <t>Positivo</t>
        </is>
      </c>
      <c r="F2524" s="148" t="n">
        <v>45657</v>
      </c>
      <c r="G2524" t="n">
        <v>2024</v>
      </c>
      <c r="H2524" t="inlineStr">
        <is>
          <t>Diciembre</t>
        </is>
      </c>
      <c r="I2524" t="inlineStr">
        <is>
          <t>2024-2</t>
        </is>
      </c>
      <c r="J2524" t="n">
        <v>80</v>
      </c>
      <c r="K2524" t="n">
        <v>89</v>
      </c>
      <c r="L2524" s="59">
        <f>IFERROR(IF(OR(J2524=0,K2524=""),"",IF(E2524="Positivo",MIN(MAX(K2524/J2524,0),1.3),MIN(MAX(J2524/K2524,0),1.3))),"") </f>
        <v/>
      </c>
      <c r="M2524" s="59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494-2024-12-31</t>
        </is>
      </c>
    </row>
    <row r="2525">
      <c r="A2525" t="n">
        <v>494</v>
      </c>
      <c r="B2525" t="inlineStr">
        <is>
          <t>Nivel de Satisfacción Servicios Prestados - Administración De Servicios Generales</t>
        </is>
      </c>
      <c r="C2525" t="inlineStr">
        <is>
          <t>Administración de Servicios Generales</t>
        </is>
      </c>
      <c r="D2525" t="inlineStr">
        <is>
          <t>Anual</t>
        </is>
      </c>
      <c r="E2525" t="inlineStr">
        <is>
          <t>Positivo</t>
        </is>
      </c>
      <c r="F2525" s="148" t="n">
        <v>46022</v>
      </c>
      <c r="G2525" t="n">
        <v>2025</v>
      </c>
      <c r="H2525" t="inlineStr">
        <is>
          <t>Diciembre</t>
        </is>
      </c>
      <c r="I2525" t="inlineStr">
        <is>
          <t>2025-2</t>
        </is>
      </c>
      <c r="J2525" t="n">
        <v>80</v>
      </c>
      <c r="K2525" t="n">
        <v>93</v>
      </c>
      <c r="L2525" s="59">
        <f>IFERROR(IF(OR(J2525=0,K2525=""),"",IF(E2525="Positivo",MIN(MAX(K2525/J2525,0),1.3),MIN(MAX(J2525/K2525,0),1.3))),"") </f>
        <v/>
      </c>
      <c r="M2525" s="59">
        <f>IFERROR(IF(OR(J2525=0,K2525=""),"",IF(E2525="Positivo",MAX(K2525/J2525,0),MAX(J2525/K2525,0))),"") </f>
        <v/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494-2025-12-31</t>
        </is>
      </c>
    </row>
    <row r="2526">
      <c r="A2526" t="n">
        <v>495</v>
      </c>
      <c r="B2526" t="inlineStr">
        <is>
          <t>Nivel de Satisfacción Servicios Prestados - Contabilidad</t>
        </is>
      </c>
      <c r="C2526" t="inlineStr">
        <is>
          <t>Contabilidad</t>
        </is>
      </c>
      <c r="D2526" t="inlineStr">
        <is>
          <t>Anual</t>
        </is>
      </c>
      <c r="E2526" t="inlineStr">
        <is>
          <t>Positivo</t>
        </is>
      </c>
      <c r="F2526" s="148" t="n">
        <v>45657</v>
      </c>
      <c r="G2526" t="n">
        <v>2024</v>
      </c>
      <c r="H2526" t="inlineStr">
        <is>
          <t>Diciembre</t>
        </is>
      </c>
      <c r="I2526" t="inlineStr">
        <is>
          <t>2024-2</t>
        </is>
      </c>
      <c r="J2526" t="n">
        <v>80</v>
      </c>
      <c r="K2526" t="n">
        <v>92</v>
      </c>
      <c r="L2526" s="59">
        <f>IFERROR(IF(OR(J2526=0,K2526=""),"",IF(E2526="Positivo",MIN(MAX(K2526/J2526,0),1.3),MIN(MAX(J2526/K2526,0),1.3))),"") </f>
        <v/>
      </c>
      <c r="M2526" s="59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495-2024-12-31</t>
        </is>
      </c>
    </row>
    <row r="2527">
      <c r="A2527" t="n">
        <v>495</v>
      </c>
      <c r="B2527" t="inlineStr">
        <is>
          <t>Nivel de Satisfacción Servicios Prestados - Contabilidad</t>
        </is>
      </c>
      <c r="C2527" t="inlineStr">
        <is>
          <t>Contabilidad</t>
        </is>
      </c>
      <c r="D2527" t="inlineStr">
        <is>
          <t>Anual</t>
        </is>
      </c>
      <c r="E2527" t="inlineStr">
        <is>
          <t>Positivo</t>
        </is>
      </c>
      <c r="F2527" s="148" t="n">
        <v>46022</v>
      </c>
      <c r="G2527" t="n">
        <v>2025</v>
      </c>
      <c r="H2527" t="inlineStr">
        <is>
          <t>Diciembre</t>
        </is>
      </c>
      <c r="I2527" t="inlineStr">
        <is>
          <t>2025-2</t>
        </is>
      </c>
      <c r="J2527" t="n">
        <v>80</v>
      </c>
      <c r="K2527" t="n">
        <v>63</v>
      </c>
      <c r="L2527" s="59">
        <f>IFERROR(IF(OR(J2527=0,K2527=""),"",IF(E2527="Positivo",MIN(MAX(K2527/J2527,0),1.3),MIN(MAX(J2527/K2527,0),1.3))),"") </f>
        <v/>
      </c>
      <c r="M2527" s="59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495-2025-12-31</t>
        </is>
      </c>
    </row>
    <row r="2528">
      <c r="A2528" t="n">
        <v>496</v>
      </c>
      <c r="B2528" t="inlineStr">
        <is>
          <t>Nivel de Satisfacción Servicios Prestados - Planeación Financiera</t>
        </is>
      </c>
      <c r="C2528" t="inlineStr">
        <is>
          <t>Planeación Financiera</t>
        </is>
      </c>
      <c r="D2528" t="inlineStr">
        <is>
          <t>Anual</t>
        </is>
      </c>
      <c r="E2528" t="inlineStr">
        <is>
          <t>Positivo</t>
        </is>
      </c>
      <c r="F2528" s="148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88</v>
      </c>
      <c r="L2528" s="59">
        <f>IFERROR(IF(OR(J2528=0,K2528=""),"",IF(E2528="Positivo",MIN(MAX(K2528/J2528,0),1.3),MIN(MAX(J2528/K2528,0),1.3))),"") </f>
        <v/>
      </c>
      <c r="M2528" s="59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496-2024-12-31</t>
        </is>
      </c>
    </row>
    <row r="2529">
      <c r="A2529" t="n">
        <v>496</v>
      </c>
      <c r="B2529" t="inlineStr">
        <is>
          <t>Nivel de Satisfacción Servicios Prestados - Planeación Financiera</t>
        </is>
      </c>
      <c r="C2529" t="inlineStr">
        <is>
          <t>Planeación Financiera</t>
        </is>
      </c>
      <c r="D2529" t="inlineStr">
        <is>
          <t>Anual</t>
        </is>
      </c>
      <c r="E2529" t="inlineStr">
        <is>
          <t>Positivo</t>
        </is>
      </c>
      <c r="F2529" s="148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100</v>
      </c>
      <c r="L2529" s="59">
        <f>IFERROR(IF(OR(J2529=0,K2529=""),"",IF(E2529="Positivo",MIN(MAX(K2529/J2529,0),1.3),MIN(MAX(J2529/K2529,0),1.3))),"") </f>
        <v/>
      </c>
      <c r="M2529" s="59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496-2025-12-31</t>
        </is>
      </c>
    </row>
    <row r="2530">
      <c r="A2530" t="n">
        <v>497</v>
      </c>
      <c r="B2530" t="inlineStr">
        <is>
          <t>Nivel de Satisfacción Servicios Prestados - Tesorería</t>
        </is>
      </c>
      <c r="C2530" t="inlineStr">
        <is>
          <t>Tesorería</t>
        </is>
      </c>
      <c r="D2530" t="inlineStr">
        <is>
          <t>Anual</t>
        </is>
      </c>
      <c r="E2530" t="inlineStr">
        <is>
          <t>Positivo</t>
        </is>
      </c>
      <c r="F2530" s="148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83</v>
      </c>
      <c r="L2530" s="59">
        <f>IFERROR(IF(OR(J2530=0,K2530=""),"",IF(E2530="Positivo",MIN(MAX(K2530/J2530,0),1.3),MIN(MAX(J2530/K2530,0),1.3))),"") </f>
        <v/>
      </c>
      <c r="M2530" s="59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497-2024-12-31</t>
        </is>
      </c>
    </row>
    <row r="2531">
      <c r="A2531" t="n">
        <v>498</v>
      </c>
      <c r="B2531" t="inlineStr">
        <is>
          <t>Nivel de Satisfacción Servicios Prestados - Centro de Medios Audiovisuales</t>
        </is>
      </c>
      <c r="C2531" t="inlineStr">
        <is>
          <t>Centro de Medios Audiovisuales</t>
        </is>
      </c>
      <c r="D2531" t="inlineStr">
        <is>
          <t>Anual</t>
        </is>
      </c>
      <c r="E2531" t="inlineStr">
        <is>
          <t>Positivo</t>
        </is>
      </c>
      <c r="F2531" s="148" t="n">
        <v>45657</v>
      </c>
      <c r="G2531" t="n">
        <v>2024</v>
      </c>
      <c r="H2531" t="inlineStr">
        <is>
          <t>Diciembre</t>
        </is>
      </c>
      <c r="I2531" t="inlineStr">
        <is>
          <t>2024-2</t>
        </is>
      </c>
      <c r="J2531" t="n">
        <v>80</v>
      </c>
      <c r="K2531" t="n">
        <v>92</v>
      </c>
      <c r="L2531" s="59">
        <f>IFERROR(IF(OR(J2531=0,K2531=""),"",IF(E2531="Positivo",MIN(MAX(K2531/J2531,0),1.3),MIN(MAX(J2531/K2531,0),1.3))),"") </f>
        <v/>
      </c>
      <c r="M2531" s="59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498-2024-12-31</t>
        </is>
      </c>
    </row>
    <row r="2532">
      <c r="A2532" t="n">
        <v>498</v>
      </c>
      <c r="B2532" t="inlineStr">
        <is>
          <t>Nivel de Satisfacción Servicios Prestados - Centro de Medios Audiovisuales</t>
        </is>
      </c>
      <c r="C2532" t="inlineStr">
        <is>
          <t>Centro de Medios Audiovisuales</t>
        </is>
      </c>
      <c r="D2532" t="inlineStr">
        <is>
          <t>Anual</t>
        </is>
      </c>
      <c r="E2532" t="inlineStr">
        <is>
          <t>Positivo</t>
        </is>
      </c>
      <c r="F2532" s="148" t="n">
        <v>46022</v>
      </c>
      <c r="G2532" t="n">
        <v>2025</v>
      </c>
      <c r="H2532" t="inlineStr">
        <is>
          <t>Diciembre</t>
        </is>
      </c>
      <c r="I2532" t="inlineStr">
        <is>
          <t>2025-2</t>
        </is>
      </c>
      <c r="J2532" t="n">
        <v>80</v>
      </c>
      <c r="K2532" t="n">
        <v>95</v>
      </c>
      <c r="L2532" s="59">
        <f>IFERROR(IF(OR(J2532=0,K2532=""),"",IF(E2532="Positivo",MIN(MAX(K2532/J2532,0),1.3),MIN(MAX(J2532/K2532,0),1.3))),"") </f>
        <v/>
      </c>
      <c r="M2532" s="59">
        <f>IFERROR(IF(OR(J2532=0,K2532=""),"",IF(E2532="Positivo",MAX(K2532/J2532,0),MAX(J2532/K2532,0))),"") </f>
        <v/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498-2025-12-31</t>
        </is>
      </c>
    </row>
    <row r="2533">
      <c r="A2533" t="n">
        <v>499</v>
      </c>
      <c r="B2533" t="inlineStr">
        <is>
          <t>Nivel de Satisfacción Servicios Prestados - Datos y analítica</t>
        </is>
      </c>
      <c r="C2533" t="inlineStr">
        <is>
          <t>DATOS Y ANALÍTICA</t>
        </is>
      </c>
      <c r="D2533" t="inlineStr">
        <is>
          <t>Anual</t>
        </is>
      </c>
      <c r="E2533" t="inlineStr">
        <is>
          <t>Positivo</t>
        </is>
      </c>
      <c r="F2533" s="148" t="n">
        <v>45657</v>
      </c>
      <c r="G2533" t="n">
        <v>2024</v>
      </c>
      <c r="H2533" t="inlineStr">
        <is>
          <t>Diciembre</t>
        </is>
      </c>
      <c r="I2533" t="inlineStr">
        <is>
          <t>2024-2</t>
        </is>
      </c>
      <c r="J2533" t="n">
        <v>80</v>
      </c>
      <c r="K2533" t="n">
        <v>87</v>
      </c>
      <c r="L2533" s="59">
        <f>IFERROR(IF(OR(J2533=0,K2533=""),"",IF(E2533="Positivo",MIN(MAX(K2533/J2533,0),1.3),MIN(MAX(J2533/K2533,0),1.3))),"") </f>
        <v/>
      </c>
      <c r="M2533" s="59">
        <f>IFERROR(IF(OR(J2533=0,K2533=""),"",IF(E2533="Positivo",MAX(K2533/J2533,0),MAX(J2533/K2533,0))),"") </f>
        <v/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499-2024-12-31</t>
        </is>
      </c>
    </row>
    <row r="2534">
      <c r="A2534" t="n">
        <v>499</v>
      </c>
      <c r="B2534" t="inlineStr">
        <is>
          <t>Nivel de Satisfacción Servicios Prestados - Datos y analítica</t>
        </is>
      </c>
      <c r="C2534" t="inlineStr">
        <is>
          <t>DATOS Y ANALÍTICA</t>
        </is>
      </c>
      <c r="D2534" t="inlineStr">
        <is>
          <t>Anual</t>
        </is>
      </c>
      <c r="E2534" t="inlineStr">
        <is>
          <t>Positivo</t>
        </is>
      </c>
      <c r="F2534" s="148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80</v>
      </c>
      <c r="K2534" t="n">
        <v>0</v>
      </c>
      <c r="L2534" s="59">
        <f>IFERROR(IF(OR(J2534=0,K2534=""),"",IF(E2534="Positivo",MIN(MAX(K2534/J2534,0),1.3),MIN(MAX(J2534/K2534,0),1.3))),"") </f>
        <v/>
      </c>
      <c r="M2534" s="59">
        <f>IFERROR(IF(OR(J2534=0,K2534=""),"",IF(E2534="Positivo",MAX(K2534/J2534,0),MAX(J2534/K2534,0))),"") </f>
        <v/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499-2025-12-31</t>
        </is>
      </c>
    </row>
    <row r="2535">
      <c r="A2535" t="n">
        <v>500</v>
      </c>
      <c r="B2535" t="inlineStr">
        <is>
          <t>Nivel de Satisfacción Servicios Prestados -Servicio de Salud</t>
        </is>
      </c>
      <c r="C2535" t="inlineStr">
        <is>
          <t>Servicio de Salud</t>
        </is>
      </c>
      <c r="D2535" t="inlineStr">
        <is>
          <t>Anual</t>
        </is>
      </c>
      <c r="E2535" t="inlineStr">
        <is>
          <t>Positivo</t>
        </is>
      </c>
      <c r="F2535" s="148" t="n">
        <v>45657</v>
      </c>
      <c r="G2535" t="n">
        <v>2024</v>
      </c>
      <c r="H2535" t="inlineStr">
        <is>
          <t>Diciembre</t>
        </is>
      </c>
      <c r="I2535" t="inlineStr">
        <is>
          <t>2024-2</t>
        </is>
      </c>
      <c r="J2535" t="n">
        <v>80</v>
      </c>
      <c r="K2535" t="n">
        <v>89</v>
      </c>
      <c r="L2535" s="59">
        <f>IFERROR(IF(OR(J2535=0,K2535=""),"",IF(E2535="Positivo",MIN(MAX(K2535/J2535,0),1.3),MIN(MAX(J2535/K2535,0),1.3))),"") </f>
        <v/>
      </c>
      <c r="M2535" s="59">
        <f>IFERROR(IF(OR(J2535=0,K2535=""),"",IF(E2535="Positivo",MAX(K2535/J2535,0),MAX(J2535/K2535,0))),"") </f>
        <v/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500-2024-12-31</t>
        </is>
      </c>
    </row>
    <row r="2536">
      <c r="A2536" t="n">
        <v>500</v>
      </c>
      <c r="B2536" t="inlineStr">
        <is>
          <t>Nivel de Satisfacción Servicios Prestados -Servicio de Salud</t>
        </is>
      </c>
      <c r="C2536" t="inlineStr">
        <is>
          <t>Servicio de Salud</t>
        </is>
      </c>
      <c r="D2536" t="inlineStr">
        <is>
          <t>Anual</t>
        </is>
      </c>
      <c r="E2536" t="inlineStr">
        <is>
          <t>Positivo</t>
        </is>
      </c>
      <c r="F2536" s="148" t="n">
        <v>46022</v>
      </c>
      <c r="G2536" t="n">
        <v>2025</v>
      </c>
      <c r="H2536" t="inlineStr">
        <is>
          <t>Diciembre</t>
        </is>
      </c>
      <c r="I2536" t="inlineStr">
        <is>
          <t>2025-2</t>
        </is>
      </c>
      <c r="J2536" t="n">
        <v>80</v>
      </c>
      <c r="K2536" t="n">
        <v>100</v>
      </c>
      <c r="L2536" s="59">
        <f>IFERROR(IF(OR(J2536=0,K2536=""),"",IF(E2536="Positivo",MIN(MAX(K2536/J2536,0),1.3),MIN(MAX(J2536/K2536,0),1.3))),"") </f>
        <v/>
      </c>
      <c r="M2536" s="59">
        <f>IFERROR(IF(OR(J2536=0,K2536=""),"",IF(E2536="Positivo",MAX(K2536/J2536,0),MAX(J2536/K2536,0))),"") </f>
        <v/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500-2025-12-31</t>
        </is>
      </c>
    </row>
    <row r="2537">
      <c r="A2537" t="n">
        <v>501</v>
      </c>
      <c r="B2537" t="inlineStr">
        <is>
          <t>Nivel de Satisfacción Servicios Prestados -Gestión, evaluación e innovación curricular</t>
        </is>
      </c>
      <c r="C2537" t="inlineStr">
        <is>
          <t>Gestión, Evaluación e Innovación Curricular</t>
        </is>
      </c>
      <c r="D2537" t="inlineStr">
        <is>
          <t>Anual</t>
        </is>
      </c>
      <c r="E2537" t="inlineStr">
        <is>
          <t>Positivo</t>
        </is>
      </c>
      <c r="F2537" s="148" t="n">
        <v>45657</v>
      </c>
      <c r="G2537" t="n">
        <v>2024</v>
      </c>
      <c r="H2537" t="inlineStr">
        <is>
          <t>Diciembre</t>
        </is>
      </c>
      <c r="I2537" t="inlineStr">
        <is>
          <t>2024-2</t>
        </is>
      </c>
      <c r="J2537" t="n">
        <v>80</v>
      </c>
      <c r="K2537" t="n">
        <v>88</v>
      </c>
      <c r="L2537" s="59">
        <f>IFERROR(IF(OR(J2537=0,K2537=""),"",IF(E2537="Positivo",MIN(MAX(K2537/J2537,0),1.3),MIN(MAX(J2537/K2537,0),1.3))),"") </f>
        <v/>
      </c>
      <c r="M2537" s="59">
        <f>IFERROR(IF(OR(J2537=0,K2537=""),"",IF(E2537="Positivo",MAX(K2537/J2537,0),MAX(J2537/K2537,0))),"") </f>
        <v/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501-2024-12-31</t>
        </is>
      </c>
    </row>
    <row r="2538">
      <c r="A2538" t="n">
        <v>501</v>
      </c>
      <c r="B2538" t="inlineStr">
        <is>
          <t>Nivel de Satisfacción Servicios Prestados -Gestión, evaluación e innovación curricular</t>
        </is>
      </c>
      <c r="C2538" t="inlineStr">
        <is>
          <t>Gestión, Evaluación e Innovación Curricular</t>
        </is>
      </c>
      <c r="D2538" t="inlineStr">
        <is>
          <t>Anual</t>
        </is>
      </c>
      <c r="E2538" t="inlineStr">
        <is>
          <t>Positivo</t>
        </is>
      </c>
      <c r="F2538" s="148" t="n">
        <v>46022</v>
      </c>
      <c r="G2538" t="n">
        <v>2025</v>
      </c>
      <c r="H2538" t="inlineStr">
        <is>
          <t>Diciembre</t>
        </is>
      </c>
      <c r="I2538" t="inlineStr">
        <is>
          <t>2025-2</t>
        </is>
      </c>
      <c r="J2538" t="n">
        <v>80</v>
      </c>
      <c r="K2538" t="n">
        <v>100</v>
      </c>
      <c r="L2538" s="59">
        <f>IFERROR(IF(OR(J2538=0,K2538=""),"",IF(E2538="Positivo",MIN(MAX(K2538/J2538,0),1.3),MIN(MAX(J2538/K2538,0),1.3))),"") </f>
        <v/>
      </c>
      <c r="M2538" s="59">
        <f>IFERROR(IF(OR(J2538=0,K2538=""),"",IF(E2538="Positivo",MAX(K2538/J2538,0),MAX(J2538/K2538,0))),"") </f>
        <v/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501-2025-12-31</t>
        </is>
      </c>
    </row>
    <row r="2539">
      <c r="A2539" t="n">
        <v>502</v>
      </c>
      <c r="B2539" t="inlineStr">
        <is>
          <t>Nivel de Satisfacción Servicios Prestados -Formación para la investigación, creación e innovación</t>
        </is>
      </c>
      <c r="C2539" t="inlineStr">
        <is>
          <t>Formación para la investigación, creación e innovación</t>
        </is>
      </c>
      <c r="D2539" t="inlineStr">
        <is>
          <t>Anual</t>
        </is>
      </c>
      <c r="E2539" t="inlineStr">
        <is>
          <t>Positivo</t>
        </is>
      </c>
      <c r="F2539" s="148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90</v>
      </c>
      <c r="L2539" s="59">
        <f>IFERROR(IF(OR(J2539=0,K2539=""),"",IF(E2539="Positivo",MIN(MAX(K2539/J2539,0),1.3),MIN(MAX(J2539/K2539,0),1.3))),"") </f>
        <v/>
      </c>
      <c r="M2539" s="59">
        <f>IFERROR(IF(OR(J2539=0,K2539=""),"",IF(E2539="Positivo",MAX(K2539/J2539,0),MAX(J2539/K2539,0))),"") </f>
        <v/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502-2024-12-31</t>
        </is>
      </c>
    </row>
    <row r="2540">
      <c r="A2540" t="n">
        <v>502</v>
      </c>
      <c r="B2540" t="inlineStr">
        <is>
          <t>Nivel de Satisfacción Servicios Prestados -Formación para la investigación, creación e innovación</t>
        </is>
      </c>
      <c r="C2540" t="inlineStr">
        <is>
          <t>Formación para la investigación, creación e innovación</t>
        </is>
      </c>
      <c r="D2540" t="inlineStr">
        <is>
          <t>Anual</t>
        </is>
      </c>
      <c r="E2540" t="inlineStr">
        <is>
          <t>Positivo</t>
        </is>
      </c>
      <c r="F2540" s="148" t="n">
        <v>46022</v>
      </c>
      <c r="G2540" t="n">
        <v>2025</v>
      </c>
      <c r="H2540" t="inlineStr">
        <is>
          <t>Diciembre</t>
        </is>
      </c>
      <c r="I2540" t="inlineStr">
        <is>
          <t>2025-2</t>
        </is>
      </c>
      <c r="J2540" t="n">
        <v>80</v>
      </c>
      <c r="K2540" t="n">
        <v>97</v>
      </c>
      <c r="L2540" s="59">
        <f>IFERROR(IF(OR(J2540=0,K2540=""),"",IF(E2540="Positivo",MIN(MAX(K2540/J2540,0),1.3),MIN(MAX(J2540/K2540,0),1.3))),"") </f>
        <v/>
      </c>
      <c r="M2540" s="59">
        <f>IFERROR(IF(OR(J2540=0,K2540=""),"",IF(E2540="Positivo",MAX(K2540/J2540,0),MAX(J2540/K2540,0))),"") </f>
        <v/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502-2025-12-31</t>
        </is>
      </c>
    </row>
    <row r="2541">
      <c r="A2541" t="n">
        <v>503</v>
      </c>
      <c r="B2541" t="inlineStr">
        <is>
          <t>Nivel de Satisfacción Servicios Prestados -Gestión de Unidades Académicas</t>
        </is>
      </c>
      <c r="C2541" t="inlineStr">
        <is>
          <t>Gestión de Unidades Académicas</t>
        </is>
      </c>
      <c r="D2541" t="inlineStr">
        <is>
          <t>Anual</t>
        </is>
      </c>
      <c r="E2541" t="inlineStr">
        <is>
          <t>Positivo</t>
        </is>
      </c>
      <c r="F2541" s="148" t="n">
        <v>45657</v>
      </c>
      <c r="G2541" t="n">
        <v>2024</v>
      </c>
      <c r="H2541" t="inlineStr">
        <is>
          <t>Diciembre</t>
        </is>
      </c>
      <c r="I2541" t="inlineStr">
        <is>
          <t>2024-2</t>
        </is>
      </c>
      <c r="J2541" t="n">
        <v>80</v>
      </c>
      <c r="K2541" t="n">
        <v>86</v>
      </c>
      <c r="L2541" s="59">
        <f>IFERROR(IF(OR(J2541=0,K2541=""),"",IF(E2541="Positivo",MIN(MAX(K2541/J2541,0),1.3),MIN(MAX(J2541/K2541,0),1.3))),"") </f>
        <v/>
      </c>
      <c r="M2541" s="59">
        <f>IFERROR(IF(OR(J2541=0,K2541=""),"",IF(E2541="Positivo",MAX(K2541/J2541,0),MAX(J2541/K2541,0))),"") </f>
        <v/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503-2024-12-31</t>
        </is>
      </c>
    </row>
    <row r="2542">
      <c r="A2542" t="n">
        <v>503</v>
      </c>
      <c r="B2542" t="inlineStr">
        <is>
          <t>Nivel de Satisfacción Servicios Prestados -Gestión de Unidades Académicas</t>
        </is>
      </c>
      <c r="C2542" t="inlineStr">
        <is>
          <t>Gestión de Unidades Académicas</t>
        </is>
      </c>
      <c r="D2542" t="inlineStr">
        <is>
          <t>Anual</t>
        </is>
      </c>
      <c r="E2542" t="inlineStr">
        <is>
          <t>Positivo</t>
        </is>
      </c>
      <c r="F2542" s="148" t="n">
        <v>46022</v>
      </c>
      <c r="G2542" t="n">
        <v>2025</v>
      </c>
      <c r="H2542" t="inlineStr">
        <is>
          <t>Diciembre</t>
        </is>
      </c>
      <c r="I2542" t="inlineStr">
        <is>
          <t>2025-2</t>
        </is>
      </c>
      <c r="J2542" t="n">
        <v>80</v>
      </c>
      <c r="K2542" t="n">
        <v>94</v>
      </c>
      <c r="L2542" s="59">
        <f>IFERROR(IF(OR(J2542=0,K2542=""),"",IF(E2542="Positivo",MIN(MAX(K2542/J2542,0),1.3),MIN(MAX(J2542/K2542,0),1.3))),"") </f>
        <v/>
      </c>
      <c r="M2542" s="59">
        <f>IFERROR(IF(OR(J2542=0,K2542=""),"",IF(E2542="Positivo",MAX(K2542/J2542,0),MAX(J2542/K2542,0))),"") </f>
        <v/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503-2025-12-31</t>
        </is>
      </c>
    </row>
    <row r="2543">
      <c r="A2543" t="n">
        <v>504</v>
      </c>
      <c r="B2543" t="inlineStr">
        <is>
          <t>Nivel de Satisfacción Servicios Prestados - LEI</t>
        </is>
      </c>
      <c r="C2543" t="inlineStr">
        <is>
          <t>LEI</t>
        </is>
      </c>
      <c r="D2543" t="inlineStr">
        <is>
          <t>Anual</t>
        </is>
      </c>
      <c r="E2543" t="inlineStr">
        <is>
          <t>Positivo</t>
        </is>
      </c>
      <c r="F2543" s="148" t="n">
        <v>45657</v>
      </c>
      <c r="G2543" t="n">
        <v>2024</v>
      </c>
      <c r="H2543" t="inlineStr">
        <is>
          <t>Diciembre</t>
        </is>
      </c>
      <c r="I2543" t="inlineStr">
        <is>
          <t>2024-2</t>
        </is>
      </c>
      <c r="J2543" t="n">
        <v>80</v>
      </c>
      <c r="K2543" t="n">
        <v>88</v>
      </c>
      <c r="L2543" s="59">
        <f>IFERROR(IF(OR(J2543=0,K2543=""),"",IF(E2543="Positivo",MIN(MAX(K2543/J2543,0),1.3),MIN(MAX(J2543/K2543,0),1.3))),"") </f>
        <v/>
      </c>
      <c r="M2543" s="59">
        <f>IFERROR(IF(OR(J2543=0,K2543=""),"",IF(E2543="Positivo",MAX(K2543/J2543,0),MAX(J2543/K2543,0))),"") </f>
        <v/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504-2024-12-31</t>
        </is>
      </c>
    </row>
    <row r="2544">
      <c r="A2544" t="n">
        <v>504</v>
      </c>
      <c r="B2544" t="inlineStr">
        <is>
          <t>Nivel de Satisfacción Servicios Prestados - LEI</t>
        </is>
      </c>
      <c r="C2544" t="inlineStr">
        <is>
          <t>LEI</t>
        </is>
      </c>
      <c r="D2544" t="inlineStr">
        <is>
          <t>Anual</t>
        </is>
      </c>
      <c r="E2544" t="inlineStr">
        <is>
          <t>Positivo</t>
        </is>
      </c>
      <c r="F2544" s="148" t="n">
        <v>46022</v>
      </c>
      <c r="G2544" t="n">
        <v>2025</v>
      </c>
      <c r="H2544" t="inlineStr">
        <is>
          <t>Diciembre</t>
        </is>
      </c>
      <c r="I2544" t="inlineStr">
        <is>
          <t>2025-2</t>
        </is>
      </c>
      <c r="J2544" t="n">
        <v>80</v>
      </c>
      <c r="K2544" t="n">
        <v>88</v>
      </c>
      <c r="L2544" s="59">
        <f>IFERROR(IF(OR(J2544=0,K2544=""),"",IF(E2544="Positivo",MIN(MAX(K2544/J2544,0),1.3),MIN(MAX(J2544/K2544,0),1.3))),"") </f>
        <v/>
      </c>
      <c r="M2544" s="59">
        <f>IFERROR(IF(OR(J2544=0,K2544=""),"",IF(E2544="Positivo",MAX(K2544/J2544,0),MAX(J2544/K2544,0))),"") </f>
        <v/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504-2025-12-31</t>
        </is>
      </c>
    </row>
    <row r="2545">
      <c r="A2545" t="n">
        <v>505</v>
      </c>
      <c r="B2545" t="inlineStr">
        <is>
          <t>Nivel de Satisfacción Servicios Prestados - Mercadeo de programas académicos</t>
        </is>
      </c>
      <c r="C2545" t="inlineStr">
        <is>
          <t>Mercadeo de programas académicos</t>
        </is>
      </c>
      <c r="D2545" t="inlineStr">
        <is>
          <t>Anual</t>
        </is>
      </c>
      <c r="E2545" t="inlineStr">
        <is>
          <t>Positivo</t>
        </is>
      </c>
      <c r="F2545" s="148" t="n">
        <v>45657</v>
      </c>
      <c r="G2545" t="n">
        <v>2024</v>
      </c>
      <c r="H2545" t="inlineStr">
        <is>
          <t>Diciembre</t>
        </is>
      </c>
      <c r="I2545" t="inlineStr">
        <is>
          <t>2024-2</t>
        </is>
      </c>
      <c r="J2545" t="n">
        <v>80</v>
      </c>
      <c r="K2545" t="n">
        <v>85</v>
      </c>
      <c r="L2545" s="59">
        <f>IFERROR(IF(OR(J2545=0,K2545=""),"",IF(E2545="Positivo",MIN(MAX(K2545/J2545,0),1.3),MIN(MAX(J2545/K2545,0),1.3))),"") </f>
        <v/>
      </c>
      <c r="M2545" s="59">
        <f>IFERROR(IF(OR(J2545=0,K2545=""),"",IF(E2545="Positivo",MAX(K2545/J2545,0),MAX(J2545/K2545,0))),"") </f>
        <v/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505-2024-12-31</t>
        </is>
      </c>
    </row>
    <row r="2546">
      <c r="A2546" t="n">
        <v>505</v>
      </c>
      <c r="B2546" t="inlineStr">
        <is>
          <t>Nivel de Satisfacción Servicios Prestados - Mercadeo de programas académicos</t>
        </is>
      </c>
      <c r="C2546" t="inlineStr">
        <is>
          <t>Mercadeo de programas académicos</t>
        </is>
      </c>
      <c r="D2546" t="inlineStr">
        <is>
          <t>Anual</t>
        </is>
      </c>
      <c r="E2546" t="inlineStr">
        <is>
          <t>Positivo</t>
        </is>
      </c>
      <c r="F2546" s="148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86</v>
      </c>
      <c r="L2546" s="59">
        <f>IFERROR(IF(OR(J2546=0,K2546=""),"",IF(E2546="Positivo",MIN(MAX(K2546/J2546,0),1.3),MIN(MAX(J2546/K2546,0),1.3))),"") </f>
        <v/>
      </c>
      <c r="M2546" s="59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505-2025-12-31</t>
        </is>
      </c>
    </row>
    <row r="2547">
      <c r="A2547" t="n">
        <v>506</v>
      </c>
      <c r="B2547" t="inlineStr">
        <is>
          <t>Nivel de Satisfacción Servicios Prestados - Prácticas</t>
        </is>
      </c>
      <c r="C2547" t="inlineStr">
        <is>
          <t>Prácticas</t>
        </is>
      </c>
      <c r="D2547" t="inlineStr">
        <is>
          <t>Anual</t>
        </is>
      </c>
      <c r="E2547" t="inlineStr">
        <is>
          <t>Positivo</t>
        </is>
      </c>
      <c r="F2547" s="148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67</v>
      </c>
      <c r="L2547" s="59">
        <f>IFERROR(IF(OR(J2547=0,K2547=""),"",IF(E2547="Positivo",MIN(MAX(K2547/J2547,0),1.3),MIN(MAX(J2547/K2547,0),1.3))),"") </f>
        <v/>
      </c>
      <c r="M2547" s="59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506-2024-12-31</t>
        </is>
      </c>
    </row>
    <row r="2548">
      <c r="A2548" t="n">
        <v>506</v>
      </c>
      <c r="B2548" t="inlineStr">
        <is>
          <t>Nivel de Satisfacción Servicios Prestados - Prácticas</t>
        </is>
      </c>
      <c r="C2548" t="inlineStr">
        <is>
          <t>Prácticas</t>
        </is>
      </c>
      <c r="D2548" t="inlineStr">
        <is>
          <t>Trimestral</t>
        </is>
      </c>
      <c r="E2548" t="inlineStr">
        <is>
          <t>Positivo</t>
        </is>
      </c>
      <c r="F2548" s="148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95</v>
      </c>
      <c r="L2548" s="59">
        <f>IFERROR(IF(OR(J2548=0,K2548=""),"",IF(E2548="Positivo",MIN(MAX(K2548/J2548,0),1.3),MIN(MAX(J2548/K2548,0),1.3))),"") </f>
        <v/>
      </c>
      <c r="M2548" s="59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506-2025-06-30</t>
        </is>
      </c>
    </row>
    <row r="2549">
      <c r="A2549" t="n">
        <v>506</v>
      </c>
      <c r="B2549" t="inlineStr">
        <is>
          <t>Nivel de Satisfacción Servicios Prestados - Prácticas</t>
        </is>
      </c>
      <c r="C2549" t="inlineStr">
        <is>
          <t>Prácticas</t>
        </is>
      </c>
      <c r="D2549" t="inlineStr">
        <is>
          <t>Trimestral</t>
        </is>
      </c>
      <c r="E2549" t="inlineStr">
        <is>
          <t>Positivo</t>
        </is>
      </c>
      <c r="F2549" s="148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92.5</v>
      </c>
      <c r="L2549" s="59">
        <f>IFERROR(IF(OR(J2549=0,K2549=""),"",IF(E2549="Positivo",MIN(MAX(K2549/J2549,0),1.3),MIN(MAX(J2549/K2549,0),1.3))),"") </f>
        <v/>
      </c>
      <c r="M2549" s="59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506-2025-12-31</t>
        </is>
      </c>
    </row>
    <row r="2550">
      <c r="A2550" t="n">
        <v>507</v>
      </c>
      <c r="B2550" t="inlineStr">
        <is>
          <t>Nivel de Satisfacción Servicios Prestados -Cultura y Deporte</t>
        </is>
      </c>
      <c r="C2550" t="inlineStr">
        <is>
          <t>Cultura y Deporte</t>
        </is>
      </c>
      <c r="D2550" t="inlineStr">
        <is>
          <t>Anual</t>
        </is>
      </c>
      <c r="E2550" t="inlineStr">
        <is>
          <t>Positivo</t>
        </is>
      </c>
      <c r="F2550" s="148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77</v>
      </c>
      <c r="L2550" s="59">
        <f>IFERROR(IF(OR(J2550=0,K2550=""),"",IF(E2550="Positivo",MIN(MAX(K2550/J2550,0),1.3),MIN(MAX(J2550/K2550,0),1.3))),"") </f>
        <v/>
      </c>
      <c r="M2550" s="59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507-2024-12-31</t>
        </is>
      </c>
    </row>
    <row r="2551">
      <c r="A2551" t="n">
        <v>507</v>
      </c>
      <c r="B2551" t="inlineStr">
        <is>
          <t>Nivel de Satisfacción Servicios Prestados -Cultura y Deporte</t>
        </is>
      </c>
      <c r="C2551" t="inlineStr">
        <is>
          <t>Cultura y Deporte</t>
        </is>
      </c>
      <c r="D2551" t="inlineStr">
        <is>
          <t>Trimestral</t>
        </is>
      </c>
      <c r="E2551" t="inlineStr">
        <is>
          <t>Positivo</t>
        </is>
      </c>
      <c r="F2551" s="148" t="n">
        <v>45838</v>
      </c>
      <c r="G2551" t="n">
        <v>2025</v>
      </c>
      <c r="H2551" t="inlineStr">
        <is>
          <t>Junio</t>
        </is>
      </c>
      <c r="I2551" t="inlineStr">
        <is>
          <t>2025-1</t>
        </is>
      </c>
      <c r="J2551" t="n">
        <v>80</v>
      </c>
      <c r="K2551" t="n">
        <v>98.75</v>
      </c>
      <c r="L2551" s="59">
        <f>IFERROR(IF(OR(J2551=0,K2551=""),"",IF(E2551="Positivo",MIN(MAX(K2551/J2551,0),1.3),MIN(MAX(J2551/K2551,0),1.3))),"") </f>
        <v/>
      </c>
      <c r="M2551" s="59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507-2025-06-30</t>
        </is>
      </c>
    </row>
    <row r="2552">
      <c r="A2552" t="n">
        <v>507</v>
      </c>
      <c r="B2552" t="inlineStr">
        <is>
          <t>Nivel de Satisfacción Servicios Prestados -Cultura y Deporte</t>
        </is>
      </c>
      <c r="C2552" t="inlineStr">
        <is>
          <t>Cultura y Deporte</t>
        </is>
      </c>
      <c r="D2552" t="inlineStr">
        <is>
          <t>Trimestral</t>
        </is>
      </c>
      <c r="E2552" t="inlineStr">
        <is>
          <t>Positivo</t>
        </is>
      </c>
      <c r="F2552" s="148" t="n">
        <v>46022</v>
      </c>
      <c r="G2552" t="n">
        <v>2025</v>
      </c>
      <c r="H2552" t="inlineStr">
        <is>
          <t>Diciembre</t>
        </is>
      </c>
      <c r="I2552" t="inlineStr">
        <is>
          <t>2025-2</t>
        </is>
      </c>
      <c r="J2552" t="n">
        <v>80</v>
      </c>
      <c r="K2552" t="n">
        <v>99</v>
      </c>
      <c r="L2552" s="59">
        <f>IFERROR(IF(OR(J2552=0,K2552=""),"",IF(E2552="Positivo",MIN(MAX(K2552/J2552,0),1.3),MIN(MAX(J2552/K2552,0),1.3))),"") </f>
        <v/>
      </c>
      <c r="M2552" s="59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507-2025-12-31</t>
        </is>
      </c>
    </row>
    <row r="2553">
      <c r="A2553" t="n">
        <v>508</v>
      </c>
      <c r="B2553" t="inlineStr">
        <is>
          <t>Nivel de Satisfacción Servicios Prestados - Diseño y contenido virtual</t>
        </is>
      </c>
      <c r="C2553" t="inlineStr">
        <is>
          <t>Diseño de Contenido Virtual</t>
        </is>
      </c>
      <c r="D2553" t="inlineStr">
        <is>
          <t>Anual</t>
        </is>
      </c>
      <c r="E2553" t="inlineStr">
        <is>
          <t>Positivo</t>
        </is>
      </c>
      <c r="F2553" s="148" t="n">
        <v>45657</v>
      </c>
      <c r="G2553" t="n">
        <v>2024</v>
      </c>
      <c r="H2553" t="inlineStr">
        <is>
          <t>Diciembre</t>
        </is>
      </c>
      <c r="I2553" t="inlineStr">
        <is>
          <t>2024-2</t>
        </is>
      </c>
      <c r="J2553" t="n">
        <v>80</v>
      </c>
      <c r="K2553" t="n">
        <v>88</v>
      </c>
      <c r="L2553" s="59">
        <f>IFERROR(IF(OR(J2553=0,K2553=""),"",IF(E2553="Positivo",MIN(MAX(K2553/J2553,0),1.3),MIN(MAX(J2553/K2553,0),1.3))),"") </f>
        <v/>
      </c>
      <c r="M2553" s="59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508-2024-12-31</t>
        </is>
      </c>
    </row>
    <row r="2554">
      <c r="A2554" t="n">
        <v>508</v>
      </c>
      <c r="B2554" t="inlineStr">
        <is>
          <t>Nivel de Satisfacción Servicios Prestados - Diseño y contenido virtual</t>
        </is>
      </c>
      <c r="C2554" t="inlineStr">
        <is>
          <t>Diseño de Contenido Virtual</t>
        </is>
      </c>
      <c r="D2554" t="inlineStr">
        <is>
          <t>Anual</t>
        </is>
      </c>
      <c r="E2554" t="inlineStr">
        <is>
          <t>Positivo</t>
        </is>
      </c>
      <c r="F2554" s="148" t="n">
        <v>46022</v>
      </c>
      <c r="G2554" t="n">
        <v>2025</v>
      </c>
      <c r="H2554" t="inlineStr">
        <is>
          <t>Diciembre</t>
        </is>
      </c>
      <c r="I2554" t="inlineStr">
        <is>
          <t>2025-2</t>
        </is>
      </c>
      <c r="J2554" t="n">
        <v>80</v>
      </c>
      <c r="K2554" t="n">
        <v>89</v>
      </c>
      <c r="L2554" s="59">
        <f>IFERROR(IF(OR(J2554=0,K2554=""),"",IF(E2554="Positivo",MIN(MAX(K2554/J2554,0),1.3),MIN(MAX(J2554/K2554,0),1.3))),"") </f>
        <v/>
      </c>
      <c r="M2554" s="59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508-2025-12-31</t>
        </is>
      </c>
    </row>
    <row r="2555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48" t="n">
        <v>45688</v>
      </c>
      <c r="G2555" t="n">
        <v>2025</v>
      </c>
      <c r="H2555" t="inlineStr">
        <is>
          <t>Enero</t>
        </is>
      </c>
      <c r="I2555" t="inlineStr">
        <is>
          <t>2025-1</t>
        </is>
      </c>
      <c r="J2555" t="n">
        <v>90</v>
      </c>
      <c r="K2555" t="n">
        <v>99.45</v>
      </c>
      <c r="L2555" s="59">
        <f>IFERROR(IF(OR(J2555=0,K2555=""),"",IF(E2555="Positivo",MIN(MAX(K2555/J2555,0),1.3),MIN(MAX(J2555/K2555,0),1.3))),"") </f>
        <v/>
      </c>
      <c r="M2555" s="59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509-2025-01-31</t>
        </is>
      </c>
    </row>
    <row r="2556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48" t="n">
        <v>45716</v>
      </c>
      <c r="G2556" t="n">
        <v>2025</v>
      </c>
      <c r="H2556" t="inlineStr">
        <is>
          <t>Febrero</t>
        </is>
      </c>
      <c r="I2556" t="inlineStr">
        <is>
          <t>2025-1</t>
        </is>
      </c>
      <c r="J2556" t="n">
        <v>90</v>
      </c>
      <c r="K2556" t="n">
        <v>98.65000000000001</v>
      </c>
      <c r="L2556" s="59">
        <f>IFERROR(IF(OR(J2556=0,K2556=""),"",IF(E2556="Positivo",MIN(MAX(K2556/J2556,0),1.3),MIN(MAX(J2556/K2556,0),1.3))),"") </f>
        <v/>
      </c>
      <c r="M2556" s="59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509-2025-02-28</t>
        </is>
      </c>
    </row>
    <row r="2557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48" t="n">
        <v>45747</v>
      </c>
      <c r="G2557" t="n">
        <v>2025</v>
      </c>
      <c r="H2557" t="inlineStr">
        <is>
          <t>Marzo</t>
        </is>
      </c>
      <c r="I2557" t="inlineStr">
        <is>
          <t>2025-1</t>
        </is>
      </c>
      <c r="J2557" t="n">
        <v>90</v>
      </c>
      <c r="K2557" t="n">
        <v>94.48999999999999</v>
      </c>
      <c r="L2557" s="59">
        <f>IFERROR(IF(OR(J2557=0,K2557=""),"",IF(E2557="Positivo",MIN(MAX(K2557/J2557,0),1.3),MIN(MAX(J2557/K2557,0),1.3))),"") </f>
        <v/>
      </c>
      <c r="M2557" s="59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509-2025-03-31</t>
        </is>
      </c>
    </row>
    <row r="2558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48" t="n">
        <v>45777</v>
      </c>
      <c r="G2558" t="n">
        <v>2025</v>
      </c>
      <c r="H2558" t="inlineStr">
        <is>
          <t>Abril</t>
        </is>
      </c>
      <c r="I2558" t="inlineStr">
        <is>
          <t>2025-1</t>
        </is>
      </c>
      <c r="J2558" t="n">
        <v>90</v>
      </c>
      <c r="K2558" t="n">
        <v>93.88</v>
      </c>
      <c r="L2558" s="59">
        <f>IFERROR(IF(OR(J2558=0,K2558=""),"",IF(E2558="Positivo",MIN(MAX(K2558/J2558,0),1.3),MIN(MAX(J2558/K2558,0),1.3))),"") </f>
        <v/>
      </c>
      <c r="M2558" s="59">
        <f>IFERROR(IF(OR(J2558=0,K2558=""),"",IF(E2558="Positivo",MAX(K2558/J2558,0),MAX(J2558/K2558,0))),"") </f>
        <v/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509-2025-04-30</t>
        </is>
      </c>
    </row>
    <row r="2559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48" t="n">
        <v>45808</v>
      </c>
      <c r="G2559" t="n">
        <v>2025</v>
      </c>
      <c r="H2559" t="inlineStr">
        <is>
          <t>Mayo</t>
        </is>
      </c>
      <c r="I2559" t="inlineStr">
        <is>
          <t>2025-1</t>
        </is>
      </c>
      <c r="J2559" t="n">
        <v>90</v>
      </c>
      <c r="K2559" t="n">
        <v>93.8</v>
      </c>
      <c r="L2559" s="59">
        <f>IFERROR(IF(OR(J2559=0,K2559=""),"",IF(E2559="Positivo",MIN(MAX(K2559/J2559,0),1.3),MIN(MAX(J2559/K2559,0),1.3))),"") </f>
        <v/>
      </c>
      <c r="M2559" s="59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509-2025-05-31</t>
        </is>
      </c>
    </row>
    <row r="2560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48" t="n">
        <v>45838</v>
      </c>
      <c r="G2560" t="n">
        <v>2025</v>
      </c>
      <c r="H2560" t="inlineStr">
        <is>
          <t>Junio</t>
        </is>
      </c>
      <c r="I2560" t="inlineStr">
        <is>
          <t>2025-1</t>
        </is>
      </c>
      <c r="J2560" t="n">
        <v>90</v>
      </c>
      <c r="K2560" t="n">
        <v>100.59</v>
      </c>
      <c r="L2560" s="59">
        <f>IFERROR(IF(OR(J2560=0,K2560=""),"",IF(E2560="Positivo",MIN(MAX(K2560/J2560,0),1.3),MIN(MAX(J2560/K2560,0),1.3))),"") </f>
        <v/>
      </c>
      <c r="M2560" s="59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509-2025-06-30</t>
        </is>
      </c>
    </row>
    <row r="256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48" t="n">
        <v>45869</v>
      </c>
      <c r="G2561" t="n">
        <v>2025</v>
      </c>
      <c r="H2561" t="inlineStr">
        <is>
          <t>Julio</t>
        </is>
      </c>
      <c r="I2561" t="inlineStr">
        <is>
          <t>2025-2</t>
        </is>
      </c>
      <c r="J2561" t="n">
        <v>90</v>
      </c>
      <c r="K2561" t="n">
        <v>96.04000000000001</v>
      </c>
      <c r="L2561" s="59">
        <f>IFERROR(IF(OR(J2561=0,K2561=""),"",IF(E2561="Positivo",MIN(MAX(K2561/J2561,0),1.3),MIN(MAX(J2561/K2561,0),1.3))),"") </f>
        <v/>
      </c>
      <c r="M2561" s="59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509-2025-07-31</t>
        </is>
      </c>
    </row>
    <row r="2562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48" t="n">
        <v>45900</v>
      </c>
      <c r="G2562" t="n">
        <v>2025</v>
      </c>
      <c r="H2562" t="inlineStr">
        <is>
          <t>Agosto</t>
        </is>
      </c>
      <c r="I2562" t="inlineStr">
        <is>
          <t>2025-2</t>
        </is>
      </c>
      <c r="J2562" t="n">
        <v>90</v>
      </c>
      <c r="K2562" t="n">
        <v>91.52</v>
      </c>
      <c r="L2562" s="59">
        <f>IFERROR(IF(OR(J2562=0,K2562=""),"",IF(E2562="Positivo",MIN(MAX(K2562/J2562,0),1.3),MIN(MAX(J2562/K2562,0),1.3))),"") </f>
        <v/>
      </c>
      <c r="M2562" s="59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509-2025-08-31</t>
        </is>
      </c>
    </row>
    <row r="2563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48" t="n">
        <v>45930</v>
      </c>
      <c r="G2563" t="n">
        <v>2025</v>
      </c>
      <c r="H2563" t="inlineStr">
        <is>
          <t>Septiembre</t>
        </is>
      </c>
      <c r="I2563" t="inlineStr">
        <is>
          <t>2025-2</t>
        </is>
      </c>
      <c r="J2563" t="n">
        <v>90</v>
      </c>
      <c r="K2563" t="n">
        <v>96.67</v>
      </c>
      <c r="L2563" s="59">
        <f>IFERROR(IF(OR(J2563=0,K2563=""),"",IF(E2563="Positivo",MIN(MAX(K2563/J2563,0),1.3),MIN(MAX(J2563/K2563,0),1.3))),"") </f>
        <v/>
      </c>
      <c r="M2563" s="59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509-2025-09-30</t>
        </is>
      </c>
    </row>
    <row r="2564">
      <c r="A2564" t="n">
        <v>509</v>
      </c>
      <c r="B2564" t="inlineStr">
        <is>
          <t>Cumplimiento a cronograma de proyectos 2025</t>
        </is>
      </c>
      <c r="C2564" t="inlineStr">
        <is>
          <t>Gestión de Proyectos</t>
        </is>
      </c>
      <c r="D2564" t="inlineStr">
        <is>
          <t>Mensual</t>
        </is>
      </c>
      <c r="E2564" t="inlineStr">
        <is>
          <t>Positivo</t>
        </is>
      </c>
      <c r="F2564" s="148" t="n">
        <v>45961</v>
      </c>
      <c r="G2564" t="n">
        <v>2025</v>
      </c>
      <c r="H2564" t="inlineStr">
        <is>
          <t>Octubre</t>
        </is>
      </c>
      <c r="I2564" t="inlineStr">
        <is>
          <t>2025-2</t>
        </is>
      </c>
      <c r="J2564" t="n">
        <v>90</v>
      </c>
      <c r="K2564" t="n">
        <v>91.81</v>
      </c>
      <c r="L2564" s="59">
        <f>IFERROR(IF(OR(J2564=0,K2564=""),"",IF(E2564="Positivo",MIN(MAX(K2564/J2564,0),1.3),MIN(MAX(J2564/K2564,0),1.3))),"") </f>
        <v/>
      </c>
      <c r="M2564" s="59">
        <f>IFERROR(IF(OR(J2564=0,K2564=""),"",IF(E2564="Positivo",MAX(K2564/J2564,0),MAX(J2564/K2564,0))),"") </f>
        <v/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509-2025-10-31</t>
        </is>
      </c>
    </row>
    <row r="2565">
      <c r="A2565" t="n">
        <v>509</v>
      </c>
      <c r="B2565" t="inlineStr">
        <is>
          <t>Cumplimiento a cronograma de proyectos 2025</t>
        </is>
      </c>
      <c r="C2565" t="inlineStr">
        <is>
          <t>Gestión de Proyectos</t>
        </is>
      </c>
      <c r="D2565" t="inlineStr">
        <is>
          <t>Mensual</t>
        </is>
      </c>
      <c r="E2565" t="inlineStr">
        <is>
          <t>Positivo</t>
        </is>
      </c>
      <c r="F2565" s="148" t="n">
        <v>45991</v>
      </c>
      <c r="G2565" t="n">
        <v>2025</v>
      </c>
      <c r="H2565" t="inlineStr">
        <is>
          <t>Noviembre</t>
        </is>
      </c>
      <c r="I2565" t="inlineStr">
        <is>
          <t>2025-2</t>
        </is>
      </c>
      <c r="J2565" t="n">
        <v>90</v>
      </c>
      <c r="K2565" t="n">
        <v>96.98999999999999</v>
      </c>
      <c r="L2565" s="59">
        <f>IFERROR(IF(OR(J2565=0,K2565=""),"",IF(E2565="Positivo",MIN(MAX(K2565/J2565,0),1.3),MIN(MAX(J2565/K2565,0),1.3))),"") </f>
        <v/>
      </c>
      <c r="M2565" s="59">
        <f>IFERROR(IF(OR(J2565=0,K2565=""),"",IF(E2565="Positivo",MAX(K2565/J2565,0),MAX(J2565/K2565,0))),"") </f>
        <v/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509-2025-11-30</t>
        </is>
      </c>
    </row>
    <row r="2566">
      <c r="A2566" t="n">
        <v>509</v>
      </c>
      <c r="B2566" t="inlineStr">
        <is>
          <t>Cumplimiento a cronograma de proyectos 2025</t>
        </is>
      </c>
      <c r="C2566" t="inlineStr">
        <is>
          <t>Gestión de Proyectos</t>
        </is>
      </c>
      <c r="D2566" t="inlineStr">
        <is>
          <t>Mensual</t>
        </is>
      </c>
      <c r="E2566" t="inlineStr">
        <is>
          <t>Positivo</t>
        </is>
      </c>
      <c r="F2566" s="148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90</v>
      </c>
      <c r="K2566" t="n">
        <v>97.33</v>
      </c>
      <c r="L2566" s="59">
        <f>IFERROR(IF(OR(J2566=0,K2566=""),"",IF(E2566="Positivo",MIN(MAX(K2566/J2566,0),1.3),MIN(MAX(J2566/K2566,0),1.3))),"") </f>
        <v/>
      </c>
      <c r="M2566" s="59">
        <f>IFERROR(IF(OR(J2566=0,K2566=""),"",IF(E2566="Positivo",MAX(K2566/J2566,0),MAX(J2566/K2566,0))),"") </f>
        <v/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509-2025-12-31</t>
        </is>
      </c>
    </row>
    <row r="2567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48" t="n">
        <v>45747</v>
      </c>
      <c r="G2567" t="n">
        <v>2025</v>
      </c>
      <c r="H2567" t="inlineStr">
        <is>
          <t>Marzo</t>
        </is>
      </c>
      <c r="I2567" t="inlineStr">
        <is>
          <t>2025-1</t>
        </is>
      </c>
      <c r="K2567" t="n">
        <v>0</v>
      </c>
      <c r="L2567" s="59" t="n"/>
      <c r="M2567" s="59" t="n"/>
      <c r="N2567" t="inlineStr">
        <is>
          <t>Linea Base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510-2025-03-31</t>
        </is>
      </c>
    </row>
    <row r="2568">
      <c r="A2568" t="n">
        <v>510</v>
      </c>
      <c r="B2568" t="inlineStr">
        <is>
          <t>Frecuencia de incidentes de riesgos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48" t="n">
        <v>45838</v>
      </c>
      <c r="G2568" t="n">
        <v>2025</v>
      </c>
      <c r="H2568" t="inlineStr">
        <is>
          <t>Junio</t>
        </is>
      </c>
      <c r="I2568" t="inlineStr">
        <is>
          <t>2025-1</t>
        </is>
      </c>
      <c r="K2568" t="n">
        <v>0</v>
      </c>
      <c r="L2568" s="59" t="n"/>
      <c r="M2568" s="59" t="n"/>
      <c r="N2568" t="inlineStr">
        <is>
          <t>Linea Base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510-2025-06-30</t>
        </is>
      </c>
    </row>
    <row r="2569">
      <c r="A2569" t="n">
        <v>510</v>
      </c>
      <c r="B2569" t="inlineStr">
        <is>
          <t>Frecuencia de incidentes de riesgos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48" t="n">
        <v>45930</v>
      </c>
      <c r="G2569" t="n">
        <v>2025</v>
      </c>
      <c r="H2569" t="inlineStr">
        <is>
          <t>Septiembre</t>
        </is>
      </c>
      <c r="I2569" t="inlineStr">
        <is>
          <t>2025-2</t>
        </is>
      </c>
      <c r="K2569" t="n">
        <v>0</v>
      </c>
      <c r="L2569" s="59" t="n"/>
      <c r="M2569" s="59" t="n"/>
      <c r="N2569" t="inlineStr">
        <is>
          <t>Linea Base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510-2025-09-30</t>
        </is>
      </c>
    </row>
    <row r="2570">
      <c r="A2570" t="n">
        <v>510</v>
      </c>
      <c r="B2570" t="inlineStr">
        <is>
          <t>Frecuencia de incidentes de riesgos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48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K2570" t="n">
        <v>0</v>
      </c>
      <c r="L2570" s="59" t="n"/>
      <c r="M2570" s="59" t="n"/>
      <c r="N2570" t="inlineStr">
        <is>
          <t>Linea Base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510-2025-12-31</t>
        </is>
      </c>
    </row>
    <row r="257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48" t="n">
        <v>45747</v>
      </c>
      <c r="G2571" t="n">
        <v>2025</v>
      </c>
      <c r="H2571" t="inlineStr">
        <is>
          <t>Marzo</t>
        </is>
      </c>
      <c r="I2571" t="inlineStr">
        <is>
          <t>2025-1</t>
        </is>
      </c>
      <c r="K2571" t="n">
        <v>373.7099990844727</v>
      </c>
      <c r="L2571" s="59" t="n"/>
      <c r="M2571" s="59" t="n"/>
      <c r="N2571" t="inlineStr">
        <is>
          <t>Linea Base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511-2025-03-31</t>
        </is>
      </c>
    </row>
    <row r="2572">
      <c r="A2572" t="n">
        <v>511</v>
      </c>
      <c r="B2572" t="inlineStr">
        <is>
          <t>Eficacia de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48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K2572" t="n">
        <v>86.36</v>
      </c>
      <c r="L2572" s="59" t="n"/>
      <c r="M2572" s="59" t="n"/>
      <c r="N2572" t="inlineStr">
        <is>
          <t>Linea Base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511-2025-06-30</t>
        </is>
      </c>
    </row>
    <row r="2573">
      <c r="A2573" t="n">
        <v>511</v>
      </c>
      <c r="B2573" t="inlineStr">
        <is>
          <t>Eficacia de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48" t="n">
        <v>45930</v>
      </c>
      <c r="G2573" t="n">
        <v>2025</v>
      </c>
      <c r="H2573" t="inlineStr">
        <is>
          <t>Septiembre</t>
        </is>
      </c>
      <c r="I2573" t="inlineStr">
        <is>
          <t>2025-2</t>
        </is>
      </c>
      <c r="K2573" t="n">
        <v>86.36</v>
      </c>
      <c r="L2573" s="59" t="n"/>
      <c r="M2573" s="59" t="n"/>
      <c r="N2573" t="inlineStr">
        <is>
          <t>Linea Base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511-2025-09-30</t>
        </is>
      </c>
    </row>
    <row r="2574">
      <c r="A2574" t="n">
        <v>511</v>
      </c>
      <c r="B2574" t="inlineStr">
        <is>
          <t>Eficacia de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48" t="n">
        <v>46022</v>
      </c>
      <c r="G2574" t="n">
        <v>2025</v>
      </c>
      <c r="H2574" t="inlineStr">
        <is>
          <t>Diciembre</t>
        </is>
      </c>
      <c r="I2574" t="inlineStr">
        <is>
          <t>2025-2</t>
        </is>
      </c>
      <c r="K2574" t="n">
        <v>84.76000000000001</v>
      </c>
      <c r="L2574" s="59" t="n"/>
      <c r="M2574" s="59" t="n"/>
      <c r="N2574" t="inlineStr">
        <is>
          <t>Linea Base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511-2025-12-31</t>
        </is>
      </c>
    </row>
    <row r="2575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48" t="n">
        <v>45747</v>
      </c>
      <c r="G2575" t="n">
        <v>2025</v>
      </c>
      <c r="H2575" t="inlineStr">
        <is>
          <t>Marzo</t>
        </is>
      </c>
      <c r="I2575" t="inlineStr">
        <is>
          <t>2025-1</t>
        </is>
      </c>
      <c r="J2575" t="n">
        <v>15</v>
      </c>
      <c r="K2575" t="n">
        <v>100</v>
      </c>
      <c r="L2575" s="59">
        <f>IFERROR(IF(OR(J2575=0,K2575=""),"",IF(E2575="Positivo",MIN(MAX(K2575/J2575,0),1.3),MIN(MAX(J2575/K2575,0),1.3))),"") </f>
        <v/>
      </c>
      <c r="M2575" s="59">
        <f>IFERROR(IF(OR(J2575=0,K2575=""),"",IF(E2575="Positivo",MAX(K2575/J2575,0),MAX(J2575/K2575,0))),"") </f>
        <v/>
      </c>
      <c r="N2575" t="inlineStr">
        <is>
          <t>Linea Base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513-2025-03-31</t>
        </is>
      </c>
    </row>
    <row r="2576">
      <c r="A2576" t="n">
        <v>513</v>
      </c>
      <c r="B2576" t="inlineStr">
        <is>
          <t>Nivel de cumplimiento del plan de seguimiento a controles</t>
        </is>
      </c>
      <c r="C2576" t="inlineStr">
        <is>
          <t>GESTIÓN DE RIESGOS</t>
        </is>
      </c>
      <c r="D2576" t="inlineStr">
        <is>
          <t>Semestral</t>
        </is>
      </c>
      <c r="E2576" t="inlineStr">
        <is>
          <t>Positivo</t>
        </is>
      </c>
      <c r="F2576" s="148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32</v>
      </c>
      <c r="K2576" t="n">
        <v>100</v>
      </c>
      <c r="L2576" s="59">
        <f>IFERROR(IF(OR(J2576=0,K2576=""),"",IF(E2576="Positivo",MIN(MAX(K2576/J2576,0),1.3),MIN(MAX(J2576/K2576,0),1.3))),"") </f>
        <v/>
      </c>
      <c r="M2576" s="59">
        <f>IFERROR(IF(OR(J2576=0,K2576=""),"",IF(E2576="Positivo",MAX(K2576/J2576,0),MAX(J2576/K2576,0))),"") </f>
        <v/>
      </c>
      <c r="N2576" t="inlineStr">
        <is>
          <t>Linea Base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513-2025-06-30</t>
        </is>
      </c>
    </row>
    <row r="2577">
      <c r="A2577" t="n">
        <v>513</v>
      </c>
      <c r="B2577" t="inlineStr">
        <is>
          <t>Nivel de cumplimiento del plan de seguimiento a controles</t>
        </is>
      </c>
      <c r="C2577" t="inlineStr">
        <is>
          <t>GESTIÓN DE RIESGOS</t>
        </is>
      </c>
      <c r="D2577" t="inlineStr">
        <is>
          <t>Semestral</t>
        </is>
      </c>
      <c r="E2577" t="inlineStr">
        <is>
          <t>Positivo</t>
        </is>
      </c>
      <c r="F2577" s="148" t="n">
        <v>45930</v>
      </c>
      <c r="G2577" t="n">
        <v>2025</v>
      </c>
      <c r="H2577" t="inlineStr">
        <is>
          <t>Septiembre</t>
        </is>
      </c>
      <c r="I2577" t="inlineStr">
        <is>
          <t>2025-2</t>
        </is>
      </c>
      <c r="J2577" t="n">
        <v>0</v>
      </c>
      <c r="K2577" t="n">
        <v>0</v>
      </c>
      <c r="L2577" s="59">
        <f>IFERROR(IF(OR(J2577=0,K2577=""),"",IF(E2577="Positivo",MIN(MAX(K2577/J2577,0),1.3),MIN(MAX(J2577/K2577,0),1.3))),"") </f>
        <v/>
      </c>
      <c r="M2577" s="59">
        <f>IFERROR(IF(OR(J2577=0,K2577=""),"",IF(E2577="Positivo",MAX(K2577/J2577,0),MAX(J2577/K2577,0))),"") </f>
        <v/>
      </c>
      <c r="N2577" t="inlineStr">
        <is>
          <t>Linea Base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513-2025-09-30</t>
        </is>
      </c>
    </row>
    <row r="2578">
      <c r="A2578" t="n">
        <v>513</v>
      </c>
      <c r="B2578" t="inlineStr">
        <is>
          <t>Nivel de cumplimiento del plan de seguimiento a controles</t>
        </is>
      </c>
      <c r="C2578" t="inlineStr">
        <is>
          <t>GESTIÓN DE RIESGOS</t>
        </is>
      </c>
      <c r="D2578" t="inlineStr">
        <is>
          <t>Semestral</t>
        </is>
      </c>
      <c r="E2578" t="inlineStr">
        <is>
          <t>Positivo</t>
        </is>
      </c>
      <c r="F2578" s="148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0</v>
      </c>
      <c r="K2578" t="n">
        <v>0</v>
      </c>
      <c r="L2578" s="59">
        <f>IFERROR(IF(OR(J2578=0,K2578=""),"",IF(E2578="Positivo",MIN(MAX(K2578/J2578,0),1.3),MIN(MAX(J2578/K2578,0),1.3))),"") </f>
        <v/>
      </c>
      <c r="M2578" s="59">
        <f>IFERROR(IF(OR(J2578=0,K2578=""),"",IF(E2578="Positivo",MAX(K2578/J2578,0),MAX(J2578/K2578,0))),"") </f>
        <v/>
      </c>
      <c r="N2578" t="inlineStr">
        <is>
          <t>Linea Base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513-2025-12-31</t>
        </is>
      </c>
    </row>
    <row r="2579">
      <c r="A2579" t="n">
        <v>514</v>
      </c>
      <c r="B2579" t="inlineStr">
        <is>
          <t>Respuesta ante nuevas necesidades de control</t>
        </is>
      </c>
      <c r="C2579" t="inlineStr">
        <is>
          <t>GESTIÓN DE RIESGOS</t>
        </is>
      </c>
      <c r="D2579" t="inlineStr">
        <is>
          <t>Trimestral</t>
        </is>
      </c>
      <c r="E2579" t="inlineStr">
        <is>
          <t>Positivo</t>
        </is>
      </c>
      <c r="F2579" s="148" t="n">
        <v>45838</v>
      </c>
      <c r="G2579" t="n">
        <v>2025</v>
      </c>
      <c r="H2579" t="inlineStr">
        <is>
          <t>Junio</t>
        </is>
      </c>
      <c r="I2579" t="inlineStr">
        <is>
          <t>2025-1</t>
        </is>
      </c>
      <c r="J2579" t="n">
        <v>70</v>
      </c>
      <c r="K2579" t="n">
        <v>91.81999999999999</v>
      </c>
      <c r="L2579" s="59">
        <f>IFERROR(IF(OR(J2579=0,K2579=""),"",IF(E2579="Positivo",MIN(MAX(K2579/J2579,0),1.3),MIN(MAX(J2579/K2579,0),1.3))),"") </f>
        <v/>
      </c>
      <c r="M2579" s="59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514-2025-06-30</t>
        </is>
      </c>
    </row>
    <row r="2580">
      <c r="A2580" t="n">
        <v>514</v>
      </c>
      <c r="B2580" t="inlineStr">
        <is>
          <t>Respuesta ante nuevas necesidades de control</t>
        </is>
      </c>
      <c r="C2580" t="inlineStr">
        <is>
          <t>GESTIÓN DE RIESGOS</t>
        </is>
      </c>
      <c r="D2580" t="inlineStr">
        <is>
          <t>Trimestral</t>
        </is>
      </c>
      <c r="E2580" t="inlineStr">
        <is>
          <t>Positivo</t>
        </is>
      </c>
      <c r="F2580" s="148" t="n">
        <v>46022</v>
      </c>
      <c r="G2580" t="n">
        <v>2025</v>
      </c>
      <c r="H2580" t="inlineStr">
        <is>
          <t>Diciembre</t>
        </is>
      </c>
      <c r="I2580" t="inlineStr">
        <is>
          <t>2025-2</t>
        </is>
      </c>
      <c r="J2580" t="n">
        <v>70</v>
      </c>
      <c r="K2580" t="n">
        <v>45.96</v>
      </c>
      <c r="L2580" s="59">
        <f>IFERROR(IF(OR(J2580=0,K2580=""),"",IF(E2580="Positivo",MIN(MAX(K2580/J2580,0),1.3),MIN(MAX(J2580/K2580,0),1.3))),"") </f>
        <v/>
      </c>
      <c r="M2580" s="59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514-2025-12-31</t>
        </is>
      </c>
    </row>
    <row r="2581">
      <c r="A2581" t="n">
        <v>515</v>
      </c>
      <c r="B2581" t="inlineStr">
        <is>
          <t>Porcentaje de procesos de control implementados</t>
        </is>
      </c>
      <c r="C2581" t="inlineStr">
        <is>
          <t>GESTIÓN DE LA TECNOLOGÍA E INNOVACIÓN DIGITAL</t>
        </is>
      </c>
      <c r="D2581" t="inlineStr">
        <is>
          <t>Trimestral</t>
        </is>
      </c>
      <c r="E2581" t="inlineStr">
        <is>
          <t>Positivo</t>
        </is>
      </c>
      <c r="F2581" s="148" t="n">
        <v>46022</v>
      </c>
      <c r="G2581" t="n">
        <v>2025</v>
      </c>
      <c r="H2581" t="inlineStr">
        <is>
          <t>Diciembre</t>
        </is>
      </c>
      <c r="I2581" t="inlineStr">
        <is>
          <t>2025-2</t>
        </is>
      </c>
      <c r="J2581" t="n">
        <v>3</v>
      </c>
      <c r="K2581" t="n">
        <v>66.67</v>
      </c>
      <c r="L2581" s="59">
        <f>IFERROR(IF(OR(J2581=0,K2581=""),"",IF(E2581="Positivo",MIN(MAX(K2581/J2581,0),1.3),MIN(MAX(J2581/K2581,0),1.3))),"") </f>
        <v/>
      </c>
      <c r="M2581" s="59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515-2025-12-31</t>
        </is>
      </c>
    </row>
    <row r="2582">
      <c r="A2582" t="n">
        <v>516</v>
      </c>
      <c r="B2582" t="inlineStr">
        <is>
          <t>Porcentaje de colaboradores formados en ciberseguridad</t>
        </is>
      </c>
      <c r="C2582" t="inlineStr">
        <is>
          <t>GESTIÓN DE LA TECNOLOGÍA E INNOVACIÓN DIGITAL</t>
        </is>
      </c>
      <c r="D2582" t="inlineStr">
        <is>
          <t>Trimestral</t>
        </is>
      </c>
      <c r="E2582" t="inlineStr">
        <is>
          <t>Positivo</t>
        </is>
      </c>
      <c r="F2582" s="148" t="n">
        <v>46022</v>
      </c>
      <c r="G2582" t="n">
        <v>2025</v>
      </c>
      <c r="H2582" t="inlineStr">
        <is>
          <t>Diciembre</t>
        </is>
      </c>
      <c r="I2582" t="inlineStr">
        <is>
          <t>2025-2</t>
        </is>
      </c>
      <c r="J2582" t="n">
        <v>95</v>
      </c>
      <c r="K2582" t="n">
        <v>315.79</v>
      </c>
      <c r="L2582" s="59">
        <f>IFERROR(IF(OR(J2582=0,K2582=""),"",IF(E2582="Positivo",MIN(MAX(K2582/J2582,0),1.3),MIN(MAX(J2582/K2582,0),1.3))),"") </f>
        <v/>
      </c>
      <c r="M2582" s="59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516-2025-12-31</t>
        </is>
      </c>
    </row>
    <row r="2583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Bimestral</t>
        </is>
      </c>
      <c r="E2583" t="inlineStr">
        <is>
          <t>Positivo</t>
        </is>
      </c>
      <c r="F2583" s="148" t="n">
        <v>45747</v>
      </c>
      <c r="G2583" t="n">
        <v>2025</v>
      </c>
      <c r="H2583" t="inlineStr">
        <is>
          <t>Marzo</t>
        </is>
      </c>
      <c r="I2583" t="inlineStr">
        <is>
          <t>2025-1</t>
        </is>
      </c>
      <c r="J2583" t="n">
        <v>100</v>
      </c>
      <c r="K2583" t="n">
        <v>83.333333333333</v>
      </c>
      <c r="L2583" s="59">
        <f>IFERROR(IF(OR(J2583=0,K2583=""),"",IF(E2583="Positivo",MIN(MAX(K2583/J2583,0),1.3),MIN(MAX(J2583/K2583,0),1.3))),"") </f>
        <v/>
      </c>
      <c r="M2583" s="59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518-2025-03-31</t>
        </is>
      </c>
    </row>
    <row r="2584">
      <c r="A2584" t="n">
        <v>518</v>
      </c>
      <c r="B2584" t="inlineStr">
        <is>
          <t>Cumplimiento programa de auditoría</t>
        </is>
      </c>
      <c r="C2584" t="inlineStr">
        <is>
          <t>AUDITORÍA INTERNA</t>
        </is>
      </c>
      <c r="D2584" t="inlineStr">
        <is>
          <t>Bimestral</t>
        </is>
      </c>
      <c r="E2584" t="inlineStr">
        <is>
          <t>Positivo</t>
        </is>
      </c>
      <c r="F2584" s="148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87.5</v>
      </c>
      <c r="L2584" s="59">
        <f>IFERROR(IF(OR(J2584=0,K2584=""),"",IF(E2584="Positivo",MIN(MAX(K2584/J2584,0),1.3),MIN(MAX(J2584/K2584,0),1.3))),"") </f>
        <v/>
      </c>
      <c r="M2584" s="59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518-2025-06-30</t>
        </is>
      </c>
    </row>
    <row r="2585">
      <c r="A2585" t="n">
        <v>518</v>
      </c>
      <c r="B2585" t="inlineStr">
        <is>
          <t>Cumplimiento programa de auditoría</t>
        </is>
      </c>
      <c r="C2585" t="inlineStr">
        <is>
          <t>AUDITORÍA INTERNA</t>
        </is>
      </c>
      <c r="D2585" t="inlineStr">
        <is>
          <t>Semestral</t>
        </is>
      </c>
      <c r="E2585" t="inlineStr">
        <is>
          <t>Positivo</t>
        </is>
      </c>
      <c r="F2585" s="148" t="n">
        <v>45930</v>
      </c>
      <c r="G2585" t="n">
        <v>2025</v>
      </c>
      <c r="H2585" t="inlineStr">
        <is>
          <t>Septiembre</t>
        </is>
      </c>
      <c r="I2585" t="inlineStr">
        <is>
          <t>2025-2</t>
        </is>
      </c>
      <c r="J2585" t="n">
        <v>100</v>
      </c>
      <c r="K2585" t="n">
        <v>120</v>
      </c>
      <c r="L2585" s="59">
        <f>IFERROR(IF(OR(J2585=0,K2585=""),"",IF(E2585="Positivo",MIN(MAX(K2585/J2585,0),1.3),MIN(MAX(J2585/K2585,0),1.3))),"") </f>
        <v/>
      </c>
      <c r="M2585" s="59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518-2025-09-30</t>
        </is>
      </c>
    </row>
    <row r="2586">
      <c r="A2586" t="n">
        <v>518</v>
      </c>
      <c r="B2586" t="inlineStr">
        <is>
          <t>Cumplimiento programa de auditoría</t>
        </is>
      </c>
      <c r="C2586" t="inlineStr">
        <is>
          <t>AUDITORÍA INTERNA</t>
        </is>
      </c>
      <c r="D2586" t="inlineStr">
        <is>
          <t>Semestral</t>
        </is>
      </c>
      <c r="E2586" t="inlineStr">
        <is>
          <t>Positivo</t>
        </is>
      </c>
      <c r="F2586" s="148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100</v>
      </c>
      <c r="K2586" t="n">
        <v>137.5</v>
      </c>
      <c r="L2586" s="59">
        <f>IFERROR(IF(OR(J2586=0,K2586=""),"",IF(E2586="Positivo",MIN(MAX(K2586/J2586,0),1.3),MIN(MAX(J2586/K2586,0),1.3))),"") </f>
        <v/>
      </c>
      <c r="M2586" s="59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518-2025-12-31</t>
        </is>
      </c>
    </row>
    <row r="2587">
      <c r="A2587" t="n">
        <v>519</v>
      </c>
      <c r="B2587" t="inlineStr">
        <is>
          <t>% de publicaciones con sentimiento neutro o negativo</t>
        </is>
      </c>
      <c r="C2587" t="inlineStr">
        <is>
          <t>Comunicaciones Externas</t>
        </is>
      </c>
      <c r="D2587" t="inlineStr">
        <is>
          <t>Trimestral</t>
        </is>
      </c>
      <c r="E2587" t="inlineStr">
        <is>
          <t>Positivo</t>
        </is>
      </c>
      <c r="F2587" s="148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100</v>
      </c>
      <c r="K2587" t="n">
        <v>431.45</v>
      </c>
      <c r="L2587" s="59">
        <f>IFERROR(IF(OR(J2587=0,K2587=""),"",IF(E2587="Positivo",MIN(MAX(K2587/J2587,0),1.3),MIN(MAX(J2587/K2587,0),1.3))),"") </f>
        <v/>
      </c>
      <c r="M2587" s="59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519-2025-06-30</t>
        </is>
      </c>
    </row>
    <row r="2588">
      <c r="A2588" t="n">
        <v>519</v>
      </c>
      <c r="B2588" t="inlineStr">
        <is>
          <t>% de publicaciones con sentimiento neutro o negativo</t>
        </is>
      </c>
      <c r="C2588" t="inlineStr">
        <is>
          <t>Comunicaciones Externas</t>
        </is>
      </c>
      <c r="D2588" t="inlineStr">
        <is>
          <t>Trimestral</t>
        </is>
      </c>
      <c r="E2588" t="inlineStr">
        <is>
          <t>Positivo</t>
        </is>
      </c>
      <c r="F2588" s="148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100</v>
      </c>
      <c r="K2588" t="n">
        <v>131.13</v>
      </c>
      <c r="L2588" s="59">
        <f>IFERROR(IF(OR(J2588=0,K2588=""),"",IF(E2588="Positivo",MIN(MAX(K2588/J2588,0),1.3),MIN(MAX(J2588/K2588,0),1.3))),"") </f>
        <v/>
      </c>
      <c r="M2588" s="59">
        <f>IFERROR(IF(OR(J2588=0,K2588=""),"",IF(E2588="Positivo",MAX(K2588/J2588,0),MAX(J2588/K2588,0))),"") </f>
        <v/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519-2025-12-31</t>
        </is>
      </c>
    </row>
    <row r="2589">
      <c r="A2589" t="n">
        <v>522</v>
      </c>
      <c r="B2589" t="inlineStr">
        <is>
          <t>Asignaturas o modulos con mecanismos de evaluación implementados</t>
        </is>
      </c>
      <c r="C2589" t="inlineStr">
        <is>
          <t>Gestión, Evaluación e Innovación Curricular</t>
        </is>
      </c>
      <c r="D2589" t="inlineStr">
        <is>
          <t>Anual</t>
        </is>
      </c>
      <c r="E2589" t="inlineStr">
        <is>
          <t>Positivo</t>
        </is>
      </c>
      <c r="F2589" s="148" t="n">
        <v>46022</v>
      </c>
      <c r="G2589" t="n">
        <v>2025</v>
      </c>
      <c r="H2589" t="inlineStr">
        <is>
          <t>Diciembre</t>
        </is>
      </c>
      <c r="I2589" t="inlineStr">
        <is>
          <t>2025-2</t>
        </is>
      </c>
      <c r="J2589" t="n">
        <v>20</v>
      </c>
      <c r="K2589" t="n">
        <v>100</v>
      </c>
      <c r="L2589" s="59">
        <f>IFERROR(IF(OR(J2589=0,K2589=""),"",IF(E2589="Positivo",MIN(MAX(K2589/J2589,0),1.3),MIN(MAX(J2589/K2589,0),1.3))),"") </f>
        <v/>
      </c>
      <c r="M2589" s="59">
        <f>IFERROR(IF(OR(J2589=0,K2589=""),"",IF(E2589="Positivo",MAX(K2589/J2589,0),MAX(J2589/K2589,0))),"") </f>
        <v/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522-2025-12-31</t>
        </is>
      </c>
    </row>
    <row r="2590">
      <c r="A2590" t="n">
        <v>523</v>
      </c>
      <c r="B2590" t="inlineStr">
        <is>
          <t>Ingresos totales de educación para la vida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48" t="n">
        <v>45838</v>
      </c>
      <c r="G2590" t="n">
        <v>2025</v>
      </c>
      <c r="H2590" t="inlineStr">
        <is>
          <t>Junio</t>
        </is>
      </c>
      <c r="I2590" t="inlineStr">
        <is>
          <t>2025-1</t>
        </is>
      </c>
      <c r="J2590" t="n">
        <v>95</v>
      </c>
      <c r="K2590" t="n">
        <v>128.41</v>
      </c>
      <c r="L2590" s="59">
        <f>IFERROR(IF(OR(J2590=0,K2590=""),"",IF(E2590="Positivo",MIN(MAX(K2590/J2590,0),1.3),MIN(MAX(J2590/K2590,0),1.3))),"") </f>
        <v/>
      </c>
      <c r="M2590" s="59">
        <f>IFERROR(IF(OR(J2590=0,K2590=""),"",IF(E2590="Positivo",MAX(K2590/J2590,0),MAX(J2590/K2590,0))),"") </f>
        <v/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523-2025-06-30</t>
        </is>
      </c>
    </row>
    <row r="2591">
      <c r="A2591" t="n">
        <v>523</v>
      </c>
      <c r="B2591" t="inlineStr">
        <is>
          <t>Ingresos totales de educación para la vida</t>
        </is>
      </c>
      <c r="C2591" t="inlineStr">
        <is>
          <t>Planeación Financiera</t>
        </is>
      </c>
      <c r="D2591" t="inlineStr">
        <is>
          <t>Trimestral</t>
        </is>
      </c>
      <c r="E2591" t="inlineStr">
        <is>
          <t>Positivo</t>
        </is>
      </c>
      <c r="F2591" s="148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J2591" t="n">
        <v>95</v>
      </c>
      <c r="K2591" t="n">
        <v>95.76000000000001</v>
      </c>
      <c r="L2591" s="59">
        <f>IFERROR(IF(OR(J2591=0,K2591=""),"",IF(E2591="Positivo",MIN(MAX(K2591/J2591,0),1.3),MIN(MAX(J2591/K2591,0),1.3))),"") </f>
        <v/>
      </c>
      <c r="M2591" s="59">
        <f>IFERROR(IF(OR(J2591=0,K2591=""),"",IF(E2591="Positivo",MAX(K2591/J2591,0),MAX(J2591/K2591,0))),"") </f>
        <v/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523-2025-12-31</t>
        </is>
      </c>
    </row>
    <row r="2592">
      <c r="A2592" t="n">
        <v>524</v>
      </c>
      <c r="B2592" t="inlineStr">
        <is>
          <t>Total Leads por canales de captación</t>
        </is>
      </c>
      <c r="C2592" t="inlineStr">
        <is>
          <t>Mercadeo de programas académicos</t>
        </is>
      </c>
      <c r="D2592" t="inlineStr">
        <is>
          <t>Trimestral</t>
        </is>
      </c>
      <c r="E2592" t="inlineStr">
        <is>
          <t>Positivo</t>
        </is>
      </c>
      <c r="F2592" s="148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J2592" t="n">
        <v>100</v>
      </c>
      <c r="K2592" t="n">
        <v>99.38</v>
      </c>
      <c r="L2592" s="59">
        <f>IFERROR(IF(OR(J2592=0,K2592=""),"",IF(E2592="Positivo",MIN(MAX(K2592/J2592,0),1.3),MIN(MAX(J2592/K2592,0),1.3))),"") </f>
        <v/>
      </c>
      <c r="M2592" s="59">
        <f>IFERROR(IF(OR(J2592=0,K2592=""),"",IF(E2592="Positivo",MAX(K2592/J2592,0),MAX(J2592/K2592,0))),"") </f>
        <v/>
      </c>
      <c r="N2592" t="inlineStr">
        <is>
          <t>ENT</t>
        </is>
      </c>
      <c r="O2592" t="inlineStr">
        <is>
          <t>ENT</t>
        </is>
      </c>
      <c r="P2592" t="n">
        <v>0</v>
      </c>
      <c r="Q2592" t="n">
        <v>0</v>
      </c>
      <c r="R2592" t="inlineStr">
        <is>
          <t>524-2025-06-30</t>
        </is>
      </c>
    </row>
    <row r="2593">
      <c r="A2593" t="n">
        <v>524</v>
      </c>
      <c r="B2593" t="inlineStr">
        <is>
          <t>Total Leads por canales de captación</t>
        </is>
      </c>
      <c r="C2593" t="inlineStr">
        <is>
          <t>Mercadeo de programas académicos</t>
        </is>
      </c>
      <c r="D2593" t="inlineStr">
        <is>
          <t>Trimestral</t>
        </is>
      </c>
      <c r="E2593" t="inlineStr">
        <is>
          <t>Positivo</t>
        </is>
      </c>
      <c r="F2593" s="148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100</v>
      </c>
      <c r="K2593" t="n">
        <v>106.07</v>
      </c>
      <c r="L2593" s="59">
        <f>IFERROR(IF(OR(J2593=0,K2593=""),"",IF(E2593="Positivo",MIN(MAX(K2593/J2593,0),1.3),MIN(MAX(J2593/K2593,0),1.3))),"") </f>
        <v/>
      </c>
      <c r="M2593" s="59">
        <f>IFERROR(IF(OR(J2593=0,K2593=""),"",IF(E2593="Positivo",MAX(K2593/J2593,0),MAX(J2593/K2593,0))),"") </f>
        <v/>
      </c>
      <c r="N2593" t="inlineStr">
        <is>
          <t>ENT</t>
        </is>
      </c>
      <c r="O2593" t="inlineStr">
        <is>
          <t>ENT</t>
        </is>
      </c>
      <c r="P2593" t="n">
        <v>0</v>
      </c>
      <c r="Q2593" t="n">
        <v>0</v>
      </c>
      <c r="R2593" t="inlineStr">
        <is>
          <t>524-2025-12-31</t>
        </is>
      </c>
    </row>
    <row r="2594">
      <c r="A2594" t="n">
        <v>526</v>
      </c>
      <c r="B2594" t="inlineStr">
        <is>
          <t>Cumplimiento Politica Polisigs</t>
        </is>
      </c>
      <c r="C2594" t="inlineStr">
        <is>
          <t>Planificación POLISIGS</t>
        </is>
      </c>
      <c r="D2594" t="inlineStr">
        <is>
          <t>Semestral</t>
        </is>
      </c>
      <c r="E2594" t="inlineStr">
        <is>
          <t>Positivo</t>
        </is>
      </c>
      <c r="F2594" s="148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95</v>
      </c>
      <c r="K2594" t="n">
        <v>0</v>
      </c>
      <c r="L2594" s="59">
        <f>IFERROR(IF(OR(J2594=0,K2594=""),"",IF(E2594="Positivo",MIN(MAX(K2594/J2594,0),1.3),MIN(MAX(J2594/K2594,0),1.3))),"") </f>
        <v/>
      </c>
      <c r="M2594" s="59">
        <f>IFERROR(IF(OR(J2594=0,K2594=""),"",IF(E2594="Positivo",MAX(K2594/J2594,0),MAX(J2594/K2594,0))),"") </f>
        <v/>
      </c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526-2025-06-30</t>
        </is>
      </c>
    </row>
    <row r="2595">
      <c r="A2595" t="n">
        <v>526</v>
      </c>
      <c r="B2595" t="inlineStr">
        <is>
          <t>Cumplimiento Politica Polisigs</t>
        </is>
      </c>
      <c r="C2595" t="inlineStr">
        <is>
          <t>Planificación POLISIGS</t>
        </is>
      </c>
      <c r="D2595" t="inlineStr">
        <is>
          <t>Semestral</t>
        </is>
      </c>
      <c r="E2595" t="inlineStr">
        <is>
          <t>Positivo</t>
        </is>
      </c>
      <c r="F2595" s="148" t="n">
        <v>45930</v>
      </c>
      <c r="G2595" t="n">
        <v>2025</v>
      </c>
      <c r="H2595" t="inlineStr">
        <is>
          <t>Septiembre</t>
        </is>
      </c>
      <c r="I2595" t="inlineStr">
        <is>
          <t>2025-2</t>
        </is>
      </c>
      <c r="J2595" t="n">
        <v>95</v>
      </c>
      <c r="K2595" t="n">
        <v>96.59999999999999</v>
      </c>
      <c r="L2595" s="59">
        <f>IFERROR(IF(OR(J2595=0,K2595=""),"",IF(E2595="Positivo",MIN(MAX(K2595/J2595,0),1.3),MIN(MAX(J2595/K2595,0),1.3))),"") </f>
        <v/>
      </c>
      <c r="M2595" s="59">
        <f>IFERROR(IF(OR(J2595=0,K2595=""),"",IF(E2595="Positivo",MAX(K2595/J2595,0),MAX(J2595/K2595,0))),"") </f>
        <v/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526-2025-09-30</t>
        </is>
      </c>
    </row>
    <row r="2596">
      <c r="A2596" t="n">
        <v>527</v>
      </c>
      <c r="B2596" t="inlineStr">
        <is>
          <t>Participación de Grupos de Interés en la construcción del nuevo plan de desarrollo (PDI)</t>
        </is>
      </c>
      <c r="C2596" t="inlineStr">
        <is>
          <t>Planeación Estratégica</t>
        </is>
      </c>
      <c r="D2596" t="inlineStr">
        <is>
          <t>Anual</t>
        </is>
      </c>
      <c r="E2596" t="inlineStr">
        <is>
          <t>Positivo</t>
        </is>
      </c>
      <c r="F2596" s="148" t="n">
        <v>46022</v>
      </c>
      <c r="G2596" t="n">
        <v>2025</v>
      </c>
      <c r="H2596" t="inlineStr">
        <is>
          <t>Diciembre</t>
        </is>
      </c>
      <c r="I2596" t="inlineStr">
        <is>
          <t>2025-2</t>
        </is>
      </c>
      <c r="J2596" t="n">
        <v>100</v>
      </c>
      <c r="K2596" t="n">
        <v>197.94</v>
      </c>
      <c r="L2596" s="59">
        <f>IFERROR(IF(OR(J2596=0,K2596=""),"",IF(E2596="Positivo",MIN(MAX(K2596/J2596,0),1.3),MIN(MAX(J2596/K2596,0),1.3))),"") </f>
        <v/>
      </c>
      <c r="M2596" s="59">
        <f>IFERROR(IF(OR(J2596=0,K2596=""),"",IF(E2596="Positivo",MAX(K2596/J2596,0),MAX(J2596/K2596,0))),"") </f>
        <v/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527-2025-12-31</t>
        </is>
      </c>
    </row>
    <row r="2597">
      <c r="A2597" t="n">
        <v>528</v>
      </c>
      <c r="B2597" t="inlineStr">
        <is>
          <t>Participación de la comunidad en la Rendición de Cuentas</t>
        </is>
      </c>
      <c r="C2597" t="inlineStr">
        <is>
          <t>Planeación Estratégica</t>
        </is>
      </c>
      <c r="D2597" t="inlineStr">
        <is>
          <t>Anual</t>
        </is>
      </c>
      <c r="E2597" t="inlineStr">
        <is>
          <t>Positivo</t>
        </is>
      </c>
      <c r="F2597" s="148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100</v>
      </c>
      <c r="K2597" t="n">
        <v>173.92055267703</v>
      </c>
      <c r="L2597" s="59">
        <f>IFERROR(IF(OR(J2597=0,K2597=""),"",IF(E2597="Positivo",MIN(MAX(K2597/J2597,0),1.3),MIN(MAX(J2597/K2597,0),1.3))),"") </f>
        <v/>
      </c>
      <c r="M2597" s="59">
        <f>IFERROR(IF(OR(J2597=0,K2597=""),"",IF(E2597="Positivo",MAX(K2597/J2597,0),MAX(J2597/K2597,0))),"") </f>
        <v/>
      </c>
      <c r="N2597" t="inlineStr">
        <is>
          <t>ENT</t>
        </is>
      </c>
      <c r="O2597" t="inlineStr">
        <is>
          <t>ENT</t>
        </is>
      </c>
      <c r="P2597" t="n">
        <v>0</v>
      </c>
      <c r="Q2597" t="n">
        <v>0</v>
      </c>
      <c r="R2597" t="inlineStr">
        <is>
          <t>528-2025-06-30</t>
        </is>
      </c>
    </row>
    <row r="2598">
      <c r="A2598" t="n">
        <v>528</v>
      </c>
      <c r="B2598" t="inlineStr">
        <is>
          <t>Participación de la comunidad en la Rendición de Cuentas</t>
        </is>
      </c>
      <c r="C2598" t="inlineStr">
        <is>
          <t>Planeación Estratégica</t>
        </is>
      </c>
      <c r="D2598" t="inlineStr">
        <is>
          <t>Anual</t>
        </is>
      </c>
      <c r="E2598" t="inlineStr">
        <is>
          <t>Positivo</t>
        </is>
      </c>
      <c r="F2598" s="148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J2598" t="n">
        <v>100</v>
      </c>
      <c r="K2598" t="n">
        <v>1158</v>
      </c>
      <c r="L2598" s="59">
        <f>IFERROR(IF(OR(J2598=0,K2598=""),"",IF(E2598="Positivo",MIN(MAX(K2598/J2598,0),1.3),MIN(MAX(J2598/K2598,0),1.3))),"") </f>
        <v/>
      </c>
      <c r="M2598" s="59">
        <f>IFERROR(IF(OR(J2598=0,K2598=""),"",IF(E2598="Positivo",MAX(K2598/J2598,0),MAX(J2598/K2598,0))),"") </f>
        <v/>
      </c>
      <c r="N2598" t="inlineStr">
        <is>
          <t>ENT</t>
        </is>
      </c>
      <c r="O2598" t="inlineStr">
        <is>
          <t>ENT</t>
        </is>
      </c>
      <c r="P2598" t="n">
        <v>0</v>
      </c>
      <c r="Q2598" t="n">
        <v>0</v>
      </c>
      <c r="R2598" t="inlineStr">
        <is>
          <t>528-2025-12-31</t>
        </is>
      </c>
    </row>
    <row r="2599">
      <c r="A2599" t="n">
        <v>529</v>
      </c>
      <c r="B2599" t="inlineStr">
        <is>
          <t>Oportunidad en la solución de solicitudes de infraestructura</t>
        </is>
      </c>
      <c r="C2599" t="inlineStr">
        <is>
          <t>Gestión Infraestructura Física</t>
        </is>
      </c>
      <c r="D2599" t="inlineStr">
        <is>
          <t>Semestral</t>
        </is>
      </c>
      <c r="E2599" t="inlineStr">
        <is>
          <t>Positivo</t>
        </is>
      </c>
      <c r="F2599" s="148" t="n">
        <v>45838</v>
      </c>
      <c r="G2599" t="n">
        <v>2025</v>
      </c>
      <c r="H2599" t="inlineStr">
        <is>
          <t>Junio</t>
        </is>
      </c>
      <c r="I2599" t="inlineStr">
        <is>
          <t>2025-1</t>
        </is>
      </c>
      <c r="L2599" s="59" t="n"/>
      <c r="M2599" s="59" t="n"/>
      <c r="N2599" t="inlineStr">
        <is>
          <t>%</t>
        </is>
      </c>
      <c r="O2599" t="inlineStr">
        <is>
          <t>No Aplica</t>
        </is>
      </c>
      <c r="P2599" t="n">
        <v>0</v>
      </c>
      <c r="Q2599" t="n">
        <v>0</v>
      </c>
      <c r="R2599" t="inlineStr">
        <is>
          <t>529-2025-06-30</t>
        </is>
      </c>
      <c r="S2599" t="inlineStr">
        <is>
          <t>No Aplica</t>
        </is>
      </c>
    </row>
    <row r="2600">
      <c r="A2600" t="n">
        <v>529</v>
      </c>
      <c r="B2600" t="inlineStr">
        <is>
          <t>Oportunidad en la solución de solicitudes de infraestructura</t>
        </is>
      </c>
      <c r="C2600" t="inlineStr">
        <is>
          <t>Gestión Infraestructura Física</t>
        </is>
      </c>
      <c r="D2600" t="inlineStr">
        <is>
          <t>Semestral</t>
        </is>
      </c>
      <c r="E2600" t="inlineStr">
        <is>
          <t>Positivo</t>
        </is>
      </c>
      <c r="F2600" s="148" t="n">
        <v>45930</v>
      </c>
      <c r="G2600" t="n">
        <v>2025</v>
      </c>
      <c r="H2600" t="inlineStr">
        <is>
          <t>Septiembre</t>
        </is>
      </c>
      <c r="I2600" t="inlineStr">
        <is>
          <t>2025-2</t>
        </is>
      </c>
      <c r="J2600" t="n">
        <v>90</v>
      </c>
      <c r="K2600" t="n">
        <v>196.19</v>
      </c>
      <c r="L2600" s="59">
        <f>IFERROR(IF(OR(J2600=0,K2600=""),"",IF(E2600="Positivo",MIN(MAX(K2600/J2600,0),1.3),MIN(MAX(J2600/K2600,0),1.3))),"") </f>
        <v/>
      </c>
      <c r="M2600" s="59">
        <f>IFERROR(IF(OR(J2600=0,K2600=""),"",IF(E2600="Positivo",MAX(K2600/J2600,0),MAX(J2600/K2600,0))),"") </f>
        <v/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529-2025-09-30</t>
        </is>
      </c>
    </row>
    <row r="2601">
      <c r="A2601" t="n">
        <v>529</v>
      </c>
      <c r="B2601" t="inlineStr">
        <is>
          <t>Oportunidad en la solución de solicitudes de infraestructura</t>
        </is>
      </c>
      <c r="C2601" t="inlineStr">
        <is>
          <t>Gestión Infraestructura Física</t>
        </is>
      </c>
      <c r="D2601" t="inlineStr">
        <is>
          <t>Semestral</t>
        </is>
      </c>
      <c r="E2601" t="inlineStr">
        <is>
          <t>Positivo</t>
        </is>
      </c>
      <c r="F2601" s="148" t="n">
        <v>46022</v>
      </c>
      <c r="G2601" t="n">
        <v>2025</v>
      </c>
      <c r="H2601" t="inlineStr">
        <is>
          <t>Diciembre</t>
        </is>
      </c>
      <c r="I2601" t="inlineStr">
        <is>
          <t>2025-2</t>
        </is>
      </c>
      <c r="J2601" t="n">
        <v>90</v>
      </c>
      <c r="K2601" t="n">
        <v>97.97</v>
      </c>
      <c r="L2601" s="59">
        <f>IFERROR(IF(OR(J2601=0,K2601=""),"",IF(E2601="Positivo",MIN(MAX(K2601/J2601,0),1.3),MIN(MAX(J2601/K2601,0),1.3))),"") </f>
        <v/>
      </c>
      <c r="M2601" s="59">
        <f>IFERROR(IF(OR(J2601=0,K2601=""),"",IF(E2601="Positivo",MAX(K2601/J2601,0),MAX(J2601/K2601,0))),"") </f>
        <v/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529-2025-12-31</t>
        </is>
      </c>
    </row>
    <row r="2602">
      <c r="A2602" t="n">
        <v>530</v>
      </c>
      <c r="B2602" t="inlineStr">
        <is>
          <t>Índice de Cumplimiento del Sprint</t>
        </is>
      </c>
      <c r="C2602" t="inlineStr">
        <is>
          <t>GESTIÓN DE LA TECNOLOGÍA E INNOVACIÓN DIGITAL</t>
        </is>
      </c>
      <c r="D2602" t="inlineStr">
        <is>
          <t>Trimestral</t>
        </is>
      </c>
      <c r="E2602" t="inlineStr">
        <is>
          <t>Positivo</t>
        </is>
      </c>
      <c r="F2602" s="148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97</v>
      </c>
      <c r="K2602" t="n">
        <v>85.56</v>
      </c>
      <c r="L2602" s="59">
        <f>IFERROR(IF(OR(J2602=0,K2602=""),"",IF(E2602="Positivo",MIN(MAX(K2602/J2602,0),1.3),MIN(MAX(J2602/K2602,0),1.3))),"") </f>
        <v/>
      </c>
      <c r="M2602" s="59">
        <f>IFERROR(IF(OR(J2602=0,K2602=""),"",IF(E2602="Positivo",MAX(K2602/J2602,0),MAX(J2602/K2602,0))),"") </f>
        <v/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530-2025-12-31</t>
        </is>
      </c>
    </row>
    <row r="2603">
      <c r="A2603" t="n">
        <v>531</v>
      </c>
      <c r="B2603" t="inlineStr">
        <is>
          <t>Eficiencia de capacidad instalada</t>
        </is>
      </c>
      <c r="C2603" t="inlineStr">
        <is>
          <t>GESTIÓN DE LA TECNOLOGÍA E INNOVACIÓN DIGITAL</t>
        </is>
      </c>
      <c r="D2603" t="inlineStr">
        <is>
          <t>Trimestral</t>
        </is>
      </c>
      <c r="E2603" t="inlineStr">
        <is>
          <t>Positivo</t>
        </is>
      </c>
      <c r="F2603" s="148" t="n">
        <v>46022</v>
      </c>
      <c r="G2603" t="n">
        <v>2025</v>
      </c>
      <c r="H2603" t="inlineStr">
        <is>
          <t>Diciembre</t>
        </is>
      </c>
      <c r="I2603" t="inlineStr">
        <is>
          <t>2025-2</t>
        </is>
      </c>
      <c r="J2603" t="n">
        <v>90</v>
      </c>
      <c r="K2603" t="n">
        <v>93.94</v>
      </c>
      <c r="L2603" s="59">
        <f>IFERROR(IF(OR(J2603=0,K2603=""),"",IF(E2603="Positivo",MIN(MAX(K2603/J2603,0),1.3),MIN(MAX(J2603/K2603,0),1.3))),"") </f>
        <v/>
      </c>
      <c r="M2603" s="59">
        <f>IFERROR(IF(OR(J2603=0,K2603=""),"",IF(E2603="Positivo",MAX(K2603/J2603,0),MAX(J2603/K2603,0))),"") </f>
        <v/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531-2025-12-31</t>
        </is>
      </c>
    </row>
    <row r="2604">
      <c r="A2604" t="n">
        <v>532</v>
      </c>
      <c r="B2604" t="inlineStr">
        <is>
          <t>Actividades de Cooperación en Internacionalización</t>
        </is>
      </c>
      <c r="C2604" t="inlineStr">
        <is>
          <t>VISIBILIDAD NACIONAL E INTERNACIONAL</t>
        </is>
      </c>
      <c r="D2604" t="inlineStr">
        <is>
          <t>Trimestral</t>
        </is>
      </c>
      <c r="E2604" t="inlineStr">
        <is>
          <t>Positivo</t>
        </is>
      </c>
      <c r="F2604" s="148" t="n">
        <v>45838</v>
      </c>
      <c r="G2604" t="n">
        <v>2025</v>
      </c>
      <c r="H2604" t="inlineStr">
        <is>
          <t>Junio</t>
        </is>
      </c>
      <c r="I2604" t="inlineStr">
        <is>
          <t>2025-1</t>
        </is>
      </c>
      <c r="J2604" t="n">
        <v>100</v>
      </c>
      <c r="K2604" t="n">
        <v>133.15</v>
      </c>
      <c r="L2604" s="59">
        <f>IFERROR(IF(OR(J2604=0,K2604=""),"",IF(E2604="Positivo",MIN(MAX(K2604/J2604,0),1.3),MIN(MAX(J2604/K2604,0),1.3))),"") </f>
        <v/>
      </c>
      <c r="M2604" s="59">
        <f>IFERROR(IF(OR(J2604=0,K2604=""),"",IF(E2604="Positivo",MAX(K2604/J2604,0),MAX(J2604/K2604,0))),"") </f>
        <v/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532-2025-06-30</t>
        </is>
      </c>
    </row>
    <row r="2605">
      <c r="A2605" t="n">
        <v>532</v>
      </c>
      <c r="B2605" t="inlineStr">
        <is>
          <t>Actividades de Cooperación en Internacionalización</t>
        </is>
      </c>
      <c r="C2605" t="inlineStr">
        <is>
          <t>VISIBILIDAD NACIONAL E INTERNACIONAL</t>
        </is>
      </c>
      <c r="D2605" t="inlineStr">
        <is>
          <t>Trimestral</t>
        </is>
      </c>
      <c r="E2605" t="inlineStr">
        <is>
          <t>Positivo</t>
        </is>
      </c>
      <c r="F2605" s="148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100</v>
      </c>
      <c r="K2605" t="n">
        <v>134.78</v>
      </c>
      <c r="L2605" s="59">
        <f>IFERROR(IF(OR(J2605=0,K2605=""),"",IF(E2605="Positivo",MIN(MAX(K2605/J2605,0),1.3),MIN(MAX(J2605/K2605,0),1.3))),"") </f>
        <v/>
      </c>
      <c r="M2605" s="59">
        <f>IFERROR(IF(OR(J2605=0,K2605=""),"",IF(E2605="Positivo",MAX(K2605/J2605,0),MAX(J2605/K2605,0))),"") </f>
        <v/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532-2025-12-31</t>
        </is>
      </c>
    </row>
    <row r="2606">
      <c r="A2606" t="n">
        <v>533</v>
      </c>
      <c r="B2606" t="inlineStr">
        <is>
          <t>Participación de estudiantes externos invitados a actividades de cooperación nacional e internacional</t>
        </is>
      </c>
      <c r="C2606" t="inlineStr">
        <is>
          <t>VISIBILIDAD NACIONAL E INTERNACIONAL</t>
        </is>
      </c>
      <c r="D2606" t="inlineStr">
        <is>
          <t>Trimestral</t>
        </is>
      </c>
      <c r="E2606" t="inlineStr">
        <is>
          <t>Positivo</t>
        </is>
      </c>
      <c r="F2606" s="148" t="n">
        <v>45838</v>
      </c>
      <c r="G2606" t="n">
        <v>2025</v>
      </c>
      <c r="H2606" t="inlineStr">
        <is>
          <t>Junio</t>
        </is>
      </c>
      <c r="I2606" t="inlineStr">
        <is>
          <t>2025-1</t>
        </is>
      </c>
      <c r="J2606" t="n">
        <v>100</v>
      </c>
      <c r="K2606" t="n">
        <v>124.89</v>
      </c>
      <c r="L2606" s="59">
        <f>IFERROR(IF(OR(J2606=0,K2606=""),"",IF(E2606="Positivo",MIN(MAX(K2606/J2606,0),1.3),MIN(MAX(J2606/K2606,0),1.3))),"") </f>
        <v/>
      </c>
      <c r="M2606" s="59">
        <f>IFERROR(IF(OR(J2606=0,K2606=""),"",IF(E2606="Positivo",MAX(K2606/J2606,0),MAX(J2606/K2606,0))),"") </f>
        <v/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533-2025-06-30</t>
        </is>
      </c>
    </row>
    <row r="2607">
      <c r="A2607" t="n">
        <v>533</v>
      </c>
      <c r="B2607" t="inlineStr">
        <is>
          <t>Participación de estudiantes externos invitados a actividades de cooperación nacional e internacional</t>
        </is>
      </c>
      <c r="C2607" t="inlineStr">
        <is>
          <t>VISIBILIDAD NACIONAL E INTERNACIONAL</t>
        </is>
      </c>
      <c r="D2607" t="inlineStr">
        <is>
          <t>Trimestral</t>
        </is>
      </c>
      <c r="E2607" t="inlineStr">
        <is>
          <t>Positivo</t>
        </is>
      </c>
      <c r="F2607" s="148" t="n">
        <v>46022</v>
      </c>
      <c r="G2607" t="n">
        <v>2025</v>
      </c>
      <c r="H2607" t="inlineStr">
        <is>
          <t>Diciembre</t>
        </is>
      </c>
      <c r="I2607" t="inlineStr">
        <is>
          <t>2025-2</t>
        </is>
      </c>
      <c r="J2607" t="n">
        <v>100</v>
      </c>
      <c r="K2607" t="n">
        <v>177.95</v>
      </c>
      <c r="L2607" s="59">
        <f>IFERROR(IF(OR(J2607=0,K2607=""),"",IF(E2607="Positivo",MIN(MAX(K2607/J2607,0),1.3),MIN(MAX(J2607/K2607,0),1.3))),"") </f>
        <v/>
      </c>
      <c r="M2607" s="59">
        <f>IFERROR(IF(OR(J2607=0,K2607=""),"",IF(E2607="Positivo",MAX(K2607/J2607,0),MAX(J2607/K2607,0))),"") </f>
        <v/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533-2025-12-31</t>
        </is>
      </c>
    </row>
    <row r="2608">
      <c r="A2608" t="n">
        <v>534</v>
      </c>
      <c r="B2608" t="inlineStr">
        <is>
          <t>Participación de estudiantes POLI en actividades de cooperación nacional e internacional</t>
        </is>
      </c>
      <c r="C2608" t="inlineStr">
        <is>
          <t>VISIBILIDAD NACIONAL E INTERNACIONAL</t>
        </is>
      </c>
      <c r="D2608" t="inlineStr">
        <is>
          <t>Trimestral</t>
        </is>
      </c>
      <c r="E2608" t="inlineStr">
        <is>
          <t>Positivo</t>
        </is>
      </c>
      <c r="F2608" s="148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134.09</v>
      </c>
      <c r="L2608" s="59">
        <f>IFERROR(IF(OR(J2608=0,K2608=""),"",IF(E2608="Positivo",MIN(MAX(K2608/J2608,0),1.3),MIN(MAX(J2608/K2608,0),1.3))),"") </f>
        <v/>
      </c>
      <c r="M2608" s="59">
        <f>IFERROR(IF(OR(J2608=0,K2608=""),"",IF(E2608="Positivo",MAX(K2608/J2608,0),MAX(J2608/K2608,0))),"") </f>
        <v/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534-2025-06-30</t>
        </is>
      </c>
    </row>
    <row r="2609">
      <c r="A2609" t="n">
        <v>534</v>
      </c>
      <c r="B2609" t="inlineStr">
        <is>
          <t>Participación de estudiantes POLI en actividades de cooperación nacional e internacional</t>
        </is>
      </c>
      <c r="C2609" t="inlineStr">
        <is>
          <t>VISIBILIDAD NACIONAL E INTERNACIONAL</t>
        </is>
      </c>
      <c r="D2609" t="inlineStr">
        <is>
          <t>Trimestral</t>
        </is>
      </c>
      <c r="E2609" t="inlineStr">
        <is>
          <t>Positivo</t>
        </is>
      </c>
      <c r="F2609" s="148" t="n">
        <v>46022</v>
      </c>
      <c r="G2609" t="n">
        <v>2025</v>
      </c>
      <c r="H2609" t="inlineStr">
        <is>
          <t>Diciembre</t>
        </is>
      </c>
      <c r="I2609" t="inlineStr">
        <is>
          <t>2025-2</t>
        </is>
      </c>
      <c r="J2609" t="n">
        <v>100</v>
      </c>
      <c r="K2609" t="n">
        <v>134.53</v>
      </c>
      <c r="L2609" s="59">
        <f>IFERROR(IF(OR(J2609=0,K2609=""),"",IF(E2609="Positivo",MIN(MAX(K2609/J2609,0),1.3),MIN(MAX(J2609/K2609,0),1.3))),"") </f>
        <v/>
      </c>
      <c r="M2609" s="59">
        <f>IFERROR(IF(OR(J2609=0,K2609=""),"",IF(E2609="Positivo",MAX(K2609/J2609,0),MAX(J2609/K2609,0))),"") </f>
        <v/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534-2025-12-31</t>
        </is>
      </c>
    </row>
    <row r="2610">
      <c r="A2610" t="n">
        <v>535</v>
      </c>
      <c r="B2610" t="inlineStr">
        <is>
          <t>Participación de profesores externos invitados a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48" t="n">
        <v>45838</v>
      </c>
      <c r="G2610" t="n">
        <v>2025</v>
      </c>
      <c r="H2610" t="inlineStr">
        <is>
          <t>Junio</t>
        </is>
      </c>
      <c r="I2610" t="inlineStr">
        <is>
          <t>2025-1</t>
        </is>
      </c>
      <c r="J2610" t="n">
        <v>100</v>
      </c>
      <c r="K2610" t="n">
        <v>132.67</v>
      </c>
      <c r="L2610" s="59">
        <f>IFERROR(IF(OR(J2610=0,K2610=""),"",IF(E2610="Positivo",MIN(MAX(K2610/J2610,0),1.3),MIN(MAX(J2610/K2610,0),1.3))),"") </f>
        <v/>
      </c>
      <c r="M2610" s="59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535-2025-06-30</t>
        </is>
      </c>
    </row>
    <row r="2611">
      <c r="A2611" t="n">
        <v>535</v>
      </c>
      <c r="B2611" t="inlineStr">
        <is>
          <t>Participación de profesores externos invitados a actividades de cooperación nacional e internacional</t>
        </is>
      </c>
      <c r="C2611" t="inlineStr">
        <is>
          <t>VISIBILIDAD NACIONAL E INTERNACIONAL</t>
        </is>
      </c>
      <c r="D2611" t="inlineStr">
        <is>
          <t>Trimestral</t>
        </is>
      </c>
      <c r="E2611" t="inlineStr">
        <is>
          <t>Positivo</t>
        </is>
      </c>
      <c r="F2611" s="148" t="n">
        <v>46022</v>
      </c>
      <c r="G2611" t="n">
        <v>2025</v>
      </c>
      <c r="H2611" t="inlineStr">
        <is>
          <t>Diciembre</t>
        </is>
      </c>
      <c r="I2611" t="inlineStr">
        <is>
          <t>2025-2</t>
        </is>
      </c>
      <c r="J2611" t="n">
        <v>100</v>
      </c>
      <c r="K2611" t="n">
        <v>209.63</v>
      </c>
      <c r="L2611" s="59">
        <f>IFERROR(IF(OR(J2611=0,K2611=""),"",IF(E2611="Positivo",MIN(MAX(K2611/J2611,0),1.3),MIN(MAX(J2611/K2611,0),1.3))),"") </f>
        <v/>
      </c>
      <c r="M2611" s="59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535-2025-12-31</t>
        </is>
      </c>
    </row>
    <row r="2612">
      <c r="A2612" t="n">
        <v>536</v>
      </c>
      <c r="B2612" t="inlineStr">
        <is>
          <t>Participación de profesores POLI en actividades de cooperación nacional e internacional</t>
        </is>
      </c>
      <c r="C2612" t="inlineStr">
        <is>
          <t>VISIBILIDAD NACIONAL E INTERNACIONAL</t>
        </is>
      </c>
      <c r="D2612" t="inlineStr">
        <is>
          <t>Trimestral</t>
        </is>
      </c>
      <c r="E2612" t="inlineStr">
        <is>
          <t>Positivo</t>
        </is>
      </c>
      <c r="F2612" s="148" t="n">
        <v>45838</v>
      </c>
      <c r="G2612" t="n">
        <v>2025</v>
      </c>
      <c r="H2612" t="inlineStr">
        <is>
          <t>Junio</t>
        </is>
      </c>
      <c r="I2612" t="inlineStr">
        <is>
          <t>2025-1</t>
        </is>
      </c>
      <c r="J2612" t="n">
        <v>100</v>
      </c>
      <c r="K2612" t="n">
        <v>109.33</v>
      </c>
      <c r="L2612" s="59">
        <f>IFERROR(IF(OR(J2612=0,K2612=""),"",IF(E2612="Positivo",MIN(MAX(K2612/J2612,0),1.3),MIN(MAX(J2612/K2612,0),1.3))),"") </f>
        <v/>
      </c>
      <c r="M2612" s="59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536-2025-06-30</t>
        </is>
      </c>
    </row>
    <row r="2613">
      <c r="A2613" t="n">
        <v>536</v>
      </c>
      <c r="B2613" t="inlineStr">
        <is>
          <t>Participación de profesores POLI en actividades de cooperación nacional e internacional</t>
        </is>
      </c>
      <c r="C2613" t="inlineStr">
        <is>
          <t>VISIBILIDAD NACIONAL E INTERNACIONAL</t>
        </is>
      </c>
      <c r="D2613" t="inlineStr">
        <is>
          <t>Trimestral</t>
        </is>
      </c>
      <c r="E2613" t="inlineStr">
        <is>
          <t>Positivo</t>
        </is>
      </c>
      <c r="F2613" s="148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100</v>
      </c>
      <c r="K2613" t="n">
        <v>260.75</v>
      </c>
      <c r="L2613" s="59">
        <f>IFERROR(IF(OR(J2613=0,K2613=""),"",IF(E2613="Positivo",MIN(MAX(K2613/J2613,0),1.3),MIN(MAX(J2613/K2613,0),1.3))),"") </f>
        <v/>
      </c>
      <c r="M2613" s="59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536-2025-12-31</t>
        </is>
      </c>
    </row>
    <row r="2614">
      <c r="A2614" t="n">
        <v>537</v>
      </c>
      <c r="B2614" t="inlineStr">
        <is>
          <t>FCR- Resolución en primer contacto</t>
        </is>
      </c>
      <c r="C2614" t="inlineStr">
        <is>
          <t>Servicio</t>
        </is>
      </c>
      <c r="D2614" t="inlineStr">
        <is>
          <t>Trimestral</t>
        </is>
      </c>
      <c r="E2614" t="inlineStr">
        <is>
          <t>Positivo</t>
        </is>
      </c>
      <c r="F2614" s="148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65</v>
      </c>
      <c r="K2614" t="n">
        <v>58.9</v>
      </c>
      <c r="L2614" s="59">
        <f>IFERROR(IF(OR(J2614=0,K2614=""),"",IF(E2614="Positivo",MIN(MAX(K2614/J2614,0),1.3),MIN(MAX(J2614/K2614,0),1.3))),"") </f>
        <v/>
      </c>
      <c r="M2614" s="59">
        <f>IFERROR(IF(OR(J2614=0,K2614=""),"",IF(E2614="Positivo",MAX(K2614/J2614,0),MAX(J2614/K2614,0))),"") </f>
        <v/>
      </c>
      <c r="N2614" t="inlineStr">
        <is>
          <t>ENT</t>
        </is>
      </c>
      <c r="O2614" t="inlineStr">
        <is>
          <t>ENT</t>
        </is>
      </c>
      <c r="P2614" t="n">
        <v>0</v>
      </c>
      <c r="Q2614" t="n">
        <v>0</v>
      </c>
      <c r="R2614" t="inlineStr">
        <is>
          <t>537-2025-06-30</t>
        </is>
      </c>
    </row>
    <row r="2615">
      <c r="A2615" t="n">
        <v>537</v>
      </c>
      <c r="B2615" t="inlineStr">
        <is>
          <t>FCR- Resolución en primer contacto</t>
        </is>
      </c>
      <c r="C2615" t="inlineStr">
        <is>
          <t>Servicio</t>
        </is>
      </c>
      <c r="D2615" t="inlineStr">
        <is>
          <t>Trimestral</t>
        </is>
      </c>
      <c r="E2615" t="inlineStr">
        <is>
          <t>Positivo</t>
        </is>
      </c>
      <c r="F2615" s="148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65</v>
      </c>
      <c r="K2615" t="n">
        <v>64.3</v>
      </c>
      <c r="L2615" s="59">
        <f>IFERROR(IF(OR(J2615=0,K2615=""),"",IF(E2615="Positivo",MIN(MAX(K2615/J2615,0),1.3),MIN(MAX(J2615/K2615,0),1.3))),"") </f>
        <v/>
      </c>
      <c r="M2615" s="59">
        <f>IFERROR(IF(OR(J2615=0,K2615=""),"",IF(E2615="Positivo",MAX(K2615/J2615,0),MAX(J2615/K2615,0))),"") </f>
        <v/>
      </c>
      <c r="N2615" t="inlineStr">
        <is>
          <t>ENT</t>
        </is>
      </c>
      <c r="O2615" t="inlineStr">
        <is>
          <t>ENT</t>
        </is>
      </c>
      <c r="P2615" t="n">
        <v>0</v>
      </c>
      <c r="Q2615" t="n">
        <v>0</v>
      </c>
      <c r="R2615" t="inlineStr">
        <is>
          <t>537-2025-12-31</t>
        </is>
      </c>
    </row>
    <row r="2616">
      <c r="A2616" t="n">
        <v>538</v>
      </c>
      <c r="B2616" t="inlineStr">
        <is>
          <t>Cumplimiento de sesiones de socialización de planeación académica</t>
        </is>
      </c>
      <c r="C2616" t="inlineStr">
        <is>
          <t>Registro y Control</t>
        </is>
      </c>
      <c r="D2616" t="inlineStr">
        <is>
          <t>Trimestral</t>
        </is>
      </c>
      <c r="E2616" t="inlineStr">
        <is>
          <t>Positivo</t>
        </is>
      </c>
      <c r="F2616" s="148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90</v>
      </c>
      <c r="K2616" t="n">
        <v>100</v>
      </c>
      <c r="L2616" s="59">
        <f>IFERROR(IF(OR(J2616=0,K2616=""),"",IF(E2616="Positivo",MIN(MAX(K2616/J2616,0),1.3),MIN(MAX(J2616/K2616,0),1.3))),"") </f>
        <v/>
      </c>
      <c r="M2616" s="59">
        <f>IFERROR(IF(OR(J2616=0,K2616=""),"",IF(E2616="Positivo",MAX(K2616/J2616,0),MAX(J2616/K2616,0))),"") </f>
        <v/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538-2025-12-31</t>
        </is>
      </c>
    </row>
    <row r="2617">
      <c r="A2617" t="n">
        <v>539</v>
      </c>
      <c r="B2617" t="inlineStr">
        <is>
          <t>CES emisión de certificados</t>
        </is>
      </c>
      <c r="C2617" t="inlineStr">
        <is>
          <t>Registro y Control</t>
        </is>
      </c>
      <c r="D2617" t="inlineStr">
        <is>
          <t>Trimestral</t>
        </is>
      </c>
      <c r="E2617" t="inlineStr">
        <is>
          <t>Negativo</t>
        </is>
      </c>
      <c r="F2617" s="148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2.5</v>
      </c>
      <c r="K2617" t="n">
        <v>2.5</v>
      </c>
      <c r="L2617" s="59">
        <f>IFERROR(IF(OR(J2617=0,K2617=""),"",IF(E2617="Positivo",MIN(MAX(K2617/J2617,0),1.3),MIN(MAX(J2617/K2617,0),1.3))),"") </f>
        <v/>
      </c>
      <c r="M2617" s="59">
        <f>IFERROR(IF(OR(J2617=0,K2617=""),"",IF(E2617="Positivo",MAX(K2617/J2617,0),MAX(J2617/K2617,0))),"") </f>
        <v/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539-2025-12-31</t>
        </is>
      </c>
    </row>
    <row r="2618">
      <c r="A2618" t="n">
        <v>540</v>
      </c>
      <c r="B2618" t="inlineStr">
        <is>
          <t>Nivel de Calidad de los Datos Cargados al SNIES</t>
        </is>
      </c>
      <c r="C2618" t="inlineStr">
        <is>
          <t>DATOS Y ANALÍTICA</t>
        </is>
      </c>
      <c r="D2618" t="inlineStr">
        <is>
          <t>Trimestral</t>
        </is>
      </c>
      <c r="E2618" t="inlineStr">
        <is>
          <t>Positivo</t>
        </is>
      </c>
      <c r="F2618" s="148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97</v>
      </c>
      <c r="K2618" t="n">
        <v>97.33</v>
      </c>
      <c r="L2618" s="59">
        <f>IFERROR(IF(OR(J2618=0,K2618=""),"",IF(E2618="Positivo",MIN(MAX(K2618/J2618,0),1.3),MIN(MAX(J2618/K2618,0),1.3))),"") </f>
        <v/>
      </c>
      <c r="M2618" s="59">
        <f>IFERROR(IF(OR(J2618=0,K2618=""),"",IF(E2618="Positivo",MAX(K2618/J2618,0),MAX(J2618/K2618,0))),"") </f>
        <v/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540-2025-06-30</t>
        </is>
      </c>
    </row>
    <row r="2619">
      <c r="A2619" t="n">
        <v>540</v>
      </c>
      <c r="B2619" t="inlineStr">
        <is>
          <t>Nivel de Calidad de los Datos Cargados al SNIES</t>
        </is>
      </c>
      <c r="C2619" t="inlineStr">
        <is>
          <t>DATOS Y ANALÍTICA</t>
        </is>
      </c>
      <c r="D2619" t="inlineStr">
        <is>
          <t>Trimestral</t>
        </is>
      </c>
      <c r="E2619" t="inlineStr">
        <is>
          <t>Positivo</t>
        </is>
      </c>
      <c r="F2619" s="148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97</v>
      </c>
      <c r="K2619" t="n">
        <v>97.90000000000001</v>
      </c>
      <c r="L2619" s="59">
        <f>IFERROR(IF(OR(J2619=0,K2619=""),"",IF(E2619="Positivo",MIN(MAX(K2619/J2619,0),1.3),MIN(MAX(J2619/K2619,0),1.3))),"") </f>
        <v/>
      </c>
      <c r="M2619" s="59">
        <f>IFERROR(IF(OR(J2619=0,K2619=""),"",IF(E2619="Positivo",MAX(K2619/J2619,0),MAX(J2619/K2619,0))),"") </f>
        <v/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540-2025-12-31</t>
        </is>
      </c>
    </row>
    <row r="2620">
      <c r="A2620" t="n">
        <v>541</v>
      </c>
      <c r="B2620" t="inlineStr">
        <is>
          <t>Participación de graduados en actividades de empleabilidad y relacionamiento</t>
        </is>
      </c>
      <c r="C2620" t="inlineStr">
        <is>
          <t>Gestión de Graduados</t>
        </is>
      </c>
      <c r="D2620" t="inlineStr">
        <is>
          <t>Anual</t>
        </is>
      </c>
      <c r="E2620" t="inlineStr">
        <is>
          <t>Positivo</t>
        </is>
      </c>
      <c r="F2620" s="148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4</v>
      </c>
      <c r="K2620" t="n">
        <v>6.99</v>
      </c>
      <c r="L2620" s="59">
        <f>IFERROR(IF(OR(J2620=0,K2620=""),"",IF(E2620="Positivo",MIN(MAX(K2620/J2620,0),1.3),MIN(MAX(J2620/K2620,0),1.3))),"") </f>
        <v/>
      </c>
      <c r="M2620" s="59">
        <f>IFERROR(IF(OR(J2620=0,K2620=""),"",IF(E2620="Positivo",MAX(K2620/J2620,0),MAX(J2620/K2620,0))),"") </f>
        <v/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541-2025-12-31</t>
        </is>
      </c>
    </row>
    <row r="2621">
      <c r="A2621" t="n">
        <v>542</v>
      </c>
      <c r="B2621" t="inlineStr">
        <is>
          <t>Tasa de cotización del graduado - Metrica</t>
        </is>
      </c>
      <c r="C2621" t="inlineStr">
        <is>
          <t>Gestión de Graduados</t>
        </is>
      </c>
      <c r="D2621" t="inlineStr">
        <is>
          <t>Anual</t>
        </is>
      </c>
      <c r="E2621" t="inlineStr">
        <is>
          <t>Positivo</t>
        </is>
      </c>
      <c r="F2621" s="148" t="n">
        <v>46022</v>
      </c>
      <c r="G2621" t="n">
        <v>2025</v>
      </c>
      <c r="H2621" t="inlineStr">
        <is>
          <t>Diciembre</t>
        </is>
      </c>
      <c r="I2621" t="inlineStr">
        <is>
          <t>2025-2</t>
        </is>
      </c>
      <c r="K2621" t="n">
        <v>81.23999999999999</v>
      </c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542-2025-12-31</t>
        </is>
      </c>
      <c r="S2621" t="inlineStr">
        <is>
          <t>Metrica</t>
        </is>
      </c>
    </row>
    <row r="2622">
      <c r="A2622" t="n">
        <v>543</v>
      </c>
      <c r="B2622" t="inlineStr">
        <is>
          <t>Tasa de interacción por usuario</t>
        </is>
      </c>
      <c r="C2622" t="inlineStr">
        <is>
          <t>Editorial y Publicaciones</t>
        </is>
      </c>
      <c r="D2622" t="inlineStr">
        <is>
          <t>Trimestral</t>
        </is>
      </c>
      <c r="E2622" t="inlineStr">
        <is>
          <t>Positivo</t>
        </is>
      </c>
      <c r="F2622" s="148" t="n">
        <v>45838</v>
      </c>
      <c r="G2622" t="n">
        <v>2025</v>
      </c>
      <c r="H2622" t="inlineStr">
        <is>
          <t>Junio</t>
        </is>
      </c>
      <c r="I2622" t="inlineStr">
        <is>
          <t>2025-1</t>
        </is>
      </c>
      <c r="K2622" t="n">
        <v>7.29</v>
      </c>
      <c r="L2622" s="59" t="n"/>
      <c r="M2622" s="59" t="n"/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543-2025-06-30</t>
        </is>
      </c>
    </row>
    <row r="2623">
      <c r="A2623" t="n">
        <v>543</v>
      </c>
      <c r="B2623" t="inlineStr">
        <is>
          <t>Tasa de interacción por usuario</t>
        </is>
      </c>
      <c r="C2623" t="inlineStr">
        <is>
          <t>Editorial y Publicaciones</t>
        </is>
      </c>
      <c r="D2623" t="inlineStr">
        <is>
          <t>Trimestral</t>
        </is>
      </c>
      <c r="E2623" t="inlineStr">
        <is>
          <t>Positivo</t>
        </is>
      </c>
      <c r="F2623" s="148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K2623" t="n">
        <v>6.91</v>
      </c>
      <c r="L2623" s="59" t="n"/>
      <c r="M2623" s="59" t="n"/>
      <c r="N2623" t="inlineStr">
        <is>
          <t>ENT</t>
        </is>
      </c>
      <c r="O2623" t="inlineStr">
        <is>
          <t>ENT</t>
        </is>
      </c>
      <c r="P2623" t="n">
        <v>0</v>
      </c>
      <c r="Q2623" t="n">
        <v>0</v>
      </c>
      <c r="R2623" t="inlineStr">
        <is>
          <t>543-2025-12-31</t>
        </is>
      </c>
    </row>
    <row r="2624">
      <c r="A2624" t="n">
        <v>544</v>
      </c>
      <c r="B2624" t="inlineStr">
        <is>
          <t>Producción de ambientes inmersivos LEI</t>
        </is>
      </c>
      <c r="C2624" t="inlineStr">
        <is>
          <t>LEI</t>
        </is>
      </c>
      <c r="D2624" t="inlineStr">
        <is>
          <t>Trimestral</t>
        </is>
      </c>
      <c r="E2624" t="inlineStr">
        <is>
          <t>Positivo</t>
        </is>
      </c>
      <c r="F2624" s="148" t="n">
        <v>45838</v>
      </c>
      <c r="G2624" t="n">
        <v>2025</v>
      </c>
      <c r="H2624" t="inlineStr">
        <is>
          <t>Junio</t>
        </is>
      </c>
      <c r="I2624" t="inlineStr">
        <is>
          <t>2025-1</t>
        </is>
      </c>
      <c r="J2624" t="n">
        <v>100</v>
      </c>
      <c r="K2624" t="n">
        <v>250</v>
      </c>
      <c r="L2624" s="59">
        <f>IFERROR(IF(OR(J2624=0,K2624=""),"",IF(E2624="Positivo",MIN(MAX(K2624/J2624,0),1.3),MIN(MAX(J2624/K2624,0),1.3))),"") </f>
        <v/>
      </c>
      <c r="M2624" s="59">
        <f>IFERROR(IF(OR(J2624=0,K2624=""),"",IF(E2624="Positivo",MAX(K2624/J2624,0),MAX(J2624/K2624,0))),"") </f>
        <v/>
      </c>
      <c r="N2624" t="inlineStr">
        <is>
          <t>ENT</t>
        </is>
      </c>
      <c r="O2624" t="inlineStr">
        <is>
          <t>ENT</t>
        </is>
      </c>
      <c r="P2624" t="n">
        <v>0</v>
      </c>
      <c r="Q2624" t="n">
        <v>0</v>
      </c>
      <c r="R2624" t="inlineStr">
        <is>
          <t>544-2025-06-30</t>
        </is>
      </c>
    </row>
    <row r="2625">
      <c r="A2625" t="n">
        <v>544</v>
      </c>
      <c r="B2625" t="inlineStr">
        <is>
          <t>Producción de ambientes inmersivos LEI</t>
        </is>
      </c>
      <c r="C2625" t="inlineStr">
        <is>
          <t>LEI</t>
        </is>
      </c>
      <c r="D2625" t="inlineStr">
        <is>
          <t>Trimestral</t>
        </is>
      </c>
      <c r="E2625" t="inlineStr">
        <is>
          <t>Positivo</t>
        </is>
      </c>
      <c r="F2625" s="148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100</v>
      </c>
      <c r="K2625" t="n">
        <v>162.5</v>
      </c>
      <c r="L2625" s="59">
        <f>IFERROR(IF(OR(J2625=0,K2625=""),"",IF(E2625="Positivo",MIN(MAX(K2625/J2625,0),1.3),MIN(MAX(J2625/K2625,0),1.3))),"") </f>
        <v/>
      </c>
      <c r="M2625" s="59">
        <f>IFERROR(IF(OR(J2625=0,K2625=""),"",IF(E2625="Positivo",MAX(K2625/J2625,0),MAX(J2625/K2625,0))),"") </f>
        <v/>
      </c>
      <c r="N2625" t="inlineStr">
        <is>
          <t>ENT</t>
        </is>
      </c>
      <c r="O2625" t="inlineStr">
        <is>
          <t>ENT</t>
        </is>
      </c>
      <c r="P2625" t="n">
        <v>0</v>
      </c>
      <c r="Q2625" t="n">
        <v>0</v>
      </c>
      <c r="R2625" t="inlineStr">
        <is>
          <t>544-2025-12-31</t>
        </is>
      </c>
    </row>
    <row r="2626">
      <c r="A2626" t="n">
        <v>546</v>
      </c>
      <c r="B2626" t="inlineStr">
        <is>
          <t>Tasa de participación de graduados en instrumentos de seguimiento (M0, M1, M5)</t>
        </is>
      </c>
      <c r="C2626" t="inlineStr">
        <is>
          <t>Gestión de Graduados</t>
        </is>
      </c>
      <c r="D2626" t="inlineStr">
        <is>
          <t>Anual</t>
        </is>
      </c>
      <c r="E2626" t="inlineStr">
        <is>
          <t>Positivo</t>
        </is>
      </c>
      <c r="F2626" s="148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113.38</v>
      </c>
      <c r="L2626" s="59">
        <f>IFERROR(IF(OR(J2626=0,K2626=""),"",IF(E2626="Positivo",MIN(MAX(K2626/J2626,0),1.3),MIN(MAX(J2626/K2626,0),1.3))),"") </f>
        <v/>
      </c>
      <c r="M2626" s="59">
        <f>IFERROR(IF(OR(J2626=0,K2626=""),"",IF(E2626="Positivo",MAX(K2626/J2626,0),MAX(J2626/K2626,0))),"") </f>
        <v/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546-2025-12-31</t>
        </is>
      </c>
    </row>
    <row r="2627">
      <c r="A2627" t="n">
        <v>547</v>
      </c>
      <c r="B2627" t="inlineStr">
        <is>
          <t>Nivel de satisfacción del graduado con la institución</t>
        </is>
      </c>
      <c r="C2627" t="inlineStr">
        <is>
          <t>Gestión de Graduados</t>
        </is>
      </c>
      <c r="D2627" t="inlineStr">
        <is>
          <t>Anual</t>
        </is>
      </c>
      <c r="E2627" t="inlineStr">
        <is>
          <t>Positivo</t>
        </is>
      </c>
      <c r="F2627" s="148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K2627" t="n">
        <v>92</v>
      </c>
      <c r="L2627" s="59" t="n"/>
      <c r="M2627" s="59" t="n"/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547-2025-12-31</t>
        </is>
      </c>
    </row>
    <row r="2628">
      <c r="A2628" t="n">
        <v>550</v>
      </c>
      <c r="B2628" t="inlineStr">
        <is>
          <t>Nivel de satisfacción con las actividades de formación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48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80</v>
      </c>
      <c r="K2628" t="n">
        <v>95</v>
      </c>
      <c r="L2628" s="59">
        <f>IFERROR(IF(OR(J2628=0,K2628=""),"",IF(E2628="Positivo",MIN(MAX(K2628/J2628,0),1.3),MIN(MAX(J2628/K2628,0),1.3))),"") </f>
        <v/>
      </c>
      <c r="M2628" s="59">
        <f>IFERROR(IF(OR(J2628=0,K2628=""),"",IF(E2628="Positivo",MAX(K2628/J2628,0),MAX(J2628/K2628,0))),"") </f>
        <v/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550-2025-06-30</t>
        </is>
      </c>
    </row>
    <row r="2629">
      <c r="A2629" t="n">
        <v>550</v>
      </c>
      <c r="B2629" t="inlineStr">
        <is>
          <t>Nivel de satisfacción con las actividades de formación</t>
        </is>
      </c>
      <c r="C2629" t="inlineStr">
        <is>
          <t>Emprendimiento</t>
        </is>
      </c>
      <c r="D2629" t="inlineStr">
        <is>
          <t>Trimestral</t>
        </is>
      </c>
      <c r="E2629" t="inlineStr">
        <is>
          <t>Positivo</t>
        </is>
      </c>
      <c r="F2629" s="148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80</v>
      </c>
      <c r="K2629" t="n">
        <v>95.5</v>
      </c>
      <c r="L2629" s="59">
        <f>IFERROR(IF(OR(J2629=0,K2629=""),"",IF(E2629="Positivo",MIN(MAX(K2629/J2629,0),1.3),MIN(MAX(J2629/K2629,0),1.3))),"") </f>
        <v/>
      </c>
      <c r="M2629" s="59">
        <f>IFERROR(IF(OR(J2629=0,K2629=""),"",IF(E2629="Positivo",MAX(K2629/J2629,0),MAX(J2629/K2629,0))),"") </f>
        <v/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550-2025-12-31</t>
        </is>
      </c>
    </row>
    <row r="2630">
      <c r="A2630" t="n">
        <v>551</v>
      </c>
      <c r="B2630" t="inlineStr">
        <is>
          <t>Evaluación del desempeño de los mentores</t>
        </is>
      </c>
      <c r="C2630" t="inlineStr">
        <is>
          <t>Emprendimiento</t>
        </is>
      </c>
      <c r="D2630" t="inlineStr">
        <is>
          <t>Trimestral</t>
        </is>
      </c>
      <c r="E2630" t="inlineStr">
        <is>
          <t>Positivo</t>
        </is>
      </c>
      <c r="F2630" s="148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4</v>
      </c>
      <c r="K2630" t="n">
        <v>5</v>
      </c>
      <c r="L2630" s="59">
        <f>IFERROR(IF(OR(J2630=0,K2630=""),"",IF(E2630="Positivo",MIN(MAX(K2630/J2630,0),1.3),MIN(MAX(J2630/K2630,0),1.3))),"") </f>
        <v/>
      </c>
      <c r="M2630" s="59">
        <f>IFERROR(IF(OR(J2630=0,K2630=""),"",IF(E2630="Positivo",MAX(K2630/J2630,0),MAX(J2630/K2630,0))),"") </f>
        <v/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551-2025-06-30</t>
        </is>
      </c>
    </row>
    <row r="2631">
      <c r="A2631" t="n">
        <v>551</v>
      </c>
      <c r="B2631" t="inlineStr">
        <is>
          <t>Evaluación del desempeño de los mentores</t>
        </is>
      </c>
      <c r="C2631" t="inlineStr">
        <is>
          <t>Emprendimiento</t>
        </is>
      </c>
      <c r="D2631" t="inlineStr">
        <is>
          <t>Trimestral</t>
        </is>
      </c>
      <c r="E2631" t="inlineStr">
        <is>
          <t>Positivo</t>
        </is>
      </c>
      <c r="F2631" s="148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4</v>
      </c>
      <c r="K2631" t="n">
        <v>5</v>
      </c>
      <c r="L2631" s="59">
        <f>IFERROR(IF(OR(J2631=0,K2631=""),"",IF(E2631="Positivo",MIN(MAX(K2631/J2631,0),1.3),MIN(MAX(J2631/K2631,0),1.3))),"") </f>
        <v/>
      </c>
      <c r="M2631" s="59">
        <f>IFERROR(IF(OR(J2631=0,K2631=""),"",IF(E2631="Positivo",MAX(K2631/J2631,0),MAX(J2631/K2631,0))),"") </f>
        <v/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551-2025-12-31</t>
        </is>
      </c>
    </row>
    <row r="2632">
      <c r="A2632" t="n">
        <v>552</v>
      </c>
      <c r="B2632" t="inlineStr">
        <is>
          <t>Nivel de Satisfacción Servicios Prestados -Gestión de la Responsabilidad Social</t>
        </is>
      </c>
      <c r="C2632" t="inlineStr">
        <is>
          <t>Gestión de la Responsabilidad Social</t>
        </is>
      </c>
      <c r="D2632" t="inlineStr">
        <is>
          <t>Anual</t>
        </is>
      </c>
      <c r="E2632" t="inlineStr">
        <is>
          <t>Positivo</t>
        </is>
      </c>
      <c r="F2632" s="148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80</v>
      </c>
      <c r="K2632" t="n">
        <v>92</v>
      </c>
      <c r="L2632" s="59">
        <f>IFERROR(IF(OR(J2632=0,K2632=""),"",IF(E2632="Positivo",MIN(MAX(K2632/J2632,0),1.3),MIN(MAX(J2632/K2632,0),1.3))),"") </f>
        <v/>
      </c>
      <c r="M2632" s="59">
        <f>IFERROR(IF(OR(J2632=0,K2632=""),"",IF(E2632="Positivo",MAX(K2632/J2632,0),MAX(J2632/K2632,0))),"") </f>
        <v/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552-2025-06-30</t>
        </is>
      </c>
    </row>
    <row r="2633">
      <c r="A2633" t="n">
        <v>552</v>
      </c>
      <c r="B2633" t="inlineStr">
        <is>
          <t>Nivel de Satisfacción Servicios Prestados -Gestión de la Responsabilidad Social</t>
        </is>
      </c>
      <c r="C2633" t="inlineStr">
        <is>
          <t>Gestión de la Responsabilidad Social</t>
        </is>
      </c>
      <c r="D2633" t="inlineStr">
        <is>
          <t>Anual</t>
        </is>
      </c>
      <c r="E2633" t="inlineStr">
        <is>
          <t>Positivo</t>
        </is>
      </c>
      <c r="F2633" s="148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92</v>
      </c>
      <c r="L2633" s="59">
        <f>IFERROR(IF(OR(J2633=0,K2633=""),"",IF(E2633="Positivo",MIN(MAX(K2633/J2633,0),1.3),MIN(MAX(J2633/K2633,0),1.3))),"") </f>
        <v/>
      </c>
      <c r="M2633" s="59">
        <f>IFERROR(IF(OR(J2633=0,K2633=""),"",IF(E2633="Positivo",MAX(K2633/J2633,0),MAX(J2633/K2633,0))),"") </f>
        <v/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552-2025-12-31</t>
        </is>
      </c>
    </row>
    <row r="2634">
      <c r="A2634" t="n">
        <v>553</v>
      </c>
      <c r="B2634" t="inlineStr">
        <is>
          <t>Nivel de Satisfacción Servicios Prestados -Inscripción, admisión y matrícula de estudiantes nuevos</t>
        </is>
      </c>
      <c r="C2634" t="inlineStr">
        <is>
          <t>Inscripción, admisión y matrícula de estudiantes nuevos</t>
        </is>
      </c>
      <c r="D2634" t="inlineStr">
        <is>
          <t>Anual</t>
        </is>
      </c>
      <c r="E2634" t="inlineStr">
        <is>
          <t>Positivo</t>
        </is>
      </c>
      <c r="F2634" s="148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83</v>
      </c>
      <c r="L2634" s="59">
        <f>IFERROR(IF(OR(J2634=0,K2634=""),"",IF(E2634="Positivo",MIN(MAX(K2634/J2634,0),1.3),MIN(MAX(J2634/K2634,0),1.3))),"") </f>
        <v/>
      </c>
      <c r="M2634" s="59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553-2025-12-31</t>
        </is>
      </c>
    </row>
    <row r="2635">
      <c r="A2635" t="n">
        <v>554</v>
      </c>
      <c r="B2635" t="inlineStr">
        <is>
          <t>Nivel de Satisfacción Servicios Prestados -Permanencia</t>
        </is>
      </c>
      <c r="C2635" t="inlineStr">
        <is>
          <t>Permanencia</t>
        </is>
      </c>
      <c r="D2635" t="inlineStr">
        <is>
          <t>Trimestral</t>
        </is>
      </c>
      <c r="E2635" t="inlineStr">
        <is>
          <t>Positivo</t>
        </is>
      </c>
      <c r="F2635" s="148" t="n">
        <v>45838</v>
      </c>
      <c r="G2635" t="n">
        <v>2025</v>
      </c>
      <c r="H2635" t="inlineStr">
        <is>
          <t>Junio</t>
        </is>
      </c>
      <c r="I2635" t="inlineStr">
        <is>
          <t>2025-1</t>
        </is>
      </c>
      <c r="J2635" t="n">
        <v>80</v>
      </c>
      <c r="K2635" t="n">
        <v>0</v>
      </c>
      <c r="L2635" s="59">
        <f>IFERROR(IF(OR(J2635=0,K2635=""),"",IF(E2635="Positivo",MIN(MAX(K2635/J2635,0),1.3),MIN(MAX(J2635/K2635,0),1.3))),"") </f>
        <v/>
      </c>
      <c r="M2635" s="59">
        <f>IFERROR(IF(OR(J2635=0,K2635=""),"",IF(E2635="Positivo",MAX(K2635/J2635,0),MAX(J2635/K2635,0))),"") </f>
        <v/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554-2025-06-30</t>
        </is>
      </c>
    </row>
    <row r="2636">
      <c r="A2636" t="n">
        <v>554</v>
      </c>
      <c r="B2636" t="inlineStr">
        <is>
          <t>Nivel de Satisfacción Servicios Prestados -Permanencia</t>
        </is>
      </c>
      <c r="C2636" t="inlineStr">
        <is>
          <t>Permanencia</t>
        </is>
      </c>
      <c r="D2636" t="inlineStr">
        <is>
          <t>Trimestral</t>
        </is>
      </c>
      <c r="E2636" t="inlineStr">
        <is>
          <t>Positivo</t>
        </is>
      </c>
      <c r="F2636" s="148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80</v>
      </c>
      <c r="K2636" t="n">
        <v>95</v>
      </c>
      <c r="L2636" s="59">
        <f>IFERROR(IF(OR(J2636=0,K2636=""),"",IF(E2636="Positivo",MIN(MAX(K2636/J2636,0),1.3),MIN(MAX(J2636/K2636,0),1.3))),"") </f>
        <v/>
      </c>
      <c r="M2636" s="59">
        <f>IFERROR(IF(OR(J2636=0,K2636=""),"",IF(E2636="Positivo",MAX(K2636/J2636,0),MAX(J2636/K2636,0))),"") </f>
        <v/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554-2025-12-31</t>
        </is>
      </c>
    </row>
    <row r="2637">
      <c r="A2637" t="n">
        <v>555</v>
      </c>
      <c r="B2637" t="inlineStr">
        <is>
          <t>Nivel de Satisfacción Servicios Prestados -Mercadeo y venta de educación para la vida</t>
        </is>
      </c>
      <c r="C2637" t="inlineStr">
        <is>
          <t>Mercadeo y venta de educación para la vida</t>
        </is>
      </c>
      <c r="D2637" t="inlineStr">
        <is>
          <t>Trimestral</t>
        </is>
      </c>
      <c r="E2637" t="inlineStr">
        <is>
          <t>Positivo</t>
        </is>
      </c>
      <c r="F2637" s="148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80</v>
      </c>
      <c r="K2637" t="n">
        <v>100</v>
      </c>
      <c r="L2637" s="59">
        <f>IFERROR(IF(OR(J2637=0,K2637=""),"",IF(E2637="Positivo",MIN(MAX(K2637/J2637,0),1.3),MIN(MAX(J2637/K2637,0),1.3))),"") </f>
        <v/>
      </c>
      <c r="M2637" s="59">
        <f>IFERROR(IF(OR(J2637=0,K2637=""),"",IF(E2637="Positivo",MAX(K2637/J2637,0),MAX(J2637/K2637,0))),"") </f>
        <v/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555-2025-12-31</t>
        </is>
      </c>
    </row>
    <row r="2638">
      <c r="A2638" t="n">
        <v>556</v>
      </c>
      <c r="B2638" t="inlineStr">
        <is>
          <t>Cumplimiento Plan de formación Institucional</t>
        </is>
      </c>
      <c r="C2638" t="inlineStr">
        <is>
          <t>GESTIÓN Y DESARROLLO DEL TALENTO HUMANO</t>
        </is>
      </c>
      <c r="D2638" t="inlineStr">
        <is>
          <t>Anual</t>
        </is>
      </c>
      <c r="E2638" t="inlineStr">
        <is>
          <t>Positivo</t>
        </is>
      </c>
      <c r="F2638" s="148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J2638" t="n">
        <v>70</v>
      </c>
      <c r="K2638" t="n">
        <v>113.75</v>
      </c>
      <c r="L2638" s="59">
        <f>IFERROR(IF(OR(J2638=0,K2638=""),"",IF(E2638="Positivo",MIN(MAX(K2638/J2638,0),1.3),MIN(MAX(J2638/K2638,0),1.3))),"") </f>
        <v/>
      </c>
      <c r="M2638" s="59">
        <f>IFERROR(IF(OR(J2638=0,K2638=""),"",IF(E2638="Positivo",MAX(K2638/J2638,0),MAX(J2638/K2638,0))),"") </f>
        <v/>
      </c>
      <c r="N2638" t="inlineStr">
        <is>
          <t>%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673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9" t="inlineStr">
        <is>
          <t>Id</t>
        </is>
      </c>
      <c r="B1" s="49" t="inlineStr">
        <is>
          <t>Indicador</t>
        </is>
      </c>
      <c r="C1" s="49" t="inlineStr">
        <is>
          <t>Proceso</t>
        </is>
      </c>
      <c r="D1" s="49" t="inlineStr">
        <is>
          <t>Periodicidad</t>
        </is>
      </c>
      <c r="E1" s="49" t="inlineStr">
        <is>
          <t>Sentido</t>
        </is>
      </c>
      <c r="F1" s="49" t="inlineStr">
        <is>
          <t>Fecha</t>
        </is>
      </c>
      <c r="G1" s="49" t="inlineStr">
        <is>
          <t>Año</t>
        </is>
      </c>
      <c r="H1" s="49" t="inlineStr">
        <is>
          <t>Mes</t>
        </is>
      </c>
      <c r="I1" s="49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43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4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20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20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3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20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3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20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4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>
      <c r="A10" s="43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4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>
      <c r="A11" s="39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4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44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44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>
      <c r="A14" s="43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4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120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4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120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44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44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44" t="n">
        <v>44742</v>
      </c>
      <c r="G18" s="16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44" t="n">
        <v>44926</v>
      </c>
      <c r="G19" s="16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44" t="n">
        <v>45107</v>
      </c>
      <c r="G20" s="16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44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>
      <c r="A22" s="39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44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120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>
      <c r="A23" s="39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44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120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44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4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>
      <c r="A26" s="39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44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120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43" t="n">
        <v>44926</v>
      </c>
      <c r="G27" s="16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120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>
      <c r="A28" s="39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44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120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>
      <c r="A29" s="39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4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120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>
      <c r="A30" s="39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44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120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4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>
      <c r="A32" s="39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44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120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>
      <c r="A34" s="43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44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120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>
      <c r="A35" s="39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44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120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44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44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>
      <c r="A38" s="39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44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120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4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>
      <c r="A40" s="39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44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120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120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>
      <c r="A42" s="5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44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>
      <c r="A43" s="39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44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20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>
      <c r="A44" s="5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44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>
      <c r="A45" s="39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44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20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>
      <c r="A46" s="5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44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>
      <c r="A47" s="39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44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120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>
      <c r="A48" s="5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44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>
      <c r="A49" s="39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44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120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>
      <c r="A50" s="5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4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20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>
      <c r="A51" s="43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4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20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>
      <c r="A52" s="39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4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20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4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20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>
      <c r="A54" s="5" t="n">
        <v>85</v>
      </c>
      <c r="B54" s="5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4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20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>
      <c r="A55" s="5" t="n">
        <v>85</v>
      </c>
      <c r="B55" s="23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4" t="n">
        <v>45291</v>
      </c>
      <c r="G55" s="16" t="n">
        <v>2023</v>
      </c>
      <c r="H55" s="6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>
      <c r="A56" s="39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4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20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>
      <c r="A57" s="5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4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>
        <f>IFERROR(IF(OR(J57=0,K57=""),"",IF(E57="Positivo",MIN(MAX(K57/J57,0),1.3),MIN(MAX(J57/K57,0),1.3))),"") </f>
        <v/>
      </c>
      <c r="M57" s="28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>
      <c r="A58" s="39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44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5" t="n">
        <v>100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>
      <c r="A59" s="5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44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10" t="n">
        <v>100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>
      <c r="A60" s="39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44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119" t="n">
        <v>100</v>
      </c>
      <c r="K60" s="123" t="n">
        <v>100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>
      <c r="A61" s="5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44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119" t="n">
        <v>100</v>
      </c>
      <c r="K61" s="123" t="n">
        <v>100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>
      <c r="A62" s="39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44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20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44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>
      <c r="A64" s="39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44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120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44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44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120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44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20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44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5" t="n">
        <v>100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>
      <c r="A69" s="39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44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120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>
      <c r="A70" s="39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44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20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4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4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10" t="n">
        <v>100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4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120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4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20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44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44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120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44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20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44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44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120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44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20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44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>
      <c r="A82" s="39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44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120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44" t="n">
        <v>45291</v>
      </c>
      <c r="G83" s="5" t="n">
        <v>2023</v>
      </c>
      <c r="H83" s="5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28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44" t="n">
        <v>45657</v>
      </c>
      <c r="G84" s="16" t="n">
        <v>2024</v>
      </c>
      <c r="H84" s="6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120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>
      <c r="A85" s="39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44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20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44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44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44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120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4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20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44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44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120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44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20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44" t="n">
        <v>46022</v>
      </c>
      <c r="G93" s="5" t="n">
        <v>2025</v>
      </c>
      <c r="H93" s="5" t="inlineStr">
        <is>
          <t>Diciembre</t>
        </is>
      </c>
      <c r="I93" s="6" t="inlineStr">
        <is>
          <t>2025-2</t>
        </is>
      </c>
      <c r="J93" s="5" t="n">
        <v>100</v>
      </c>
      <c r="K93" s="5" t="n">
        <v>100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44" t="n">
        <v>44742</v>
      </c>
      <c r="G94" s="16" t="n">
        <v>2022</v>
      </c>
      <c r="H94" s="6" t="inlineStr">
        <is>
          <t>Junio</t>
        </is>
      </c>
      <c r="I94" s="6" t="inlineStr">
        <is>
          <t>2022-1</t>
        </is>
      </c>
      <c r="J94" s="119" t="n">
        <v>100</v>
      </c>
      <c r="K94" s="123" t="n">
        <v>100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123" t="inlineStr">
        <is>
          <t>%</t>
        </is>
      </c>
      <c r="O94" s="123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44" t="n">
        <v>44926</v>
      </c>
      <c r="G95" s="16" t="n">
        <v>2022</v>
      </c>
      <c r="H95" s="6" t="inlineStr">
        <is>
          <t>Diciembre</t>
        </is>
      </c>
      <c r="I95" s="6" t="inlineStr">
        <is>
          <t>2022-2</t>
        </is>
      </c>
      <c r="J95" s="119" t="n">
        <v>100</v>
      </c>
      <c r="K95" s="123" t="n">
        <v>100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123" t="inlineStr">
        <is>
          <t>%</t>
        </is>
      </c>
      <c r="O95" s="123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44" t="n">
        <v>45107</v>
      </c>
      <c r="G96" s="16" t="n">
        <v>2023</v>
      </c>
      <c r="H96" s="6" t="inlineStr">
        <is>
          <t>Junio</t>
        </is>
      </c>
      <c r="I96" s="6" t="inlineStr">
        <is>
          <t>2023-1</t>
        </is>
      </c>
      <c r="J96" s="119" t="n">
        <v>100</v>
      </c>
      <c r="K96" s="123" t="n">
        <v>100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123" t="inlineStr">
        <is>
          <t>%</t>
        </is>
      </c>
      <c r="O96" s="123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>
      <c r="A97" s="39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44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119" t="n">
        <v>100</v>
      </c>
      <c r="K97" s="123" t="n">
        <v>100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123" t="inlineStr">
        <is>
          <t>%</t>
        </is>
      </c>
      <c r="O97" s="123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44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119" t="n">
        <v>100</v>
      </c>
      <c r="K98" s="123" t="n">
        <v>100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123" t="inlineStr">
        <is>
          <t>%</t>
        </is>
      </c>
      <c r="O98" s="123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4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119" t="n">
        <v>100</v>
      </c>
      <c r="K99" s="123" t="n">
        <v>100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123" t="inlineStr">
        <is>
          <t>%</t>
        </is>
      </c>
      <c r="O99" s="123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>
      <c r="A100" s="39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44" t="n">
        <v>45838</v>
      </c>
      <c r="G100" s="5" t="n">
        <v>2025</v>
      </c>
      <c r="H100" s="5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120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44" t="n">
        <v>46022</v>
      </c>
      <c r="G101" s="16" t="n">
        <v>2025</v>
      </c>
      <c r="H101" s="6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20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44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>
      <c r="A103" s="5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44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5" t="n">
        <v>98.3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>
      <c r="A104" s="39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4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10" t="n">
        <v>99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>
      <c r="A105" s="39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4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5" t="n">
        <v>99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>
      <c r="A106" s="39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4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10" t="n">
        <v>100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>
      <c r="A107" s="39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44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44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44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>
      <c r="A110" s="39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44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>
      <c r="A111" s="39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44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>
      <c r="A112" s="39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44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>
      <c r="A113" s="39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44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44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>
      <c r="A115" s="5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44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28" t="n"/>
      <c r="M115" s="28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>
      <c r="A116" s="39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44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8" t="n"/>
      <c r="M116" s="28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>
      <c r="A117" s="39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44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28" t="n"/>
      <c r="M117" s="28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>
      <c r="A118" s="5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44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5" t="n"/>
      <c r="L118" s="8" t="n"/>
      <c r="M118" s="28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>
      <c r="A119" s="39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44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16" t="n">
        <v>73.4019151138716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>
      <c r="A120" s="39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44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6" t="n">
        <v>78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44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16" t="n"/>
      <c r="L121" s="28" t="n"/>
      <c r="M121" s="28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>
      <c r="A122" s="5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44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>
      <c r="A123" s="39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44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44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>
      <c r="A125" s="39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44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44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44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92.7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44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120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44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20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44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>
      <c r="A131" s="43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44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>
      <c r="A132" s="39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44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>
      <c r="A133" s="39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44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120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>
      <c r="A134" s="39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44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5" t="n">
        <v>80</v>
      </c>
      <c r="K134" s="5" t="n">
        <v>88</v>
      </c>
      <c r="L134" s="120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44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124" t="n">
        <v>80</v>
      </c>
      <c r="K135" s="124" t="n">
        <v>82</v>
      </c>
      <c r="L135" s="28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44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124" t="n">
        <v>80</v>
      </c>
      <c r="K136" s="124" t="n">
        <v>86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44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125" t="n">
        <v>80</v>
      </c>
      <c r="K137" s="125" t="n">
        <v>81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>
      <c r="A138" s="5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4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123" t="n">
        <v>80</v>
      </c>
      <c r="K138" s="123" t="n">
        <v>90.7894054838542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>
      <c r="A139" s="43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4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136" t="n"/>
      <c r="M139" s="28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>
      <c r="A140" s="39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44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20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44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44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28" t="n"/>
      <c r="M142" s="28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>
      <c r="A143" s="39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44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120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44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44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44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44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>
      <c r="A148" s="5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44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>
      <c r="A149" s="43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44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120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>
      <c r="A150" s="39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44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20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44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44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5" t="n">
        <v>102</v>
      </c>
      <c r="K152" s="5" t="n">
        <v>99.868284606334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>
      <c r="A153" s="39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44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120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44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102</v>
      </c>
      <c r="K154" s="5" t="n">
        <v>111.3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43" t="n">
        <v>45473</v>
      </c>
      <c r="G155" s="16" t="n">
        <v>2024</v>
      </c>
      <c r="H155" s="6" t="inlineStr">
        <is>
          <t>Junio</t>
        </is>
      </c>
      <c r="I155" s="41" t="inlineStr">
        <is>
          <t>2024-1</t>
        </is>
      </c>
      <c r="J155" s="5" t="n">
        <v>102</v>
      </c>
      <c r="K155" s="5" t="n">
        <v>101.89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43" t="n">
        <v>45657</v>
      </c>
      <c r="G156" s="16" t="n">
        <v>2024</v>
      </c>
      <c r="H156" s="6" t="inlineStr">
        <is>
          <t>Diciembre</t>
        </is>
      </c>
      <c r="I156" s="41" t="inlineStr">
        <is>
          <t>2024-2</t>
        </is>
      </c>
      <c r="J156" s="5" t="n">
        <v>102</v>
      </c>
      <c r="K156" s="5" t="n">
        <v>100.17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44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44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44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120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44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20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>
      <c r="A161" s="5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44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>
      <c r="A162" s="39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4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120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>
      <c r="A163" s="5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44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>
      <c r="A164" s="39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44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120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>
      <c r="A165" s="39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44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120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44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>
      <c r="A167" s="39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44" t="n">
        <v>44742</v>
      </c>
      <c r="G167" s="5" t="n">
        <v>2022</v>
      </c>
      <c r="H167" s="5" t="inlineStr">
        <is>
          <t>Junio</t>
        </is>
      </c>
      <c r="I167" s="6" t="inlineStr">
        <is>
          <t>2022-1</t>
        </is>
      </c>
      <c r="J167" s="5" t="n">
        <v>1.6</v>
      </c>
      <c r="K167" s="5" t="n">
        <v>0.02054049915215283</v>
      </c>
      <c r="L167" s="120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124-2022-06-30</t>
        </is>
      </c>
    </row>
    <row r="168">
      <c r="A168" s="5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44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1.6</v>
      </c>
      <c r="K168" s="5" t="n">
        <v>0.04029246702469916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124-2022-12-31</t>
        </is>
      </c>
    </row>
    <row r="169">
      <c r="A169" s="5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44" t="n">
        <v>45107</v>
      </c>
      <c r="G169" s="5" t="n">
        <v>2023</v>
      </c>
      <c r="H169" s="5" t="inlineStr">
        <is>
          <t>Junio</t>
        </is>
      </c>
      <c r="I169" s="6" t="inlineStr">
        <is>
          <t>2023-1</t>
        </is>
      </c>
      <c r="J169" s="5" t="n">
        <v>1.6</v>
      </c>
      <c r="K169" s="5" t="n">
        <v>0.0259049039304475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124-2023-06-30</t>
        </is>
      </c>
    </row>
    <row r="170">
      <c r="A170" s="43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44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1.6</v>
      </c>
      <c r="K170" s="5" t="n">
        <v>0.03091194968553467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124-2023-12-31</t>
        </is>
      </c>
    </row>
    <row r="171">
      <c r="A171" s="39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44" t="n">
        <v>45473</v>
      </c>
      <c r="G171" s="5" t="n">
        <v>2024</v>
      </c>
      <c r="H171" s="5" t="inlineStr">
        <is>
          <t>Junio</t>
        </is>
      </c>
      <c r="I171" s="6" t="inlineStr">
        <is>
          <t>2024-1</t>
        </is>
      </c>
      <c r="J171" s="5" t="n">
        <v>0.2</v>
      </c>
      <c r="K171" s="5" t="n">
        <v>0.0069705841349505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3</v>
      </c>
      <c r="R171" s="5" t="inlineStr">
        <is>
          <t>124-2024-06-30</t>
        </is>
      </c>
    </row>
    <row r="172">
      <c r="A172" s="5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44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0.2</v>
      </c>
      <c r="K172" s="5" t="n">
        <v>0.01902587519025875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124-2024-12-31</t>
        </is>
      </c>
    </row>
    <row r="173">
      <c r="A173" s="5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44" t="n">
        <v>45838</v>
      </c>
      <c r="G173" s="5" t="n">
        <v>2025</v>
      </c>
      <c r="H173" s="5" t="inlineStr">
        <is>
          <t>Junio</t>
        </is>
      </c>
      <c r="I173" s="6" t="inlineStr">
        <is>
          <t>2025-1</t>
        </is>
      </c>
      <c r="J173" s="5" t="n">
        <v>0.2</v>
      </c>
      <c r="K173" s="5" t="n">
        <v>0.03519295047098145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124-2025-06-30</t>
        </is>
      </c>
    </row>
    <row r="174">
      <c r="A174" s="39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44" t="n">
        <v>45869</v>
      </c>
      <c r="G174" s="5" t="n">
        <v>2025</v>
      </c>
      <c r="H174" s="5" t="inlineStr">
        <is>
          <t>Julio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120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124-2025-07-31</t>
        </is>
      </c>
    </row>
    <row r="175">
      <c r="A175" s="39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44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120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124-2025-12-31</t>
        </is>
      </c>
    </row>
    <row r="176">
      <c r="A176" s="39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44" t="n">
        <v>44742</v>
      </c>
      <c r="G176" s="5" t="n">
        <v>2022</v>
      </c>
      <c r="H176" s="5" t="inlineStr">
        <is>
          <t>Junio</t>
        </is>
      </c>
      <c r="I176" s="6" t="inlineStr">
        <is>
          <t>2022-1</t>
        </is>
      </c>
      <c r="J176" s="5" t="n">
        <v>4.7</v>
      </c>
      <c r="K176" s="5" t="n">
        <v>0.07940876177520667</v>
      </c>
      <c r="L176" s="120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125-2022-06-30</t>
        </is>
      </c>
    </row>
    <row r="177">
      <c r="A177" s="5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44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4.7</v>
      </c>
      <c r="K177" s="5" t="n">
        <v>0.07941803125652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125-2022-12-31</t>
        </is>
      </c>
    </row>
    <row r="178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44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4.7</v>
      </c>
      <c r="K178" s="5" t="n">
        <v>0.021741020958345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125-2023-06-30</t>
        </is>
      </c>
    </row>
    <row r="179">
      <c r="A179" s="43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44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4.7</v>
      </c>
      <c r="K179" s="5" t="n">
        <v>0.32943396226415</v>
      </c>
      <c r="L179" s="120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125-2023-12-31</t>
        </is>
      </c>
    </row>
    <row r="180">
      <c r="A180" s="39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44" t="n">
        <v>45473</v>
      </c>
      <c r="G180" s="5" t="n">
        <v>2024</v>
      </c>
      <c r="H180" s="5" t="inlineStr">
        <is>
          <t>Junio</t>
        </is>
      </c>
      <c r="I180" s="6" t="inlineStr">
        <is>
          <t>2024-1</t>
        </is>
      </c>
      <c r="J180" s="5" t="n">
        <v>1.9</v>
      </c>
      <c r="K180" s="5" t="n">
        <v>0.03485292067475255</v>
      </c>
      <c r="L180" s="120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125-2024-06-30</t>
        </is>
      </c>
    </row>
    <row r="18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44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1.9</v>
      </c>
      <c r="K181" s="5" t="n">
        <v>0.15220700152207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125-2024-12-31</t>
        </is>
      </c>
    </row>
    <row r="182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44" t="n">
        <v>45838</v>
      </c>
      <c r="G182" s="5" t="n">
        <v>2025</v>
      </c>
      <c r="H182" s="5" t="inlineStr">
        <is>
          <t>Junio</t>
        </is>
      </c>
      <c r="I182" s="6" t="inlineStr">
        <is>
          <t>2025-1</t>
        </is>
      </c>
      <c r="J182" s="5" t="n">
        <v>1.9</v>
      </c>
      <c r="K182" s="5" t="n">
        <v>0.1605788514129444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125-2025-06-30</t>
        </is>
      </c>
    </row>
    <row r="183">
      <c r="A183" s="39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44" t="n">
        <v>46022</v>
      </c>
      <c r="G183" s="5" t="n">
        <v>2025</v>
      </c>
      <c r="H183" s="5" t="inlineStr">
        <is>
          <t>Diciembre</t>
        </is>
      </c>
      <c r="I183" s="6" t="inlineStr">
        <is>
          <t>2025-2</t>
        </is>
      </c>
      <c r="J183" s="5" t="n">
        <v>1.9</v>
      </c>
      <c r="K183" s="5" t="n">
        <v>0.04166666666666666</v>
      </c>
      <c r="L183" s="120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125-2025-12-31</t>
        </is>
      </c>
    </row>
    <row r="184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144" t="n">
        <v>44926</v>
      </c>
      <c r="G184" s="5" t="n">
        <v>2022</v>
      </c>
      <c r="H184" s="5" t="inlineStr">
        <is>
          <t>Diciembre</t>
        </is>
      </c>
      <c r="I184" s="6" t="inlineStr">
        <is>
          <t>2022-2</t>
        </is>
      </c>
      <c r="J184" s="5" t="n">
        <v>2</v>
      </c>
      <c r="K184" s="5" t="n">
        <v>0.12391573729864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126-2022-12-31</t>
        </is>
      </c>
    </row>
    <row r="185">
      <c r="A185" s="5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144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2</v>
      </c>
      <c r="K185" s="5" t="n">
        <v>0.12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2</v>
      </c>
      <c r="R185" s="5" t="inlineStr">
        <is>
          <t>126-2023-12-31</t>
        </is>
      </c>
    </row>
    <row r="186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143" t="n">
        <v>45657</v>
      </c>
      <c r="G186" s="16" t="n">
        <v>2024</v>
      </c>
      <c r="H186" s="6" t="inlineStr">
        <is>
          <t>Diciembre</t>
        </is>
      </c>
      <c r="I186" s="41" t="inlineStr">
        <is>
          <t>2024-2</t>
        </is>
      </c>
      <c r="J186" s="5" t="n">
        <v>2</v>
      </c>
      <c r="K186" s="5" t="n">
        <v>0.1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DEC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126-2024-12-31</t>
        </is>
      </c>
    </row>
    <row r="187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43" t="n">
        <v>46022</v>
      </c>
      <c r="G187" s="16" t="n">
        <v>2025</v>
      </c>
      <c r="H187" s="6" t="inlineStr">
        <is>
          <t>Diciembre</t>
        </is>
      </c>
      <c r="I187" s="41" t="inlineStr">
        <is>
          <t>2025-2</t>
        </is>
      </c>
      <c r="J187" s="5" t="n">
        <v>2</v>
      </c>
      <c r="K187" s="5" t="n">
        <v>0.16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DEC</t>
        </is>
      </c>
      <c r="P187" s="5" t="n">
        <v>0</v>
      </c>
      <c r="Q187" s="5" t="n">
        <v>1</v>
      </c>
      <c r="R187" s="5" t="inlineStr">
        <is>
          <t>126-2025-12-31</t>
        </is>
      </c>
    </row>
    <row r="188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43" t="n">
        <v>44926</v>
      </c>
      <c r="G188" s="16" t="n">
        <v>2022</v>
      </c>
      <c r="H188" s="6" t="inlineStr">
        <is>
          <t>Diciembre</t>
        </is>
      </c>
      <c r="I188" s="41" t="inlineStr">
        <is>
          <t>2022-2</t>
        </is>
      </c>
      <c r="J188" s="5" t="n">
        <v>0</v>
      </c>
      <c r="K188" s="5" t="n">
        <v>0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127-2022-12-31</t>
        </is>
      </c>
    </row>
    <row r="189">
      <c r="A189" s="5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44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0</v>
      </c>
      <c r="K189" s="5" t="n">
        <v>0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127-2023-12-31</t>
        </is>
      </c>
    </row>
    <row r="190">
      <c r="A190" s="5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44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0</v>
      </c>
      <c r="K190" s="5" t="n">
        <v>0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127-2024-12-31</t>
        </is>
      </c>
    </row>
    <row r="191">
      <c r="A191" s="5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44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0</v>
      </c>
      <c r="K191" s="5" t="n">
        <v>0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0</v>
      </c>
      <c r="R191" s="5" t="inlineStr">
        <is>
          <t>127-2025-12-31</t>
        </is>
      </c>
    </row>
    <row r="192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143" t="n">
        <v>44742</v>
      </c>
      <c r="G192" s="16" t="n">
        <v>2022</v>
      </c>
      <c r="H192" s="6" t="inlineStr">
        <is>
          <t>Junio</t>
        </is>
      </c>
      <c r="I192" s="41" t="inlineStr">
        <is>
          <t>2022-1</t>
        </is>
      </c>
      <c r="J192" s="5" t="n">
        <v>1</v>
      </c>
      <c r="K192" s="5" t="n">
        <v>0.7173436208217416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128-2022-06-30</t>
        </is>
      </c>
    </row>
    <row r="193">
      <c r="A193" s="5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143" t="n">
        <v>44926</v>
      </c>
      <c r="G193" s="16" t="n">
        <v>2022</v>
      </c>
      <c r="H193" s="6" t="inlineStr">
        <is>
          <t>Diciembre</t>
        </is>
      </c>
      <c r="I193" s="41" t="inlineStr">
        <is>
          <t>2022-2</t>
        </is>
      </c>
      <c r="J193" s="5" t="n">
        <v>1</v>
      </c>
      <c r="K193" s="5" t="n">
        <v>0.8523290336262234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128-2022-12-31</t>
        </is>
      </c>
    </row>
    <row r="194">
      <c r="A194" s="5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143" t="n">
        <v>45107</v>
      </c>
      <c r="G194" s="16" t="n">
        <v>2023</v>
      </c>
      <c r="H194" s="6" t="inlineStr">
        <is>
          <t>Junio</t>
        </is>
      </c>
      <c r="I194" s="41" t="inlineStr">
        <is>
          <t>2023-1</t>
        </is>
      </c>
      <c r="J194" s="5" t="n">
        <v>1</v>
      </c>
      <c r="K194" s="5" t="n">
        <v>0.9449840892803549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128-2023-06-30</t>
        </is>
      </c>
    </row>
    <row r="195">
      <c r="A195" s="39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44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1</v>
      </c>
      <c r="K195" s="5" t="n">
        <v>0.7491333924874333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128-2023-12-31</t>
        </is>
      </c>
    </row>
    <row r="196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44" t="n">
        <v>45473</v>
      </c>
      <c r="G196" s="5" t="n">
        <v>2024</v>
      </c>
      <c r="H196" s="5" t="inlineStr">
        <is>
          <t>Junio</t>
        </is>
      </c>
      <c r="I196" s="6" t="inlineStr">
        <is>
          <t>2024-1</t>
        </is>
      </c>
      <c r="J196" s="5" t="n">
        <v>1</v>
      </c>
      <c r="K196" s="5" t="n">
        <v>0.6606634090870904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128-2024-06-30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44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1</v>
      </c>
      <c r="K197" s="5" t="n">
        <v>0.701289310309125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128-2024-12-31</t>
        </is>
      </c>
    </row>
    <row r="198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43" t="n">
        <v>45838</v>
      </c>
      <c r="G198" s="16" t="n">
        <v>2025</v>
      </c>
      <c r="H198" s="6" t="inlineStr">
        <is>
          <t>Junio</t>
        </is>
      </c>
      <c r="I198" s="41" t="inlineStr">
        <is>
          <t>2025-1</t>
        </is>
      </c>
      <c r="J198" s="5" t="n">
        <v>1</v>
      </c>
      <c r="K198" s="5" t="n">
        <v>0.9333333333333332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128-2025-06-30</t>
        </is>
      </c>
    </row>
    <row r="199">
      <c r="A199" s="39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44" t="n">
        <v>46022</v>
      </c>
      <c r="G199" s="5" t="n">
        <v>2025</v>
      </c>
      <c r="H199" s="5" t="inlineStr">
        <is>
          <t>Diciembre</t>
        </is>
      </c>
      <c r="I199" s="6" t="inlineStr">
        <is>
          <t>2025-2</t>
        </is>
      </c>
      <c r="J199" s="5" t="n">
        <v>1</v>
      </c>
      <c r="K199" s="5" t="n">
        <v>0.8799999999999999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128-2025-12-31</t>
        </is>
      </c>
    </row>
    <row r="200">
      <c r="A200" s="39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144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5" t="n">
        <v>90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133-2022-10-31</t>
        </is>
      </c>
    </row>
    <row r="20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144" t="n">
        <v>45291</v>
      </c>
      <c r="G201" s="5" t="n">
        <v>2023</v>
      </c>
      <c r="H201" s="5" t="inlineStr">
        <is>
          <t>Diciembre</t>
        </is>
      </c>
      <c r="I201" s="6" t="inlineStr">
        <is>
          <t>2023-2</t>
        </is>
      </c>
      <c r="J201" s="5" t="n">
        <v>80</v>
      </c>
      <c r="K201" s="5" t="n">
        <v>92.78911564625851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133-2023-12-31</t>
        </is>
      </c>
    </row>
    <row r="202">
      <c r="A202" s="5" t="n">
        <v>133</v>
      </c>
      <c r="B202" s="5" t="inlineStr">
        <is>
          <t>Nivel de Satisfacción Servicios Prestados</t>
        </is>
      </c>
      <c r="C202" s="5" t="inlineStr">
        <is>
          <t>VISIBILIDAD NACIONAL E INTERNACIONAL</t>
        </is>
      </c>
      <c r="D202" s="5" t="inlineStr">
        <is>
          <t>Anual</t>
        </is>
      </c>
      <c r="E202" s="5" t="inlineStr">
        <is>
          <t>Positivo</t>
        </is>
      </c>
      <c r="F202" s="144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>
        <v>80</v>
      </c>
      <c r="K202" s="5" t="n">
        <v>91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133-2024-12-31</t>
        </is>
      </c>
    </row>
    <row r="203">
      <c r="A203" s="43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144" t="n">
        <v>45107</v>
      </c>
      <c r="G203" s="5" t="n">
        <v>2023</v>
      </c>
      <c r="H203" s="5" t="inlineStr">
        <is>
          <t>Junio</t>
        </is>
      </c>
      <c r="I203" s="6" t="inlineStr">
        <is>
          <t>2023-1</t>
        </is>
      </c>
      <c r="J203" s="5" t="n">
        <v>90</v>
      </c>
      <c r="K203" s="5" t="n">
        <v>105.56</v>
      </c>
      <c r="L203" s="120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136-2023-06-30</t>
        </is>
      </c>
    </row>
    <row r="204">
      <c r="A204" s="39" t="n">
        <v>136</v>
      </c>
      <c r="B204" s="5" t="inlineStr">
        <is>
          <t>Ejecución de actividades culturales</t>
        </is>
      </c>
      <c r="C204" s="5" t="inlineStr">
        <is>
          <t>Biblioteca Institucional</t>
        </is>
      </c>
      <c r="D204" s="5" t="inlineStr">
        <is>
          <t>Semestral</t>
        </is>
      </c>
      <c r="E204" s="5" t="inlineStr">
        <is>
          <t>Positivo</t>
        </is>
      </c>
      <c r="F204" s="144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90</v>
      </c>
      <c r="K204" s="5" t="n">
        <v>94.44</v>
      </c>
      <c r="L204" s="120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136-2023-12-31</t>
        </is>
      </c>
    </row>
    <row r="205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144" t="n">
        <v>45107</v>
      </c>
      <c r="G205" s="5" t="n">
        <v>2023</v>
      </c>
      <c r="H205" s="5" t="inlineStr">
        <is>
          <t>Junio</t>
        </is>
      </c>
      <c r="I205" s="6" t="inlineStr">
        <is>
          <t>2023-1</t>
        </is>
      </c>
      <c r="J205" s="5" t="n">
        <v>212</v>
      </c>
      <c r="K205" s="5" t="n">
        <v>213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n"/>
      <c r="O205" s="5" t="n"/>
      <c r="P205" s="5" t="n">
        <v>0</v>
      </c>
      <c r="Q205" s="5" t="n">
        <v>0</v>
      </c>
      <c r="R205" s="5" t="inlineStr">
        <is>
          <t>137-2023-06-30</t>
        </is>
      </c>
    </row>
    <row r="206">
      <c r="A206" s="5" t="n">
        <v>137</v>
      </c>
      <c r="B206" s="5" t="inlineStr">
        <is>
          <t>Ejecución de Talleres de formación</t>
        </is>
      </c>
      <c r="C206" s="5" t="inlineStr">
        <is>
          <t>Biblioteca Institucional</t>
        </is>
      </c>
      <c r="D206" s="5" t="inlineStr">
        <is>
          <t>Trimestral</t>
        </is>
      </c>
      <c r="E206" s="5" t="inlineStr">
        <is>
          <t>Positivo</t>
        </is>
      </c>
      <c r="F206" s="144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235</v>
      </c>
      <c r="K206" s="5" t="n">
        <v>3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n"/>
      <c r="O206" s="5" t="n"/>
      <c r="P206" s="5" t="n">
        <v>0</v>
      </c>
      <c r="Q206" s="5" t="n">
        <v>0</v>
      </c>
      <c r="R206" s="5" t="inlineStr">
        <is>
          <t>137-2023-12-31</t>
        </is>
      </c>
    </row>
    <row r="207">
      <c r="A207" s="39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144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570.083</v>
      </c>
      <c r="K207" s="5" t="n">
        <v>410.077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139-2023-06-30</t>
        </is>
      </c>
    </row>
    <row r="208">
      <c r="A208" s="5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144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5" t="n">
        <v>981.982</v>
      </c>
      <c r="K208" s="5" t="n">
        <v>964.284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139-2023-12-31</t>
        </is>
      </c>
    </row>
    <row r="209">
      <c r="A209" s="5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144" t="n">
        <v>45473</v>
      </c>
      <c r="G209" s="16" t="n">
        <v>2024</v>
      </c>
      <c r="H209" s="6" t="inlineStr">
        <is>
          <t>Junio</t>
        </is>
      </c>
      <c r="I209" s="6" t="inlineStr">
        <is>
          <t>2024-1</t>
        </is>
      </c>
      <c r="J209" s="5" t="n">
        <v>624.0215930000001</v>
      </c>
      <c r="K209" s="5" t="n">
        <v>470.811775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139-2024-06-30</t>
        </is>
      </c>
    </row>
    <row r="210">
      <c r="A210" s="5" t="n">
        <v>139</v>
      </c>
      <c r="B210" s="5" t="inlineStr">
        <is>
          <t>Ejecución presupuestal del gasto</t>
        </is>
      </c>
      <c r="C210" s="5" t="inlineStr">
        <is>
          <t>Biblioteca Institucional</t>
        </is>
      </c>
      <c r="D210" s="5" t="inlineStr">
        <is>
          <t>Mensual</t>
        </is>
      </c>
      <c r="E210" s="5" t="inlineStr">
        <is>
          <t>Negativo</t>
        </is>
      </c>
      <c r="F210" s="144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5" t="n">
        <v>1338.614396</v>
      </c>
      <c r="K210" s="5" t="n">
        <v>1214.751881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inlineStr">
        <is>
          <t>$</t>
        </is>
      </c>
      <c r="O210" s="5" t="inlineStr">
        <is>
          <t>$</t>
        </is>
      </c>
      <c r="P210" s="5" t="n">
        <v>0</v>
      </c>
      <c r="Q210" s="5" t="n">
        <v>0</v>
      </c>
      <c r="R210" s="5" t="inlineStr">
        <is>
          <t>139-2024-12-31</t>
        </is>
      </c>
    </row>
    <row r="211">
      <c r="A211" s="5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143" t="n">
        <v>44742</v>
      </c>
      <c r="G211" s="16" t="n">
        <v>2022</v>
      </c>
      <c r="H211" s="6" t="inlineStr">
        <is>
          <t>Junio</t>
        </is>
      </c>
      <c r="I211" s="41" t="inlineStr">
        <is>
          <t>2022-1</t>
        </is>
      </c>
      <c r="J211" s="124" t="n">
        <v>100</v>
      </c>
      <c r="K211" s="124" t="n">
        <v>147</v>
      </c>
      <c r="L211" s="28" t="n"/>
      <c r="M211" s="28" t="n"/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143-2022-06-30</t>
        </is>
      </c>
      <c r="S211" t="inlineStr">
        <is>
          <t>Metrica</t>
        </is>
      </c>
    </row>
    <row r="212">
      <c r="A212" s="5" t="n">
        <v>143</v>
      </c>
      <c r="B212" s="5" t="inlineStr">
        <is>
          <t>Proyectos de investigación e innovación- Metrica</t>
        </is>
      </c>
      <c r="C212" s="5" t="inlineStr">
        <is>
          <t>Investigación, desarrollo tecnológico, innovación y creación</t>
        </is>
      </c>
      <c r="D212" s="5" t="inlineStr">
        <is>
          <t>Trimestral</t>
        </is>
      </c>
      <c r="E212" s="5" t="inlineStr">
        <is>
          <t>Positivo</t>
        </is>
      </c>
      <c r="F212" s="143" t="n">
        <v>44926</v>
      </c>
      <c r="G212" s="16" t="n">
        <v>2022</v>
      </c>
      <c r="H212" s="6" t="inlineStr">
        <is>
          <t>Diciembre</t>
        </is>
      </c>
      <c r="I212" s="41" t="inlineStr">
        <is>
          <t>2022-2</t>
        </is>
      </c>
      <c r="J212" s="124" t="n">
        <v>100</v>
      </c>
      <c r="K212" s="124" t="n">
        <v>158</v>
      </c>
      <c r="L212" s="28" t="n"/>
      <c r="M212" s="28" t="n"/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143-2022-12-31</t>
        </is>
      </c>
      <c r="S212" t="inlineStr">
        <is>
          <t>Metrica</t>
        </is>
      </c>
    </row>
    <row r="213">
      <c r="A213" s="5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143" t="n">
        <v>45107</v>
      </c>
      <c r="G213" s="16" t="n">
        <v>2023</v>
      </c>
      <c r="H213" s="6" t="inlineStr">
        <is>
          <t>Junio</t>
        </is>
      </c>
      <c r="I213" s="41" t="inlineStr">
        <is>
          <t>2023-1</t>
        </is>
      </c>
      <c r="J213" s="119" t="n">
        <v>100</v>
      </c>
      <c r="K213" s="124" t="n">
        <v>146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143-2023-06-30</t>
        </is>
      </c>
    </row>
    <row r="214">
      <c r="A214" s="39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144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119" t="n">
        <v>100</v>
      </c>
      <c r="K214" s="124" t="n">
        <v>146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143-2023-12-31</t>
        </is>
      </c>
    </row>
    <row r="215">
      <c r="A215" s="5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144" t="n">
        <v>45473</v>
      </c>
      <c r="G215" s="5" t="n">
        <v>2024</v>
      </c>
      <c r="H215" s="5" t="inlineStr">
        <is>
          <t>Junio</t>
        </is>
      </c>
      <c r="I215" s="6" t="inlineStr">
        <is>
          <t>2024-1</t>
        </is>
      </c>
      <c r="J215" s="126" t="n">
        <v>100</v>
      </c>
      <c r="K215" s="10" t="n">
        <v>112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143-2024-06-30</t>
        </is>
      </c>
    </row>
    <row r="216">
      <c r="A216" s="39" t="n">
        <v>143</v>
      </c>
      <c r="B216" s="5" t="inlineStr">
        <is>
          <t>Proyectos de investigación e innovación</t>
        </is>
      </c>
      <c r="C216" s="5" t="inlineStr">
        <is>
          <t>Investigación, desarrollo tecnológico, innovación y creación</t>
        </is>
      </c>
      <c r="D216" s="5" t="inlineStr">
        <is>
          <t>Semestral</t>
        </is>
      </c>
      <c r="E216" s="5" t="inlineStr">
        <is>
          <t>Positivo</t>
        </is>
      </c>
      <c r="F216" s="144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119" t="n">
        <v>100</v>
      </c>
      <c r="K216" s="124" t="n">
        <v>135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143-2024-12-31</t>
        </is>
      </c>
    </row>
    <row r="217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143" t="n">
        <v>45838</v>
      </c>
      <c r="G217" s="16" t="n">
        <v>2025</v>
      </c>
      <c r="H217" s="6" t="inlineStr">
        <is>
          <t>Junio</t>
        </is>
      </c>
      <c r="I217" s="41" t="inlineStr">
        <is>
          <t>2025-1</t>
        </is>
      </c>
      <c r="J217" s="11" t="n">
        <v>100</v>
      </c>
      <c r="K217" s="11" t="n">
        <v>159</v>
      </c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143-2025-06-30</t>
        </is>
      </c>
    </row>
    <row r="218">
      <c r="A218" s="5" t="n">
        <v>143</v>
      </c>
      <c r="B218" s="5" t="inlineStr">
        <is>
          <t>Proyectos de investigación e innovación- Metrica</t>
        </is>
      </c>
      <c r="C218" s="5" t="inlineStr">
        <is>
          <t>Investigación, desarrollo tecnológico, innovación y creación</t>
        </is>
      </c>
      <c r="D218" s="5" t="inlineStr">
        <is>
          <t>Trimestral</t>
        </is>
      </c>
      <c r="E218" s="5" t="inlineStr">
        <is>
          <t>Positivo</t>
        </is>
      </c>
      <c r="F218" s="143" t="n">
        <v>46022</v>
      </c>
      <c r="G218" s="16" t="n">
        <v>2025</v>
      </c>
      <c r="H218" s="6" t="inlineStr">
        <is>
          <t>Diciembre</t>
        </is>
      </c>
      <c r="I218" s="41" t="inlineStr">
        <is>
          <t>2025-2</t>
        </is>
      </c>
      <c r="J218" s="11" t="n">
        <v>100</v>
      </c>
      <c r="K218" s="123" t="n">
        <v>191</v>
      </c>
      <c r="L218" s="28" t="n"/>
      <c r="M218" s="28" t="n"/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143-2025-12-31</t>
        </is>
      </c>
      <c r="S218" t="inlineStr">
        <is>
          <t>Metrica</t>
        </is>
      </c>
    </row>
    <row r="219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143" t="n">
        <v>44742</v>
      </c>
      <c r="G219" s="16" t="n">
        <v>2022</v>
      </c>
      <c r="H219" s="6" t="inlineStr">
        <is>
          <t>Junio</t>
        </is>
      </c>
      <c r="I219" s="41" t="inlineStr">
        <is>
          <t>2022-1</t>
        </is>
      </c>
      <c r="J219" s="5" t="n">
        <v>3</v>
      </c>
      <c r="K219" s="11" t="n">
        <v>3.2169811320755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144-2022-06-30</t>
        </is>
      </c>
    </row>
    <row r="220">
      <c r="A220" s="39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144" t="n">
        <v>44926</v>
      </c>
      <c r="G220" s="5" t="n">
        <v>2022</v>
      </c>
      <c r="H220" s="5" t="inlineStr">
        <is>
          <t>Diciembre</t>
        </is>
      </c>
      <c r="I220" s="6" t="inlineStr">
        <is>
          <t>2022-2</t>
        </is>
      </c>
      <c r="J220" s="119" t="n">
        <v>3</v>
      </c>
      <c r="K220" s="123" t="n">
        <v>3.55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ENT</t>
        </is>
      </c>
      <c r="O220" s="5" t="inlineStr">
        <is>
          <t>DEC</t>
        </is>
      </c>
      <c r="P220" s="5" t="n">
        <v>2</v>
      </c>
      <c r="Q220" s="5" t="n">
        <v>2</v>
      </c>
      <c r="R220" s="5" t="inlineStr">
        <is>
          <t>144-2022-12-31</t>
        </is>
      </c>
    </row>
    <row r="22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14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3</v>
      </c>
      <c r="K221" s="10" t="n">
        <v>4.83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n"/>
      <c r="O221" s="5" t="n"/>
      <c r="P221" s="5" t="n">
        <v>2</v>
      </c>
      <c r="Q221" s="5" t="n">
        <v>2</v>
      </c>
      <c r="R221" s="5" t="inlineStr">
        <is>
          <t>144-2023-12-31</t>
        </is>
      </c>
    </row>
    <row r="222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144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3</v>
      </c>
      <c r="K222" s="10" t="n">
        <v>4.6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n"/>
      <c r="O222" s="5" t="n"/>
      <c r="P222" s="5" t="n">
        <v>0</v>
      </c>
      <c r="Q222" s="5" t="n">
        <v>0</v>
      </c>
      <c r="R222" s="5" t="inlineStr">
        <is>
          <t>144-2024-12-31</t>
        </is>
      </c>
    </row>
    <row r="223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143" t="n">
        <v>46022</v>
      </c>
      <c r="G223" s="16" t="n">
        <v>2025</v>
      </c>
      <c r="H223" s="6" t="inlineStr">
        <is>
          <t>Diciembre</t>
        </is>
      </c>
      <c r="I223" s="41" t="inlineStr">
        <is>
          <t>2025-2</t>
        </is>
      </c>
      <c r="J223" s="123" t="n">
        <v>4</v>
      </c>
      <c r="K223" s="123" t="n">
        <v>1.95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144-2025-12-31</t>
        </is>
      </c>
    </row>
    <row r="224">
      <c r="A224" s="5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143" t="n">
        <v>44742</v>
      </c>
      <c r="G224" s="16" t="n">
        <v>2022</v>
      </c>
      <c r="H224" s="6" t="inlineStr">
        <is>
          <t>Junio</t>
        </is>
      </c>
      <c r="I224" s="41" t="inlineStr">
        <is>
          <t>2022-1</t>
        </is>
      </c>
      <c r="J224" s="5" t="n">
        <v>1</v>
      </c>
      <c r="K224" s="11" t="n">
        <v>2.1186440677966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145-2022-06-30</t>
        </is>
      </c>
    </row>
    <row r="225">
      <c r="A225" s="39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Trimestral</t>
        </is>
      </c>
      <c r="E225" s="5" t="inlineStr">
        <is>
          <t>Positivo</t>
        </is>
      </c>
      <c r="F225" s="144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119" t="n">
        <v>1</v>
      </c>
      <c r="K225" s="123" t="n">
        <v>2.1186440677966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ENT</t>
        </is>
      </c>
      <c r="O225" s="5" t="inlineStr">
        <is>
          <t>DEC</t>
        </is>
      </c>
      <c r="P225" s="5" t="n">
        <v>0</v>
      </c>
      <c r="Q225" s="5" t="n">
        <v>2</v>
      </c>
      <c r="R225" s="5" t="inlineStr">
        <is>
          <t>145-2022-12-31</t>
        </is>
      </c>
    </row>
    <row r="226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144" t="n">
        <v>45107</v>
      </c>
      <c r="G226" s="5" t="n">
        <v>2023</v>
      </c>
      <c r="H226" s="5" t="inlineStr">
        <is>
          <t>Junio</t>
        </is>
      </c>
      <c r="I226" s="6" t="inlineStr">
        <is>
          <t>2023-1</t>
        </is>
      </c>
      <c r="J226" s="5" t="n">
        <v>1</v>
      </c>
      <c r="K226" s="123" t="n">
        <v>2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145-2023-06-30</t>
        </is>
      </c>
    </row>
    <row r="227">
      <c r="A227" s="5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144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1</v>
      </c>
      <c r="K227" s="10" t="n">
        <v>2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ENT</t>
        </is>
      </c>
      <c r="O227" s="5" t="inlineStr">
        <is>
          <t>ENT</t>
        </is>
      </c>
      <c r="P227" s="5" t="n">
        <v>0</v>
      </c>
      <c r="Q227" s="5" t="n">
        <v>0</v>
      </c>
      <c r="R227" s="5" t="inlineStr">
        <is>
          <t>145-2023-12-31</t>
        </is>
      </c>
    </row>
    <row r="228">
      <c r="A228" s="5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143" t="n">
        <v>45473</v>
      </c>
      <c r="G228" s="16" t="n">
        <v>2024</v>
      </c>
      <c r="H228" s="6" t="inlineStr">
        <is>
          <t>Junio</t>
        </is>
      </c>
      <c r="I228" s="41" t="inlineStr">
        <is>
          <t>2024-1</t>
        </is>
      </c>
      <c r="J228" s="5" t="n">
        <v>1</v>
      </c>
      <c r="K228" s="11" t="n">
        <v>1.97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145-2024-06-30</t>
        </is>
      </c>
    </row>
    <row r="229">
      <c r="A229" s="39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Semestral</t>
        </is>
      </c>
      <c r="E229" s="5" t="inlineStr">
        <is>
          <t>Positivo</t>
        </is>
      </c>
      <c r="F229" s="144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1</v>
      </c>
      <c r="K229" s="124" t="n">
        <v>1.94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145-2024-12-31</t>
        </is>
      </c>
    </row>
    <row r="230">
      <c r="A230" s="39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144" t="n">
        <v>45838</v>
      </c>
      <c r="G230" s="5" t="n">
        <v>2025</v>
      </c>
      <c r="H230" s="5" t="inlineStr">
        <is>
          <t>Junio</t>
        </is>
      </c>
      <c r="I230" s="6" t="inlineStr">
        <is>
          <t>2025-1</t>
        </is>
      </c>
      <c r="J230" s="5" t="n">
        <v>1</v>
      </c>
      <c r="K230" s="5" t="n">
        <v>1.74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145-2025-06-30</t>
        </is>
      </c>
    </row>
    <row r="231">
      <c r="A231" s="5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Trimestral</t>
        </is>
      </c>
      <c r="E231" s="5" t="inlineStr">
        <is>
          <t>Positivo</t>
        </is>
      </c>
      <c r="F231" s="143" t="n">
        <v>46022</v>
      </c>
      <c r="G231" s="16" t="n">
        <v>2025</v>
      </c>
      <c r="H231" s="6" t="inlineStr">
        <is>
          <t>Diciembre</t>
        </is>
      </c>
      <c r="I231" s="41" t="inlineStr">
        <is>
          <t>2025-2</t>
        </is>
      </c>
      <c r="J231" s="5" t="n">
        <v>1</v>
      </c>
      <c r="K231" s="11" t="n">
        <v>1.62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DEC</t>
        </is>
      </c>
      <c r="P231" s="5" t="n">
        <v>0</v>
      </c>
      <c r="Q231" s="5" t="n">
        <v>2</v>
      </c>
      <c r="R231" s="5" t="inlineStr">
        <is>
          <t>145-2025-12-31</t>
        </is>
      </c>
    </row>
    <row r="232">
      <c r="A232" s="39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144" t="n">
        <v>44742</v>
      </c>
      <c r="G232" s="5" t="n">
        <v>2022</v>
      </c>
      <c r="H232" s="5" t="inlineStr">
        <is>
          <t>Junio</t>
        </is>
      </c>
      <c r="I232" s="6" t="inlineStr">
        <is>
          <t>2022-1</t>
        </is>
      </c>
      <c r="J232" s="119" t="n">
        <v>230</v>
      </c>
      <c r="K232" s="123" t="n">
        <v>100.43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146-2022-06-30</t>
        </is>
      </c>
    </row>
    <row r="233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Trimestral</t>
        </is>
      </c>
      <c r="E233" s="5" t="inlineStr">
        <is>
          <t>Positivo</t>
        </is>
      </c>
      <c r="F233" s="144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230</v>
      </c>
      <c r="K233" s="11" t="n">
        <v>121.74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146-2022-12-31</t>
        </is>
      </c>
    </row>
    <row r="234">
      <c r="A234" s="5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144" t="n">
        <v>45107</v>
      </c>
      <c r="G234" s="5" t="n">
        <v>2023</v>
      </c>
      <c r="H234" s="5" t="inlineStr">
        <is>
          <t>Junio</t>
        </is>
      </c>
      <c r="I234" s="6" t="inlineStr">
        <is>
          <t>2023-1</t>
        </is>
      </c>
      <c r="J234" s="5" t="n">
        <v>230</v>
      </c>
      <c r="K234" s="11" t="n">
        <v>120.87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146-2023-06-30</t>
        </is>
      </c>
    </row>
    <row r="235">
      <c r="A235" s="39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144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230</v>
      </c>
      <c r="K235" s="5" t="n">
        <v>148.7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146-2023-12-31</t>
        </is>
      </c>
    </row>
    <row r="236">
      <c r="A236" s="39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144" t="n">
        <v>45473</v>
      </c>
      <c r="G236" s="5" t="n">
        <v>2024</v>
      </c>
      <c r="H236" s="5" t="inlineStr">
        <is>
          <t>Junio</t>
        </is>
      </c>
      <c r="I236" s="6" t="inlineStr">
        <is>
          <t>2024-1</t>
        </is>
      </c>
      <c r="J236" s="5" t="n">
        <v>294</v>
      </c>
      <c r="K236" s="5" t="n">
        <v>113.61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146-2024-06-30</t>
        </is>
      </c>
    </row>
    <row r="237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Semestral</t>
        </is>
      </c>
      <c r="E237" s="5" t="inlineStr">
        <is>
          <t>Positivo</t>
        </is>
      </c>
      <c r="F237" s="144" t="n">
        <v>45657</v>
      </c>
      <c r="G237" s="5" t="n">
        <v>2024</v>
      </c>
      <c r="H237" s="5" t="inlineStr">
        <is>
          <t>Diciembre</t>
        </is>
      </c>
      <c r="I237" s="6" t="inlineStr">
        <is>
          <t>2024-2</t>
        </is>
      </c>
      <c r="J237" s="5" t="n">
        <v>294</v>
      </c>
      <c r="K237" s="5" t="n">
        <v>116.67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146-2024-12-31</t>
        </is>
      </c>
    </row>
    <row r="238">
      <c r="A238" s="5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144" t="n">
        <v>45838</v>
      </c>
      <c r="G238" s="5" t="n">
        <v>2025</v>
      </c>
      <c r="H238" s="5" t="inlineStr">
        <is>
          <t>Junio</t>
        </is>
      </c>
      <c r="I238" s="6" t="inlineStr">
        <is>
          <t>2025-1</t>
        </is>
      </c>
      <c r="J238" s="5" t="n">
        <v>100</v>
      </c>
      <c r="K238" s="5" t="n">
        <v>107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146-2025-06-30</t>
        </is>
      </c>
    </row>
    <row r="239">
      <c r="A239" s="39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Trimestral</t>
        </is>
      </c>
      <c r="E239" s="5" t="inlineStr">
        <is>
          <t>Positivo</t>
        </is>
      </c>
      <c r="F239" s="144" t="n">
        <v>46022</v>
      </c>
      <c r="G239" s="5" t="n">
        <v>2025</v>
      </c>
      <c r="H239" s="5" t="inlineStr">
        <is>
          <t>Diciembre</t>
        </is>
      </c>
      <c r="I239" s="6" t="inlineStr">
        <is>
          <t>2025-2</t>
        </is>
      </c>
      <c r="J239" s="5" t="n">
        <v>100</v>
      </c>
      <c r="K239" s="5" t="n">
        <v>133</v>
      </c>
      <c r="L239" s="120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146-2025-12-31</t>
        </is>
      </c>
    </row>
    <row r="240">
      <c r="A240" s="54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144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18</v>
      </c>
      <c r="K240" s="5" t="n">
        <v>11</v>
      </c>
      <c r="L240" s="120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147-2022-12-31</t>
        </is>
      </c>
    </row>
    <row r="241">
      <c r="A241" s="39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144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13</v>
      </c>
      <c r="K241" s="5" t="n">
        <v>12</v>
      </c>
      <c r="L241" s="120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n"/>
      <c r="O241" s="5" t="n"/>
      <c r="P241" s="5" t="n">
        <v>0</v>
      </c>
      <c r="Q241" s="5" t="n">
        <v>0</v>
      </c>
      <c r="R241" s="5" t="inlineStr">
        <is>
          <t>147-2023-12-31</t>
        </is>
      </c>
    </row>
    <row r="242">
      <c r="A242" s="5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144" t="n">
        <v>45657</v>
      </c>
      <c r="G242" s="16" t="n">
        <v>2024</v>
      </c>
      <c r="H242" s="6" t="inlineStr">
        <is>
          <t>Diciembre</t>
        </is>
      </c>
      <c r="I242" s="6" t="inlineStr">
        <is>
          <t>2024-2</t>
        </is>
      </c>
      <c r="J242" s="5" t="n">
        <v>0</v>
      </c>
      <c r="K242" s="5" t="n">
        <v>12</v>
      </c>
      <c r="L242" s="120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n"/>
      <c r="O242" s="5" t="n"/>
      <c r="P242" s="5" t="n">
        <v>0</v>
      </c>
      <c r="Q242" s="5" t="n">
        <v>0</v>
      </c>
      <c r="R242" s="5" t="inlineStr">
        <is>
          <t>147-2024-12-31</t>
        </is>
      </c>
    </row>
    <row r="243">
      <c r="A243" s="39" t="n">
        <v>147</v>
      </c>
      <c r="B243" s="5" t="inlineStr">
        <is>
          <t>Grupos de investigación categorizados</t>
        </is>
      </c>
      <c r="C243" s="5" t="inlineStr">
        <is>
          <t>Investigación, desarrollo tecnológico, innovación y creación</t>
        </is>
      </c>
      <c r="D243" s="5" t="inlineStr">
        <is>
          <t>Anual</t>
        </is>
      </c>
      <c r="E243" s="5" t="inlineStr">
        <is>
          <t>Positivo</t>
        </is>
      </c>
      <c r="F243" s="144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16</v>
      </c>
      <c r="K243" s="5" t="n">
        <v>16</v>
      </c>
      <c r="L243" s="120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147-2025-12-31</t>
        </is>
      </c>
    </row>
    <row r="244">
      <c r="A244" s="5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144" t="n">
        <v>44742</v>
      </c>
      <c r="G244" s="5" t="n">
        <v>2022</v>
      </c>
      <c r="H244" s="5" t="inlineStr">
        <is>
          <t>Junio</t>
        </is>
      </c>
      <c r="I244" s="6" t="inlineStr">
        <is>
          <t>2022-1</t>
        </is>
      </c>
      <c r="J244" s="5" t="n">
        <v>2</v>
      </c>
      <c r="K244" s="5" t="n">
        <v>1.56749025217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148-2022-06-30</t>
        </is>
      </c>
    </row>
    <row r="245">
      <c r="A245" s="5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Trimestral</t>
        </is>
      </c>
      <c r="E245" s="5" t="inlineStr">
        <is>
          <t>Positivo</t>
        </is>
      </c>
      <c r="F245" s="144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</v>
      </c>
      <c r="K245" s="5" t="n">
        <v>3.0897703549061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1</v>
      </c>
      <c r="R245" s="5" t="inlineStr">
        <is>
          <t>148-2022-12-31</t>
        </is>
      </c>
    </row>
    <row r="246">
      <c r="A246" s="39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144" t="n">
        <v>45107</v>
      </c>
      <c r="G246" s="5" t="n">
        <v>2023</v>
      </c>
      <c r="H246" s="5" t="inlineStr">
        <is>
          <t>Junio</t>
        </is>
      </c>
      <c r="I246" s="6" t="inlineStr">
        <is>
          <t>2023-1</t>
        </is>
      </c>
      <c r="J246" s="5" t="n">
        <v>2.5</v>
      </c>
      <c r="K246" s="11" t="n">
        <v>4.11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5" t="n">
        <v>1</v>
      </c>
      <c r="Q246" s="5" t="n">
        <v>1</v>
      </c>
      <c r="R246" s="5" t="inlineStr">
        <is>
          <t>148-2023-06-30</t>
        </is>
      </c>
    </row>
    <row r="247">
      <c r="A247" s="39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144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5</v>
      </c>
      <c r="K247" s="5" t="n">
        <v>5.71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148-2023-12-31</t>
        </is>
      </c>
    </row>
    <row r="248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144" t="n">
        <v>45473</v>
      </c>
      <c r="G248" s="5" t="n">
        <v>2024</v>
      </c>
      <c r="H248" s="5" t="inlineStr">
        <is>
          <t>Junio</t>
        </is>
      </c>
      <c r="I248" s="6" t="inlineStr">
        <is>
          <t>2024-1</t>
        </is>
      </c>
      <c r="J248" s="5" t="n">
        <v>5</v>
      </c>
      <c r="K248" s="5" t="n">
        <v>4.3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148-2024-06-30</t>
        </is>
      </c>
    </row>
    <row r="249">
      <c r="A249" s="5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Semestral</t>
        </is>
      </c>
      <c r="E249" s="5" t="inlineStr">
        <is>
          <t>Positivo</t>
        </is>
      </c>
      <c r="F249" s="144" t="n">
        <v>45657</v>
      </c>
      <c r="G249" s="5" t="n">
        <v>2024</v>
      </c>
      <c r="H249" s="5" t="inlineStr">
        <is>
          <t>Diciembre</t>
        </is>
      </c>
      <c r="I249" s="6" t="inlineStr">
        <is>
          <t>2024-2</t>
        </is>
      </c>
      <c r="J249" s="5" t="n">
        <v>5</v>
      </c>
      <c r="K249" s="5" t="n">
        <v>6.3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148-2024-12-31</t>
        </is>
      </c>
    </row>
    <row r="250">
      <c r="A250" s="43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144" t="n">
        <v>45838</v>
      </c>
      <c r="G250" s="5" t="n">
        <v>2025</v>
      </c>
      <c r="H250" s="5" t="inlineStr">
        <is>
          <t>Junio</t>
        </is>
      </c>
      <c r="I250" s="6" t="inlineStr">
        <is>
          <t>2025-1</t>
        </is>
      </c>
      <c r="J250" s="5" t="n">
        <v>4</v>
      </c>
      <c r="K250" s="5" t="n">
        <v>4.08</v>
      </c>
      <c r="L250" s="120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148-2025-06-30</t>
        </is>
      </c>
    </row>
    <row r="251">
      <c r="A251" s="39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Trimestral</t>
        </is>
      </c>
      <c r="E251" s="5" t="inlineStr">
        <is>
          <t>Positivo</t>
        </is>
      </c>
      <c r="F251" s="144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5</v>
      </c>
      <c r="K251" s="5" t="n">
        <v>6.78</v>
      </c>
      <c r="L251" s="120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148-2025-12-31</t>
        </is>
      </c>
    </row>
    <row r="252">
      <c r="A252" s="5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144" t="n">
        <v>44865</v>
      </c>
      <c r="G252" s="5" t="n">
        <v>2022</v>
      </c>
      <c r="H252" s="5" t="inlineStr">
        <is>
          <t>Octubre</t>
        </is>
      </c>
      <c r="I252" s="6" t="inlineStr">
        <is>
          <t>2022-2</t>
        </is>
      </c>
      <c r="J252" s="5" t="n">
        <v>80</v>
      </c>
      <c r="K252" s="5" t="n">
        <v>80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150-2022-10-31</t>
        </is>
      </c>
    </row>
    <row r="253">
      <c r="A253" s="5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 e innovación</t>
        </is>
      </c>
      <c r="D253" s="5" t="inlineStr">
        <is>
          <t>Anual</t>
        </is>
      </c>
      <c r="E253" s="5" t="inlineStr">
        <is>
          <t>Positivo</t>
        </is>
      </c>
      <c r="F253" s="144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80</v>
      </c>
      <c r="K253" s="5" t="n">
        <v>84.34350070811109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150-2023-12-31</t>
        </is>
      </c>
    </row>
    <row r="254">
      <c r="A254" s="39" t="n">
        <v>150</v>
      </c>
      <c r="B254" s="5" t="inlineStr">
        <is>
          <t>Nivel de Satisfacción Servicios Prestados</t>
        </is>
      </c>
      <c r="C254" s="5" t="inlineStr">
        <is>
          <t>Investigación, desarrollo tecnológico, innovación y creación</t>
        </is>
      </c>
      <c r="D254" s="5" t="inlineStr">
        <is>
          <t>Anual</t>
        </is>
      </c>
      <c r="E254" s="5" t="inlineStr">
        <is>
          <t>Positivo</t>
        </is>
      </c>
      <c r="F254" s="144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/>
      <c r="K254" s="5" t="n"/>
      <c r="L254" s="136" t="n"/>
      <c r="M254" s="28" t="n"/>
      <c r="N254" s="5" t="n"/>
      <c r="O254" s="5" t="n"/>
      <c r="P254" s="5" t="n">
        <v>0</v>
      </c>
      <c r="Q254" s="5" t="n">
        <v>0</v>
      </c>
      <c r="R254" s="5" t="inlineStr">
        <is>
          <t>150-2024-12-31</t>
        </is>
      </c>
    </row>
    <row r="255">
      <c r="A255" s="5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144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/>
      <c r="K255" s="5" t="n"/>
      <c r="L255" s="28" t="n"/>
      <c r="M255" s="28" t="n"/>
      <c r="N255" s="5" t="n"/>
      <c r="O255" s="5" t="n"/>
      <c r="P255" s="5" t="n">
        <v>0</v>
      </c>
      <c r="Q255" s="5" t="n">
        <v>0</v>
      </c>
      <c r="R255" s="5" t="inlineStr">
        <is>
          <t>151-2023-12-31</t>
        </is>
      </c>
    </row>
    <row r="256">
      <c r="A256" s="39" t="n">
        <v>151</v>
      </c>
      <c r="B256" s="5" t="inlineStr">
        <is>
          <t>Nivel de Satisfacción Servicios Prestados</t>
        </is>
      </c>
      <c r="C256" s="5" t="inlineStr">
        <is>
          <t>Biblioteca Institucional</t>
        </is>
      </c>
      <c r="D256" s="5" t="inlineStr">
        <is>
          <t>Anual</t>
        </is>
      </c>
      <c r="E256" s="5" t="inlineStr">
        <is>
          <t>Positivo</t>
        </is>
      </c>
      <c r="F256" s="144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/>
      <c r="K256" s="11" t="n"/>
      <c r="L256" s="136" t="n"/>
      <c r="M256" s="28" t="n"/>
      <c r="N256" s="5" t="n"/>
      <c r="O256" s="5" t="n"/>
      <c r="P256" s="5" t="n">
        <v>0</v>
      </c>
      <c r="Q256" s="5" t="n">
        <v>0</v>
      </c>
      <c r="R256" s="5" t="inlineStr">
        <is>
          <t>151-2024-12-31</t>
        </is>
      </c>
    </row>
    <row r="257">
      <c r="A257" s="39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144" t="n">
        <v>45107</v>
      </c>
      <c r="G257" s="5" t="n">
        <v>2023</v>
      </c>
      <c r="H257" s="5" t="inlineStr">
        <is>
          <t>Junio</t>
        </is>
      </c>
      <c r="I257" s="6" t="inlineStr">
        <is>
          <t>2023-1</t>
        </is>
      </c>
      <c r="J257" s="5" t="n"/>
      <c r="K257" s="11" t="n"/>
      <c r="L257" s="136" t="n"/>
      <c r="M257" s="28" t="n"/>
      <c r="N257" s="5" t="n"/>
      <c r="O257" s="5" t="n"/>
      <c r="P257" s="5" t="n">
        <v>0</v>
      </c>
      <c r="Q257" s="5" t="n">
        <v>0</v>
      </c>
      <c r="R257" s="5" t="inlineStr">
        <is>
          <t>157-2023-06-30</t>
        </is>
      </c>
    </row>
    <row r="258">
      <c r="A258" s="39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144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3</v>
      </c>
      <c r="K258" s="11" t="n">
        <v>7</v>
      </c>
      <c r="L258" s="120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n"/>
      <c r="O258" s="5" t="n"/>
      <c r="P258" s="5" t="n">
        <v>0</v>
      </c>
      <c r="Q258" s="5" t="n">
        <v>0</v>
      </c>
      <c r="R258" s="5" t="inlineStr">
        <is>
          <t>157-2023-12-31</t>
        </is>
      </c>
    </row>
    <row r="259">
      <c r="A259" s="39" t="n">
        <v>157</v>
      </c>
      <c r="B259" s="5" t="inlineStr">
        <is>
          <t>Indexación de bases de datos o SIRES</t>
        </is>
      </c>
      <c r="C259" s="5" t="inlineStr">
        <is>
          <t>Editorial y Publicaciones</t>
        </is>
      </c>
      <c r="D259" s="5" t="inlineStr">
        <is>
          <t>Anual</t>
        </is>
      </c>
      <c r="E259" s="5" t="inlineStr">
        <is>
          <t>Positivo</t>
        </is>
      </c>
      <c r="F259" s="144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100</v>
      </c>
      <c r="K259" s="11" t="n">
        <v>125</v>
      </c>
      <c r="L259" s="120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n"/>
      <c r="O259" s="5" t="n"/>
      <c r="P259" s="5" t="n">
        <v>0</v>
      </c>
      <c r="Q259" s="5" t="n">
        <v>0</v>
      </c>
      <c r="R259" s="5" t="inlineStr">
        <is>
          <t>157-2024-12-31</t>
        </is>
      </c>
    </row>
    <row r="260">
      <c r="A260" s="39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Trimestral</t>
        </is>
      </c>
      <c r="E260" s="5" t="inlineStr">
        <is>
          <t>Positivo</t>
        </is>
      </c>
      <c r="F260" s="144" t="n">
        <v>44926</v>
      </c>
      <c r="G260" s="5" t="n">
        <v>2022</v>
      </c>
      <c r="H260" s="5" t="inlineStr">
        <is>
          <t>Diciembre</t>
        </is>
      </c>
      <c r="I260" s="6" t="inlineStr">
        <is>
          <t>2022-2</t>
        </is>
      </c>
      <c r="J260" s="5" t="n">
        <v>80</v>
      </c>
      <c r="K260" s="11" t="n">
        <v>70</v>
      </c>
      <c r="L260" s="120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159-2022-12-31</t>
        </is>
      </c>
    </row>
    <row r="261">
      <c r="A261" s="39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144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>
        <v>80</v>
      </c>
      <c r="K261" s="11" t="n">
        <v>96</v>
      </c>
      <c r="L261" s="120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159-2023-06-30</t>
        </is>
      </c>
    </row>
    <row r="262">
      <c r="A262" s="5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144" t="n">
        <v>45291</v>
      </c>
      <c r="G262" s="16" t="n">
        <v>2023</v>
      </c>
      <c r="H262" s="6" t="inlineStr">
        <is>
          <t>Diciembre</t>
        </is>
      </c>
      <c r="I262" s="6" t="inlineStr">
        <is>
          <t>2023-2</t>
        </is>
      </c>
      <c r="J262" s="5" t="n">
        <v>80</v>
      </c>
      <c r="K262" s="11" t="n">
        <v>100</v>
      </c>
      <c r="L262" s="120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159-2023-12-31</t>
        </is>
      </c>
    </row>
    <row r="263">
      <c r="A263" s="5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144" t="n">
        <v>45473</v>
      </c>
      <c r="G263" s="16" t="n">
        <v>2024</v>
      </c>
      <c r="H263" s="6" t="inlineStr">
        <is>
          <t>Junio</t>
        </is>
      </c>
      <c r="I263" s="6" t="inlineStr">
        <is>
          <t>2024-1</t>
        </is>
      </c>
      <c r="J263" s="5" t="n">
        <v>80</v>
      </c>
      <c r="K263" s="11" t="n">
        <v>95</v>
      </c>
      <c r="L263" s="120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159-2024-06-30</t>
        </is>
      </c>
    </row>
    <row r="264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Semestral</t>
        </is>
      </c>
      <c r="E264" s="5" t="inlineStr">
        <is>
          <t>Positivo</t>
        </is>
      </c>
      <c r="F264" s="144" t="n">
        <v>45657</v>
      </c>
      <c r="G264" s="16" t="n">
        <v>2024</v>
      </c>
      <c r="H264" s="6" t="inlineStr">
        <is>
          <t>Diciembre</t>
        </is>
      </c>
      <c r="I264" s="6" t="inlineStr">
        <is>
          <t>2024-2</t>
        </is>
      </c>
      <c r="J264" s="5" t="n">
        <v>80</v>
      </c>
      <c r="K264" s="11" t="n">
        <v>97.8</v>
      </c>
      <c r="L264" s="120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159-2024-12-31</t>
        </is>
      </c>
    </row>
    <row r="265">
      <c r="A265" s="39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144" t="n">
        <v>45838</v>
      </c>
      <c r="G265" s="5" t="n">
        <v>2025</v>
      </c>
      <c r="H265" s="5" t="inlineStr">
        <is>
          <t>Junio</t>
        </is>
      </c>
      <c r="I265" s="6" t="inlineStr">
        <is>
          <t>2025-1</t>
        </is>
      </c>
      <c r="J265" s="5" t="n">
        <v>80</v>
      </c>
      <c r="K265" s="5" t="n">
        <v>100</v>
      </c>
      <c r="L265" s="120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159-2025-06-30</t>
        </is>
      </c>
    </row>
    <row r="266">
      <c r="A266" s="39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Trimestral</t>
        </is>
      </c>
      <c r="E266" s="5" t="inlineStr">
        <is>
          <t>Positivo</t>
        </is>
      </c>
      <c r="F266" s="144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80</v>
      </c>
      <c r="K266" s="5" t="n">
        <v>100</v>
      </c>
      <c r="L266" s="120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159-2025-12-31</t>
        </is>
      </c>
    </row>
    <row r="267">
      <c r="A267" s="39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144" t="n">
        <v>44742</v>
      </c>
      <c r="G267" s="5" t="n">
        <v>2022</v>
      </c>
      <c r="H267" s="5" t="inlineStr">
        <is>
          <t>Junio</t>
        </is>
      </c>
      <c r="I267" s="6" t="inlineStr">
        <is>
          <t>2022-1</t>
        </is>
      </c>
      <c r="J267" s="5" t="n">
        <v>80</v>
      </c>
      <c r="K267" s="5" t="n">
        <v>97.64</v>
      </c>
      <c r="L267" s="120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167-2022-06-30</t>
        </is>
      </c>
    </row>
    <row r="268">
      <c r="A268" s="5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Trimestral</t>
        </is>
      </c>
      <c r="E268" s="5" t="inlineStr">
        <is>
          <t>Positivo</t>
        </is>
      </c>
      <c r="F268" s="144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80</v>
      </c>
      <c r="K268" s="5" t="n">
        <v>96.55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1</v>
      </c>
      <c r="R268" s="5" t="inlineStr">
        <is>
          <t>167-2022-12-31</t>
        </is>
      </c>
    </row>
    <row r="269">
      <c r="A269" s="5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144" t="n">
        <v>45107</v>
      </c>
      <c r="G269" s="5" t="n">
        <v>2023</v>
      </c>
      <c r="H269" s="5" t="inlineStr">
        <is>
          <t>Junio</t>
        </is>
      </c>
      <c r="I269" s="6" t="inlineStr">
        <is>
          <t>2023-1</t>
        </is>
      </c>
      <c r="J269" s="5" t="n">
        <v>80</v>
      </c>
      <c r="K269" s="5" t="n">
        <v>97.7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167-2023-06-30</t>
        </is>
      </c>
    </row>
    <row r="270">
      <c r="A270" s="39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144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80</v>
      </c>
      <c r="K270" s="5" t="n">
        <v>96.15000000000001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1</v>
      </c>
      <c r="Q270" s="5" t="n">
        <v>1</v>
      </c>
      <c r="R270" s="5" t="inlineStr">
        <is>
          <t>167-2023-12-31</t>
        </is>
      </c>
    </row>
    <row r="271">
      <c r="A271" s="39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144" t="n">
        <v>45473</v>
      </c>
      <c r="G271" s="5" t="n">
        <v>2024</v>
      </c>
      <c r="H271" s="5" t="inlineStr">
        <is>
          <t>Junio</t>
        </is>
      </c>
      <c r="I271" s="6" t="inlineStr">
        <is>
          <t>2024-1</t>
        </is>
      </c>
      <c r="J271" s="5" t="n">
        <v>85</v>
      </c>
      <c r="K271" s="34" t="n">
        <v>96.86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167-2024-06-30</t>
        </is>
      </c>
    </row>
    <row r="272">
      <c r="A272" s="39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144" t="n">
        <v>45657</v>
      </c>
      <c r="G272" s="5" t="n">
        <v>2024</v>
      </c>
      <c r="H272" s="5" t="inlineStr">
        <is>
          <t>Diciembre</t>
        </is>
      </c>
      <c r="I272" s="6" t="inlineStr">
        <is>
          <t>2024-2</t>
        </is>
      </c>
      <c r="J272" s="5" t="n">
        <v>85</v>
      </c>
      <c r="K272" s="16" t="n">
        <v>96.8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167-2024-12-31</t>
        </is>
      </c>
    </row>
    <row r="273">
      <c r="A273" s="39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144" t="n">
        <v>45838</v>
      </c>
      <c r="G273" s="5" t="n">
        <v>2025</v>
      </c>
      <c r="H273" s="5" t="inlineStr">
        <is>
          <t>Junio</t>
        </is>
      </c>
      <c r="I273" s="6" t="inlineStr">
        <is>
          <t>2025-1</t>
        </is>
      </c>
      <c r="J273" s="5" t="n">
        <v>90</v>
      </c>
      <c r="K273" s="5" t="n">
        <v>93.63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167-2025-06-30</t>
        </is>
      </c>
    </row>
    <row r="274">
      <c r="A274" s="39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Trimestral</t>
        </is>
      </c>
      <c r="E274" s="5" t="inlineStr">
        <is>
          <t>Positivo</t>
        </is>
      </c>
      <c r="F274" s="144" t="n">
        <v>46022</v>
      </c>
      <c r="G274" s="5" t="n">
        <v>2025</v>
      </c>
      <c r="H274" s="5" t="inlineStr">
        <is>
          <t>Diciembre</t>
        </is>
      </c>
      <c r="I274" s="6" t="inlineStr">
        <is>
          <t>2025-2</t>
        </is>
      </c>
      <c r="J274" s="5" t="n">
        <v>90</v>
      </c>
      <c r="K274" s="5" t="n">
        <v>94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1</v>
      </c>
      <c r="R274" s="5" t="inlineStr">
        <is>
          <t>167-2025-12-31</t>
        </is>
      </c>
    </row>
    <row r="275">
      <c r="A275" s="39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4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90</v>
      </c>
      <c r="K275" s="5" t="n">
        <v>95.238095238095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172-2022-06-30</t>
        </is>
      </c>
    </row>
    <row r="276">
      <c r="A276" s="5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4" t="n">
        <v>44926</v>
      </c>
      <c r="G276" s="16" t="n">
        <v>2022</v>
      </c>
      <c r="H276" s="6" t="inlineStr">
        <is>
          <t>Diciembre</t>
        </is>
      </c>
      <c r="I276" s="6" t="inlineStr">
        <is>
          <t>2022-2</t>
        </is>
      </c>
      <c r="J276" s="5" t="n">
        <v>90</v>
      </c>
      <c r="K276" s="5" t="n">
        <v>98.40754321634361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172-2022-12-31</t>
        </is>
      </c>
    </row>
    <row r="277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4" t="n">
        <v>45107</v>
      </c>
      <c r="G277" s="16" t="n">
        <v>2023</v>
      </c>
      <c r="H277" s="6" t="inlineStr">
        <is>
          <t>Junio</t>
        </is>
      </c>
      <c r="I277" s="6" t="inlineStr">
        <is>
          <t>2023-1</t>
        </is>
      </c>
      <c r="J277" s="5" t="n">
        <v>95</v>
      </c>
      <c r="K277" s="5" t="n">
        <v>92.6785714285715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172-2023-06-30</t>
        </is>
      </c>
    </row>
    <row r="278">
      <c r="A278" s="5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4" t="n">
        <v>45291</v>
      </c>
      <c r="G278" s="16" t="n">
        <v>2023</v>
      </c>
      <c r="H278" s="6" t="inlineStr">
        <is>
          <t>Diciembre</t>
        </is>
      </c>
      <c r="I278" s="6" t="inlineStr">
        <is>
          <t>2023-2</t>
        </is>
      </c>
      <c r="J278" s="5" t="n">
        <v>95</v>
      </c>
      <c r="K278" s="137" t="n">
        <v>95.74000000000001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172-2023-12-31</t>
        </is>
      </c>
    </row>
    <row r="279">
      <c r="A279" s="39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4" t="n">
        <v>45473</v>
      </c>
      <c r="G279" s="5" t="n">
        <v>2024</v>
      </c>
      <c r="H279" s="5" t="inlineStr">
        <is>
          <t>Junio</t>
        </is>
      </c>
      <c r="I279" s="6" t="inlineStr">
        <is>
          <t>2024-1</t>
        </is>
      </c>
      <c r="J279" s="5" t="n">
        <v>95</v>
      </c>
      <c r="K279" s="5" t="n">
        <v>86.94444444444446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n"/>
      <c r="O279" s="5" t="n"/>
      <c r="P279" s="5" t="n">
        <v>0</v>
      </c>
      <c r="Q279" s="5" t="n">
        <v>0</v>
      </c>
      <c r="R279" s="5" t="inlineStr">
        <is>
          <t>172-2024-06-30</t>
        </is>
      </c>
    </row>
    <row r="280">
      <c r="A280" s="39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4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95</v>
      </c>
      <c r="K280" s="5" t="n">
        <v>94.83371697961481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n"/>
      <c r="O280" s="5" t="n"/>
      <c r="P280" s="5" t="n">
        <v>0</v>
      </c>
      <c r="Q280" s="5" t="n">
        <v>0</v>
      </c>
      <c r="R280" s="5" t="inlineStr">
        <is>
          <t>172-2024-12-31</t>
        </is>
      </c>
    </row>
    <row r="281">
      <c r="A281" s="39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4" t="n">
        <v>45838</v>
      </c>
      <c r="G281" s="5" t="n">
        <v>2025</v>
      </c>
      <c r="H281" s="5" t="inlineStr">
        <is>
          <t>Junio</t>
        </is>
      </c>
      <c r="I281" s="6" t="inlineStr">
        <is>
          <t>2025-1</t>
        </is>
      </c>
      <c r="J281" s="5" t="n">
        <v>95</v>
      </c>
      <c r="K281" s="5" t="n">
        <v>88.28166666666668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172-2025-06-30</t>
        </is>
      </c>
    </row>
    <row r="282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4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95</v>
      </c>
      <c r="K282" s="5" t="n">
        <v>93.50166666666667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172-2025-12-31</t>
        </is>
      </c>
    </row>
    <row r="283">
      <c r="A283" s="43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144" t="n">
        <v>45107</v>
      </c>
      <c r="G283" s="5" t="n">
        <v>2023</v>
      </c>
      <c r="H283" s="5" t="inlineStr">
        <is>
          <t>Junio</t>
        </is>
      </c>
      <c r="I283" s="6" t="inlineStr">
        <is>
          <t>2023-1</t>
        </is>
      </c>
      <c r="J283" s="5" t="n">
        <v>95</v>
      </c>
      <c r="K283" s="5" t="n">
        <v>100</v>
      </c>
      <c r="L283" s="120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174-2023-06-30</t>
        </is>
      </c>
    </row>
    <row r="284">
      <c r="A284" s="39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144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95</v>
      </c>
      <c r="K284" s="5" t="n">
        <v>100</v>
      </c>
      <c r="L284" s="120">
        <f>IFERROR(IF(OR(J284=0,K284=""),"",IF(E284="Positivo",MIN(MAX(K284/J284,0),1.3),MIN(MAX(J284/K284,0),1.3))),"") </f>
        <v/>
      </c>
      <c r="M284" s="28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174-2023-12-31</t>
        </is>
      </c>
    </row>
    <row r="285">
      <c r="A285" s="5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144" t="n">
        <v>45473</v>
      </c>
      <c r="G285" s="5" t="n">
        <v>2024</v>
      </c>
      <c r="H285" s="5" t="inlineStr">
        <is>
          <t>Junio</t>
        </is>
      </c>
      <c r="I285" s="6" t="inlineStr">
        <is>
          <t>2024-1</t>
        </is>
      </c>
      <c r="J285" s="5" t="n"/>
      <c r="K285" s="5" t="n"/>
      <c r="L285" s="28" t="n"/>
      <c r="M285" s="28" t="n"/>
      <c r="N285" s="5" t="n"/>
      <c r="O285" s="5" t="n"/>
      <c r="P285" s="5" t="n">
        <v>0</v>
      </c>
      <c r="Q285" s="5" t="n">
        <v>0</v>
      </c>
      <c r="R285" s="5" t="inlineStr">
        <is>
          <t>174-2024-06-30</t>
        </is>
      </c>
    </row>
    <row r="286">
      <c r="A286" s="5" t="n">
        <v>174</v>
      </c>
      <c r="B286" s="5" t="inlineStr">
        <is>
          <t>Cumplimiento Plan de Formación SGC</t>
        </is>
      </c>
      <c r="C286" s="5" t="inlineStr">
        <is>
          <t>Gestión de calidad</t>
        </is>
      </c>
      <c r="D286" s="5" t="inlineStr">
        <is>
          <t>Semestral</t>
        </is>
      </c>
      <c r="E286" s="5" t="inlineStr">
        <is>
          <t>Positivo</t>
        </is>
      </c>
      <c r="F286" s="144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95</v>
      </c>
      <c r="K286" s="5" t="n"/>
      <c r="L286" s="28" t="n"/>
      <c r="M286" s="28" t="n"/>
      <c r="N286" s="5" t="inlineStr">
        <is>
          <t>ENT</t>
        </is>
      </c>
      <c r="O286" s="5" t="inlineStr">
        <is>
          <t>N/A</t>
        </is>
      </c>
      <c r="P286" s="5" t="n">
        <v>0</v>
      </c>
      <c r="Q286" s="5" t="n">
        <v>0</v>
      </c>
      <c r="R286" s="5" t="inlineStr">
        <is>
          <t>174-2024-12-31</t>
        </is>
      </c>
    </row>
    <row r="287">
      <c r="A287" s="43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44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5" t="n">
        <v>83.31999999999999</v>
      </c>
      <c r="L287" s="120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176-2023-06-30</t>
        </is>
      </c>
    </row>
    <row r="288">
      <c r="A288" s="39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4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80</v>
      </c>
      <c r="K288" s="5" t="n">
        <v>80.40000000000001</v>
      </c>
      <c r="L288" s="120">
        <f>IFERROR(IF(OR(J288=0,K288=""),"",IF(E288="Positivo",MIN(MAX(K288/J288,0),1.3),MIN(MAX(J288/K288,0),1.3))),"") </f>
        <v/>
      </c>
      <c r="M288" s="28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176-2023-12-31</t>
        </is>
      </c>
    </row>
    <row r="289">
      <c r="A289" s="5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44" t="n">
        <v>45473</v>
      </c>
      <c r="G289" s="5" t="n">
        <v>2024</v>
      </c>
      <c r="H289" s="5" t="inlineStr">
        <is>
          <t>Junio</t>
        </is>
      </c>
      <c r="I289" s="6" t="inlineStr">
        <is>
          <t>2024-1</t>
        </is>
      </c>
      <c r="J289" s="5" t="n">
        <v>85</v>
      </c>
      <c r="K289" s="5" t="n">
        <v>92.5</v>
      </c>
      <c r="L289" s="28">
        <f>IFERROR(IF(OR(J289=0,K289=""),"",IF(E289="Positivo",MIN(MAX(K289/J289,0),1.3),MIN(MAX(J289/K289,0),1.3))),"") </f>
        <v/>
      </c>
      <c r="M289" s="28">
        <f>IFERROR(IF(OR(J289=0,K289=""),"",IF(E289="Positivo",MAX(K289/J289,0),MAX(J289/K289,0))),"") </f>
        <v/>
      </c>
      <c r="N289" s="5" t="n"/>
      <c r="O289" s="5" t="n"/>
      <c r="P289" s="5" t="n">
        <v>0</v>
      </c>
      <c r="Q289" s="5" t="n">
        <v>0</v>
      </c>
      <c r="R289" s="5" t="inlineStr">
        <is>
          <t>176-2024-06-30</t>
        </is>
      </c>
    </row>
    <row r="290">
      <c r="A290" s="5" t="n">
        <v>176</v>
      </c>
      <c r="B290" s="5" t="inlineStr">
        <is>
          <t>Cumplimiento Planes de Mejora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44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85</v>
      </c>
      <c r="K290" s="5" t="n">
        <v>89.08</v>
      </c>
      <c r="L290" s="28">
        <f>IFERROR(IF(OR(J290=0,K290=""),"",IF(E290="Positivo",MIN(MAX(K290/J290,0),1.3),MIN(MAX(J290/K290,0),1.3))),"") </f>
        <v/>
      </c>
      <c r="M290" s="28">
        <f>IFERROR(IF(OR(J290=0,K290=""),"",IF(E290="Positivo",MAX(K290/J290,0),MAX(J290/K290,0))),"") </f>
        <v/>
      </c>
      <c r="N290" s="5" t="n"/>
      <c r="O290" s="5" t="n"/>
      <c r="P290" s="5" t="n">
        <v>0</v>
      </c>
      <c r="Q290" s="5" t="n">
        <v>0</v>
      </c>
      <c r="R290" s="5" t="inlineStr">
        <is>
          <t>176-2024-12-31</t>
        </is>
      </c>
    </row>
    <row r="291">
      <c r="A291" s="39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144" t="n">
        <v>44742</v>
      </c>
      <c r="G291" s="5" t="n">
        <v>2022</v>
      </c>
      <c r="H291" s="5" t="inlineStr">
        <is>
          <t>Junio</t>
        </is>
      </c>
      <c r="I291" s="6" t="inlineStr">
        <is>
          <t>2022-1</t>
        </is>
      </c>
      <c r="J291" s="5" t="n">
        <v>76</v>
      </c>
      <c r="K291" s="5" t="n">
        <v>91.8</v>
      </c>
      <c r="L291" s="120">
        <f>IFERROR(IF(OR(J291=0,K291=""),"",IF(E291="Positivo",MIN(MAX(K291/J291,0),1.3),MIN(MAX(J291/K291,0),1.3))),"") </f>
        <v/>
      </c>
      <c r="M291" s="28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193-2022-06-30</t>
        </is>
      </c>
    </row>
    <row r="292">
      <c r="A292" s="5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144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76</v>
      </c>
      <c r="K292" s="5" t="n">
        <v>92.40000000000001</v>
      </c>
      <c r="L292" s="28">
        <f>IFERROR(IF(OR(J292=0,K292=""),"",IF(E292="Positivo",MIN(MAX(K292/J292,0),1.3),MIN(MAX(J292/K292,0),1.3))),"") </f>
        <v/>
      </c>
      <c r="M292" s="28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193-2022-12-31</t>
        </is>
      </c>
    </row>
    <row r="293">
      <c r="A293" s="39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144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92</v>
      </c>
      <c r="K293" s="5" t="n">
        <v>91.899679829242</v>
      </c>
      <c r="L293" s="120">
        <f>IFERROR(IF(OR(J293=0,K293=""),"",IF(E293="Positivo",MIN(MAX(K293/J293,0),1.3),MIN(MAX(J293/K293,0),1.3))),"") </f>
        <v/>
      </c>
      <c r="M293" s="28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193-2023-06-30</t>
        </is>
      </c>
    </row>
    <row r="294">
      <c r="A294" s="5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144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92</v>
      </c>
      <c r="K294" s="5" t="n">
        <v>91.3</v>
      </c>
      <c r="L294" s="28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193-2023-12-31</t>
        </is>
      </c>
    </row>
    <row r="295">
      <c r="A295" s="39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144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90</v>
      </c>
      <c r="K295" s="5" t="n">
        <v>91.7002307620256</v>
      </c>
      <c r="L295" s="120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1</v>
      </c>
      <c r="Q295" s="5" t="n">
        <v>1</v>
      </c>
      <c r="R295" s="5" t="inlineStr">
        <is>
          <t>193-2024-06-30</t>
        </is>
      </c>
    </row>
    <row r="296">
      <c r="A296" s="5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144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90</v>
      </c>
      <c r="K296" s="5" t="n">
        <v>93.5</v>
      </c>
      <c r="L296" s="28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n"/>
      <c r="O296" s="5" t="n"/>
      <c r="P296" s="5" t="n">
        <v>0</v>
      </c>
      <c r="Q296" s="5" t="n">
        <v>0</v>
      </c>
      <c r="R296" s="5" t="inlineStr">
        <is>
          <t>193-2024-12-31</t>
        </is>
      </c>
    </row>
    <row r="297">
      <c r="A297" s="39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44" t="n">
        <v>45838</v>
      </c>
      <c r="G297" s="5" t="n">
        <v>2025</v>
      </c>
      <c r="H297" s="5" t="inlineStr">
        <is>
          <t>Junio</t>
        </is>
      </c>
      <c r="I297" s="6" t="inlineStr">
        <is>
          <t>2025-1</t>
        </is>
      </c>
      <c r="J297" s="5" t="n">
        <v>93</v>
      </c>
      <c r="K297" s="5" t="n">
        <v>96.20999999999999</v>
      </c>
      <c r="L297" s="120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193-2025-06-30</t>
        </is>
      </c>
    </row>
    <row r="298">
      <c r="A298" s="5" t="n">
        <v>193</v>
      </c>
      <c r="B298" s="5" t="inlineStr">
        <is>
          <t>Porcentaje de Cumplimiento del Acuerdo de Nivel de Servicio (ANS)</t>
        </is>
      </c>
      <c r="C298" s="5" t="inlineStr">
        <is>
          <t>Servicio</t>
        </is>
      </c>
      <c r="D298" s="5" t="inlineStr">
        <is>
          <t>Trimestral</t>
        </is>
      </c>
      <c r="E298" s="5" t="inlineStr">
        <is>
          <t>Positivo</t>
        </is>
      </c>
      <c r="F298" s="144" t="n">
        <v>46022</v>
      </c>
      <c r="G298" s="5" t="n">
        <v>2025</v>
      </c>
      <c r="H298" s="5" t="inlineStr">
        <is>
          <t>Diciembre</t>
        </is>
      </c>
      <c r="I298" s="6" t="inlineStr">
        <is>
          <t>2025-2</t>
        </is>
      </c>
      <c r="J298" s="5" t="n">
        <v>94</v>
      </c>
      <c r="K298" s="5" t="n">
        <v>95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193-2025-12-31</t>
        </is>
      </c>
    </row>
    <row r="299">
      <c r="A299" s="39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44" t="n">
        <v>44742</v>
      </c>
      <c r="G299" s="5" t="n">
        <v>2022</v>
      </c>
      <c r="H299" s="5" t="inlineStr">
        <is>
          <t>Junio</t>
        </is>
      </c>
      <c r="I299" s="6" t="inlineStr">
        <is>
          <t>2022-1</t>
        </is>
      </c>
      <c r="J299" s="5" t="n">
        <v>73</v>
      </c>
      <c r="K299" s="5" t="n">
        <v>83.26000000000001</v>
      </c>
      <c r="L299" s="120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194-2022-06-30</t>
        </is>
      </c>
    </row>
    <row r="300">
      <c r="A300" s="39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44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73</v>
      </c>
      <c r="K300" s="5" t="n">
        <v>83.11</v>
      </c>
      <c r="L300" s="120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194-2022-12-31</t>
        </is>
      </c>
    </row>
    <row r="301">
      <c r="A301" s="39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44" t="n">
        <v>45107</v>
      </c>
      <c r="G301" s="5" t="n">
        <v>2023</v>
      </c>
      <c r="H301" s="5" t="inlineStr">
        <is>
          <t>Junio</t>
        </is>
      </c>
      <c r="I301" s="6" t="inlineStr">
        <is>
          <t>2023-1</t>
        </is>
      </c>
      <c r="J301" s="5" t="n">
        <v>80</v>
      </c>
      <c r="K301" s="5" t="n">
        <v>79.18000000000001</v>
      </c>
      <c r="L301" s="120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194-2023-06-30</t>
        </is>
      </c>
    </row>
    <row r="302">
      <c r="A302" s="39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44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80</v>
      </c>
      <c r="K302" s="5" t="n">
        <v>81.91</v>
      </c>
      <c r="L302" s="120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194-2023-12-31</t>
        </is>
      </c>
    </row>
    <row r="303">
      <c r="A303" s="39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44" t="n">
        <v>45473</v>
      </c>
      <c r="G303" s="5" t="n">
        <v>2024</v>
      </c>
      <c r="H303" s="5" t="inlineStr">
        <is>
          <t>Junio</t>
        </is>
      </c>
      <c r="I303" s="6" t="inlineStr">
        <is>
          <t>2024-1</t>
        </is>
      </c>
      <c r="J303" s="5" t="n">
        <v>81</v>
      </c>
      <c r="K303" s="5" t="n">
        <v>83.01000000000001</v>
      </c>
      <c r="L303" s="120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194-2024-06-30</t>
        </is>
      </c>
    </row>
    <row r="304">
      <c r="A304" s="39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144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80</v>
      </c>
      <c r="K304" s="5" t="n">
        <v>89</v>
      </c>
      <c r="L304" s="120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194-2024-12-31</t>
        </is>
      </c>
    </row>
    <row r="305">
      <c r="A305" s="5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144" t="n">
        <v>45107</v>
      </c>
      <c r="G305" s="16" t="n">
        <v>2023</v>
      </c>
      <c r="H305" s="6" t="inlineStr">
        <is>
          <t>Junio</t>
        </is>
      </c>
      <c r="I305" s="6" t="inlineStr">
        <is>
          <t>2023-1</t>
        </is>
      </c>
      <c r="J305" s="5" t="n">
        <v>37</v>
      </c>
      <c r="K305" s="5" t="n">
        <v>34.41</v>
      </c>
      <c r="L305" s="120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196-2023-06-30</t>
        </is>
      </c>
    </row>
    <row r="306">
      <c r="A306" s="5" t="n">
        <v>196</v>
      </c>
      <c r="B306" s="5" t="inlineStr">
        <is>
          <t>(% de solicitudes procesos Pareto)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Negativo</t>
        </is>
      </c>
      <c r="F306" s="144" t="n">
        <v>45291</v>
      </c>
      <c r="G306" s="16" t="n">
        <v>2023</v>
      </c>
      <c r="H306" s="6" t="inlineStr">
        <is>
          <t>Diciembre</t>
        </is>
      </c>
      <c r="I306" s="6" t="inlineStr">
        <is>
          <t>2023-2</t>
        </is>
      </c>
      <c r="J306" s="5" t="n">
        <v>37</v>
      </c>
      <c r="K306" s="5" t="n">
        <v>26.62</v>
      </c>
      <c r="L306" s="120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196-2023-12-31</t>
        </is>
      </c>
    </row>
    <row r="307">
      <c r="A307" s="5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Semestral</t>
        </is>
      </c>
      <c r="E307" s="5" t="inlineStr">
        <is>
          <t>Positivo</t>
        </is>
      </c>
      <c r="F307" s="144" t="n">
        <v>44926</v>
      </c>
      <c r="G307" s="16" t="n">
        <v>2022</v>
      </c>
      <c r="H307" s="6" t="inlineStr">
        <is>
          <t>Diciembre</t>
        </is>
      </c>
      <c r="I307" s="6" t="inlineStr">
        <is>
          <t>2022-2</t>
        </is>
      </c>
      <c r="J307" s="5" t="n">
        <v>90</v>
      </c>
      <c r="K307" s="5" t="n">
        <v>100</v>
      </c>
      <c r="L307" s="120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197-2022-12-31</t>
        </is>
      </c>
    </row>
    <row r="308">
      <c r="A308" s="39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Trimestral</t>
        </is>
      </c>
      <c r="E308" s="5" t="inlineStr">
        <is>
          <t>Positivo</t>
        </is>
      </c>
      <c r="F308" s="144" t="n">
        <v>45107</v>
      </c>
      <c r="G308" s="5" t="n">
        <v>2023</v>
      </c>
      <c r="H308" s="5" t="inlineStr">
        <is>
          <t>Junio</t>
        </is>
      </c>
      <c r="I308" s="6" t="inlineStr">
        <is>
          <t>2023-1</t>
        </is>
      </c>
      <c r="J308" s="5" t="n">
        <v>90</v>
      </c>
      <c r="K308" s="5" t="n">
        <v>100</v>
      </c>
      <c r="L308" s="120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197-2023-06-30</t>
        </is>
      </c>
    </row>
    <row r="309">
      <c r="A309" s="39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144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100</v>
      </c>
      <c r="L309" s="120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197-2023-12-31</t>
        </is>
      </c>
    </row>
    <row r="310">
      <c r="A310" s="39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144" t="n">
        <v>45473</v>
      </c>
      <c r="G310" s="5" t="n">
        <v>2024</v>
      </c>
      <c r="H310" s="5" t="inlineStr">
        <is>
          <t>Junio</t>
        </is>
      </c>
      <c r="I310" s="6" t="inlineStr">
        <is>
          <t>2024-1</t>
        </is>
      </c>
      <c r="J310" s="5" t="n">
        <v>95</v>
      </c>
      <c r="K310" s="5" t="n">
        <v>100</v>
      </c>
      <c r="L310" s="120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197-2024-06-30</t>
        </is>
      </c>
    </row>
    <row r="311">
      <c r="A311" s="5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Trimestral</t>
        </is>
      </c>
      <c r="E311" s="5" t="inlineStr">
        <is>
          <t>Positivo</t>
        </is>
      </c>
      <c r="F311" s="144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95</v>
      </c>
      <c r="K311" s="5" t="n">
        <v>100</v>
      </c>
      <c r="L311" s="28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197-2024-12-31</t>
        </is>
      </c>
    </row>
    <row r="312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Trimestral</t>
        </is>
      </c>
      <c r="E312" s="5" t="inlineStr">
        <is>
          <t>Positivo</t>
        </is>
      </c>
      <c r="F312" s="144" t="n">
        <v>45838</v>
      </c>
      <c r="G312" s="5" t="n">
        <v>2025</v>
      </c>
      <c r="H312" s="5" t="inlineStr">
        <is>
          <t>Junio</t>
        </is>
      </c>
      <c r="I312" s="6" t="inlineStr">
        <is>
          <t>2025-1</t>
        </is>
      </c>
      <c r="J312" s="5" t="n">
        <v>97</v>
      </c>
      <c r="K312" s="5" t="n">
        <v>98.215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197-2025-06-30</t>
        </is>
      </c>
    </row>
    <row r="313">
      <c r="A313" s="39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44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97</v>
      </c>
      <c r="K313" s="5" t="n">
        <v>102</v>
      </c>
      <c r="L313" s="120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197-2025-12-31</t>
        </is>
      </c>
    </row>
    <row r="314">
      <c r="A314" s="5" t="n">
        <v>199</v>
      </c>
      <c r="B314" s="5" t="inlineStr">
        <is>
          <t>Nivel de cumplimiento de eficacia las capacitaciones</t>
        </is>
      </c>
      <c r="C314" s="5" t="inlineStr">
        <is>
          <t>GESTIÓN Y DESARROLLO DEL TALENTO HUMANO</t>
        </is>
      </c>
      <c r="D314" s="5" t="inlineStr">
        <is>
          <t>Semestral</t>
        </is>
      </c>
      <c r="E314" s="5" t="inlineStr">
        <is>
          <t>Positivo</t>
        </is>
      </c>
      <c r="F314" s="144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95</v>
      </c>
      <c r="K314" s="5" t="n">
        <v>87.666666666667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199-2023-06-30</t>
        </is>
      </c>
    </row>
    <row r="315">
      <c r="A315" s="39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Semestral</t>
        </is>
      </c>
      <c r="E315" s="5" t="inlineStr">
        <is>
          <t>Positivo</t>
        </is>
      </c>
      <c r="F315" s="144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95</v>
      </c>
      <c r="K315" s="5" t="n">
        <v>87.67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199-2023-12-31</t>
        </is>
      </c>
    </row>
    <row r="316">
      <c r="A316" s="5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Semestral</t>
        </is>
      </c>
      <c r="E316" s="5" t="inlineStr">
        <is>
          <t>Positivo</t>
        </is>
      </c>
      <c r="F316" s="144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70</v>
      </c>
      <c r="K316" s="5" t="n">
        <v>92.19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5" t="n"/>
      <c r="O316" s="5" t="n"/>
      <c r="P316" s="5" t="n">
        <v>0</v>
      </c>
      <c r="Q316" s="5" t="n">
        <v>0</v>
      </c>
      <c r="R316" s="5" t="inlineStr">
        <is>
          <t>199-2024-06-30</t>
        </is>
      </c>
    </row>
    <row r="317">
      <c r="A317" s="39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Semestral</t>
        </is>
      </c>
      <c r="E317" s="5" t="inlineStr">
        <is>
          <t>Positivo</t>
        </is>
      </c>
      <c r="F317" s="144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70</v>
      </c>
      <c r="K317" s="5" t="n">
        <v>92.81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5" t="n"/>
      <c r="O317" s="5" t="n"/>
      <c r="P317" s="5" t="n">
        <v>0</v>
      </c>
      <c r="Q317" s="5" t="n">
        <v>0</v>
      </c>
      <c r="R317" s="5" t="inlineStr">
        <is>
          <t>199-2024-12-31</t>
        </is>
      </c>
    </row>
    <row r="318">
      <c r="A318" s="5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Trimestral</t>
        </is>
      </c>
      <c r="E318" s="5" t="inlineStr">
        <is>
          <t>Positivo</t>
        </is>
      </c>
      <c r="F318" s="144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80</v>
      </c>
      <c r="K318" s="5" t="n">
        <v>92.09999999999999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199-2025-06-30</t>
        </is>
      </c>
    </row>
    <row r="319">
      <c r="A319" s="43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Trimestral</t>
        </is>
      </c>
      <c r="E319" s="5" t="inlineStr">
        <is>
          <t>Positivo</t>
        </is>
      </c>
      <c r="F319" s="144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80</v>
      </c>
      <c r="K319" s="5" t="n">
        <v>92.89</v>
      </c>
      <c r="L319" s="120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199-2025-12-31</t>
        </is>
      </c>
    </row>
    <row r="320">
      <c r="A320" s="39" t="n">
        <v>200</v>
      </c>
      <c r="B320" s="5" t="inlineStr">
        <is>
          <t>Nivel de efectividad de las capacitaciones</t>
        </is>
      </c>
      <c r="C320" s="5" t="inlineStr">
        <is>
          <t>GESTIÓN Y DESARROLLO DEL TALENTO HUMANO</t>
        </is>
      </c>
      <c r="D320" s="5" t="inlineStr">
        <is>
          <t>Anual</t>
        </is>
      </c>
      <c r="E320" s="5" t="inlineStr">
        <is>
          <t>Positivo</t>
        </is>
      </c>
      <c r="F320" s="144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70</v>
      </c>
      <c r="K320" s="5" t="n"/>
      <c r="L320" s="136" t="n"/>
      <c r="M320" s="28" t="n"/>
      <c r="N320" s="5" t="inlineStr">
        <is>
          <t>%</t>
        </is>
      </c>
      <c r="O320" s="5" t="inlineStr">
        <is>
          <t>No Aplica</t>
        </is>
      </c>
      <c r="P320" s="5" t="n">
        <v>0</v>
      </c>
      <c r="Q320" s="5" t="n">
        <v>1</v>
      </c>
      <c r="R320" s="5" t="inlineStr">
        <is>
          <t>200-2022-12-31</t>
        </is>
      </c>
      <c r="S320" t="inlineStr">
        <is>
          <t>No Aplica</t>
        </is>
      </c>
    </row>
    <row r="321">
      <c r="A321" s="5" t="n">
        <v>200</v>
      </c>
      <c r="B321" s="5" t="inlineStr">
        <is>
          <t>Nivel de efectividad de las capacitaciones</t>
        </is>
      </c>
      <c r="C321" s="5" t="inlineStr">
        <is>
          <t>GESTIÓN Y DESARROLLO DEL TALENTO HUMANO</t>
        </is>
      </c>
      <c r="D321" s="5" t="inlineStr">
        <is>
          <t>Anual</t>
        </is>
      </c>
      <c r="E321" s="5" t="inlineStr">
        <is>
          <t>Positivo</t>
        </is>
      </c>
      <c r="F321" s="144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70</v>
      </c>
      <c r="K321" s="5" t="n">
        <v>90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5" t="inlineStr">
        <is>
          <t>Linea base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200-2023-12-31</t>
        </is>
      </c>
    </row>
    <row r="322">
      <c r="A322" s="5" t="n">
        <v>200</v>
      </c>
      <c r="B322" s="5" t="inlineStr">
        <is>
          <t>Nivel de efectividad de las capacitaciones</t>
        </is>
      </c>
      <c r="C322" s="5" t="inlineStr">
        <is>
          <t>GESTIÓN Y DESARROLLO DEL TALENTO HUMANO</t>
        </is>
      </c>
      <c r="D322" s="5" t="inlineStr">
        <is>
          <t>Anual</t>
        </is>
      </c>
      <c r="E322" s="5" t="inlineStr">
        <is>
          <t>Positivo</t>
        </is>
      </c>
      <c r="F322" s="144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80</v>
      </c>
      <c r="K322" s="5" t="n">
        <v>87.40000000000001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5" t="n"/>
      <c r="O322" s="5" t="n"/>
      <c r="P322" s="5" t="n">
        <v>0</v>
      </c>
      <c r="Q322" s="5" t="n">
        <v>0</v>
      </c>
      <c r="R322" s="5" t="inlineStr">
        <is>
          <t>200-2024-12-31</t>
        </is>
      </c>
    </row>
    <row r="323">
      <c r="A323" s="43" t="n">
        <v>200</v>
      </c>
      <c r="B323" s="5" t="inlineStr">
        <is>
          <t>Nivel de efectividad de las capacitaciones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144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87</v>
      </c>
      <c r="K323" s="5" t="n">
        <v>90.84999999999999</v>
      </c>
      <c r="L323" s="120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 t="inlineStr">
        <is>
          <t>200-2025-12-31</t>
        </is>
      </c>
    </row>
    <row r="324">
      <c r="A324" s="39" t="n">
        <v>202</v>
      </c>
      <c r="B324" s="5" t="inlineStr">
        <is>
          <t>Great Place to Work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144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66</v>
      </c>
      <c r="K324" s="5" t="n">
        <v>64.7</v>
      </c>
      <c r="L324" s="120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5" t="n"/>
      <c r="O324" s="5" t="n"/>
      <c r="P324" s="5" t="n">
        <v>1</v>
      </c>
      <c r="Q324" s="5" t="n">
        <v>1</v>
      </c>
      <c r="R324" s="5" t="inlineStr">
        <is>
          <t>202-2023-12-31</t>
        </is>
      </c>
    </row>
    <row r="325">
      <c r="A325" s="5" t="n">
        <v>202</v>
      </c>
      <c r="B325" s="5" t="inlineStr">
        <is>
          <t>Great Place to Work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44" t="n">
        <v>45657</v>
      </c>
      <c r="G325" s="5" t="n">
        <v>2024</v>
      </c>
      <c r="H325" s="5" t="inlineStr">
        <is>
          <t>Diciembre</t>
        </is>
      </c>
      <c r="I325" s="6" t="inlineStr">
        <is>
          <t>2024-2</t>
        </is>
      </c>
      <c r="J325" s="5" t="n">
        <v>0</v>
      </c>
      <c r="K325" s="5" t="n"/>
      <c r="L325" s="28" t="n"/>
      <c r="M325" s="28" t="n"/>
      <c r="N325" s="5" t="inlineStr">
        <is>
          <t>ENT</t>
        </is>
      </c>
      <c r="O325" s="5" t="inlineStr">
        <is>
          <t>N/A</t>
        </is>
      </c>
      <c r="P325" s="5" t="n">
        <v>0</v>
      </c>
      <c r="Q325" s="5" t="n">
        <v>0</v>
      </c>
      <c r="R325" s="5" t="inlineStr">
        <is>
          <t>202-2024-12-31</t>
        </is>
      </c>
    </row>
    <row r="326">
      <c r="A326" s="5" t="n">
        <v>202</v>
      </c>
      <c r="B326" s="5" t="inlineStr">
        <is>
          <t>Great Place to Work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44" t="n">
        <v>46022</v>
      </c>
      <c r="G326" s="5" t="n">
        <v>2025</v>
      </c>
      <c r="H326" s="5" t="inlineStr">
        <is>
          <t>Diciembre</t>
        </is>
      </c>
      <c r="I326" s="6" t="inlineStr">
        <is>
          <t>2025-2</t>
        </is>
      </c>
      <c r="J326" s="5" t="n">
        <v>68.7</v>
      </c>
      <c r="K326" s="5" t="n">
        <v>81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0</v>
      </c>
      <c r="R326" s="5" t="inlineStr">
        <is>
          <t>202-2025-12-31</t>
        </is>
      </c>
    </row>
    <row r="327">
      <c r="A327" s="43" t="n">
        <v>203</v>
      </c>
      <c r="B327" s="5" t="inlineStr">
        <is>
          <t>Cumplimiento de Ingresos</t>
        </is>
      </c>
      <c r="C327" s="5" t="inlineStr">
        <is>
          <t>Planeación Financiera</t>
        </is>
      </c>
      <c r="D327" s="5" t="inlineStr">
        <is>
          <t>Semestral</t>
        </is>
      </c>
      <c r="E327" s="5" t="inlineStr">
        <is>
          <t>Positivo</t>
        </is>
      </c>
      <c r="F327" s="144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5" t="n">
        <v>113672</v>
      </c>
      <c r="K327" s="5" t="n">
        <v>119144</v>
      </c>
      <c r="L327" s="120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inlineStr">
        <is>
          <t>$</t>
        </is>
      </c>
      <c r="O327" s="5" t="inlineStr">
        <is>
          <t>$</t>
        </is>
      </c>
      <c r="P327" s="5" t="n">
        <v>0</v>
      </c>
      <c r="Q327" s="5" t="n">
        <v>0</v>
      </c>
      <c r="R327" s="5" t="inlineStr">
        <is>
          <t>203-2022-06-30</t>
        </is>
      </c>
    </row>
    <row r="328">
      <c r="A328" s="39" t="n">
        <v>203</v>
      </c>
      <c r="B328" s="5" t="inlineStr">
        <is>
          <t>Cumplimiento de Ingresos</t>
        </is>
      </c>
      <c r="C328" s="5" t="inlineStr">
        <is>
          <t>Planeación Financiera</t>
        </is>
      </c>
      <c r="D328" s="5" t="inlineStr">
        <is>
          <t>Semestral</t>
        </is>
      </c>
      <c r="E328" s="5" t="inlineStr">
        <is>
          <t>Positivo</t>
        </is>
      </c>
      <c r="F328" s="144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110768</v>
      </c>
      <c r="K328" s="5" t="n">
        <v>121738</v>
      </c>
      <c r="L328" s="120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inlineStr">
        <is>
          <t>$</t>
        </is>
      </c>
      <c r="O328" s="5" t="inlineStr">
        <is>
          <t>$</t>
        </is>
      </c>
      <c r="P328" s="5" t="n">
        <v>0</v>
      </c>
      <c r="Q328" s="5" t="n">
        <v>0</v>
      </c>
      <c r="R328" s="5" t="inlineStr">
        <is>
          <t>203-2022-12-31</t>
        </is>
      </c>
    </row>
    <row r="329">
      <c r="A329" s="5" t="n">
        <v>203</v>
      </c>
      <c r="B329" s="5" t="inlineStr">
        <is>
          <t>Cumplimiento de Ingresos</t>
        </is>
      </c>
      <c r="C329" s="5" t="inlineStr">
        <is>
          <t>Planeación Financiera</t>
        </is>
      </c>
      <c r="D329" s="5" t="inlineStr">
        <is>
          <t>Semestral</t>
        </is>
      </c>
      <c r="E329" s="5" t="inlineStr">
        <is>
          <t>Positivo</t>
        </is>
      </c>
      <c r="F329" s="144" t="n">
        <v>45107</v>
      </c>
      <c r="G329" s="5" t="n">
        <v>2023</v>
      </c>
      <c r="H329" s="5" t="inlineStr">
        <is>
          <t>Junio</t>
        </is>
      </c>
      <c r="I329" s="6" t="inlineStr">
        <is>
          <t>2023-1</t>
        </is>
      </c>
      <c r="J329" s="5" t="n">
        <v>95</v>
      </c>
      <c r="K329" s="5" t="n">
        <v>104.63235542785</v>
      </c>
      <c r="L329" s="28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inlineStr">
        <is>
          <t>$</t>
        </is>
      </c>
      <c r="O329" s="5" t="inlineStr">
        <is>
          <t>$</t>
        </is>
      </c>
      <c r="P329" s="5" t="n">
        <v>0</v>
      </c>
      <c r="Q329" s="5" t="n">
        <v>0</v>
      </c>
      <c r="R329" s="5" t="inlineStr">
        <is>
          <t>203-2023-06-30</t>
        </is>
      </c>
    </row>
    <row r="330">
      <c r="A330" s="5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144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95</v>
      </c>
      <c r="K330" s="5" t="n">
        <v>103.36740380481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203-2023-12-31</t>
        </is>
      </c>
    </row>
    <row r="331">
      <c r="A331" s="54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144" t="n">
        <v>45473</v>
      </c>
      <c r="G331" s="5" t="n">
        <v>2024</v>
      </c>
      <c r="H331" s="5" t="inlineStr">
        <is>
          <t>Junio</t>
        </is>
      </c>
      <c r="I331" s="6" t="inlineStr">
        <is>
          <t>2024-1</t>
        </is>
      </c>
      <c r="J331" s="5" t="n">
        <v>95</v>
      </c>
      <c r="K331" s="5" t="n">
        <v>102.01</v>
      </c>
      <c r="L331" s="120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203-2024-06-30</t>
        </is>
      </c>
    </row>
    <row r="332">
      <c r="A332" s="39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144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95</v>
      </c>
      <c r="K332" s="5" t="n">
        <v>102.84</v>
      </c>
      <c r="L332" s="120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203-2024-12-31</t>
        </is>
      </c>
    </row>
    <row r="333">
      <c r="A333" s="43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44" t="n">
        <v>45838</v>
      </c>
      <c r="G333" s="5" t="n">
        <v>2025</v>
      </c>
      <c r="H333" s="5" t="inlineStr">
        <is>
          <t>Junio</t>
        </is>
      </c>
      <c r="I333" s="6" t="inlineStr">
        <is>
          <t>2025-1</t>
        </is>
      </c>
      <c r="J333" s="5" t="n">
        <v>95</v>
      </c>
      <c r="K333" s="5" t="n">
        <v>111.77</v>
      </c>
      <c r="L333" s="120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203-2025-06-30</t>
        </is>
      </c>
    </row>
    <row r="334">
      <c r="A334" s="39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Trimestral</t>
        </is>
      </c>
      <c r="E334" s="5" t="inlineStr">
        <is>
          <t>Positivo</t>
        </is>
      </c>
      <c r="F334" s="144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95</v>
      </c>
      <c r="K334" s="5" t="n">
        <v>111.33</v>
      </c>
      <c r="L334" s="120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203-2025-12-31</t>
        </is>
      </c>
    </row>
    <row r="335">
      <c r="A335" s="5" t="n">
        <v>204</v>
      </c>
      <c r="B335" s="5" t="inlineStr">
        <is>
          <t>Caja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44" t="n">
        <v>44742</v>
      </c>
      <c r="G335" s="5" t="n">
        <v>2022</v>
      </c>
      <c r="H335" s="5" t="inlineStr">
        <is>
          <t>Junio</t>
        </is>
      </c>
      <c r="I335" s="6" t="inlineStr">
        <is>
          <t>2022-1</t>
        </is>
      </c>
      <c r="J335" s="5" t="n">
        <v>58804</v>
      </c>
      <c r="K335" s="5" t="n">
        <v>37101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204-2022-06-30</t>
        </is>
      </c>
    </row>
    <row r="336">
      <c r="A336" s="5" t="n">
        <v>204</v>
      </c>
      <c r="B336" s="5" t="inlineStr">
        <is>
          <t>Caja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44" t="n">
        <v>44925</v>
      </c>
      <c r="G336" s="5" t="n">
        <v>2022</v>
      </c>
      <c r="H336" s="5" t="inlineStr">
        <is>
          <t>Diciembre</t>
        </is>
      </c>
      <c r="I336" s="6" t="inlineStr">
        <is>
          <t>2022-2</t>
        </is>
      </c>
      <c r="J336" s="5" t="n">
        <v>82987</v>
      </c>
      <c r="K336" s="5" t="n">
        <v>18386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204-2022-12-30</t>
        </is>
      </c>
    </row>
    <row r="337">
      <c r="A337" s="54" t="n">
        <v>204</v>
      </c>
      <c r="B337" s="5" t="inlineStr">
        <is>
          <t>Caja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44" t="n">
        <v>45107</v>
      </c>
      <c r="G337" s="5" t="n">
        <v>2023</v>
      </c>
      <c r="H337" s="5" t="inlineStr">
        <is>
          <t>Junio</t>
        </is>
      </c>
      <c r="I337" s="6" t="inlineStr">
        <is>
          <t>2023-1</t>
        </is>
      </c>
      <c r="J337" s="5" t="n">
        <v>95</v>
      </c>
      <c r="K337" s="5" t="n">
        <v>194.75668793403</v>
      </c>
      <c r="L337" s="120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204-2023-06-30</t>
        </is>
      </c>
    </row>
    <row r="338">
      <c r="A338" s="39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44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95</v>
      </c>
      <c r="K338" s="5" t="n">
        <v>162.37</v>
      </c>
      <c r="L338" s="120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204-2023-12-31</t>
        </is>
      </c>
    </row>
    <row r="339">
      <c r="A339" s="43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44" t="n">
        <v>45473</v>
      </c>
      <c r="G339" s="5" t="n">
        <v>2024</v>
      </c>
      <c r="H339" s="5" t="inlineStr">
        <is>
          <t>Junio</t>
        </is>
      </c>
      <c r="I339" s="6" t="inlineStr">
        <is>
          <t>2024-1</t>
        </is>
      </c>
      <c r="J339" s="5" t="n">
        <v>95</v>
      </c>
      <c r="K339" s="5" t="n">
        <v>133.55</v>
      </c>
      <c r="L339" s="120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204-2024-06-30</t>
        </is>
      </c>
    </row>
    <row r="340">
      <c r="A340" s="39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44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95</v>
      </c>
      <c r="K340" s="5" t="n">
        <v>144.53</v>
      </c>
      <c r="L340" s="120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204-2024-12-31</t>
        </is>
      </c>
    </row>
    <row r="34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44" t="n">
        <v>45838</v>
      </c>
      <c r="G341" s="5" t="n">
        <v>2025</v>
      </c>
      <c r="H341" s="5" t="inlineStr">
        <is>
          <t>Junio</t>
        </is>
      </c>
      <c r="I341" s="6" t="inlineStr">
        <is>
          <t>2025-1</t>
        </is>
      </c>
      <c r="J341" s="5" t="n">
        <v>95</v>
      </c>
      <c r="K341" s="5" t="n">
        <v>86.89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204-2025-06-30</t>
        </is>
      </c>
    </row>
    <row r="342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Trimestral</t>
        </is>
      </c>
      <c r="E342" s="5" t="inlineStr">
        <is>
          <t>Positivo</t>
        </is>
      </c>
      <c r="F342" s="144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95</v>
      </c>
      <c r="K342" s="5" t="n">
        <v>152.24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204-2025-12-31</t>
        </is>
      </c>
    </row>
    <row r="343">
      <c r="A343" s="39" t="n">
        <v>205</v>
      </c>
      <c r="B343" s="5" t="inlineStr">
        <is>
          <t>Utilidad Neta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44" t="n">
        <v>44925</v>
      </c>
      <c r="G343" s="5" t="n">
        <v>2022</v>
      </c>
      <c r="H343" s="5" t="inlineStr">
        <is>
          <t>Diciembre</t>
        </is>
      </c>
      <c r="I343" s="6" t="inlineStr">
        <is>
          <t>2022-2</t>
        </is>
      </c>
      <c r="J343" s="5" t="n">
        <v>2605</v>
      </c>
      <c r="K343" s="5" t="n">
        <v>2605</v>
      </c>
      <c r="L343" s="120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205-2022-12-30</t>
        </is>
      </c>
    </row>
    <row r="344">
      <c r="A344" s="5" t="n">
        <v>205</v>
      </c>
      <c r="B344" s="5" t="inlineStr">
        <is>
          <t>Utilidad Neta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44" t="n">
        <v>45107</v>
      </c>
      <c r="G344" s="5" t="n">
        <v>2023</v>
      </c>
      <c r="H344" s="5" t="inlineStr">
        <is>
          <t>Junio</t>
        </is>
      </c>
      <c r="I344" s="6" t="inlineStr">
        <is>
          <t>2023-1</t>
        </is>
      </c>
      <c r="J344" s="5" t="n">
        <v>95</v>
      </c>
      <c r="K344" s="5" t="n">
        <v>165.42728645151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205-2023-06-30</t>
        </is>
      </c>
    </row>
    <row r="345">
      <c r="A345" s="39" t="n">
        <v>205</v>
      </c>
      <c r="B345" s="5" t="inlineStr">
        <is>
          <t>Utilidad Neta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44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95</v>
      </c>
      <c r="K345" s="5" t="n">
        <v>426.51</v>
      </c>
      <c r="L345" s="28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205-2023-12-31</t>
        </is>
      </c>
    </row>
    <row r="346">
      <c r="A346" s="5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44" t="n">
        <v>45473</v>
      </c>
      <c r="G346" s="5" t="n">
        <v>2024</v>
      </c>
      <c r="H346" s="5" t="inlineStr">
        <is>
          <t>Junio</t>
        </is>
      </c>
      <c r="I346" s="6" t="inlineStr">
        <is>
          <t>2024-1</t>
        </is>
      </c>
      <c r="J346" s="5" t="n">
        <v>95</v>
      </c>
      <c r="K346" s="5" t="n">
        <v>215.07</v>
      </c>
      <c r="L346" s="28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205-2024-06-30</t>
        </is>
      </c>
    </row>
    <row r="347">
      <c r="A347" s="54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44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95</v>
      </c>
      <c r="K347" s="5" t="n">
        <v>184.72</v>
      </c>
      <c r="L347" s="120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205-2024-12-31</t>
        </is>
      </c>
    </row>
    <row r="348">
      <c r="A348" s="39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44" t="n">
        <v>45838</v>
      </c>
      <c r="G348" s="5" t="n">
        <v>2025</v>
      </c>
      <c r="H348" s="5" t="inlineStr">
        <is>
          <t>Junio</t>
        </is>
      </c>
      <c r="I348" s="6" t="inlineStr">
        <is>
          <t>2025-1</t>
        </is>
      </c>
      <c r="J348" s="5" t="n">
        <v>95</v>
      </c>
      <c r="K348" s="5" t="n">
        <v>186.31</v>
      </c>
      <c r="L348" s="120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205-2025-06-30</t>
        </is>
      </c>
    </row>
    <row r="349">
      <c r="A349" s="43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Trimestral</t>
        </is>
      </c>
      <c r="E349" s="5" t="inlineStr">
        <is>
          <t>Positivo</t>
        </is>
      </c>
      <c r="F349" s="144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95</v>
      </c>
      <c r="K349" s="5" t="n">
        <v>123.05</v>
      </c>
      <c r="L349" s="120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205-2025-12-31</t>
        </is>
      </c>
    </row>
    <row r="350">
      <c r="A350" s="39" t="n">
        <v>206</v>
      </c>
      <c r="B350" s="5" t="inlineStr">
        <is>
          <t>Inversión en CAPEX de la utilidad anterior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44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1</v>
      </c>
      <c r="K350" s="5" t="n">
        <v>1.2336951835584</v>
      </c>
      <c r="L350" s="120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206-2023-06-30</t>
        </is>
      </c>
    </row>
    <row r="351">
      <c r="A351" s="5" t="n">
        <v>206</v>
      </c>
      <c r="B351" s="5" t="inlineStr">
        <is>
          <t>Inversión en CAPEX de la utilidad anterior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44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</v>
      </c>
      <c r="K351" s="5" t="n">
        <v>4.606790289121734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206-2023-12-31</t>
        </is>
      </c>
    </row>
    <row r="352">
      <c r="A352" s="5" t="n">
        <v>206</v>
      </c>
      <c r="B352" s="5" t="inlineStr">
        <is>
          <t>Inversión en CAPEX de la utilidad anterior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44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</v>
      </c>
      <c r="K352" s="5" t="n">
        <v>1.37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206-2024-12-31</t>
        </is>
      </c>
    </row>
    <row r="353">
      <c r="A353" s="39" t="n">
        <v>206</v>
      </c>
      <c r="B353" s="5" t="inlineStr">
        <is>
          <t>Inversión en CAPEX de la utilidad anterior</t>
        </is>
      </c>
      <c r="C353" s="5" t="inlineStr">
        <is>
          <t>Planeación Financiera</t>
        </is>
      </c>
      <c r="D353" s="5" t="inlineStr">
        <is>
          <t>Anual</t>
        </is>
      </c>
      <c r="E353" s="5" t="inlineStr">
        <is>
          <t>Positivo</t>
        </is>
      </c>
      <c r="F353" s="144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1</v>
      </c>
      <c r="K353" s="5" t="n">
        <v>2.14</v>
      </c>
      <c r="L353" s="120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2</v>
      </c>
      <c r="R353" s="5" t="inlineStr">
        <is>
          <t>206-2025-12-31</t>
        </is>
      </c>
    </row>
    <row r="354">
      <c r="A354" s="39" t="n">
        <v>207</v>
      </c>
      <c r="B354" s="5" t="inlineStr">
        <is>
          <t>Nivel de Cumplimiento Opex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Negativo</t>
        </is>
      </c>
      <c r="F354" s="144" t="n">
        <v>45107</v>
      </c>
      <c r="G354" s="5" t="n">
        <v>2023</v>
      </c>
      <c r="H354" s="5" t="inlineStr">
        <is>
          <t>Junio</t>
        </is>
      </c>
      <c r="I354" s="6" t="inlineStr">
        <is>
          <t>2023-1</t>
        </is>
      </c>
      <c r="J354" s="5" t="n">
        <v>100</v>
      </c>
      <c r="K354" s="5" t="n">
        <v>101.19882903781</v>
      </c>
      <c r="L354" s="120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207-2023-06-30</t>
        </is>
      </c>
    </row>
    <row r="355">
      <c r="A355" s="5" t="n">
        <v>207</v>
      </c>
      <c r="B355" s="5" t="inlineStr">
        <is>
          <t>Nivel de Cumplimiento Opex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Negativo</t>
        </is>
      </c>
      <c r="F355" s="144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100</v>
      </c>
      <c r="K355" s="5" t="n">
        <v>103.6</v>
      </c>
      <c r="L355" s="28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207-2023-12-31</t>
        </is>
      </c>
    </row>
    <row r="356">
      <c r="A356" s="5" t="n">
        <v>207</v>
      </c>
      <c r="B356" s="5" t="inlineStr">
        <is>
          <t>Nivel de Cumplimiento Opex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Negativo</t>
        </is>
      </c>
      <c r="F356" s="144" t="n">
        <v>45473</v>
      </c>
      <c r="G356" s="5" t="n">
        <v>2024</v>
      </c>
      <c r="H356" s="5" t="inlineStr">
        <is>
          <t>Junio</t>
        </is>
      </c>
      <c r="I356" s="6" t="inlineStr">
        <is>
          <t>2024-1</t>
        </is>
      </c>
      <c r="J356" s="5" t="n">
        <v>100</v>
      </c>
      <c r="K356" s="5" t="n">
        <v>101.79</v>
      </c>
      <c r="L356" s="28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207-2024-06-30</t>
        </is>
      </c>
    </row>
    <row r="357">
      <c r="A357" s="39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Negativo</t>
        </is>
      </c>
      <c r="F357" s="14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100</v>
      </c>
      <c r="K357" s="5" t="n">
        <v>102.2</v>
      </c>
      <c r="L357" s="120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207-2024-12-31</t>
        </is>
      </c>
    </row>
    <row r="358">
      <c r="A358" s="39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Negativo</t>
        </is>
      </c>
      <c r="F358" s="144" t="n">
        <v>45838</v>
      </c>
      <c r="G358" s="5" t="n">
        <v>2025</v>
      </c>
      <c r="H358" s="5" t="inlineStr">
        <is>
          <t>Junio</t>
        </is>
      </c>
      <c r="I358" s="6" t="inlineStr">
        <is>
          <t>2025-1</t>
        </is>
      </c>
      <c r="J358" s="5" t="n">
        <v>100</v>
      </c>
      <c r="K358" s="5" t="n">
        <v>110.9</v>
      </c>
      <c r="L358" s="120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207-2025-06-30</t>
        </is>
      </c>
    </row>
    <row r="359">
      <c r="A359" s="5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Trimestral</t>
        </is>
      </c>
      <c r="E359" s="5" t="inlineStr">
        <is>
          <t>Negativo</t>
        </is>
      </c>
      <c r="F359" s="144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100</v>
      </c>
      <c r="K359" s="5" t="n">
        <v>110.62</v>
      </c>
      <c r="L359" s="28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207-2025-12-31</t>
        </is>
      </c>
    </row>
    <row r="360">
      <c r="A360" s="5" t="n">
        <v>208</v>
      </c>
      <c r="B360" s="5" t="inlineStr">
        <is>
          <t>Consumo de Agua m3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144" t="n">
        <v>44742</v>
      </c>
      <c r="G360" s="5" t="n">
        <v>2022</v>
      </c>
      <c r="H360" s="5" t="inlineStr">
        <is>
          <t>Junio</t>
        </is>
      </c>
      <c r="I360" s="6" t="inlineStr">
        <is>
          <t>2022-1</t>
        </is>
      </c>
      <c r="J360" s="5" t="n">
        <v>1700</v>
      </c>
      <c r="K360" s="5" t="n">
        <v>0</v>
      </c>
      <c r="L360" s="28">
        <f>IFERROR(IF(OR(J360=0,K360=""),"",IF(E360="Positivo",MIN(MAX(K360/J360,0),1.0),MIN(MAX(J360/K360,0),1.0))),"") </f>
        <v/>
      </c>
      <c r="M360" s="28">
        <f>IFERROR(IF(OR(J360=0,K360=""),"",IF(E360="Positivo",MAX(K360/J360,0),MAX(J360/K360,0))),"") </f>
        <v/>
      </c>
      <c r="N360" s="5" t="inlineStr">
        <is>
          <t>m3</t>
        </is>
      </c>
      <c r="O360" s="5" t="inlineStr">
        <is>
          <t>m3</t>
        </is>
      </c>
      <c r="P360" s="5" t="n">
        <v>0</v>
      </c>
      <c r="Q360" s="5" t="n">
        <v>0</v>
      </c>
      <c r="R360" s="5" t="inlineStr">
        <is>
          <t>208-2022-06-30</t>
        </is>
      </c>
    </row>
    <row r="361">
      <c r="A361" s="39" t="n">
        <v>208</v>
      </c>
      <c r="B361" s="5" t="inlineStr">
        <is>
          <t>Consumo de Agua m3 Mensual</t>
        </is>
      </c>
      <c r="C361" s="5" t="inlineStr">
        <is>
          <t>GESTIÓN AMBIENTAL</t>
        </is>
      </c>
      <c r="D361" s="5" t="inlineStr">
        <is>
          <t>Mensual</t>
        </is>
      </c>
      <c r="E361" s="5" t="inlineStr">
        <is>
          <t>Negativo</t>
        </is>
      </c>
      <c r="F361" s="144" t="n">
        <v>44926</v>
      </c>
      <c r="G361" s="5" t="n">
        <v>2022</v>
      </c>
      <c r="H361" s="5" t="inlineStr">
        <is>
          <t>Diciembre</t>
        </is>
      </c>
      <c r="I361" s="6" t="inlineStr">
        <is>
          <t>2022-2</t>
        </is>
      </c>
      <c r="J361" s="5" t="n">
        <v>1700</v>
      </c>
      <c r="K361" s="5" t="n">
        <v>0</v>
      </c>
      <c r="L361" s="120">
        <f>IFERROR(IF(OR(J361=0,K361=""),"",IF(E361="Positivo",MIN(MAX(K361/J361,0),1.0),MIN(MAX(J361/K361,0),1.0))),"") </f>
        <v/>
      </c>
      <c r="M361" s="28">
        <f>IFERROR(IF(OR(J361=0,K361=""),"",IF(E361="Positivo",MAX(K361/J361,0),MAX(J361/K361,0))),"") </f>
        <v/>
      </c>
      <c r="N361" s="5" t="inlineStr">
        <is>
          <t>m3</t>
        </is>
      </c>
      <c r="O361" s="5" t="inlineStr">
        <is>
          <t>m3</t>
        </is>
      </c>
      <c r="P361" s="5" t="n">
        <v>0</v>
      </c>
      <c r="Q361" s="5" t="n">
        <v>0</v>
      </c>
      <c r="R361" s="5" t="inlineStr">
        <is>
          <t>208-2022-12-31</t>
        </is>
      </c>
    </row>
    <row r="362">
      <c r="A362" s="39" t="n">
        <v>208</v>
      </c>
      <c r="B362" s="5" t="inlineStr">
        <is>
          <t>Consumo de Agua m3 Mensual</t>
        </is>
      </c>
      <c r="C362" s="5" t="inlineStr">
        <is>
          <t>GESTIÓN AMBIENTAL</t>
        </is>
      </c>
      <c r="D362" s="5" t="inlineStr">
        <is>
          <t>Mensual</t>
        </is>
      </c>
      <c r="E362" s="5" t="inlineStr">
        <is>
          <t>Negativo</t>
        </is>
      </c>
      <c r="F362" s="144" t="n">
        <v>45107</v>
      </c>
      <c r="G362" s="5" t="n">
        <v>2023</v>
      </c>
      <c r="H362" s="5" t="inlineStr">
        <is>
          <t>Junio</t>
        </is>
      </c>
      <c r="I362" s="6" t="inlineStr">
        <is>
          <t>2023-1</t>
        </is>
      </c>
      <c r="J362" s="5" t="n">
        <v>1700</v>
      </c>
      <c r="K362" s="5" t="n">
        <v>1093.216666666667</v>
      </c>
      <c r="L362" s="120">
        <f>IFERROR(IF(OR(J362=0,K362=""),"",IF(E362="Positivo",MIN(MAX(K362/J362,0),1.0),MIN(MAX(J362/K362,0),1.0))),"") </f>
        <v/>
      </c>
      <c r="M362" s="28">
        <f>IFERROR(IF(OR(J362=0,K362=""),"",IF(E362="Positivo",MAX(K362/J362,0),MAX(J362/K362,0))),"") </f>
        <v/>
      </c>
      <c r="N362" s="5" t="inlineStr">
        <is>
          <t>Linea base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208-2023-06-30</t>
        </is>
      </c>
    </row>
    <row r="363">
      <c r="A363" s="5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144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1700</v>
      </c>
      <c r="K363" s="5" t="n">
        <v>1363.4</v>
      </c>
      <c r="L363" s="28">
        <f>IFERROR(IF(OR(J363=0,K363=""),"",IF(E363="Positivo",MIN(MAX(K363/J363,0),1.0),MIN(MAX(J363/K363,0),1.0))),"") </f>
        <v/>
      </c>
      <c r="M363" s="28">
        <f>IFERROR(IF(OR(J363=0,K363=""),"",IF(E363="Positivo",MAX(K363/J363,0),MAX(J363/K363,0))),"") </f>
        <v/>
      </c>
      <c r="N363" s="5" t="inlineStr">
        <is>
          <t>Linea base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208-2023-12-31</t>
        </is>
      </c>
    </row>
    <row r="364">
      <c r="A364" s="5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144" t="n">
        <v>45473</v>
      </c>
      <c r="G364" s="5" t="n">
        <v>2024</v>
      </c>
      <c r="H364" s="5" t="inlineStr">
        <is>
          <t>Junio</t>
        </is>
      </c>
      <c r="I364" s="6" t="inlineStr">
        <is>
          <t>2024-1</t>
        </is>
      </c>
      <c r="J364" s="5" t="n">
        <v>1700</v>
      </c>
      <c r="K364" s="5" t="n">
        <v>1407</v>
      </c>
      <c r="L364" s="28">
        <f>IFERROR(IF(OR(J364=0,K364=""),"",IF(E364="Positivo",MIN(MAX(K364/J364,0),1.0),MIN(MAX(J364/K364,0),1.0))),"") </f>
        <v/>
      </c>
      <c r="M364" s="28">
        <f>IFERROR(IF(OR(J364=0,K364=""),"",IF(E364="Positivo",MAX(K364/J364,0),MAX(J364/K364,0))),"") </f>
        <v/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208-2024-06-30</t>
        </is>
      </c>
    </row>
    <row r="365">
      <c r="A365" s="26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44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1700</v>
      </c>
      <c r="K365" s="11" t="n">
        <v>1205.416666666667</v>
      </c>
      <c r="L365" s="120">
        <f>IFERROR(IF(OR(J365=0,K365=""),"",IF(E365="Positivo",MIN(MAX(K365/J365,0),1.0),MIN(MAX(J365/K365,0),1.0))),"") </f>
        <v/>
      </c>
      <c r="M365" s="28">
        <f>IFERROR(IF(OR(J365=0,K365=""),"",IF(E365="Positivo",MAX(K365/J365,0),MAX(J365/K365,0))),"") </f>
        <v/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208-2024-12-31</t>
        </is>
      </c>
    </row>
    <row r="366">
      <c r="A366" s="39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44" t="n">
        <v>45838</v>
      </c>
      <c r="G366" s="5" t="n">
        <v>2025</v>
      </c>
      <c r="H366" s="5" t="inlineStr">
        <is>
          <t>Junio</t>
        </is>
      </c>
      <c r="I366" s="6" t="inlineStr">
        <is>
          <t>2025-1</t>
        </is>
      </c>
      <c r="J366" s="5" t="n">
        <v>1700</v>
      </c>
      <c r="K366" s="5" t="n">
        <v>1225.416666666667</v>
      </c>
      <c r="L366" s="120">
        <f>IFERROR(IF(OR(J366=0,K366=""),"",IF(E366="Positivo",MIN(MAX(K366/J366,0),1.0),MIN(MAX(J366/K366,0),1.0))),"") </f>
        <v/>
      </c>
      <c r="M366" s="28">
        <f>IFERROR(IF(OR(J366=0,K366=""),"",IF(E366="Positivo",MAX(K366/J366,0),MAX(J366/K366,0))),"") </f>
        <v/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208-2025-06-30</t>
        </is>
      </c>
    </row>
    <row r="367">
      <c r="A367" s="26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44" t="n">
        <v>46022</v>
      </c>
      <c r="G367" s="5" t="n">
        <v>2025</v>
      </c>
      <c r="H367" s="5" t="inlineStr">
        <is>
          <t>Diciembre</t>
        </is>
      </c>
      <c r="I367" s="6" t="inlineStr">
        <is>
          <t>2025-2</t>
        </is>
      </c>
      <c r="J367" s="5" t="n">
        <v>1700</v>
      </c>
      <c r="K367" s="5" t="n">
        <v>1183.666666666667</v>
      </c>
      <c r="L367" s="28">
        <f>IFERROR(IF(OR(J367=0,K367=""),"",IF(E367="Positivo",MIN(MAX(K367/J367,0),1.0),MIN(MAX(J367/K367,0),1.0))),"") </f>
        <v/>
      </c>
      <c r="M367" s="28">
        <f>IFERROR(IF(OR(J367=0,K367=""),"",IF(E367="Positivo",MAX(K367/J367,0),MAX(J367/K367,0))),"") </f>
        <v/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208-2025-12-31</t>
        </is>
      </c>
    </row>
    <row r="368">
      <c r="A368" s="26" t="n">
        <v>210</v>
      </c>
      <c r="B368" s="5" t="inlineStr">
        <is>
          <t>Aporte de los Procesos a los Objetivos de Desarrollo Sostenible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Positivo</t>
        </is>
      </c>
      <c r="F368" s="144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0</v>
      </c>
      <c r="L368" s="28" t="n"/>
      <c r="M368" s="28" t="n"/>
      <c r="N368" s="5" t="n"/>
      <c r="O368" s="5" t="n"/>
      <c r="P368" s="5" t="n">
        <v>0</v>
      </c>
      <c r="Q368" s="5" t="n">
        <v>0</v>
      </c>
      <c r="R368" s="5" t="inlineStr">
        <is>
          <t>210-2023-12-31</t>
        </is>
      </c>
    </row>
    <row r="369">
      <c r="A369" s="26" t="n">
        <v>213</v>
      </c>
      <c r="B369" s="5" t="inlineStr">
        <is>
          <t>Cumplimiento del Plan Anual del Sistema de Gestión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44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90</v>
      </c>
      <c r="K369" s="5" t="n">
        <v>0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213-2022-06-30</t>
        </is>
      </c>
    </row>
    <row r="370">
      <c r="A370" s="26" t="n">
        <v>213</v>
      </c>
      <c r="B370" s="5" t="inlineStr">
        <is>
          <t>Cumplimiento del Plan Anual del Sistema de Gestión Ambiental</t>
        </is>
      </c>
      <c r="C370" s="5" t="inlineStr">
        <is>
          <t>GESTIÓN AMBIENTAL</t>
        </is>
      </c>
      <c r="D370" s="5" t="inlineStr">
        <is>
          <t>Semestral</t>
        </is>
      </c>
      <c r="E370" s="5" t="inlineStr">
        <is>
          <t>Positivo</t>
        </is>
      </c>
      <c r="F370" s="144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90</v>
      </c>
      <c r="K370" s="5" t="n">
        <v>0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213-2022-12-31</t>
        </is>
      </c>
    </row>
    <row r="371">
      <c r="A371" s="26" t="n">
        <v>213</v>
      </c>
      <c r="B371" s="5" t="inlineStr">
        <is>
          <t>Cumplimiento del Plan Anual del Sistema de Gestión Ambiental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44" t="n">
        <v>45016</v>
      </c>
      <c r="G371" s="5" t="n">
        <v>2023</v>
      </c>
      <c r="H371" s="5" t="inlineStr">
        <is>
          <t>Marzo</t>
        </is>
      </c>
      <c r="I371" s="6" t="inlineStr">
        <is>
          <t>2023-1</t>
        </is>
      </c>
      <c r="J371" s="5" t="n">
        <v>90</v>
      </c>
      <c r="K371" s="5" t="n">
        <v>100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n"/>
      <c r="O371" s="5" t="n"/>
      <c r="P371" s="5" t="n">
        <v>1</v>
      </c>
      <c r="Q371" s="5" t="n">
        <v>1</v>
      </c>
      <c r="R371" s="5" t="inlineStr">
        <is>
          <t>213-2023-03-31</t>
        </is>
      </c>
    </row>
    <row r="372">
      <c r="A372" s="5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44" t="n">
        <v>45107</v>
      </c>
      <c r="G372" s="16" t="n">
        <v>2023</v>
      </c>
      <c r="H372" s="6" t="inlineStr">
        <is>
          <t>Junio</t>
        </is>
      </c>
      <c r="I372" s="6" t="inlineStr">
        <is>
          <t>2023-1</t>
        </is>
      </c>
      <c r="J372" s="5" t="n">
        <v>90</v>
      </c>
      <c r="K372" s="137" t="n">
        <v>93.33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n"/>
      <c r="O372" s="5" t="n"/>
      <c r="P372" s="5" t="n">
        <v>1</v>
      </c>
      <c r="Q372" s="5" t="n">
        <v>1</v>
      </c>
      <c r="R372" s="5" t="inlineStr">
        <is>
          <t>213-2023-06-30</t>
        </is>
      </c>
    </row>
    <row r="373">
      <c r="A373" s="5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144" t="n">
        <v>45199</v>
      </c>
      <c r="G373" s="16" t="n">
        <v>2023</v>
      </c>
      <c r="H373" s="6" t="inlineStr">
        <is>
          <t>Septiembre</t>
        </is>
      </c>
      <c r="I373" s="6" t="inlineStr">
        <is>
          <t>2023-2</t>
        </is>
      </c>
      <c r="J373" s="5" t="n">
        <v>90</v>
      </c>
      <c r="K373" s="137" t="n">
        <v>86.40000000000001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n"/>
      <c r="O373" s="5" t="n"/>
      <c r="P373" s="5" t="n">
        <v>1</v>
      </c>
      <c r="Q373" s="5" t="n">
        <v>1</v>
      </c>
      <c r="R373" s="5" t="inlineStr">
        <is>
          <t>213-2023-09-30</t>
        </is>
      </c>
    </row>
    <row r="374">
      <c r="A374" s="5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44" t="n">
        <v>45291</v>
      </c>
      <c r="G374" s="16" t="n">
        <v>2023</v>
      </c>
      <c r="H374" s="6" t="inlineStr">
        <is>
          <t>Diciembre</t>
        </is>
      </c>
      <c r="I374" s="6" t="inlineStr">
        <is>
          <t>2023-2</t>
        </is>
      </c>
      <c r="J374" s="5" t="n">
        <v>90</v>
      </c>
      <c r="K374" s="137" t="n">
        <v>100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n"/>
      <c r="O374" s="5" t="n"/>
      <c r="P374" s="5" t="n">
        <v>1</v>
      </c>
      <c r="Q374" s="5" t="n">
        <v>1</v>
      </c>
      <c r="R374" s="5" t="inlineStr">
        <is>
          <t>213-2023-12-31</t>
        </is>
      </c>
    </row>
    <row r="375">
      <c r="A375" s="39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44" t="n">
        <v>45473</v>
      </c>
      <c r="G375" s="5" t="n">
        <v>2024</v>
      </c>
      <c r="H375" s="5" t="inlineStr">
        <is>
          <t>Junio</t>
        </is>
      </c>
      <c r="I375" s="6" t="inlineStr">
        <is>
          <t>2024-1</t>
        </is>
      </c>
      <c r="J375" s="5" t="n">
        <v>90</v>
      </c>
      <c r="K375" s="5" t="n">
        <v>100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n"/>
      <c r="O375" s="5" t="n"/>
      <c r="P375" s="5" t="n">
        <v>0</v>
      </c>
      <c r="Q375" s="5" t="n">
        <v>0</v>
      </c>
      <c r="R375" s="5" t="inlineStr">
        <is>
          <t>213-2024-06-30</t>
        </is>
      </c>
    </row>
    <row r="376">
      <c r="A376" s="39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Trimestral</t>
        </is>
      </c>
      <c r="E376" s="5" t="inlineStr">
        <is>
          <t>Positivo</t>
        </is>
      </c>
      <c r="F376" s="144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90</v>
      </c>
      <c r="K376" s="5" t="n">
        <v>100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n"/>
      <c r="O376" s="5" t="n"/>
      <c r="P376" s="5" t="n">
        <v>0</v>
      </c>
      <c r="Q376" s="5" t="n">
        <v>0</v>
      </c>
      <c r="R376" s="5" t="inlineStr">
        <is>
          <t>213-2024-12-31</t>
        </is>
      </c>
    </row>
    <row r="377">
      <c r="A377" s="39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44" t="n">
        <v>45838</v>
      </c>
      <c r="G377" s="5" t="n">
        <v>2025</v>
      </c>
      <c r="H377" s="5" t="inlineStr">
        <is>
          <t>Junio</t>
        </is>
      </c>
      <c r="I377" s="6" t="inlineStr">
        <is>
          <t>2025-1</t>
        </is>
      </c>
      <c r="J377" s="5" t="n">
        <v>90</v>
      </c>
      <c r="K377" s="5" t="n">
        <v>94.63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213-2025-06-30</t>
        </is>
      </c>
    </row>
    <row r="378">
      <c r="A378" s="39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Semestral</t>
        </is>
      </c>
      <c r="E378" s="5" t="inlineStr">
        <is>
          <t>Positivo</t>
        </is>
      </c>
      <c r="F378" s="144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90</v>
      </c>
      <c r="K378" s="5" t="n">
        <v>100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213-2025-12-31</t>
        </is>
      </c>
    </row>
    <row r="379">
      <c r="A379" s="5" t="n">
        <v>214</v>
      </c>
      <c r="B379" s="5" t="inlineStr">
        <is>
          <t>Generación de Residuos Sólidos Mensual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Negativo</t>
        </is>
      </c>
      <c r="F379" s="144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45000</v>
      </c>
      <c r="K379" s="5" t="n">
        <v>0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Kg</t>
        </is>
      </c>
      <c r="O379" s="5" t="inlineStr">
        <is>
          <t>Kg</t>
        </is>
      </c>
      <c r="P379" s="5" t="n">
        <v>0</v>
      </c>
      <c r="Q379" s="5" t="n">
        <v>0</v>
      </c>
      <c r="R379" s="5" t="inlineStr">
        <is>
          <t>214-2022-06-30</t>
        </is>
      </c>
    </row>
    <row r="380">
      <c r="A380" s="5" t="n">
        <v>214</v>
      </c>
      <c r="B380" s="5" t="inlineStr">
        <is>
          <t>Generación de Residuos Sólidos Mensual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Negativo</t>
        </is>
      </c>
      <c r="F380" s="143" t="n">
        <v>44926</v>
      </c>
      <c r="G380" s="16" t="n">
        <v>2022</v>
      </c>
      <c r="H380" s="6" t="inlineStr">
        <is>
          <t>Diciembre</t>
        </is>
      </c>
      <c r="I380" s="41" t="inlineStr">
        <is>
          <t>2022-2</t>
        </is>
      </c>
      <c r="J380" s="5" t="n">
        <v>45000</v>
      </c>
      <c r="K380" s="5" t="n">
        <v>0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Kg</t>
        </is>
      </c>
      <c r="O380" s="5" t="inlineStr">
        <is>
          <t>Kg</t>
        </is>
      </c>
      <c r="P380" s="5" t="n">
        <v>0</v>
      </c>
      <c r="Q380" s="5" t="n">
        <v>0</v>
      </c>
      <c r="R380" s="5" t="inlineStr">
        <is>
          <t>214-2022-12-31</t>
        </is>
      </c>
    </row>
    <row r="381">
      <c r="A381" s="39" t="n">
        <v>214</v>
      </c>
      <c r="B381" s="5" t="inlineStr">
        <is>
          <t>Generación de Residuos Sólidos Mensual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Negativo</t>
        </is>
      </c>
      <c r="F381" s="144" t="n">
        <v>45107</v>
      </c>
      <c r="G381" s="5" t="n">
        <v>2023</v>
      </c>
      <c r="H381" s="5" t="inlineStr">
        <is>
          <t>Junio</t>
        </is>
      </c>
      <c r="I381" s="6" t="inlineStr">
        <is>
          <t>2023-1</t>
        </is>
      </c>
      <c r="J381" s="5" t="n">
        <v>45000</v>
      </c>
      <c r="K381" s="5" t="n">
        <v>13653.25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Linea base</t>
        </is>
      </c>
      <c r="O381" s="5" t="inlineStr">
        <is>
          <t>Kg</t>
        </is>
      </c>
      <c r="P381" s="5" t="n">
        <v>0</v>
      </c>
      <c r="Q381" s="5" t="n">
        <v>0</v>
      </c>
      <c r="R381" s="5" t="inlineStr">
        <is>
          <t>214-2023-06-30</t>
        </is>
      </c>
    </row>
    <row r="382">
      <c r="A382" s="5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144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>
        <v>45000</v>
      </c>
      <c r="K382" s="5" t="n">
        <v>31003.05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Linea base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214-2023-12-31</t>
        </is>
      </c>
    </row>
    <row r="383">
      <c r="A383" s="5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144" t="n">
        <v>45473</v>
      </c>
      <c r="G383" s="5" t="n">
        <v>2024</v>
      </c>
      <c r="H383" s="5" t="inlineStr">
        <is>
          <t>Junio</t>
        </is>
      </c>
      <c r="I383" s="6" t="inlineStr">
        <is>
          <t>2024-1</t>
        </is>
      </c>
      <c r="J383" s="5" t="n">
        <v>45000</v>
      </c>
      <c r="K383" s="5" t="n">
        <v>32812.91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214-2024-06-30</t>
        </is>
      </c>
    </row>
    <row r="384">
      <c r="A384" s="39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144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45000</v>
      </c>
      <c r="K384" s="5" t="n">
        <v>0</v>
      </c>
      <c r="L384" s="120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Kg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214-2024-12-31</t>
        </is>
      </c>
    </row>
    <row r="385">
      <c r="A385" s="5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44" t="n">
        <v>45838</v>
      </c>
      <c r="G385" s="5" t="n">
        <v>2025</v>
      </c>
      <c r="H385" s="5" t="inlineStr">
        <is>
          <t>Junio</t>
        </is>
      </c>
      <c r="I385" s="6" t="inlineStr">
        <is>
          <t>2025-1</t>
        </is>
      </c>
      <c r="J385" s="5" t="n">
        <v>45000</v>
      </c>
      <c r="K385" s="5" t="n">
        <v>26991.16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214-2025-06-30</t>
        </is>
      </c>
    </row>
    <row r="386">
      <c r="A386" s="5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44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45000</v>
      </c>
      <c r="K386" s="5" t="n">
        <v>24331.41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214-2025-12-31</t>
        </is>
      </c>
    </row>
    <row r="387">
      <c r="A387" s="39" t="n">
        <v>215</v>
      </c>
      <c r="B387" s="5" t="inlineStr">
        <is>
          <t>Disminución de la Generación de Residuos per Cápita</t>
        </is>
      </c>
      <c r="C387" s="5" t="inlineStr">
        <is>
          <t>GESTIÓN AMBIENTAL</t>
        </is>
      </c>
      <c r="D387" s="5" t="inlineStr">
        <is>
          <t>Trimestral</t>
        </is>
      </c>
      <c r="E387" s="5" t="inlineStr">
        <is>
          <t>Positivo</t>
        </is>
      </c>
      <c r="F387" s="144" t="n">
        <v>44926</v>
      </c>
      <c r="G387" s="5" t="n">
        <v>2022</v>
      </c>
      <c r="H387" s="5" t="inlineStr">
        <is>
          <t>Diciembre</t>
        </is>
      </c>
      <c r="I387" s="6" t="inlineStr">
        <is>
          <t>2022-2</t>
        </is>
      </c>
      <c r="J387" s="5" t="n">
        <v>1</v>
      </c>
      <c r="K387" s="5" t="n">
        <v>-23.628691983122</v>
      </c>
      <c r="L387" s="120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%</t>
        </is>
      </c>
      <c r="O387" s="5" t="inlineStr">
        <is>
          <t>%</t>
        </is>
      </c>
      <c r="P387" s="5" t="n">
        <v>2</v>
      </c>
      <c r="Q387" s="5" t="n">
        <v>2</v>
      </c>
      <c r="R387" s="5" t="inlineStr">
        <is>
          <t>215-2022-12-31</t>
        </is>
      </c>
    </row>
    <row r="388">
      <c r="A388" s="5" t="n">
        <v>215</v>
      </c>
      <c r="B388" s="5" t="inlineStr">
        <is>
          <t>Disminución de la Generación de Residuos per Cápita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43" t="n">
        <v>45107</v>
      </c>
      <c r="G388" s="16" t="n">
        <v>2023</v>
      </c>
      <c r="H388" s="6" t="inlineStr">
        <is>
          <t>Junio</t>
        </is>
      </c>
      <c r="I388" s="41" t="inlineStr">
        <is>
          <t>2023-1</t>
        </is>
      </c>
      <c r="J388" s="5" t="n">
        <v>1</v>
      </c>
      <c r="K388" s="5" t="n">
        <v>-47.67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n"/>
      <c r="O388" s="5" t="n"/>
      <c r="P388" s="5" t="n">
        <v>2</v>
      </c>
      <c r="Q388" s="5" t="n">
        <v>2</v>
      </c>
      <c r="R388" s="5" t="inlineStr">
        <is>
          <t>215-2023-06-30</t>
        </is>
      </c>
    </row>
    <row r="389">
      <c r="A389" s="39" t="n">
        <v>215</v>
      </c>
      <c r="B389" s="5" t="inlineStr">
        <is>
          <t>Disminución de la Generación de Residuos per Cápita</t>
        </is>
      </c>
      <c r="C389" s="5" t="inlineStr">
        <is>
          <t>GESTIÓN AMBIENTAL</t>
        </is>
      </c>
      <c r="D389" s="5" t="inlineStr">
        <is>
          <t>Semestral</t>
        </is>
      </c>
      <c r="E389" s="5" t="inlineStr">
        <is>
          <t>Positivo</t>
        </is>
      </c>
      <c r="F389" s="144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1</v>
      </c>
      <c r="K389" s="5" t="n">
        <v>-124.72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n"/>
      <c r="O389" s="5" t="n"/>
      <c r="P389" s="5" t="n">
        <v>2</v>
      </c>
      <c r="Q389" s="5" t="n">
        <v>2</v>
      </c>
      <c r="R389" s="5" t="inlineStr">
        <is>
          <t>215-2023-12-31</t>
        </is>
      </c>
    </row>
    <row r="390">
      <c r="A390" s="5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Semestral</t>
        </is>
      </c>
      <c r="E390" s="5" t="inlineStr">
        <is>
          <t>Positivo</t>
        </is>
      </c>
      <c r="F390" s="143" t="n">
        <v>45473</v>
      </c>
      <c r="G390" s="16" t="n">
        <v>2024</v>
      </c>
      <c r="H390" s="6" t="inlineStr">
        <is>
          <t>Junio</t>
        </is>
      </c>
      <c r="I390" s="41" t="inlineStr">
        <is>
          <t>2024-1</t>
        </is>
      </c>
      <c r="J390" s="5" t="n">
        <v>1</v>
      </c>
      <c r="K390" s="5" t="n">
        <v>8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n"/>
      <c r="O390" s="5" t="n"/>
      <c r="P390" s="5" t="n">
        <v>0</v>
      </c>
      <c r="Q390" s="5" t="n">
        <v>0</v>
      </c>
      <c r="R390" s="5" t="inlineStr">
        <is>
          <t>215-2024-06-30</t>
        </is>
      </c>
    </row>
    <row r="391">
      <c r="A391" s="39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Semestral</t>
        </is>
      </c>
      <c r="E391" s="5" t="inlineStr">
        <is>
          <t>Positivo</t>
        </is>
      </c>
      <c r="F391" s="144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</v>
      </c>
      <c r="K391" s="5" t="n">
        <v>-45.65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n"/>
      <c r="O391" s="5" t="n"/>
      <c r="P391" s="5" t="n">
        <v>0</v>
      </c>
      <c r="Q391" s="5" t="n">
        <v>0</v>
      </c>
      <c r="R391" s="5" t="inlineStr">
        <is>
          <t>215-2024-12-31</t>
        </is>
      </c>
    </row>
    <row r="392">
      <c r="A392" s="39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Trimestral</t>
        </is>
      </c>
      <c r="E392" s="5" t="inlineStr">
        <is>
          <t>Positivo</t>
        </is>
      </c>
      <c r="F392" s="144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1</v>
      </c>
      <c r="K392" s="5" t="n">
        <v>-114.55</v>
      </c>
      <c r="L392" s="120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%</t>
        </is>
      </c>
      <c r="O392" s="5" t="inlineStr">
        <is>
          <t>%</t>
        </is>
      </c>
      <c r="P392" s="5" t="n">
        <v>2</v>
      </c>
      <c r="Q392" s="5" t="n">
        <v>2</v>
      </c>
      <c r="R392" s="5" t="inlineStr">
        <is>
          <t>215-2025-06-30</t>
        </is>
      </c>
    </row>
    <row r="393">
      <c r="A393" s="39" t="n">
        <v>215</v>
      </c>
      <c r="B393" s="5" t="inlineStr">
        <is>
          <t>Disminución de la Generación de Residuos per Cápita</t>
        </is>
      </c>
      <c r="C393" s="5" t="inlineStr">
        <is>
          <t>GESTIÓN AMBIENTAL</t>
        </is>
      </c>
      <c r="D393" s="5" t="inlineStr">
        <is>
          <t>Trimestral</t>
        </is>
      </c>
      <c r="E393" s="5" t="inlineStr">
        <is>
          <t>Positivo</t>
        </is>
      </c>
      <c r="F393" s="144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1</v>
      </c>
      <c r="K393" s="5" t="n">
        <v>-6.43</v>
      </c>
      <c r="L393" s="120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%</t>
        </is>
      </c>
      <c r="O393" s="5" t="inlineStr">
        <is>
          <t>%</t>
        </is>
      </c>
      <c r="P393" s="5" t="n">
        <v>2</v>
      </c>
      <c r="Q393" s="5" t="n">
        <v>2</v>
      </c>
      <c r="R393" s="5" t="inlineStr">
        <is>
          <t>215-2025-12-31</t>
        </is>
      </c>
    </row>
    <row r="394">
      <c r="A394" s="39" t="n">
        <v>216</v>
      </c>
      <c r="B394" s="5" t="inlineStr">
        <is>
          <t>Disposición Ambientalmente Adecuada de Residuos Peligrosos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144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100</v>
      </c>
      <c r="K394" s="5" t="n">
        <v>0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216-2022-12-31</t>
        </is>
      </c>
    </row>
    <row r="395">
      <c r="A395" s="5" t="n">
        <v>216</v>
      </c>
      <c r="B395" s="5" t="inlineStr">
        <is>
          <t>Disposición Ambientalmente Adecuada de Residuos Peligrosos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144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5" t="n">
        <v>100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n"/>
      <c r="O395" s="5" t="n"/>
      <c r="P395" s="5" t="n">
        <v>0</v>
      </c>
      <c r="Q395" s="5" t="n">
        <v>0</v>
      </c>
      <c r="R395" s="5" t="inlineStr">
        <is>
          <t>216-2023-12-31</t>
        </is>
      </c>
    </row>
    <row r="396">
      <c r="A396" s="43" t="n">
        <v>216</v>
      </c>
      <c r="B396" s="5" t="inlineStr">
        <is>
          <t>Disposición Ambientalmente Adecuada de Residuos Peligrosos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Positivo</t>
        </is>
      </c>
      <c r="F396" s="144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100</v>
      </c>
      <c r="L396" s="120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n"/>
      <c r="O396" s="5" t="n"/>
      <c r="P396" s="5" t="n">
        <v>0</v>
      </c>
      <c r="Q396" s="5" t="n">
        <v>0</v>
      </c>
      <c r="R396" s="5" t="inlineStr">
        <is>
          <t>216-2024-12-31</t>
        </is>
      </c>
    </row>
    <row r="397">
      <c r="A397" s="39" t="n">
        <v>216</v>
      </c>
      <c r="B397" s="5" t="inlineStr">
        <is>
          <t>Disposición Ambientalmente Adecuada de Residuos Peligrosos</t>
        </is>
      </c>
      <c r="C397" s="5" t="inlineStr">
        <is>
          <t>GESTIÓN AMBIENTAL</t>
        </is>
      </c>
      <c r="D397" s="5" t="inlineStr">
        <is>
          <t>Anual</t>
        </is>
      </c>
      <c r="E397" s="5" t="inlineStr">
        <is>
          <t>Positivo</t>
        </is>
      </c>
      <c r="F397" s="144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5" t="n">
        <v>100</v>
      </c>
      <c r="L397" s="120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216-2025-12-31</t>
        </is>
      </c>
    </row>
    <row r="398">
      <c r="A398" s="5" t="n">
        <v>217</v>
      </c>
      <c r="B398" s="5" t="inlineStr">
        <is>
          <t>Aprovechamiento de Residuos</t>
        </is>
      </c>
      <c r="C398" s="5" t="inlineStr">
        <is>
          <t>GESTIÓN AMBIENTAL</t>
        </is>
      </c>
      <c r="D398" s="5" t="inlineStr">
        <is>
          <t>Mensual</t>
        </is>
      </c>
      <c r="E398" s="5" t="inlineStr">
        <is>
          <t>Positivo</t>
        </is>
      </c>
      <c r="F398" s="144" t="n">
        <v>44957</v>
      </c>
      <c r="G398" s="5" t="n">
        <v>2023</v>
      </c>
      <c r="H398" s="5" t="inlineStr">
        <is>
          <t>Enero</t>
        </is>
      </c>
      <c r="I398" s="6" t="inlineStr">
        <is>
          <t>2023-1</t>
        </is>
      </c>
      <c r="J398" s="5" t="n">
        <v>120</v>
      </c>
      <c r="K398" s="5" t="n">
        <v>322.245187157396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n"/>
      <c r="O398" s="5" t="n"/>
      <c r="P398" s="5" t="n">
        <v>0</v>
      </c>
      <c r="Q398" s="5" t="n">
        <v>0</v>
      </c>
      <c r="R398" s="5" t="inlineStr">
        <is>
          <t>217-2023-01-31</t>
        </is>
      </c>
    </row>
    <row r="399">
      <c r="A399" s="5" t="n">
        <v>217</v>
      </c>
      <c r="B399" s="5" t="inlineStr">
        <is>
          <t>Aprovechamiento de Residuos</t>
        </is>
      </c>
      <c r="C399" s="5" t="inlineStr">
        <is>
          <t>GESTIÓN AMBIENTAL</t>
        </is>
      </c>
      <c r="D399" s="5" t="inlineStr">
        <is>
          <t>Mensual</t>
        </is>
      </c>
      <c r="E399" s="5" t="inlineStr">
        <is>
          <t>Positivo</t>
        </is>
      </c>
      <c r="F399" s="144" t="n">
        <v>44985</v>
      </c>
      <c r="G399" s="5" t="n">
        <v>2023</v>
      </c>
      <c r="H399" s="5" t="inlineStr">
        <is>
          <t>Febrero</t>
        </is>
      </c>
      <c r="I399" s="6" t="inlineStr">
        <is>
          <t>2023-1</t>
        </is>
      </c>
      <c r="J399" s="5" t="n">
        <v>120</v>
      </c>
      <c r="K399" s="5" t="n">
        <v>322.245187157396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n"/>
      <c r="O399" s="5" t="n"/>
      <c r="P399" s="5" t="n">
        <v>0</v>
      </c>
      <c r="Q399" s="5" t="n">
        <v>0</v>
      </c>
      <c r="R399" s="5" t="inlineStr">
        <is>
          <t>217-2023-02-28</t>
        </is>
      </c>
    </row>
    <row r="400">
      <c r="A400" s="5" t="n">
        <v>217</v>
      </c>
      <c r="B400" s="5" t="inlineStr">
        <is>
          <t>Aprovechamiento de Residuos</t>
        </is>
      </c>
      <c r="C400" s="5" t="inlineStr">
        <is>
          <t>GESTIÓN AMBIENTAL</t>
        </is>
      </c>
      <c r="D400" s="5" t="inlineStr">
        <is>
          <t>Mensual</t>
        </is>
      </c>
      <c r="E400" s="5" t="inlineStr">
        <is>
          <t>Positivo</t>
        </is>
      </c>
      <c r="F400" s="144" t="n">
        <v>45016</v>
      </c>
      <c r="G400" s="16" t="n">
        <v>2023</v>
      </c>
      <c r="H400" s="6" t="inlineStr">
        <is>
          <t>Marzo</t>
        </is>
      </c>
      <c r="I400" s="6" t="inlineStr">
        <is>
          <t>2023-1</t>
        </is>
      </c>
      <c r="J400" s="5" t="n">
        <v>120</v>
      </c>
      <c r="K400" s="5" t="n">
        <v>322.245187157396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n"/>
      <c r="O400" s="5" t="n"/>
      <c r="P400" s="5" t="n">
        <v>0</v>
      </c>
      <c r="Q400" s="5" t="n">
        <v>0</v>
      </c>
      <c r="R400" s="5" t="inlineStr">
        <is>
          <t>217-2023-03-31</t>
        </is>
      </c>
    </row>
    <row r="401">
      <c r="A401" s="39" t="n">
        <v>217</v>
      </c>
      <c r="B401" s="5" t="inlineStr">
        <is>
          <t>Aprovechamiento de Residuos</t>
        </is>
      </c>
      <c r="C401" s="5" t="inlineStr">
        <is>
          <t>GESTIÓN AMBIENTAL</t>
        </is>
      </c>
      <c r="D401" s="5" t="inlineStr">
        <is>
          <t>Mensual</t>
        </is>
      </c>
      <c r="E401" s="5" t="inlineStr">
        <is>
          <t>Positivo</t>
        </is>
      </c>
      <c r="F401" s="144" t="n">
        <v>45046</v>
      </c>
      <c r="G401" s="5" t="n">
        <v>2023</v>
      </c>
      <c r="H401" s="5" t="inlineStr">
        <is>
          <t>Abril</t>
        </is>
      </c>
      <c r="I401" s="6" t="inlineStr">
        <is>
          <t>2023-1</t>
        </is>
      </c>
      <c r="J401" s="5" t="n">
        <v>120</v>
      </c>
      <c r="K401" s="5" t="n">
        <v>322.245187157396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n"/>
      <c r="O401" s="5" t="n"/>
      <c r="P401" s="5" t="n">
        <v>0</v>
      </c>
      <c r="Q401" s="5" t="n">
        <v>0</v>
      </c>
      <c r="R401" s="5" t="inlineStr">
        <is>
          <t>217-2023-04-30</t>
        </is>
      </c>
    </row>
    <row r="402">
      <c r="A402" s="39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144" t="n">
        <v>45077</v>
      </c>
      <c r="G402" s="5" t="n">
        <v>2023</v>
      </c>
      <c r="H402" s="5" t="inlineStr">
        <is>
          <t>Mayo</t>
        </is>
      </c>
      <c r="I402" s="6" t="inlineStr">
        <is>
          <t>2023-1</t>
        </is>
      </c>
      <c r="J402" s="5" t="n">
        <v>120</v>
      </c>
      <c r="K402" s="5" t="n">
        <v>322.245187157396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n"/>
      <c r="O402" s="5" t="n"/>
      <c r="P402" s="5" t="n">
        <v>0</v>
      </c>
      <c r="Q402" s="5" t="n">
        <v>0</v>
      </c>
      <c r="R402" s="5" t="inlineStr">
        <is>
          <t>217-2023-05-31</t>
        </is>
      </c>
    </row>
    <row r="403">
      <c r="A403" s="39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144" t="n">
        <v>45107</v>
      </c>
      <c r="G403" s="5" t="n">
        <v>2023</v>
      </c>
      <c r="H403" s="5" t="inlineStr">
        <is>
          <t>Junio</t>
        </is>
      </c>
      <c r="I403" s="6" t="inlineStr">
        <is>
          <t>2023-1</t>
        </is>
      </c>
      <c r="J403" s="5" t="n">
        <v>120</v>
      </c>
      <c r="K403" s="5" t="n">
        <v>322.245187157396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217-2023-06-30</t>
        </is>
      </c>
    </row>
    <row r="404">
      <c r="A404" s="39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144" t="n">
        <v>45138</v>
      </c>
      <c r="G404" s="5" t="n">
        <v>2023</v>
      </c>
      <c r="H404" s="5" t="inlineStr">
        <is>
          <t>Julio</t>
        </is>
      </c>
      <c r="I404" s="6" t="inlineStr">
        <is>
          <t>2023-2</t>
        </is>
      </c>
      <c r="J404" s="5" t="n">
        <v>120</v>
      </c>
      <c r="K404" s="5" t="n">
        <v>130.7838155698693</v>
      </c>
      <c r="L404" s="28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n"/>
      <c r="O404" s="5" t="n"/>
      <c r="P404" s="5" t="n">
        <v>0</v>
      </c>
      <c r="Q404" s="5" t="n">
        <v>0</v>
      </c>
      <c r="R404" s="5" t="inlineStr">
        <is>
          <t>217-2023-07-31</t>
        </is>
      </c>
    </row>
    <row r="405">
      <c r="A405" s="39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44" t="n">
        <v>45169</v>
      </c>
      <c r="G405" s="5" t="n">
        <v>2023</v>
      </c>
      <c r="H405" s="5" t="inlineStr">
        <is>
          <t>Agosto</t>
        </is>
      </c>
      <c r="I405" s="6" t="inlineStr">
        <is>
          <t>2023-2</t>
        </is>
      </c>
      <c r="J405" s="5" t="n">
        <v>120</v>
      </c>
      <c r="K405" s="5" t="n">
        <v>130.7838155698693</v>
      </c>
      <c r="L405" s="120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n"/>
      <c r="O405" s="5" t="n"/>
      <c r="P405" s="5" t="n">
        <v>0</v>
      </c>
      <c r="Q405" s="5" t="n">
        <v>0</v>
      </c>
      <c r="R405" s="5" t="inlineStr">
        <is>
          <t>217-2023-08-31</t>
        </is>
      </c>
    </row>
    <row r="406">
      <c r="A406" s="39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44" t="n">
        <v>45199</v>
      </c>
      <c r="G406" s="5" t="n">
        <v>2023</v>
      </c>
      <c r="H406" s="5" t="inlineStr">
        <is>
          <t>Septiembre</t>
        </is>
      </c>
      <c r="I406" s="6" t="inlineStr">
        <is>
          <t>2023-2</t>
        </is>
      </c>
      <c r="J406" s="5" t="n">
        <v>120</v>
      </c>
      <c r="K406" s="5" t="n">
        <v>130.7838155698693</v>
      </c>
      <c r="L406" s="120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217-2023-09-30</t>
        </is>
      </c>
    </row>
    <row r="407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44" t="n">
        <v>45230</v>
      </c>
      <c r="G407" s="5" t="n">
        <v>2023</v>
      </c>
      <c r="H407" s="5" t="inlineStr">
        <is>
          <t>Octubre</t>
        </is>
      </c>
      <c r="I407" s="6" t="inlineStr">
        <is>
          <t>2023-2</t>
        </is>
      </c>
      <c r="J407" s="5" t="n">
        <v>120</v>
      </c>
      <c r="K407" s="5" t="n">
        <v>130.7838155698693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217-2023-10-31</t>
        </is>
      </c>
    </row>
    <row r="408">
      <c r="A408" s="5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44" t="n">
        <v>45260</v>
      </c>
      <c r="G408" s="5" t="n">
        <v>2023</v>
      </c>
      <c r="H408" s="5" t="inlineStr">
        <is>
          <t>Noviembre</t>
        </is>
      </c>
      <c r="I408" s="6" t="inlineStr">
        <is>
          <t>2023-2</t>
        </is>
      </c>
      <c r="J408" s="5" t="n">
        <v>120</v>
      </c>
      <c r="K408" s="5" t="n">
        <v>130.7838155698693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217-2023-11-30</t>
        </is>
      </c>
    </row>
    <row r="409">
      <c r="A409" s="39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44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120</v>
      </c>
      <c r="K409" s="5" t="n">
        <v>130.7838155698693</v>
      </c>
      <c r="L409" s="120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217-2023-12-31</t>
        </is>
      </c>
    </row>
    <row r="410">
      <c r="A410" s="5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44" t="n">
        <v>45473</v>
      </c>
      <c r="G410" s="5" t="n">
        <v>2024</v>
      </c>
      <c r="H410" s="5" t="inlineStr">
        <is>
          <t>Junio</t>
        </is>
      </c>
      <c r="I410" s="6" t="inlineStr">
        <is>
          <t>2024-1</t>
        </is>
      </c>
      <c r="J410" s="5" t="n">
        <v>120</v>
      </c>
      <c r="K410" s="5" t="n">
        <v>154.91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217-2024-06-30</t>
        </is>
      </c>
    </row>
    <row r="411">
      <c r="A411" s="43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44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120</v>
      </c>
      <c r="K411" s="5" t="n">
        <v>148.9927505108846</v>
      </c>
      <c r="L411" s="120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n"/>
      <c r="O411" s="5" t="n"/>
      <c r="P411" s="5" t="n">
        <v>0</v>
      </c>
      <c r="Q411" s="5" t="n">
        <v>0</v>
      </c>
      <c r="R411" s="5" t="inlineStr">
        <is>
          <t>217-2024-12-31</t>
        </is>
      </c>
    </row>
    <row r="412">
      <c r="A412" s="39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44" t="n">
        <v>45838</v>
      </c>
      <c r="G412" s="5" t="n">
        <v>2025</v>
      </c>
      <c r="H412" s="5" t="inlineStr">
        <is>
          <t>Junio</t>
        </is>
      </c>
      <c r="I412" s="6" t="inlineStr">
        <is>
          <t>2025-1</t>
        </is>
      </c>
      <c r="J412" s="5" t="n">
        <v>120</v>
      </c>
      <c r="K412" s="5" t="n">
        <v>333.74</v>
      </c>
      <c r="L412" s="120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217-2025-06-30</t>
        </is>
      </c>
    </row>
    <row r="413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44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120</v>
      </c>
      <c r="K413" s="5" t="n">
        <v>543.33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217-2025-12-31</t>
        </is>
      </c>
    </row>
    <row r="414">
      <c r="A414" s="5" t="n">
        <v>218</v>
      </c>
      <c r="B414" s="5" t="inlineStr">
        <is>
          <t>Consumo de Energía Eléctrica kWh Mensual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Negativo</t>
        </is>
      </c>
      <c r="F414" s="144" t="n">
        <v>44742</v>
      </c>
      <c r="G414" s="5" t="n">
        <v>2022</v>
      </c>
      <c r="H414" s="5" t="inlineStr">
        <is>
          <t>Junio</t>
        </is>
      </c>
      <c r="I414" s="6" t="inlineStr">
        <is>
          <t>2022-1</t>
        </is>
      </c>
      <c r="J414" s="5" t="n">
        <v>1032000</v>
      </c>
      <c r="K414" s="10" t="n">
        <v>0</v>
      </c>
      <c r="L414" s="28">
        <f>IFERROR(IF(OR(J414=0,K414=""),"",IF(E414="Positivo",MIN(MAX(K414/J414,0),1.0),MIN(MAX(J414/K414,0),1.0))),"") </f>
        <v/>
      </c>
      <c r="M414" s="28">
        <f>IFERROR(IF(OR(J414=0,K414=""),"",IF(E414="Positivo",MAX(K414/J414,0),MAX(J414/K414,0))),"") </f>
        <v/>
      </c>
      <c r="N414" s="5" t="inlineStr">
        <is>
          <t>kWh</t>
        </is>
      </c>
      <c r="O414" s="5" t="inlineStr">
        <is>
          <t>kWh</t>
        </is>
      </c>
      <c r="P414" s="5" t="n">
        <v>0</v>
      </c>
      <c r="Q414" s="5" t="n">
        <v>0</v>
      </c>
      <c r="R414" s="5" t="inlineStr">
        <is>
          <t>218-2022-06-30</t>
        </is>
      </c>
    </row>
    <row r="415">
      <c r="A415" s="43" t="n">
        <v>218</v>
      </c>
      <c r="B415" s="5" t="inlineStr">
        <is>
          <t>Consumo de Energía Eléctrica kWh Mensual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Negativo</t>
        </is>
      </c>
      <c r="F415" s="144" t="n">
        <v>44926</v>
      </c>
      <c r="G415" s="5" t="n">
        <v>2022</v>
      </c>
      <c r="H415" s="5" t="inlineStr">
        <is>
          <t>Diciembre</t>
        </is>
      </c>
      <c r="I415" s="6" t="inlineStr">
        <is>
          <t>2022-2</t>
        </is>
      </c>
      <c r="J415" s="5" t="n">
        <v>1032000</v>
      </c>
      <c r="K415" s="5" t="n">
        <v>0</v>
      </c>
      <c r="L415" s="120">
        <f>IFERROR(IF(OR(J415=0,K415=""),"",IF(E415="Positivo",MIN(MAX(K415/J415,0),1.0),MIN(MAX(J415/K415,0),1.0))),"") </f>
        <v/>
      </c>
      <c r="M415" s="28">
        <f>IFERROR(IF(OR(J415=0,K415=""),"",IF(E415="Positivo",MAX(K415/J415,0),MAX(J415/K415,0))),"") </f>
        <v/>
      </c>
      <c r="N415" s="5" t="inlineStr">
        <is>
          <t>kWh</t>
        </is>
      </c>
      <c r="O415" s="5" t="inlineStr">
        <is>
          <t>kWh</t>
        </is>
      </c>
      <c r="P415" s="5" t="n">
        <v>0</v>
      </c>
      <c r="Q415" s="5" t="n">
        <v>0</v>
      </c>
      <c r="R415" s="5" t="inlineStr">
        <is>
          <t>218-2022-12-31</t>
        </is>
      </c>
    </row>
    <row r="416">
      <c r="A416" s="39" t="n">
        <v>218</v>
      </c>
      <c r="B416" s="5" t="inlineStr">
        <is>
          <t>Consumo de Energía Eléctrica kWh Mensual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Negativo</t>
        </is>
      </c>
      <c r="F416" s="144" t="n">
        <v>44957</v>
      </c>
      <c r="G416" s="5" t="n">
        <v>2023</v>
      </c>
      <c r="H416" s="5" t="inlineStr">
        <is>
          <t>Enero</t>
        </is>
      </c>
      <c r="I416" s="6" t="inlineStr">
        <is>
          <t>2023-1</t>
        </is>
      </c>
      <c r="J416" s="5" t="n">
        <v>1032000</v>
      </c>
      <c r="K416" s="5" t="n">
        <v>809046.41</v>
      </c>
      <c r="L416" s="120">
        <f>IFERROR(IF(OR(J416=0,K416=""),"",IF(E416="Positivo",MIN(MAX(K416/J416,0),1.0),MIN(MAX(J416/K416,0),1.0))),"") </f>
        <v/>
      </c>
      <c r="M416" s="28">
        <f>IFERROR(IF(OR(J416=0,K416=""),"",IF(E416="Positivo",MAX(K416/J416,0),MAX(J416/K416,0))),"") </f>
        <v/>
      </c>
      <c r="N416" s="5" t="inlineStr">
        <is>
          <t>kWh</t>
        </is>
      </c>
      <c r="O416" s="5" t="inlineStr">
        <is>
          <t>kWh</t>
        </is>
      </c>
      <c r="P416" s="5" t="n">
        <v>0</v>
      </c>
      <c r="Q416" s="5" t="n">
        <v>0</v>
      </c>
      <c r="R416" s="5" t="inlineStr">
        <is>
          <t>218-2023-01-31</t>
        </is>
      </c>
    </row>
    <row r="417">
      <c r="A417" s="39" t="n">
        <v>218</v>
      </c>
      <c r="B417" s="5" t="inlineStr">
        <is>
          <t>Consumo de Energía Eléctrica kWh Mensual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Negativo</t>
        </is>
      </c>
      <c r="F417" s="144" t="n">
        <v>44985</v>
      </c>
      <c r="G417" s="5" t="n">
        <v>2023</v>
      </c>
      <c r="H417" s="5" t="inlineStr">
        <is>
          <t>Febrero</t>
        </is>
      </c>
      <c r="I417" s="6" t="inlineStr">
        <is>
          <t>2023-1</t>
        </is>
      </c>
      <c r="J417" s="5" t="n">
        <v>1032000</v>
      </c>
      <c r="K417" s="5" t="n">
        <v>809046.41</v>
      </c>
      <c r="L417" s="120">
        <f>IFERROR(IF(OR(J417=0,K417=""),"",IF(E417="Positivo",MIN(MAX(K417/J417,0),1.0),MIN(MAX(J417/K417,0),1.0))),"") </f>
        <v/>
      </c>
      <c r="M417" s="28">
        <f>IFERROR(IF(OR(J417=0,K417=""),"",IF(E417="Positivo",MAX(K417/J417,0),MAX(J417/K417,0))),"") </f>
        <v/>
      </c>
      <c r="N417" s="5" t="inlineStr">
        <is>
          <t>kWh</t>
        </is>
      </c>
      <c r="O417" s="5" t="inlineStr">
        <is>
          <t>kWh</t>
        </is>
      </c>
      <c r="P417" s="5" t="n">
        <v>0</v>
      </c>
      <c r="Q417" s="5" t="n">
        <v>0</v>
      </c>
      <c r="R417" s="5" t="inlineStr">
        <is>
          <t>218-2023-02-28</t>
        </is>
      </c>
    </row>
    <row r="418">
      <c r="A418" s="43" t="n">
        <v>218</v>
      </c>
      <c r="B418" s="5" t="inlineStr">
        <is>
          <t>Consumo de Energía Eléctrica kWh Mensual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Negativo</t>
        </is>
      </c>
      <c r="F418" s="144" t="n">
        <v>45016</v>
      </c>
      <c r="G418" s="5" t="n">
        <v>2023</v>
      </c>
      <c r="H418" s="5" t="inlineStr">
        <is>
          <t>Marzo</t>
        </is>
      </c>
      <c r="I418" s="6" t="inlineStr">
        <is>
          <t>2023-1</t>
        </is>
      </c>
      <c r="J418" s="5" t="n">
        <v>1032000</v>
      </c>
      <c r="K418" s="5" t="n">
        <v>809046.41</v>
      </c>
      <c r="L418" s="120">
        <f>IFERROR(IF(OR(J418=0,K418=""),"",IF(E418="Positivo",MIN(MAX(K418/J418,0),1.0),MIN(MAX(J418/K418,0),1.0))),"") </f>
        <v/>
      </c>
      <c r="M418" s="28">
        <f>IFERROR(IF(OR(J418=0,K418=""),"",IF(E418="Positivo",MAX(K418/J418,0),MAX(J418/K418,0))),"") </f>
        <v/>
      </c>
      <c r="N418" s="5" t="inlineStr">
        <is>
          <t>kWh</t>
        </is>
      </c>
      <c r="O418" s="5" t="inlineStr">
        <is>
          <t>kWh</t>
        </is>
      </c>
      <c r="P418" s="5" t="n">
        <v>0</v>
      </c>
      <c r="Q418" s="5" t="n">
        <v>0</v>
      </c>
      <c r="R418" s="5" t="inlineStr">
        <is>
          <t>218-2023-03-31</t>
        </is>
      </c>
    </row>
    <row r="419">
      <c r="A419" s="39" t="n">
        <v>218</v>
      </c>
      <c r="B419" s="5" t="inlineStr">
        <is>
          <t>Consumo de Energía Eléctrica kWh Mensual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Negativo</t>
        </is>
      </c>
      <c r="F419" s="144" t="n">
        <v>45046</v>
      </c>
      <c r="G419" s="5" t="n">
        <v>2023</v>
      </c>
      <c r="H419" s="5" t="inlineStr">
        <is>
          <t>Abril</t>
        </is>
      </c>
      <c r="I419" s="6" t="inlineStr">
        <is>
          <t>2023-1</t>
        </is>
      </c>
      <c r="J419" s="5" t="n">
        <v>1032000</v>
      </c>
      <c r="K419" s="5" t="n">
        <v>809046.41</v>
      </c>
      <c r="L419" s="120">
        <f>IFERROR(IF(OR(J419=0,K419=""),"",IF(E419="Positivo",MIN(MAX(K419/J419,0),1.0),MIN(MAX(J419/K419,0),1.0))),"") </f>
        <v/>
      </c>
      <c r="M419" s="28">
        <f>IFERROR(IF(OR(J419=0,K419=""),"",IF(E419="Positivo",MAX(K419/J419,0),MAX(J419/K419,0))),"") </f>
        <v/>
      </c>
      <c r="N419" s="5" t="inlineStr">
        <is>
          <t>kWh</t>
        </is>
      </c>
      <c r="O419" s="5" t="inlineStr">
        <is>
          <t>kWh</t>
        </is>
      </c>
      <c r="P419" s="5" t="n">
        <v>0</v>
      </c>
      <c r="Q419" s="5" t="n">
        <v>0</v>
      </c>
      <c r="R419" s="5" t="inlineStr">
        <is>
          <t>218-2023-04-30</t>
        </is>
      </c>
    </row>
    <row r="420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144" t="n">
        <v>45077</v>
      </c>
      <c r="G420" s="5" t="n">
        <v>2023</v>
      </c>
      <c r="H420" s="5" t="inlineStr">
        <is>
          <t>Mayo</t>
        </is>
      </c>
      <c r="I420" s="6" t="inlineStr">
        <is>
          <t>2023-1</t>
        </is>
      </c>
      <c r="J420" s="5" t="n">
        <v>1032000</v>
      </c>
      <c r="K420" s="5" t="n">
        <v>809046.41</v>
      </c>
      <c r="L420" s="28">
        <f>IFERROR(IF(OR(J420=0,K420=""),"",IF(E420="Positivo",MIN(MAX(K420/J420,0),1.0),MIN(MAX(J420/K420,0),1.0))),"") </f>
        <v/>
      </c>
      <c r="M420" s="28">
        <f>IFERROR(IF(OR(J420=0,K420=""),"",IF(E420="Positivo",MAX(K420/J420,0),MAX(J420/K420,0))),"") </f>
        <v/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218-2023-05-31</t>
        </is>
      </c>
    </row>
    <row r="421">
      <c r="A421" s="5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44" t="n">
        <v>45107</v>
      </c>
      <c r="G421" s="5" t="n">
        <v>2023</v>
      </c>
      <c r="H421" s="5" t="inlineStr">
        <is>
          <t>Junio</t>
        </is>
      </c>
      <c r="I421" s="6" t="inlineStr">
        <is>
          <t>2023-1</t>
        </is>
      </c>
      <c r="J421" s="5" t="n">
        <v>1032000</v>
      </c>
      <c r="K421" s="5" t="n">
        <v>809046.41</v>
      </c>
      <c r="L421" s="28">
        <f>IFERROR(IF(OR(J421=0,K421=""),"",IF(E421="Positivo",MIN(MAX(K421/J421,0),1.0),MIN(MAX(J421/K421,0),1.0))),"") </f>
        <v/>
      </c>
      <c r="M421" s="28">
        <f>IFERROR(IF(OR(J421=0,K421=""),"",IF(E421="Positivo",MAX(K421/J421,0),MAX(J421/K421,0))),"") </f>
        <v/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218-2023-06-30</t>
        </is>
      </c>
    </row>
    <row r="422">
      <c r="A422" s="43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44" t="n">
        <v>45138</v>
      </c>
      <c r="G422" s="5" t="n">
        <v>2023</v>
      </c>
      <c r="H422" s="5" t="inlineStr">
        <is>
          <t>Julio</t>
        </is>
      </c>
      <c r="I422" s="6" t="inlineStr">
        <is>
          <t>2023-2</t>
        </is>
      </c>
      <c r="J422" s="5" t="n">
        <v>1032000</v>
      </c>
      <c r="K422" s="5" t="n">
        <v>795652.8199999999</v>
      </c>
      <c r="L422" s="28">
        <f>IFERROR(IF(OR(J422=0,K422=""),"",IF(E422="Positivo",MIN(MAX(K422/J422,0),1.0),MIN(MAX(J422/K422,0),1.0))),"") </f>
        <v/>
      </c>
      <c r="M422" s="28">
        <f>IFERROR(IF(OR(J422=0,K422=""),"",IF(E422="Positivo",MAX(K422/J422,0),MAX(J422/K422,0))),"") </f>
        <v/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218-2023-07-31</t>
        </is>
      </c>
    </row>
    <row r="423">
      <c r="A423" s="39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44" t="n">
        <v>45169</v>
      </c>
      <c r="G423" s="5" t="n">
        <v>2023</v>
      </c>
      <c r="H423" s="5" t="inlineStr">
        <is>
          <t>Agosto</t>
        </is>
      </c>
      <c r="I423" s="6" t="inlineStr">
        <is>
          <t>2023-2</t>
        </is>
      </c>
      <c r="J423" s="5" t="n">
        <v>1032000</v>
      </c>
      <c r="K423" s="5" t="n">
        <v>795652.8199999999</v>
      </c>
      <c r="L423" s="28">
        <f>IFERROR(IF(OR(J423=0,K423=""),"",IF(E423="Positivo",MIN(MAX(K423/J423,0),1.0),MIN(MAX(J423/K423,0),1.0))),"") </f>
        <v/>
      </c>
      <c r="M423" s="28">
        <f>IFERROR(IF(OR(J423=0,K423=""),"",IF(E423="Positivo",MAX(K423/J423,0),MAX(J423/K423,0))),"") </f>
        <v/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218-2023-08-31</t>
        </is>
      </c>
    </row>
    <row r="424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44" t="n">
        <v>45199</v>
      </c>
      <c r="G424" s="5" t="n">
        <v>2023</v>
      </c>
      <c r="H424" s="5" t="inlineStr">
        <is>
          <t>Septiembre</t>
        </is>
      </c>
      <c r="I424" s="6" t="inlineStr">
        <is>
          <t>2023-2</t>
        </is>
      </c>
      <c r="J424" s="5" t="n">
        <v>1032000</v>
      </c>
      <c r="K424" s="5" t="n">
        <v>795652.8199999999</v>
      </c>
      <c r="L424" s="28">
        <f>IFERROR(IF(OR(J424=0,K424=""),"",IF(E424="Positivo",MIN(MAX(K424/J424,0),1.0),MIN(MAX(J424/K424,0),1.0))),"") </f>
        <v/>
      </c>
      <c r="M424" s="28">
        <f>IFERROR(IF(OR(J424=0,K424=""),"",IF(E424="Positivo",MAX(K424/J424,0),MAX(J424/K424,0))),"") </f>
        <v/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218-2023-09-30</t>
        </is>
      </c>
    </row>
    <row r="425">
      <c r="A425" s="5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44" t="n">
        <v>45230</v>
      </c>
      <c r="G425" s="5" t="n">
        <v>2023</v>
      </c>
      <c r="H425" s="5" t="inlineStr">
        <is>
          <t>Octubre</t>
        </is>
      </c>
      <c r="I425" s="6" t="inlineStr">
        <is>
          <t>2023-2</t>
        </is>
      </c>
      <c r="J425" s="5" t="n">
        <v>1032000</v>
      </c>
      <c r="K425" s="5" t="n">
        <v>795652.8199999999</v>
      </c>
      <c r="L425" s="28">
        <f>IFERROR(IF(OR(J425=0,K425=""),"",IF(E425="Positivo",MIN(MAX(K425/J425,0),1.0),MIN(MAX(J425/K425,0),1.0))),"") </f>
        <v/>
      </c>
      <c r="M425" s="28">
        <f>IFERROR(IF(OR(J425=0,K425=""),"",IF(E425="Positivo",MAX(K425/J425,0),MAX(J425/K425,0))),"") </f>
        <v/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218-2023-10-31</t>
        </is>
      </c>
    </row>
    <row r="426">
      <c r="A426" s="43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44" t="n">
        <v>45260</v>
      </c>
      <c r="G426" s="5" t="n">
        <v>2023</v>
      </c>
      <c r="H426" s="5" t="inlineStr">
        <is>
          <t>Noviembre</t>
        </is>
      </c>
      <c r="I426" s="6" t="inlineStr">
        <is>
          <t>2023-2</t>
        </is>
      </c>
      <c r="J426" s="5" t="n">
        <v>1032000</v>
      </c>
      <c r="K426" s="5" t="n">
        <v>795652.8199999999</v>
      </c>
      <c r="L426" s="28">
        <f>IFERROR(IF(OR(J426=0,K426=""),"",IF(E426="Positivo",MIN(MAX(K426/J426,0),1.0),MIN(MAX(J426/K426,0),1.0))),"") </f>
        <v/>
      </c>
      <c r="M426" s="28">
        <f>IFERROR(IF(OR(J426=0,K426=""),"",IF(E426="Positivo",MAX(K426/J426,0),MAX(J426/K426,0))),"") </f>
        <v/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218-2023-11-30</t>
        </is>
      </c>
    </row>
    <row r="427">
      <c r="A427" s="39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44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1032000</v>
      </c>
      <c r="K427" s="5" t="n">
        <v>795652.8199999999</v>
      </c>
      <c r="L427" s="28">
        <f>IFERROR(IF(OR(J427=0,K427=""),"",IF(E427="Positivo",MIN(MAX(K427/J427,0),1.0),MIN(MAX(J427/K427,0),1.0))),"") </f>
        <v/>
      </c>
      <c r="M427" s="28">
        <f>IFERROR(IF(OR(J427=0,K427=""),"",IF(E427="Positivo",MAX(K427/J427,0),MAX(J427/K427,0))),"") </f>
        <v/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218-2023-12-31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44" t="n">
        <v>45473</v>
      </c>
      <c r="G428" s="5" t="n">
        <v>2024</v>
      </c>
      <c r="H428" s="5" t="inlineStr">
        <is>
          <t>Junio</t>
        </is>
      </c>
      <c r="I428" s="6" t="inlineStr">
        <is>
          <t>2024-1</t>
        </is>
      </c>
      <c r="J428" s="5" t="n">
        <v>1032000</v>
      </c>
      <c r="K428" s="5" t="n">
        <v>874910.97</v>
      </c>
      <c r="L428" s="28">
        <f>IFERROR(IF(OR(J428=0,K428=""),"",IF(E428="Positivo",MIN(MAX(K428/J428,0),1.0),MIN(MAX(J428/K428,0),1.0))),"") </f>
        <v/>
      </c>
      <c r="M428" s="28">
        <f>IFERROR(IF(OR(J428=0,K428=""),"",IF(E428="Positivo",MAX(K428/J428,0),MAX(J428/K428,0))),"") </f>
        <v/>
      </c>
      <c r="N428" s="5" t="n"/>
      <c r="O428" s="5" t="n"/>
      <c r="P428" s="5" t="n">
        <v>0</v>
      </c>
      <c r="Q428" s="5" t="n">
        <v>0</v>
      </c>
      <c r="R428" s="5" t="inlineStr">
        <is>
          <t>218-2024-06-30</t>
        </is>
      </c>
    </row>
    <row r="429">
      <c r="A429" s="5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44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1032000</v>
      </c>
      <c r="K429" s="5" t="n">
        <v>849391.85</v>
      </c>
      <c r="L429" s="28">
        <f>IFERROR(IF(OR(J429=0,K429=""),"",IF(E429="Positivo",MIN(MAX(K429/J429,0),1.0),MIN(MAX(J429/K429,0),1.0))),"") </f>
        <v/>
      </c>
      <c r="M429" s="28">
        <f>IFERROR(IF(OR(J429=0,K429=""),"",IF(E429="Positivo",MAX(K429/J429,0),MAX(J429/K429,0))),"") </f>
        <v/>
      </c>
      <c r="N429" s="5" t="n"/>
      <c r="O429" s="5" t="n"/>
      <c r="P429" s="5" t="n">
        <v>0</v>
      </c>
      <c r="Q429" s="5" t="n">
        <v>0</v>
      </c>
      <c r="R429" s="5" t="inlineStr">
        <is>
          <t>218-2024-12-31</t>
        </is>
      </c>
    </row>
    <row r="430">
      <c r="A430" s="43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44" t="n">
        <v>45838</v>
      </c>
      <c r="G430" s="5" t="n">
        <v>2025</v>
      </c>
      <c r="H430" s="5" t="inlineStr">
        <is>
          <t>Junio</t>
        </is>
      </c>
      <c r="I430" s="6" t="inlineStr">
        <is>
          <t>2025-1</t>
        </is>
      </c>
      <c r="J430" s="5" t="n">
        <v>1032000</v>
      </c>
      <c r="K430" s="5" t="n">
        <v>820561.26</v>
      </c>
      <c r="L430" s="28">
        <f>IFERROR(IF(OR(J430=0,K430=""),"",IF(E430="Positivo",MIN(MAX(K430/J430,0),1.0),MIN(MAX(J430/K430,0),1.0))),"") </f>
        <v/>
      </c>
      <c r="M430" s="28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218-2025-06-30</t>
        </is>
      </c>
    </row>
    <row r="431">
      <c r="A431" s="39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44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1032000</v>
      </c>
      <c r="K431" s="5" t="n">
        <v>841417.4</v>
      </c>
      <c r="L431" s="28">
        <f>IFERROR(IF(OR(J431=0,K431=""),"",IF(E431="Positivo",MIN(MAX(K431/J431,0),1.0),MIN(MAX(J431/K431,0),1.0))),"") </f>
        <v/>
      </c>
      <c r="M431" s="28">
        <f>IFERROR(IF(OR(J431=0,K431=""),"",IF(E431="Positivo",MAX(K431/J431,0),MAX(J431/K431,0))),"") </f>
        <v/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218-2025-12-31</t>
        </is>
      </c>
    </row>
    <row r="432">
      <c r="A432" s="5" t="n">
        <v>219</v>
      </c>
      <c r="B432" s="5" t="inlineStr">
        <is>
          <t>Disminución del Consumo de Energía Eléctrica per Cápita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144" t="n">
        <v>44742</v>
      </c>
      <c r="G432" s="5" t="n">
        <v>2022</v>
      </c>
      <c r="H432" s="5" t="inlineStr">
        <is>
          <t>Junio</t>
        </is>
      </c>
      <c r="I432" s="6" t="inlineStr">
        <is>
          <t>2022-1</t>
        </is>
      </c>
      <c r="J432" s="5" t="n">
        <v>1</v>
      </c>
      <c r="K432" s="5" t="n">
        <v>16.685183396325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 t="inlineStr">
        <is>
          <t>219-2022-06-30</t>
        </is>
      </c>
    </row>
    <row r="433">
      <c r="A433" s="39" t="n">
        <v>219</v>
      </c>
      <c r="B433" s="5" t="inlineStr">
        <is>
          <t>Disminución del Consumo de Energía Eléctrica per Cápita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144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5" t="n">
        <v>-68.789622683372</v>
      </c>
      <c r="L433" s="120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 t="inlineStr">
        <is>
          <t>219-2022-12-31</t>
        </is>
      </c>
    </row>
    <row r="434">
      <c r="A434" s="39" t="n">
        <v>219</v>
      </c>
      <c r="B434" s="5" t="inlineStr">
        <is>
          <t>Disminución del Consumo de Energía Eléctrica per Cápita</t>
        </is>
      </c>
      <c r="C434" s="5" t="inlineStr">
        <is>
          <t>GESTIÓN AMBIENTAL</t>
        </is>
      </c>
      <c r="D434" s="5" t="inlineStr">
        <is>
          <t>Semestral</t>
        </is>
      </c>
      <c r="E434" s="5" t="inlineStr">
        <is>
          <t>Positivo</t>
        </is>
      </c>
      <c r="F434" s="144" t="n">
        <v>45107</v>
      </c>
      <c r="G434" s="5" t="n">
        <v>2023</v>
      </c>
      <c r="H434" s="5" t="inlineStr">
        <is>
          <t>Junio</t>
        </is>
      </c>
      <c r="I434" s="6" t="inlineStr">
        <is>
          <t>2023-1</t>
        </is>
      </c>
      <c r="J434" s="5" t="n">
        <v>1</v>
      </c>
      <c r="K434" s="5" t="n">
        <v>21.14703682627429</v>
      </c>
      <c r="L434" s="120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n"/>
      <c r="O434" s="5" t="n"/>
      <c r="P434" s="5" t="n">
        <v>0</v>
      </c>
      <c r="Q434" s="5" t="n">
        <v>0</v>
      </c>
      <c r="R434" s="5" t="inlineStr">
        <is>
          <t>219-2023-06-30</t>
        </is>
      </c>
    </row>
    <row r="435">
      <c r="A435" s="5" t="n">
        <v>219</v>
      </c>
      <c r="B435" s="5" t="inlineStr">
        <is>
          <t>Disminución del Consumo de Energía Eléctrica per Cápita</t>
        </is>
      </c>
      <c r="C435" s="5" t="inlineStr">
        <is>
          <t>GESTIÓN AMBIENTAL</t>
        </is>
      </c>
      <c r="D435" s="5" t="inlineStr">
        <is>
          <t>Semestral</t>
        </is>
      </c>
      <c r="E435" s="5" t="inlineStr">
        <is>
          <t>Positivo</t>
        </is>
      </c>
      <c r="F435" s="144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</v>
      </c>
      <c r="K435" s="5" t="n">
        <v>-5.89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n"/>
      <c r="O435" s="5" t="n"/>
      <c r="P435" s="5" t="n">
        <v>0</v>
      </c>
      <c r="Q435" s="5" t="n">
        <v>0</v>
      </c>
      <c r="R435" s="5" t="inlineStr">
        <is>
          <t>219-2023-12-31</t>
        </is>
      </c>
    </row>
    <row r="436">
      <c r="A436" s="5" t="n">
        <v>219</v>
      </c>
      <c r="B436" s="5" t="inlineStr">
        <is>
          <t>Disminución del Consumo de Energía Eléctrica per Cápita</t>
        </is>
      </c>
      <c r="C436" s="5" t="inlineStr">
        <is>
          <t>GESTIÓN AMBIENTAL</t>
        </is>
      </c>
      <c r="D436" s="5" t="inlineStr">
        <is>
          <t>Semestral</t>
        </is>
      </c>
      <c r="E436" s="5" t="inlineStr">
        <is>
          <t>Positivo</t>
        </is>
      </c>
      <c r="F436" s="144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</v>
      </c>
      <c r="K436" s="5" t="n">
        <v>11.94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n"/>
      <c r="O436" s="5" t="n"/>
      <c r="P436" s="5" t="n">
        <v>0</v>
      </c>
      <c r="Q436" s="5" t="n">
        <v>0</v>
      </c>
      <c r="R436" s="5" t="inlineStr">
        <is>
          <t>219-2024-06-30</t>
        </is>
      </c>
    </row>
    <row r="437">
      <c r="A437" s="43" t="n">
        <v>219</v>
      </c>
      <c r="B437" s="5" t="inlineStr">
        <is>
          <t>Disminución del Consumo de Energía Eléctrica per Cápita</t>
        </is>
      </c>
      <c r="C437" s="5" t="inlineStr">
        <is>
          <t>GESTIÓN AMBIENTAL</t>
        </is>
      </c>
      <c r="D437" s="5" t="inlineStr">
        <is>
          <t>Semestral</t>
        </is>
      </c>
      <c r="E437" s="5" t="inlineStr">
        <is>
          <t>Positivo</t>
        </is>
      </c>
      <c r="F437" s="144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</v>
      </c>
      <c r="K437" s="5" t="n">
        <v>-12.53</v>
      </c>
      <c r="L437" s="120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n"/>
      <c r="O437" s="5" t="n"/>
      <c r="P437" s="5" t="n">
        <v>0</v>
      </c>
      <c r="Q437" s="5" t="n">
        <v>0</v>
      </c>
      <c r="R437" s="5" t="inlineStr">
        <is>
          <t>219-2024-12-31</t>
        </is>
      </c>
    </row>
    <row r="438">
      <c r="A438" s="39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144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</v>
      </c>
      <c r="K438" s="5" t="n">
        <v>18.43</v>
      </c>
      <c r="L438" s="120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219-2025-06-30</t>
        </is>
      </c>
    </row>
    <row r="439">
      <c r="A439" s="5" t="n">
        <v>219</v>
      </c>
      <c r="B439" s="5" t="inlineStr">
        <is>
          <t>Disminución del Consumo de Energía Eléctrica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144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</v>
      </c>
      <c r="K439" s="5" t="n">
        <v>-18.28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219-2025-12-31</t>
        </is>
      </c>
    </row>
    <row r="440">
      <c r="A440" s="5" t="n">
        <v>220</v>
      </c>
      <c r="B440" s="5" t="inlineStr">
        <is>
          <t>Disminución del Consumo de Agua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144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-88.60356590106301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220-2022-06-30</t>
        </is>
      </c>
    </row>
    <row r="441">
      <c r="A441" s="43" t="n">
        <v>220</v>
      </c>
      <c r="B441" s="5" t="inlineStr">
        <is>
          <t>Disminución del Consumo de Agua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44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-85.889409840455</v>
      </c>
      <c r="L441" s="120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220-2022-12-31</t>
        </is>
      </c>
    </row>
    <row r="442">
      <c r="A442" s="39" t="n">
        <v>220</v>
      </c>
      <c r="B442" s="5" t="inlineStr">
        <is>
          <t>Disminución del Consumo de Agua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44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40.67840779343521</v>
      </c>
      <c r="L442" s="120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n"/>
      <c r="O442" s="5" t="n"/>
      <c r="P442" s="5" t="n">
        <v>0</v>
      </c>
      <c r="Q442" s="5" t="n">
        <v>0</v>
      </c>
      <c r="R442" s="5" t="inlineStr">
        <is>
          <t>220-2023-06-30</t>
        </is>
      </c>
    </row>
    <row r="443">
      <c r="A443" s="5" t="n">
        <v>220</v>
      </c>
      <c r="B443" s="5" t="inlineStr">
        <is>
          <t>Disminución del Consumo de Agua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44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-38.58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220-2023-12-31</t>
        </is>
      </c>
    </row>
    <row r="444">
      <c r="A444" s="5" t="n">
        <v>220</v>
      </c>
      <c r="B444" s="5" t="inlineStr">
        <is>
          <t>Disminución del Consumo de Agua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44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3.58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n"/>
      <c r="O444" s="5" t="n"/>
      <c r="P444" s="5" t="n">
        <v>0</v>
      </c>
      <c r="Q444" s="5" t="n">
        <v>0</v>
      </c>
      <c r="R444" s="5" t="inlineStr">
        <is>
          <t>220-2024-06-30</t>
        </is>
      </c>
    </row>
    <row r="445">
      <c r="A445" s="43" t="n">
        <v>220</v>
      </c>
      <c r="B445" s="5" t="inlineStr">
        <is>
          <t>Disminución del Consumo de Agua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44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5" t="n">
        <v>13.05</v>
      </c>
      <c r="L445" s="120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n"/>
      <c r="O445" s="5" t="n"/>
      <c r="P445" s="5" t="n">
        <v>0</v>
      </c>
      <c r="Q445" s="5" t="n">
        <v>0</v>
      </c>
      <c r="R445" s="5" t="inlineStr">
        <is>
          <t>220-2024-12-31</t>
        </is>
      </c>
    </row>
    <row r="446">
      <c r="A446" s="39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44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33.98</v>
      </c>
      <c r="L446" s="120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220-2025-06-30</t>
        </is>
      </c>
    </row>
    <row r="447">
      <c r="A447" s="5" t="n">
        <v>220</v>
      </c>
      <c r="B447" s="5" t="inlineStr">
        <is>
          <t>Disminución del Consumo de Agua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44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-10.18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220-2025-12-31</t>
        </is>
      </c>
    </row>
    <row r="448">
      <c r="A448" s="5" t="n">
        <v>221</v>
      </c>
      <c r="B448" s="5" t="inlineStr">
        <is>
          <t>Riesgo de la Calidad del Agua Potable</t>
        </is>
      </c>
      <c r="C448" s="5" t="inlineStr">
        <is>
          <t>GESTIÓN AMBIENTAL</t>
        </is>
      </c>
      <c r="D448" s="5" t="inlineStr">
        <is>
          <t>Anual</t>
        </is>
      </c>
      <c r="E448" s="5" t="inlineStr">
        <is>
          <t>Positivo</t>
        </is>
      </c>
      <c r="F448" s="144" t="n">
        <v>44926</v>
      </c>
      <c r="G448" s="5" t="n">
        <v>2022</v>
      </c>
      <c r="H448" s="5" t="inlineStr">
        <is>
          <t>Diciembre</t>
        </is>
      </c>
      <c r="I448" s="6" t="inlineStr">
        <is>
          <t>2022-2</t>
        </is>
      </c>
      <c r="J448" s="5" t="n">
        <v>100</v>
      </c>
      <c r="K448" s="5" t="n">
        <v>0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221-2022-12-31</t>
        </is>
      </c>
    </row>
    <row r="449">
      <c r="A449" s="39" t="n">
        <v>221</v>
      </c>
      <c r="B449" s="5" t="inlineStr">
        <is>
          <t>Riesgo de la Calidad del Agua Potable</t>
        </is>
      </c>
      <c r="C449" s="5" t="inlineStr">
        <is>
          <t>GESTIÓN AMBIENTAL</t>
        </is>
      </c>
      <c r="D449" s="5" t="inlineStr">
        <is>
          <t>Anual</t>
        </is>
      </c>
      <c r="E449" s="5" t="inlineStr">
        <is>
          <t>Positivo</t>
        </is>
      </c>
      <c r="F449" s="144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100</v>
      </c>
      <c r="K449" s="5" t="n">
        <v>100</v>
      </c>
      <c r="L449" s="120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n"/>
      <c r="O449" s="5" t="n"/>
      <c r="P449" s="5" t="n">
        <v>0</v>
      </c>
      <c r="Q449" s="5" t="n">
        <v>0</v>
      </c>
      <c r="R449" s="5" t="inlineStr">
        <is>
          <t>221-2023-12-31</t>
        </is>
      </c>
    </row>
    <row r="450">
      <c r="A450" s="43" t="n">
        <v>221</v>
      </c>
      <c r="B450" s="5" t="inlineStr">
        <is>
          <t>Riesgo de la Calidad del Agua Potable</t>
        </is>
      </c>
      <c r="C450" s="5" t="inlineStr">
        <is>
          <t>GESTIÓN AMBIENTAL</t>
        </is>
      </c>
      <c r="D450" s="5" t="inlineStr">
        <is>
          <t>Anual</t>
        </is>
      </c>
      <c r="E450" s="5" t="inlineStr">
        <is>
          <t>Positivo</t>
        </is>
      </c>
      <c r="F450" s="144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100</v>
      </c>
      <c r="K450" s="5" t="n">
        <v>33.33</v>
      </c>
      <c r="L450" s="120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n"/>
      <c r="O450" s="5" t="n"/>
      <c r="P450" s="5" t="n">
        <v>0</v>
      </c>
      <c r="Q450" s="5" t="n">
        <v>0</v>
      </c>
      <c r="R450" s="5" t="inlineStr">
        <is>
          <t>221-2024-12-31</t>
        </is>
      </c>
    </row>
    <row r="451">
      <c r="A451" s="39" t="n">
        <v>221</v>
      </c>
      <c r="B451" s="5" t="inlineStr">
        <is>
          <t>Riesgo de la Calidad del Agua Potable</t>
        </is>
      </c>
      <c r="C451" s="5" t="inlineStr">
        <is>
          <t>GESTIÓN AMBIENTAL</t>
        </is>
      </c>
      <c r="D451" s="5" t="inlineStr">
        <is>
          <t>Anual</t>
        </is>
      </c>
      <c r="E451" s="5" t="inlineStr">
        <is>
          <t>Positivo</t>
        </is>
      </c>
      <c r="F451" s="144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100</v>
      </c>
      <c r="K451" s="5" t="n">
        <v>27.5</v>
      </c>
      <c r="L451" s="120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221-2025-12-31</t>
        </is>
      </c>
    </row>
    <row r="452">
      <c r="A452" s="5" t="n">
        <v>222</v>
      </c>
      <c r="B452" s="5" t="inlineStr">
        <is>
          <t>Calidad de las Aguas Residuales Domesticas</t>
        </is>
      </c>
      <c r="C452" s="5" t="inlineStr">
        <is>
          <t>GESTIÓN AMBIENTAL</t>
        </is>
      </c>
      <c r="D452" s="5" t="inlineStr">
        <is>
          <t>Anual</t>
        </is>
      </c>
      <c r="E452" s="5" t="inlineStr">
        <is>
          <t>Positivo</t>
        </is>
      </c>
      <c r="F452" s="144" t="n">
        <v>44926</v>
      </c>
      <c r="G452" s="5" t="n">
        <v>2022</v>
      </c>
      <c r="H452" s="5" t="inlineStr">
        <is>
          <t>Diciembre</t>
        </is>
      </c>
      <c r="I452" s="6" t="inlineStr">
        <is>
          <t>2022-2</t>
        </is>
      </c>
      <c r="J452" s="5" t="n">
        <v>90</v>
      </c>
      <c r="K452" s="5" t="n">
        <v>93.75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n"/>
      <c r="O452" s="5" t="n"/>
      <c r="P452" s="5" t="n">
        <v>0</v>
      </c>
      <c r="Q452" s="5" t="n">
        <v>0</v>
      </c>
      <c r="R452" s="5" t="inlineStr">
        <is>
          <t>222-2022-12-31</t>
        </is>
      </c>
    </row>
    <row r="453">
      <c r="A453" s="5" t="n">
        <v>222</v>
      </c>
      <c r="B453" s="5" t="inlineStr">
        <is>
          <t>Calidad de las Aguas Residuales Domesticas</t>
        </is>
      </c>
      <c r="C453" s="5" t="inlineStr">
        <is>
          <t>GESTIÓN AMBIENTAL</t>
        </is>
      </c>
      <c r="D453" s="5" t="inlineStr">
        <is>
          <t>Anual</t>
        </is>
      </c>
      <c r="E453" s="5" t="inlineStr">
        <is>
          <t>Positivo</t>
        </is>
      </c>
      <c r="F453" s="144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90</v>
      </c>
      <c r="K453" s="5" t="n">
        <v>68.75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n"/>
      <c r="O453" s="5" t="n"/>
      <c r="P453" s="5" t="n">
        <v>0</v>
      </c>
      <c r="Q453" s="5" t="n">
        <v>0</v>
      </c>
      <c r="R453" s="5" t="inlineStr">
        <is>
          <t>222-2023-12-31</t>
        </is>
      </c>
    </row>
    <row r="454">
      <c r="A454" s="43" t="n">
        <v>222</v>
      </c>
      <c r="B454" s="5" t="inlineStr">
        <is>
          <t>Calidad de las Aguas Residuales Domesticas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144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90</v>
      </c>
      <c r="K454" s="5" t="n">
        <v>68.75</v>
      </c>
      <c r="L454" s="120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n"/>
      <c r="O454" s="5" t="n"/>
      <c r="P454" s="5" t="n">
        <v>0</v>
      </c>
      <c r="Q454" s="5" t="n">
        <v>0</v>
      </c>
      <c r="R454" s="5" t="inlineStr">
        <is>
          <t>222-2024-12-31</t>
        </is>
      </c>
    </row>
    <row r="455">
      <c r="A455" s="39" t="n">
        <v>222</v>
      </c>
      <c r="B455" s="5" t="inlineStr">
        <is>
          <t>Calidad de las Aguas Residuales Domesticas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144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90</v>
      </c>
      <c r="K455" s="5" t="n">
        <v>68.75</v>
      </c>
      <c r="L455" s="120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222-2025-12-31</t>
        </is>
      </c>
    </row>
    <row r="456">
      <c r="A456" s="5" t="n">
        <v>223</v>
      </c>
      <c r="B456" s="5" t="inlineStr">
        <is>
          <t>Registro de Publicidad Exterior Visual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44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223-2022-12-31</t>
        </is>
      </c>
    </row>
    <row r="457">
      <c r="A457" s="5" t="n">
        <v>223</v>
      </c>
      <c r="B457" s="5" t="inlineStr">
        <is>
          <t>Registro de Publicidad Exterior Visual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44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5" t="n">
        <v>100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n"/>
      <c r="O457" s="5" t="n"/>
      <c r="P457" s="5" t="n">
        <v>0</v>
      </c>
      <c r="Q457" s="5" t="n">
        <v>0</v>
      </c>
      <c r="R457" s="5" t="inlineStr">
        <is>
          <t>223-2023-12-31</t>
        </is>
      </c>
    </row>
    <row r="458">
      <c r="A458" s="43" t="n">
        <v>223</v>
      </c>
      <c r="B458" s="5" t="inlineStr">
        <is>
          <t>Registro de Publicidad Exterior Visual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44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100</v>
      </c>
      <c r="K458" s="5" t="n">
        <v>94.12</v>
      </c>
      <c r="L458" s="120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n"/>
      <c r="O458" s="5" t="n"/>
      <c r="P458" s="5" t="n">
        <v>0</v>
      </c>
      <c r="Q458" s="5" t="n">
        <v>0</v>
      </c>
      <c r="R458" s="5" t="inlineStr">
        <is>
          <t>223-2024-12-31</t>
        </is>
      </c>
    </row>
    <row r="459">
      <c r="A459" s="39" t="n">
        <v>223</v>
      </c>
      <c r="B459" s="5" t="inlineStr">
        <is>
          <t>Registro de Publicidad Exterior Visual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44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91.67</v>
      </c>
      <c r="L459" s="120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223-2025-12-31</t>
        </is>
      </c>
    </row>
    <row r="460">
      <c r="A460" s="5" t="n">
        <v>224</v>
      </c>
      <c r="B460" s="5" t="inlineStr">
        <is>
          <t>Cumplimiento Nivel de Emisión de Ruido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44" t="n">
        <v>44926</v>
      </c>
      <c r="G460" s="5" t="n">
        <v>2022</v>
      </c>
      <c r="H460" s="5" t="inlineStr">
        <is>
          <t>Diciembre</t>
        </is>
      </c>
      <c r="I460" s="6" t="inlineStr">
        <is>
          <t>2022-2</t>
        </is>
      </c>
      <c r="J460" s="5" t="n">
        <v>100</v>
      </c>
      <c r="K460" s="5" t="n">
        <v>71.42857142857143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224-2022-12-31</t>
        </is>
      </c>
    </row>
    <row r="461">
      <c r="A461" s="5" t="n">
        <v>224</v>
      </c>
      <c r="B461" s="5" t="inlineStr">
        <is>
          <t>Cumplimiento Nivel de Emisión de Ruido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44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100</v>
      </c>
      <c r="K461" s="5" t="n">
        <v>40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n"/>
      <c r="O461" s="5" t="n"/>
      <c r="P461" s="5" t="n">
        <v>0</v>
      </c>
      <c r="Q461" s="5" t="n">
        <v>0</v>
      </c>
      <c r="R461" s="5" t="inlineStr">
        <is>
          <t>224-2023-12-31</t>
        </is>
      </c>
    </row>
    <row r="462">
      <c r="A462" s="43" t="n">
        <v>224</v>
      </c>
      <c r="B462" s="5" t="inlineStr">
        <is>
          <t>Cumplimiento Nivel de Emisión de Ruido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44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100</v>
      </c>
      <c r="K462" s="5" t="n">
        <v>100</v>
      </c>
      <c r="L462" s="120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n"/>
      <c r="O462" s="5" t="n"/>
      <c r="P462" s="5" t="n">
        <v>0</v>
      </c>
      <c r="Q462" s="5" t="n">
        <v>0</v>
      </c>
      <c r="R462" s="5" t="inlineStr">
        <is>
          <t>224-2024-12-31</t>
        </is>
      </c>
    </row>
    <row r="463">
      <c r="A463" s="39" t="n">
        <v>224</v>
      </c>
      <c r="B463" s="5" t="inlineStr">
        <is>
          <t>Cumplimiento Nivel de Emisión de Ruido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44" t="n">
        <v>46022</v>
      </c>
      <c r="G463" s="5" t="n">
        <v>2025</v>
      </c>
      <c r="H463" s="5" t="inlineStr">
        <is>
          <t>Diciembre</t>
        </is>
      </c>
      <c r="I463" s="6" t="inlineStr">
        <is>
          <t>2025-2</t>
        </is>
      </c>
      <c r="J463" s="5" t="n">
        <v>100</v>
      </c>
      <c r="K463" s="5" t="n">
        <v>100</v>
      </c>
      <c r="L463" s="120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224-2025-12-31</t>
        </is>
      </c>
    </row>
    <row r="464">
      <c r="A464" s="5" t="n">
        <v>225</v>
      </c>
      <c r="B464" s="5" t="inlineStr">
        <is>
          <t>Acciones para el Cuidado y Mantenimiento de las Especies de Flora y el Suelo de las Áreas Naturales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Positivo</t>
        </is>
      </c>
      <c r="F464" s="144" t="n">
        <v>44742</v>
      </c>
      <c r="G464" s="5" t="n">
        <v>2022</v>
      </c>
      <c r="H464" s="5" t="inlineStr">
        <is>
          <t>Junio</t>
        </is>
      </c>
      <c r="I464" s="6" t="inlineStr">
        <is>
          <t>2022-1</t>
        </is>
      </c>
      <c r="J464" s="5" t="n">
        <v>1</v>
      </c>
      <c r="K464" s="5" t="n">
        <v>0</v>
      </c>
      <c r="L464" s="28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225-2022-06-30</t>
        </is>
      </c>
    </row>
    <row r="465">
      <c r="A465" s="5" t="n">
        <v>225</v>
      </c>
      <c r="B465" s="5" t="inlineStr">
        <is>
          <t>Acciones para el Cuidado y Mantenimiento de las Especies de Flora y el Suelo de las Áreas Naturales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Positivo</t>
        </is>
      </c>
      <c r="F465" s="144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5" t="n">
        <v>1</v>
      </c>
      <c r="K465" s="5" t="n">
        <v>0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225-2022-12-31</t>
        </is>
      </c>
    </row>
    <row r="466">
      <c r="A466" s="39" t="n">
        <v>225</v>
      </c>
      <c r="B466" s="5" t="inlineStr">
        <is>
          <t>Acciones para el Cuidado y Mantenimiento de las Especies de Flora y el Suelo de las Áreas Naturales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Positivo</t>
        </is>
      </c>
      <c r="F466" s="144" t="n">
        <v>44957</v>
      </c>
      <c r="G466" s="5" t="n">
        <v>2023</v>
      </c>
      <c r="H466" s="5" t="inlineStr">
        <is>
          <t>Enero</t>
        </is>
      </c>
      <c r="I466" s="6" t="inlineStr">
        <is>
          <t>2023-1</t>
        </is>
      </c>
      <c r="J466" s="5" t="n">
        <v>1</v>
      </c>
      <c r="K466" s="16" t="n">
        <v>21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n"/>
      <c r="O466" s="5" t="n"/>
      <c r="P466" s="5" t="n">
        <v>0</v>
      </c>
      <c r="Q466" s="5" t="n">
        <v>0</v>
      </c>
      <c r="R466" s="5" t="inlineStr">
        <is>
          <t>225-2023-01-31</t>
        </is>
      </c>
    </row>
    <row r="467">
      <c r="A467" s="5" t="n">
        <v>225</v>
      </c>
      <c r="B467" s="5" t="inlineStr">
        <is>
          <t>Acciones para el Cuidado y Mantenimiento de las Especies de Flora y el Suelo de las Áreas Naturales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Positivo</t>
        </is>
      </c>
      <c r="F467" s="144" t="n">
        <v>44985</v>
      </c>
      <c r="G467" s="5" t="n">
        <v>2023</v>
      </c>
      <c r="H467" s="5" t="inlineStr">
        <is>
          <t>Febrero</t>
        </is>
      </c>
      <c r="I467" s="6" t="inlineStr">
        <is>
          <t>2023-1</t>
        </is>
      </c>
      <c r="J467" s="5" t="n">
        <v>1</v>
      </c>
      <c r="K467" s="5" t="n">
        <v>21</v>
      </c>
      <c r="L467" s="28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n"/>
      <c r="O467" s="5" t="n"/>
      <c r="P467" s="5" t="n">
        <v>0</v>
      </c>
      <c r="Q467" s="5" t="n">
        <v>0</v>
      </c>
      <c r="R467" s="5" t="inlineStr">
        <is>
          <t>225-2023-02-28</t>
        </is>
      </c>
    </row>
    <row r="468">
      <c r="A468" s="43" t="n">
        <v>225</v>
      </c>
      <c r="B468" s="5" t="inlineStr">
        <is>
          <t>Acciones para el Cuidado y Mantenimiento de las Especies de Flora y el Suelo de las Áreas Naturales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Positivo</t>
        </is>
      </c>
      <c r="F468" s="144" t="n">
        <v>45016</v>
      </c>
      <c r="G468" s="5" t="n">
        <v>2023</v>
      </c>
      <c r="H468" s="5" t="inlineStr">
        <is>
          <t>Marzo</t>
        </is>
      </c>
      <c r="I468" s="6" t="inlineStr">
        <is>
          <t>2023-1</t>
        </is>
      </c>
      <c r="J468" s="5" t="n">
        <v>1</v>
      </c>
      <c r="K468" s="5" t="n">
        <v>21</v>
      </c>
      <c r="L468" s="120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n"/>
      <c r="O468" s="5" t="n"/>
      <c r="P468" s="5" t="n">
        <v>0</v>
      </c>
      <c r="Q468" s="5" t="n">
        <v>0</v>
      </c>
      <c r="R468" s="5" t="inlineStr">
        <is>
          <t>225-2023-03-31</t>
        </is>
      </c>
    </row>
    <row r="469">
      <c r="A469" s="39" t="n">
        <v>225</v>
      </c>
      <c r="B469" s="5" t="inlineStr">
        <is>
          <t>Acciones para el Cuidado y Mantenimiento de las Especies de Flora y el Suelo de las Áreas Naturales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Positivo</t>
        </is>
      </c>
      <c r="F469" s="144" t="n">
        <v>45046</v>
      </c>
      <c r="G469" s="5" t="n">
        <v>2023</v>
      </c>
      <c r="H469" s="5" t="inlineStr">
        <is>
          <t>Abril</t>
        </is>
      </c>
      <c r="I469" s="6" t="inlineStr">
        <is>
          <t>2023-1</t>
        </is>
      </c>
      <c r="J469" s="5" t="n">
        <v>1</v>
      </c>
      <c r="K469" s="5" t="n">
        <v>21</v>
      </c>
      <c r="L469" s="120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n"/>
      <c r="O469" s="5" t="n"/>
      <c r="P469" s="5" t="n">
        <v>0</v>
      </c>
      <c r="Q469" s="5" t="n">
        <v>0</v>
      </c>
      <c r="R469" s="5" t="inlineStr">
        <is>
          <t>225-2023-04-30</t>
        </is>
      </c>
    </row>
    <row r="470">
      <c r="A470" s="5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144" t="n">
        <v>45077</v>
      </c>
      <c r="G470" s="5" t="n">
        <v>2023</v>
      </c>
      <c r="H470" s="5" t="inlineStr">
        <is>
          <t>Mayo</t>
        </is>
      </c>
      <c r="I470" s="6" t="inlineStr">
        <is>
          <t>2023-1</t>
        </is>
      </c>
      <c r="J470" s="5" t="n">
        <v>1</v>
      </c>
      <c r="K470" s="5" t="n">
        <v>21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n"/>
      <c r="O470" s="5" t="n"/>
      <c r="P470" s="5" t="n">
        <v>0</v>
      </c>
      <c r="Q470" s="5" t="n">
        <v>0</v>
      </c>
      <c r="R470" s="5" t="inlineStr">
        <is>
          <t>225-2023-05-31</t>
        </is>
      </c>
    </row>
    <row r="471">
      <c r="A471" s="5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144" t="n">
        <v>45107</v>
      </c>
      <c r="G471" s="5" t="n">
        <v>2023</v>
      </c>
      <c r="H471" s="5" t="inlineStr">
        <is>
          <t>Junio</t>
        </is>
      </c>
      <c r="I471" s="6" t="inlineStr">
        <is>
          <t>2023-1</t>
        </is>
      </c>
      <c r="J471" s="5" t="n">
        <v>1</v>
      </c>
      <c r="K471" s="5" t="n">
        <v>21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n"/>
      <c r="O471" s="5" t="n"/>
      <c r="P471" s="5" t="n">
        <v>0</v>
      </c>
      <c r="Q471" s="5" t="n">
        <v>0</v>
      </c>
      <c r="R471" s="5" t="inlineStr">
        <is>
          <t>225-2023-06-30</t>
        </is>
      </c>
    </row>
    <row r="472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43" t="n">
        <v>45138</v>
      </c>
      <c r="G472" s="16" t="n">
        <v>2023</v>
      </c>
      <c r="H472" s="6" t="inlineStr">
        <is>
          <t>Julio</t>
        </is>
      </c>
      <c r="I472" s="41" t="inlineStr">
        <is>
          <t>2023-2</t>
        </is>
      </c>
      <c r="J472" s="5" t="n">
        <v>1</v>
      </c>
      <c r="K472" s="3" t="n">
        <v>19.83333333333333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n"/>
      <c r="O472" s="5" t="n"/>
      <c r="P472" s="5" t="n">
        <v>0</v>
      </c>
      <c r="Q472" s="5" t="n">
        <v>0</v>
      </c>
      <c r="R472" s="5" t="inlineStr">
        <is>
          <t>225-2023-07-31</t>
        </is>
      </c>
    </row>
    <row r="473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44" t="n">
        <v>45169</v>
      </c>
      <c r="G473" s="5" t="n">
        <v>2023</v>
      </c>
      <c r="H473" s="5" t="inlineStr">
        <is>
          <t>Agosto</t>
        </is>
      </c>
      <c r="I473" s="6" t="inlineStr">
        <is>
          <t>2023-2</t>
        </is>
      </c>
      <c r="J473" s="5" t="n">
        <v>1</v>
      </c>
      <c r="K473" s="3" t="n">
        <v>19.83333333333333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n"/>
      <c r="O473" s="5" t="n"/>
      <c r="P473" s="5" t="n">
        <v>0</v>
      </c>
      <c r="Q473" s="5" t="n">
        <v>0</v>
      </c>
      <c r="R473" s="5" t="inlineStr">
        <is>
          <t>225-2023-08-31</t>
        </is>
      </c>
    </row>
    <row r="474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44" t="n">
        <v>45199</v>
      </c>
      <c r="G474" s="5" t="n">
        <v>2023</v>
      </c>
      <c r="H474" s="5" t="inlineStr">
        <is>
          <t>Septiembre</t>
        </is>
      </c>
      <c r="I474" s="6" t="inlineStr">
        <is>
          <t>2023-2</t>
        </is>
      </c>
      <c r="J474" s="18" t="n">
        <v>1</v>
      </c>
      <c r="K474" s="104" t="n">
        <v>19.83333333333333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n"/>
      <c r="O474" s="5" t="n"/>
      <c r="P474" s="5" t="n">
        <v>0</v>
      </c>
      <c r="Q474" s="5" t="n">
        <v>0</v>
      </c>
      <c r="R474" s="5" t="inlineStr">
        <is>
          <t>225-2023-09-30</t>
        </is>
      </c>
    </row>
    <row r="475">
      <c r="A475" s="5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44" t="n">
        <v>45230</v>
      </c>
      <c r="G475" s="5" t="n">
        <v>2023</v>
      </c>
      <c r="H475" s="5" t="inlineStr">
        <is>
          <t>Octubre</t>
        </is>
      </c>
      <c r="I475" s="6" t="inlineStr">
        <is>
          <t>2023-2</t>
        </is>
      </c>
      <c r="J475" s="5" t="n">
        <v>1</v>
      </c>
      <c r="K475" s="3" t="n">
        <v>19.83333333333333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n"/>
      <c r="O475" s="5" t="n"/>
      <c r="P475" s="5" t="n">
        <v>0</v>
      </c>
      <c r="Q475" s="5" t="n">
        <v>0</v>
      </c>
      <c r="R475" s="5" t="inlineStr">
        <is>
          <t>225-2023-10-31</t>
        </is>
      </c>
    </row>
    <row r="476">
      <c r="A476" s="39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44" t="n">
        <v>45260</v>
      </c>
      <c r="G476" s="5" t="n">
        <v>2023</v>
      </c>
      <c r="H476" s="5" t="inlineStr">
        <is>
          <t>Noviembre</t>
        </is>
      </c>
      <c r="I476" s="6" t="inlineStr">
        <is>
          <t>2023-2</t>
        </is>
      </c>
      <c r="J476" s="5" t="n">
        <v>1</v>
      </c>
      <c r="K476" s="5" t="n">
        <v>19.83333333333333</v>
      </c>
      <c r="L476" s="120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225-2023-11-30</t>
        </is>
      </c>
    </row>
    <row r="477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44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1</v>
      </c>
      <c r="K477" s="5" t="n">
        <v>19.83333333333333</v>
      </c>
      <c r="L477" s="28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225-2023-12-31</t>
        </is>
      </c>
    </row>
    <row r="478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44" t="n">
        <v>45473</v>
      </c>
      <c r="G478" s="5" t="n">
        <v>2024</v>
      </c>
      <c r="H478" s="5" t="inlineStr">
        <is>
          <t>Junio</t>
        </is>
      </c>
      <c r="I478" s="6" t="inlineStr">
        <is>
          <t>2024-1</t>
        </is>
      </c>
      <c r="J478" s="5" t="n">
        <v>1</v>
      </c>
      <c r="K478" s="5" t="n">
        <v>20.5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n"/>
      <c r="O478" s="5" t="n"/>
      <c r="P478" s="5" t="n">
        <v>0</v>
      </c>
      <c r="Q478" s="5" t="n">
        <v>0</v>
      </c>
      <c r="R478" s="5" t="inlineStr">
        <is>
          <t>225-2024-06-30</t>
        </is>
      </c>
    </row>
    <row r="479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43" t="n">
        <v>45657</v>
      </c>
      <c r="G479" s="16" t="n">
        <v>2024</v>
      </c>
      <c r="H479" s="6" t="inlineStr">
        <is>
          <t>Diciembre</t>
        </is>
      </c>
      <c r="I479" s="41" t="inlineStr">
        <is>
          <t>2024-2</t>
        </is>
      </c>
      <c r="J479" s="5" t="n">
        <v>1</v>
      </c>
      <c r="K479" s="5" t="n">
        <v>20.5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n"/>
      <c r="O479" s="5" t="n"/>
      <c r="P479" s="5" t="n">
        <v>0</v>
      </c>
      <c r="Q479" s="5" t="n">
        <v>0</v>
      </c>
      <c r="R479" s="5" t="inlineStr">
        <is>
          <t>225-2024-12-31</t>
        </is>
      </c>
    </row>
    <row r="480">
      <c r="A480" s="39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44" t="n">
        <v>45838</v>
      </c>
      <c r="G480" s="5" t="n">
        <v>2025</v>
      </c>
      <c r="H480" s="5" t="inlineStr">
        <is>
          <t>Junio</t>
        </is>
      </c>
      <c r="I480" s="6" t="inlineStr">
        <is>
          <t>2025-1</t>
        </is>
      </c>
      <c r="J480" s="5" t="n">
        <v>1</v>
      </c>
      <c r="K480" s="5" t="n">
        <v>23.83333333333333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225-2025-06-30</t>
        </is>
      </c>
    </row>
    <row r="48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43" t="n">
        <v>46022</v>
      </c>
      <c r="G481" s="16" t="n">
        <v>2025</v>
      </c>
      <c r="H481" s="6" t="inlineStr">
        <is>
          <t>Diciembre</t>
        </is>
      </c>
      <c r="I481" s="6" t="inlineStr">
        <is>
          <t>2025-2</t>
        </is>
      </c>
      <c r="J481" s="5" t="n">
        <v>1</v>
      </c>
      <c r="K481" s="5" t="n">
        <v>15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225-2025-12-31</t>
        </is>
      </c>
    </row>
    <row r="482">
      <c r="A482" s="5" t="n">
        <v>226</v>
      </c>
      <c r="B482" s="5" t="inlineStr">
        <is>
          <t>Generación de Gases de Efecto Invernadero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144" t="n">
        <v>44926</v>
      </c>
      <c r="G482" s="5" t="n">
        <v>2022</v>
      </c>
      <c r="H482" s="5" t="inlineStr">
        <is>
          <t>Diciembre</t>
        </is>
      </c>
      <c r="I482" s="6" t="inlineStr">
        <is>
          <t>2022-2</t>
        </is>
      </c>
      <c r="J482" s="5" t="n">
        <v>2</v>
      </c>
      <c r="K482" s="5" t="n">
        <v>476.4899959564209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tCO2e</t>
        </is>
      </c>
      <c r="O482" s="5" t="inlineStr">
        <is>
          <t>tCO2e</t>
        </is>
      </c>
      <c r="P482" s="5" t="n">
        <v>0</v>
      </c>
      <c r="Q482" s="5" t="n">
        <v>0</v>
      </c>
      <c r="R482" s="5" t="inlineStr">
        <is>
          <t>226-2022-12-31</t>
        </is>
      </c>
    </row>
    <row r="483">
      <c r="A483" s="43" t="n">
        <v>226</v>
      </c>
      <c r="B483" s="5" t="inlineStr">
        <is>
          <t>Generación de Gases de Efecto Invernadero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144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2</v>
      </c>
      <c r="K483" s="5" t="n">
        <v>622.6900000000001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226-2023-12-31</t>
        </is>
      </c>
    </row>
    <row r="484">
      <c r="A484" s="39" t="n">
        <v>226</v>
      </c>
      <c r="B484" s="5" t="inlineStr">
        <is>
          <t>Generación de Gases de Efecto Invernadero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144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2</v>
      </c>
      <c r="K484" s="5" t="n">
        <v>3531.11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n"/>
      <c r="O484" s="5" t="n"/>
      <c r="P484" s="5" t="n">
        <v>0</v>
      </c>
      <c r="Q484" s="5" t="n">
        <v>0</v>
      </c>
      <c r="R484" s="5" t="inlineStr">
        <is>
          <t>226-2024-12-31</t>
        </is>
      </c>
    </row>
    <row r="485">
      <c r="A485" s="39" t="n">
        <v>226</v>
      </c>
      <c r="B485" s="5" t="inlineStr">
        <is>
          <t>Generación de Gases de Efecto Invernadero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143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2</v>
      </c>
      <c r="K485" s="5" t="n"/>
      <c r="L485" s="8" t="n"/>
      <c r="M485" s="28" t="n"/>
      <c r="N485" s="5" t="inlineStr">
        <is>
          <t>%</t>
        </is>
      </c>
      <c r="O485" s="5" t="inlineStr">
        <is>
          <t>No Aplica</t>
        </is>
      </c>
      <c r="P485" s="5" t="n">
        <v>0</v>
      </c>
      <c r="Q485" s="5" t="n">
        <v>0</v>
      </c>
      <c r="R485" s="5" t="inlineStr">
        <is>
          <t>226-2025-12-31</t>
        </is>
      </c>
      <c r="S485" t="inlineStr">
        <is>
          <t>No Aplica</t>
        </is>
      </c>
    </row>
    <row r="486">
      <c r="A486" s="5" t="n">
        <v>227</v>
      </c>
      <c r="B486" s="5" t="inlineStr">
        <is>
          <t>Generación de  Gases de Efecto Invernadero per Cápita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Negativo</t>
        </is>
      </c>
      <c r="F486" s="144" t="n">
        <v>44926</v>
      </c>
      <c r="G486" s="5" t="n">
        <v>2022</v>
      </c>
      <c r="H486" s="5" t="inlineStr">
        <is>
          <t>Diciembre</t>
        </is>
      </c>
      <c r="I486" s="6" t="inlineStr">
        <is>
          <t>2022-2</t>
        </is>
      </c>
      <c r="J486" s="5" t="n">
        <v>0.3</v>
      </c>
      <c r="K486" s="5" t="n">
        <v>0.01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227-2022-12-31</t>
        </is>
      </c>
    </row>
    <row r="487">
      <c r="A487" s="43" t="n">
        <v>227</v>
      </c>
      <c r="B487" s="5" t="inlineStr">
        <is>
          <t>Generación de  Gases de Efecto Invernadero per Cápita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Negativo</t>
        </is>
      </c>
      <c r="F487" s="144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0.3</v>
      </c>
      <c r="K487" s="5" t="n">
        <v>0.01</v>
      </c>
      <c r="L487" s="120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n"/>
      <c r="O487" s="5" t="n"/>
      <c r="P487" s="5" t="n">
        <v>0</v>
      </c>
      <c r="Q487" s="5" t="n">
        <v>0</v>
      </c>
      <c r="R487" s="5" t="inlineStr">
        <is>
          <t>227-2023-12-31</t>
        </is>
      </c>
    </row>
    <row r="488">
      <c r="A488" s="39" t="n">
        <v>227</v>
      </c>
      <c r="B488" s="5" t="inlineStr">
        <is>
          <t>Generación de  Gases de Efecto Invernadero per Cápita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Negativo</t>
        </is>
      </c>
      <c r="F488" s="144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0.3</v>
      </c>
      <c r="K488" s="5" t="n">
        <v>3531.11</v>
      </c>
      <c r="L488" s="120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n"/>
      <c r="O488" s="5" t="n"/>
      <c r="P488" s="5" t="n">
        <v>0</v>
      </c>
      <c r="Q488" s="5" t="n">
        <v>0</v>
      </c>
      <c r="R488" s="5" t="inlineStr">
        <is>
          <t>227-2024-12-31</t>
        </is>
      </c>
    </row>
    <row r="489">
      <c r="A489" s="5" t="n">
        <v>228</v>
      </c>
      <c r="B489" s="5" t="inlineStr">
        <is>
          <t>Compensación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144" t="n">
        <v>44926</v>
      </c>
      <c r="G489" s="5" t="n">
        <v>2022</v>
      </c>
      <c r="H489" s="5" t="inlineStr">
        <is>
          <t>Diciembre</t>
        </is>
      </c>
      <c r="I489" s="6" t="inlineStr">
        <is>
          <t>2022-2</t>
        </is>
      </c>
      <c r="J489" s="5" t="n">
        <v>100</v>
      </c>
      <c r="K489" s="5" t="n">
        <v>100.1070326764465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n"/>
      <c r="O489" s="5" t="n"/>
      <c r="P489" s="5" t="n">
        <v>1</v>
      </c>
      <c r="Q489" s="5" t="n">
        <v>1</v>
      </c>
      <c r="R489" s="5" t="inlineStr">
        <is>
          <t>228-2022-12-31</t>
        </is>
      </c>
    </row>
    <row r="490">
      <c r="A490" s="5" t="n">
        <v>228</v>
      </c>
      <c r="B490" s="5" t="inlineStr">
        <is>
          <t>Compensación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44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100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tCO2e</t>
        </is>
      </c>
      <c r="O490" s="5" t="inlineStr">
        <is>
          <t>tCO2e</t>
        </is>
      </c>
      <c r="P490" s="5" t="n">
        <v>1</v>
      </c>
      <c r="Q490" s="5" t="n">
        <v>1</v>
      </c>
      <c r="R490" s="5" t="inlineStr">
        <is>
          <t>228-2023-12-31</t>
        </is>
      </c>
    </row>
    <row r="491">
      <c r="A491" s="43" t="n">
        <v>228</v>
      </c>
      <c r="B491" s="5" t="inlineStr">
        <is>
          <t>Compensación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44" t="n">
        <v>45657</v>
      </c>
      <c r="G491" s="5" t="n">
        <v>2024</v>
      </c>
      <c r="H491" s="5" t="inlineStr">
        <is>
          <t>Diciembre</t>
        </is>
      </c>
      <c r="I491" s="6" t="inlineStr">
        <is>
          <t>2024-2</t>
        </is>
      </c>
      <c r="J491" s="5" t="n">
        <v>100</v>
      </c>
      <c r="K491" s="5" t="n">
        <v>3531.11</v>
      </c>
      <c r="L491" s="120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n"/>
      <c r="O491" s="5" t="n"/>
      <c r="P491" s="5" t="n">
        <v>0</v>
      </c>
      <c r="Q491" s="5" t="n">
        <v>0</v>
      </c>
      <c r="R491" s="5" t="inlineStr">
        <is>
          <t>228-2024-12-31</t>
        </is>
      </c>
    </row>
    <row r="492">
      <c r="A492" s="39" t="n">
        <v>230</v>
      </c>
      <c r="B492" s="5" t="inlineStr">
        <is>
          <t>Ejecución de Eventos de Formación en Materia Ambiental</t>
        </is>
      </c>
      <c r="C492" s="5" t="inlineStr">
        <is>
          <t>GESTIÓN AMBIENTAL</t>
        </is>
      </c>
      <c r="D492" s="5" t="inlineStr">
        <is>
          <t>Semestral</t>
        </is>
      </c>
      <c r="E492" s="5" t="inlineStr">
        <is>
          <t>Positivo</t>
        </is>
      </c>
      <c r="F492" s="144" t="n">
        <v>45107</v>
      </c>
      <c r="G492" s="5" t="n">
        <v>2023</v>
      </c>
      <c r="H492" s="5" t="inlineStr">
        <is>
          <t>Junio</t>
        </is>
      </c>
      <c r="I492" s="6" t="inlineStr">
        <is>
          <t>2023-1</t>
        </is>
      </c>
      <c r="J492" s="5" t="n">
        <v>90</v>
      </c>
      <c r="K492" s="5" t="n">
        <v>100</v>
      </c>
      <c r="L492" s="120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n"/>
      <c r="O492" s="5" t="n"/>
      <c r="P492" s="5" t="n">
        <v>0</v>
      </c>
      <c r="Q492" s="5" t="n">
        <v>0</v>
      </c>
      <c r="R492" s="5" t="inlineStr">
        <is>
          <t>230-2023-06-30</t>
        </is>
      </c>
    </row>
    <row r="493">
      <c r="A493" s="43" t="n">
        <v>230</v>
      </c>
      <c r="B493" s="5" t="inlineStr">
        <is>
          <t>Ejecución de Eventos de Formación en Materia Ambiental</t>
        </is>
      </c>
      <c r="C493" s="5" t="inlineStr">
        <is>
          <t>GESTIÓN AMBIENTAL</t>
        </is>
      </c>
      <c r="D493" s="5" t="inlineStr">
        <is>
          <t>Semestral</t>
        </is>
      </c>
      <c r="E493" s="5" t="inlineStr">
        <is>
          <t>Positivo</t>
        </is>
      </c>
      <c r="F493" s="14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90</v>
      </c>
      <c r="K493" s="5" t="n">
        <v>100</v>
      </c>
      <c r="L493" s="120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n"/>
      <c r="O493" s="5" t="n"/>
      <c r="P493" s="5" t="n">
        <v>0</v>
      </c>
      <c r="Q493" s="5" t="n">
        <v>0</v>
      </c>
      <c r="R493" s="5" t="inlineStr">
        <is>
          <t>230-2023-12-31</t>
        </is>
      </c>
    </row>
    <row r="494">
      <c r="A494" s="39" t="n">
        <v>230</v>
      </c>
      <c r="B494" s="5" t="inlineStr">
        <is>
          <t>Ejecución de Eventos de Formación en Materia Ambiental</t>
        </is>
      </c>
      <c r="C494" s="5" t="inlineStr">
        <is>
          <t>GESTIÓN AMBIENTAL</t>
        </is>
      </c>
      <c r="D494" s="5" t="inlineStr">
        <is>
          <t>Semestral</t>
        </is>
      </c>
      <c r="E494" s="5" t="inlineStr">
        <is>
          <t>Positivo</t>
        </is>
      </c>
      <c r="F494" s="144" t="n">
        <v>45473</v>
      </c>
      <c r="G494" s="5" t="n">
        <v>2024</v>
      </c>
      <c r="H494" s="5" t="inlineStr">
        <is>
          <t>Junio</t>
        </is>
      </c>
      <c r="I494" s="6" t="inlineStr">
        <is>
          <t>2024-1</t>
        </is>
      </c>
      <c r="J494" s="5" t="n">
        <v>90</v>
      </c>
      <c r="K494" s="5" t="n">
        <v>100</v>
      </c>
      <c r="L494" s="120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n"/>
      <c r="O494" s="5" t="n"/>
      <c r="P494" s="5" t="n">
        <v>0</v>
      </c>
      <c r="Q494" s="5" t="n">
        <v>0</v>
      </c>
      <c r="R494" s="5" t="inlineStr">
        <is>
          <t>230-2024-06-30</t>
        </is>
      </c>
    </row>
    <row r="495">
      <c r="A495" s="43" t="n">
        <v>230</v>
      </c>
      <c r="B495" s="5" t="inlineStr">
        <is>
          <t>Ejecución de Eventos de Formación en Materia Ambiental</t>
        </is>
      </c>
      <c r="C495" s="5" t="inlineStr">
        <is>
          <t>GESTIÓN AMBIENTAL</t>
        </is>
      </c>
      <c r="D495" s="5" t="inlineStr">
        <is>
          <t>Semestral</t>
        </is>
      </c>
      <c r="E495" s="5" t="inlineStr">
        <is>
          <t>Positivo</t>
        </is>
      </c>
      <c r="F495" s="144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90</v>
      </c>
      <c r="K495" s="5" t="n">
        <v>100</v>
      </c>
      <c r="L495" s="120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n"/>
      <c r="O495" s="5" t="n"/>
      <c r="P495" s="5" t="n">
        <v>0</v>
      </c>
      <c r="Q495" s="5" t="n">
        <v>0</v>
      </c>
      <c r="R495" s="5" t="inlineStr">
        <is>
          <t>230-2024-12-31</t>
        </is>
      </c>
    </row>
    <row r="496">
      <c r="A496" s="39" t="n">
        <v>230</v>
      </c>
      <c r="B496" s="5" t="inlineStr">
        <is>
          <t>Ejecución de Eventos de Formación en Materia Ambiental</t>
        </is>
      </c>
      <c r="C496" s="5" t="inlineStr">
        <is>
          <t>GESTIÓN AMBIENTAL</t>
        </is>
      </c>
      <c r="D496" s="5" t="inlineStr">
        <is>
          <t>Trimestral</t>
        </is>
      </c>
      <c r="E496" s="5" t="inlineStr">
        <is>
          <t>Positivo</t>
        </is>
      </c>
      <c r="F496" s="144" t="n">
        <v>45838</v>
      </c>
      <c r="G496" s="5" t="n">
        <v>2025</v>
      </c>
      <c r="H496" s="5" t="inlineStr">
        <is>
          <t>Junio</t>
        </is>
      </c>
      <c r="I496" s="6" t="inlineStr">
        <is>
          <t>2025-1</t>
        </is>
      </c>
      <c r="J496" s="5" t="n">
        <v>90</v>
      </c>
      <c r="K496" s="5" t="n">
        <v>96.77</v>
      </c>
      <c r="L496" s="120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230-2025-06-30</t>
        </is>
      </c>
    </row>
    <row r="497">
      <c r="A497" s="43" t="n">
        <v>230</v>
      </c>
      <c r="B497" s="5" t="inlineStr">
        <is>
          <t>Ejecución de Eventos de Formación en Materia Ambiental</t>
        </is>
      </c>
      <c r="C497" s="5" t="inlineStr">
        <is>
          <t>GESTIÓN AMBIENTAL</t>
        </is>
      </c>
      <c r="D497" s="5" t="inlineStr">
        <is>
          <t>Trimestral</t>
        </is>
      </c>
      <c r="E497" s="5" t="inlineStr">
        <is>
          <t>Positivo</t>
        </is>
      </c>
      <c r="F497" s="144" t="n">
        <v>46022</v>
      </c>
      <c r="G497" s="5" t="n">
        <v>2025</v>
      </c>
      <c r="H497" s="5" t="inlineStr">
        <is>
          <t>Diciembre</t>
        </is>
      </c>
      <c r="I497" s="6" t="inlineStr">
        <is>
          <t>2025-2</t>
        </is>
      </c>
      <c r="J497" s="11" t="n">
        <v>90</v>
      </c>
      <c r="K497" s="5" t="n">
        <v>96.72</v>
      </c>
      <c r="L497" s="120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11" t="inlineStr">
        <is>
          <t>%</t>
        </is>
      </c>
      <c r="O497" s="11" t="inlineStr">
        <is>
          <t>%</t>
        </is>
      </c>
      <c r="P497" s="5" t="n">
        <v>0</v>
      </c>
      <c r="Q497" s="5" t="n">
        <v>0</v>
      </c>
      <c r="R497" s="5" t="inlineStr">
        <is>
          <t>230-2025-12-31</t>
        </is>
      </c>
    </row>
    <row r="498">
      <c r="A498" s="39" t="n">
        <v>231</v>
      </c>
      <c r="B498" s="5" t="inlineStr">
        <is>
          <t>Asistencia Eventos de Formación en Materia Ambiental</t>
        </is>
      </c>
      <c r="C498" s="5" t="inlineStr">
        <is>
          <t>GESTIÓN AMBIENTAL</t>
        </is>
      </c>
      <c r="D498" s="5" t="inlineStr">
        <is>
          <t>Semestral</t>
        </is>
      </c>
      <c r="E498" s="5" t="inlineStr">
        <is>
          <t>Positivo</t>
        </is>
      </c>
      <c r="F498" s="144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11" t="n">
        <v>35</v>
      </c>
      <c r="K498" s="5" t="n">
        <v>40.58</v>
      </c>
      <c r="L498" s="120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11" t="n"/>
      <c r="O498" s="11" t="n"/>
      <c r="P498" s="5" t="n">
        <v>0</v>
      </c>
      <c r="Q498" s="5" t="n">
        <v>0</v>
      </c>
      <c r="R498" s="5" t="inlineStr">
        <is>
          <t>231-2023-06-30</t>
        </is>
      </c>
    </row>
    <row r="499">
      <c r="A499" s="5" t="n">
        <v>231</v>
      </c>
      <c r="B499" s="5" t="inlineStr">
        <is>
          <t>Asistencia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144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35</v>
      </c>
      <c r="K499" s="5" t="n">
        <v>96.44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11" t="n"/>
      <c r="O499" s="11" t="n"/>
      <c r="P499" s="5" t="n">
        <v>0</v>
      </c>
      <c r="Q499" s="5" t="n">
        <v>0</v>
      </c>
      <c r="R499" s="5" t="inlineStr">
        <is>
          <t>231-2023-12-31</t>
        </is>
      </c>
    </row>
    <row r="500">
      <c r="A500" s="5" t="n">
        <v>231</v>
      </c>
      <c r="B500" s="5" t="inlineStr">
        <is>
          <t>Asistencia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44" t="n">
        <v>45473</v>
      </c>
      <c r="G500" s="5" t="n">
        <v>2024</v>
      </c>
      <c r="H500" s="5" t="inlineStr">
        <is>
          <t>Junio</t>
        </is>
      </c>
      <c r="I500" s="6" t="inlineStr">
        <is>
          <t>2024-1</t>
        </is>
      </c>
      <c r="J500" s="5" t="n">
        <v>35</v>
      </c>
      <c r="K500" s="5" t="n">
        <v>96.75</v>
      </c>
      <c r="L500" s="28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11" t="n"/>
      <c r="O500" s="11" t="n"/>
      <c r="P500" s="5" t="n">
        <v>0</v>
      </c>
      <c r="Q500" s="5" t="n">
        <v>0</v>
      </c>
      <c r="R500" s="5" t="inlineStr">
        <is>
          <t>231-2024-06-30</t>
        </is>
      </c>
    </row>
    <row r="501">
      <c r="A501" s="43" t="n">
        <v>231</v>
      </c>
      <c r="B501" s="5" t="inlineStr">
        <is>
          <t>Asistencia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44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35</v>
      </c>
      <c r="K501" s="5" t="n">
        <v>104.19</v>
      </c>
      <c r="L501" s="120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n"/>
      <c r="O501" s="5" t="n"/>
      <c r="P501" s="5" t="n">
        <v>0</v>
      </c>
      <c r="Q501" s="5" t="n">
        <v>0</v>
      </c>
      <c r="R501" s="5" t="inlineStr">
        <is>
          <t>231-2024-12-31</t>
        </is>
      </c>
    </row>
    <row r="502">
      <c r="A502" s="39" t="n">
        <v>231</v>
      </c>
      <c r="B502" s="5" t="inlineStr">
        <is>
          <t>Asistencia Eventos de Formación en Materia Ambiental</t>
        </is>
      </c>
      <c r="C502" s="5" t="inlineStr">
        <is>
          <t>GESTIÓN AMBIENTAL</t>
        </is>
      </c>
      <c r="D502" s="5" t="inlineStr">
        <is>
          <t>Trimestral</t>
        </is>
      </c>
      <c r="E502" s="5" t="inlineStr">
        <is>
          <t>Positivo</t>
        </is>
      </c>
      <c r="F502" s="144" t="n">
        <v>45838</v>
      </c>
      <c r="G502" s="5" t="n">
        <v>2025</v>
      </c>
      <c r="H502" s="5" t="inlineStr">
        <is>
          <t>Junio</t>
        </is>
      </c>
      <c r="I502" s="6" t="inlineStr">
        <is>
          <t>2025-1</t>
        </is>
      </c>
      <c r="J502" s="5" t="n">
        <v>35</v>
      </c>
      <c r="K502" s="5" t="n">
        <v>570.89</v>
      </c>
      <c r="L502" s="120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231-2025-06-30</t>
        </is>
      </c>
    </row>
    <row r="503">
      <c r="A503" s="5" t="n">
        <v>231</v>
      </c>
      <c r="B503" s="5" t="inlineStr">
        <is>
          <t>Asistencia Eventos de Formación en Materia Ambiental</t>
        </is>
      </c>
      <c r="C503" s="5" t="inlineStr">
        <is>
          <t>GESTIÓN AMBIENTAL</t>
        </is>
      </c>
      <c r="D503" s="5" t="inlineStr">
        <is>
          <t>Trimestral</t>
        </is>
      </c>
      <c r="E503" s="5" t="inlineStr">
        <is>
          <t>Positivo</t>
        </is>
      </c>
      <c r="F503" s="144" t="n">
        <v>46022</v>
      </c>
      <c r="G503" s="5" t="n">
        <v>2025</v>
      </c>
      <c r="H503" s="5" t="inlineStr">
        <is>
          <t>Diciembre</t>
        </is>
      </c>
      <c r="I503" s="6" t="inlineStr">
        <is>
          <t>2025-2</t>
        </is>
      </c>
      <c r="J503" s="5" t="n">
        <v>35</v>
      </c>
      <c r="K503" s="5" t="n">
        <v>7277.98</v>
      </c>
      <c r="L503" s="28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231-2025-12-31</t>
        </is>
      </c>
    </row>
    <row r="504">
      <c r="A504" s="5" t="n">
        <v>232</v>
      </c>
      <c r="B504" s="5" t="inlineStr">
        <is>
          <t>Ejecución de las Comunicaciones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44" t="n">
        <v>45107</v>
      </c>
      <c r="G504" s="5" t="n">
        <v>2023</v>
      </c>
      <c r="H504" s="5" t="inlineStr">
        <is>
          <t>Junio</t>
        </is>
      </c>
      <c r="I504" s="6" t="inlineStr">
        <is>
          <t>2023-1</t>
        </is>
      </c>
      <c r="J504" s="5" t="n">
        <v>90</v>
      </c>
      <c r="K504" s="5" t="n">
        <v>100</v>
      </c>
      <c r="L504" s="28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n"/>
      <c r="O504" s="5" t="n"/>
      <c r="P504" s="5" t="n">
        <v>0</v>
      </c>
      <c r="Q504" s="5" t="n">
        <v>0</v>
      </c>
      <c r="R504" s="5" t="inlineStr">
        <is>
          <t>232-2023-06-30</t>
        </is>
      </c>
    </row>
    <row r="505">
      <c r="A505" s="43" t="n">
        <v>232</v>
      </c>
      <c r="B505" s="5" t="inlineStr">
        <is>
          <t>Ejecución de las Comunicaciones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44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90</v>
      </c>
      <c r="K505" s="5" t="n">
        <v>91.3</v>
      </c>
      <c r="L505" s="120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n"/>
      <c r="O505" s="5" t="n"/>
      <c r="P505" s="5" t="n">
        <v>0</v>
      </c>
      <c r="Q505" s="5" t="n">
        <v>0</v>
      </c>
      <c r="R505" s="5" t="inlineStr">
        <is>
          <t>232-2023-12-31</t>
        </is>
      </c>
    </row>
    <row r="506">
      <c r="A506" s="39" t="n">
        <v>232</v>
      </c>
      <c r="B506" s="5" t="inlineStr">
        <is>
          <t>Ejecución de las Comunicaciones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44" t="n">
        <v>45473</v>
      </c>
      <c r="G506" s="5" t="n">
        <v>2024</v>
      </c>
      <c r="H506" s="5" t="inlineStr">
        <is>
          <t>Junio</t>
        </is>
      </c>
      <c r="I506" s="6" t="inlineStr">
        <is>
          <t>2024-1</t>
        </is>
      </c>
      <c r="J506" s="5" t="n">
        <v>90</v>
      </c>
      <c r="K506" s="5" t="n">
        <v>95.45</v>
      </c>
      <c r="L506" s="120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5" t="n"/>
      <c r="O506" s="5" t="n"/>
      <c r="P506" s="5" t="n">
        <v>0</v>
      </c>
      <c r="Q506" s="5" t="n">
        <v>0</v>
      </c>
      <c r="R506" s="5" t="inlineStr">
        <is>
          <t>232-2024-06-30</t>
        </is>
      </c>
    </row>
    <row r="507">
      <c r="A507" s="43" t="n">
        <v>232</v>
      </c>
      <c r="B507" s="5" t="inlineStr">
        <is>
          <t>Ejecución de las Comunicaciones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44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90</v>
      </c>
      <c r="K507" s="5" t="n">
        <v>100</v>
      </c>
      <c r="L507" s="120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5" t="n"/>
      <c r="O507" s="5" t="n"/>
      <c r="P507" s="5" t="n">
        <v>0</v>
      </c>
      <c r="Q507" s="5" t="n">
        <v>0</v>
      </c>
      <c r="R507" s="5" t="inlineStr">
        <is>
          <t>232-2024-12-31</t>
        </is>
      </c>
    </row>
    <row r="508">
      <c r="A508" s="39" t="n">
        <v>232</v>
      </c>
      <c r="B508" s="5" t="inlineStr">
        <is>
          <t>Ejecución de las Comunicaciones en Materia Ambiental</t>
        </is>
      </c>
      <c r="C508" s="5" t="inlineStr">
        <is>
          <t>GESTIÓN AMBIENTAL</t>
        </is>
      </c>
      <c r="D508" s="5" t="inlineStr">
        <is>
          <t>Trimestral</t>
        </is>
      </c>
      <c r="E508" s="5" t="inlineStr">
        <is>
          <t>Positivo</t>
        </is>
      </c>
      <c r="F508" s="144" t="n">
        <v>45838</v>
      </c>
      <c r="G508" s="5" t="n">
        <v>2025</v>
      </c>
      <c r="H508" s="5" t="inlineStr">
        <is>
          <t>Junio</t>
        </is>
      </c>
      <c r="I508" s="6" t="inlineStr">
        <is>
          <t>2025-1</t>
        </is>
      </c>
      <c r="J508" s="5" t="n">
        <v>90</v>
      </c>
      <c r="K508" s="5" t="n">
        <v>85.70999999999999</v>
      </c>
      <c r="L508" s="120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232-2025-06-30</t>
        </is>
      </c>
    </row>
    <row r="509">
      <c r="A509" s="5" t="n">
        <v>232</v>
      </c>
      <c r="B509" s="5" t="inlineStr">
        <is>
          <t>Ejecución de las Comunicaciones en Materia Ambiental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44" t="n">
        <v>46022</v>
      </c>
      <c r="G509" s="5" t="n">
        <v>2025</v>
      </c>
      <c r="H509" s="5" t="inlineStr">
        <is>
          <t>Diciembre</t>
        </is>
      </c>
      <c r="I509" s="6" t="inlineStr">
        <is>
          <t>2025-2</t>
        </is>
      </c>
      <c r="J509" s="5" t="n">
        <v>90</v>
      </c>
      <c r="K509" s="5" t="n">
        <v>80.84999999999999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232-2025-12-31</t>
        </is>
      </c>
    </row>
    <row r="510">
      <c r="A510" s="5" t="n">
        <v>233</v>
      </c>
      <c r="B510" s="5" t="inlineStr">
        <is>
          <t>Impacto de las Comunicaciones Correo Electrónico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44" t="n">
        <v>45016</v>
      </c>
      <c r="G510" s="5" t="n">
        <v>2023</v>
      </c>
      <c r="H510" s="5" t="inlineStr">
        <is>
          <t>Marzo</t>
        </is>
      </c>
      <c r="I510" s="6" t="inlineStr">
        <is>
          <t>2023-1</t>
        </is>
      </c>
      <c r="J510" s="5" t="n">
        <v>20</v>
      </c>
      <c r="K510" s="5" t="n">
        <v>45.98682434455237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n"/>
      <c r="O510" s="5" t="n"/>
      <c r="P510" s="5" t="n">
        <v>0</v>
      </c>
      <c r="Q510" s="5" t="n">
        <v>0</v>
      </c>
      <c r="R510" s="5" t="inlineStr">
        <is>
          <t>233-2023-03-31</t>
        </is>
      </c>
    </row>
    <row r="511">
      <c r="A511" s="43" t="n">
        <v>233</v>
      </c>
      <c r="B511" s="5" t="inlineStr">
        <is>
          <t>Impacto de las Comunicaciones Correo Electrónico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44" t="n">
        <v>45107</v>
      </c>
      <c r="G511" s="5" t="n">
        <v>2023</v>
      </c>
      <c r="H511" s="5" t="inlineStr">
        <is>
          <t>Junio</t>
        </is>
      </c>
      <c r="I511" s="6" t="inlineStr">
        <is>
          <t>2023-1</t>
        </is>
      </c>
      <c r="J511" s="5" t="n">
        <v>20</v>
      </c>
      <c r="K511" s="5" t="n">
        <v>45.98682434455237</v>
      </c>
      <c r="L511" s="120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n"/>
      <c r="O511" s="5" t="n"/>
      <c r="P511" s="5" t="n">
        <v>0</v>
      </c>
      <c r="Q511" s="5" t="n">
        <v>0</v>
      </c>
      <c r="R511" s="5" t="inlineStr">
        <is>
          <t>233-2023-06-30</t>
        </is>
      </c>
    </row>
    <row r="512">
      <c r="A512" s="39" t="n">
        <v>233</v>
      </c>
      <c r="B512" s="5" t="inlineStr">
        <is>
          <t>Impacto de las Comunicaciones Correo Electrónico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44" t="n">
        <v>45199</v>
      </c>
      <c r="G512" s="5" t="n">
        <v>2023</v>
      </c>
      <c r="H512" s="5" t="inlineStr">
        <is>
          <t>Septiembre</t>
        </is>
      </c>
      <c r="I512" s="6" t="inlineStr">
        <is>
          <t>2023-2</t>
        </is>
      </c>
      <c r="J512" s="5" t="n">
        <v>20</v>
      </c>
      <c r="K512" s="5" t="n">
        <v>18.51932731582877</v>
      </c>
      <c r="L512" s="120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n"/>
      <c r="O512" s="5" t="n"/>
      <c r="P512" s="5" t="n">
        <v>0</v>
      </c>
      <c r="Q512" s="5" t="n">
        <v>0</v>
      </c>
      <c r="R512" s="5" t="inlineStr">
        <is>
          <t>233-2023-09-30</t>
        </is>
      </c>
    </row>
    <row r="513">
      <c r="A513" s="5" t="n">
        <v>233</v>
      </c>
      <c r="B513" s="5" t="inlineStr">
        <is>
          <t>Impacto de las Comunicaciones Correo Electrónico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44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20</v>
      </c>
      <c r="K513" s="5" t="n">
        <v>18.51932731582877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n"/>
      <c r="O513" s="5" t="n"/>
      <c r="P513" s="5" t="n">
        <v>0</v>
      </c>
      <c r="Q513" s="5" t="n">
        <v>0</v>
      </c>
      <c r="R513" s="5" t="inlineStr">
        <is>
          <t>233-2023-12-31</t>
        </is>
      </c>
    </row>
    <row r="514">
      <c r="A514" s="5" t="n">
        <v>233</v>
      </c>
      <c r="B514" s="5" t="inlineStr">
        <is>
          <t>Impacto de las Comunicaciones Correo Electrónico</t>
        </is>
      </c>
      <c r="C514" s="5" t="inlineStr">
        <is>
          <t>GESTIÓN AMBIENTAL</t>
        </is>
      </c>
      <c r="D514" s="5" t="inlineStr">
        <is>
          <t>Trimestral</t>
        </is>
      </c>
      <c r="E514" s="5" t="inlineStr">
        <is>
          <t>Positivo</t>
        </is>
      </c>
      <c r="F514" s="144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20</v>
      </c>
      <c r="K514" s="5" t="n">
        <v>33.45861575395625</v>
      </c>
      <c r="L514" s="28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233-2024-06-30</t>
        </is>
      </c>
    </row>
    <row r="515">
      <c r="A515" s="43" t="n">
        <v>233</v>
      </c>
      <c r="B515" s="5" t="inlineStr">
        <is>
          <t>Impacto de las Comunicaciones Correo Electrónico</t>
        </is>
      </c>
      <c r="C515" s="5" t="inlineStr">
        <is>
          <t>GESTIÓN AMBIENTAL</t>
        </is>
      </c>
      <c r="D515" s="5" t="inlineStr">
        <is>
          <t>Trimestral</t>
        </is>
      </c>
      <c r="E515" s="5" t="inlineStr">
        <is>
          <t>Positivo</t>
        </is>
      </c>
      <c r="F515" s="144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20</v>
      </c>
      <c r="K515" s="5" t="n">
        <v>31.82123655913979</v>
      </c>
      <c r="L515" s="120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n"/>
      <c r="O515" s="5" t="n"/>
      <c r="P515" s="5" t="n">
        <v>0</v>
      </c>
      <c r="Q515" s="5" t="n">
        <v>0</v>
      </c>
      <c r="R515" s="5" t="inlineStr">
        <is>
          <t>233-2024-12-31</t>
        </is>
      </c>
    </row>
    <row r="516">
      <c r="A516" s="39" t="n">
        <v>233</v>
      </c>
      <c r="B516" s="5" t="inlineStr">
        <is>
          <t>Impacto de las Comunicaciones Correo Electrónico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44" t="n">
        <v>45838</v>
      </c>
      <c r="G516" s="5" t="n">
        <v>2025</v>
      </c>
      <c r="H516" s="5" t="inlineStr">
        <is>
          <t>Junio</t>
        </is>
      </c>
      <c r="I516" s="6" t="inlineStr">
        <is>
          <t>2025-1</t>
        </is>
      </c>
      <c r="J516" s="5" t="n">
        <v>20</v>
      </c>
      <c r="K516" s="5" t="n">
        <v>22.315</v>
      </c>
      <c r="L516" s="120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233-2025-06-30</t>
        </is>
      </c>
    </row>
    <row r="517">
      <c r="A517" s="5" t="n">
        <v>234</v>
      </c>
      <c r="B517" s="5" t="inlineStr">
        <is>
          <t>Impacto de las Comunicaciones en Materia Ambiental a Través de Redes Sociales - Instagram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44" t="n">
        <v>45016</v>
      </c>
      <c r="G517" s="5" t="n">
        <v>2023</v>
      </c>
      <c r="H517" s="5" t="inlineStr">
        <is>
          <t>Marzo</t>
        </is>
      </c>
      <c r="I517" s="6" t="inlineStr">
        <is>
          <t>2023-1</t>
        </is>
      </c>
      <c r="J517" s="5" t="n">
        <v>4000</v>
      </c>
      <c r="K517" s="5" t="n">
        <v>5267.875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n"/>
      <c r="O517" s="5" t="n"/>
      <c r="P517" s="5" t="n">
        <v>0</v>
      </c>
      <c r="Q517" s="5" t="n">
        <v>0</v>
      </c>
      <c r="R517" s="5" t="inlineStr">
        <is>
          <t>234-2023-03-31</t>
        </is>
      </c>
    </row>
    <row r="518">
      <c r="A518" s="5" t="n">
        <v>234</v>
      </c>
      <c r="B518" s="5" t="inlineStr">
        <is>
          <t>Impacto de las Comunicaciones en Materia Ambiental a Través de Redes Sociales - Instagram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44" t="n">
        <v>45107</v>
      </c>
      <c r="G518" s="5" t="n">
        <v>2023</v>
      </c>
      <c r="H518" s="5" t="inlineStr">
        <is>
          <t>Junio</t>
        </is>
      </c>
      <c r="I518" s="6" t="inlineStr">
        <is>
          <t>2023-1</t>
        </is>
      </c>
      <c r="J518" s="5" t="n">
        <v>4000</v>
      </c>
      <c r="K518" s="5" t="n">
        <v>5267.875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n"/>
      <c r="O518" s="5" t="n"/>
      <c r="P518" s="5" t="n">
        <v>0</v>
      </c>
      <c r="Q518" s="5" t="n">
        <v>0</v>
      </c>
      <c r="R518" s="5" t="inlineStr">
        <is>
          <t>234-2023-06-30</t>
        </is>
      </c>
    </row>
    <row r="519">
      <c r="A519" s="54" t="n">
        <v>234</v>
      </c>
      <c r="B519" s="5" t="inlineStr">
        <is>
          <t>Impacto de las Comunicaciones en Materia Ambiental a Través de Redes Sociales - Instagram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44" t="n">
        <v>45199</v>
      </c>
      <c r="G519" s="5" t="n">
        <v>2023</v>
      </c>
      <c r="H519" s="5" t="inlineStr">
        <is>
          <t>Septiembre</t>
        </is>
      </c>
      <c r="I519" s="6" t="inlineStr">
        <is>
          <t>2023-2</t>
        </is>
      </c>
      <c r="J519" s="5" t="n">
        <v>4000</v>
      </c>
      <c r="K519" s="5" t="n">
        <v>8303.625</v>
      </c>
      <c r="L519" s="120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n"/>
      <c r="O519" s="5" t="n"/>
      <c r="P519" s="5" t="n">
        <v>0</v>
      </c>
      <c r="Q519" s="5" t="n">
        <v>0</v>
      </c>
      <c r="R519" s="5" t="inlineStr">
        <is>
          <t>234-2023-09-30</t>
        </is>
      </c>
    </row>
    <row r="520">
      <c r="A520" s="39" t="n">
        <v>234</v>
      </c>
      <c r="B520" s="5" t="inlineStr">
        <is>
          <t>Impacto de las Comunicaciones en Materia Ambiental a Través de Redes Sociales - Instagram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44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4000</v>
      </c>
      <c r="K520" s="5" t="n">
        <v>8303.625</v>
      </c>
      <c r="L520" s="120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234-2023-12-31</t>
        </is>
      </c>
    </row>
    <row r="521">
      <c r="A521" s="43" t="n">
        <v>234</v>
      </c>
      <c r="B521" s="5" t="inlineStr">
        <is>
          <t>Impacto de las Comunicaciones en Materia Ambiental a Través de Redes Sociales - Instagram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44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4000</v>
      </c>
      <c r="K521" s="5" t="n">
        <v>4343.791666666666</v>
      </c>
      <c r="L521" s="120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234-2024-06-30</t>
        </is>
      </c>
    </row>
    <row r="522">
      <c r="A522" s="39" t="n">
        <v>234</v>
      </c>
      <c r="B522" s="5" t="inlineStr">
        <is>
          <t>Impacto de las Comunicaciones en Materia Ambiental a Través de Redes Sociales - Instagram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44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4000</v>
      </c>
      <c r="K522" s="5" t="n">
        <v>4218</v>
      </c>
      <c r="L522" s="120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n"/>
      <c r="O522" s="5" t="n"/>
      <c r="P522" s="5" t="n">
        <v>0</v>
      </c>
      <c r="Q522" s="5" t="n">
        <v>0</v>
      </c>
      <c r="R522" s="5" t="inlineStr">
        <is>
          <t>234-2024-12-31</t>
        </is>
      </c>
    </row>
    <row r="523">
      <c r="A523" s="5" t="n">
        <v>234</v>
      </c>
      <c r="B523" s="5" t="inlineStr">
        <is>
          <t>Impacto de las Comunicaciones en Materia Ambiental a Través de Redes Sociales - Instagram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4000</v>
      </c>
      <c r="K523" s="5" t="n">
        <v>10577.25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234-2025-06-30</t>
        </is>
      </c>
    </row>
    <row r="524">
      <c r="A524" s="5" t="n">
        <v>235</v>
      </c>
      <c r="B524" s="5" t="inlineStr">
        <is>
          <t>Cumplimiento de Requisitos Legales Ambientales Aplicables</t>
        </is>
      </c>
      <c r="C524" s="5" t="inlineStr">
        <is>
          <t>GESTIÓN AMBIENTAL</t>
        </is>
      </c>
      <c r="D524" s="5" t="inlineStr">
        <is>
          <t>Anual</t>
        </is>
      </c>
      <c r="E524" s="5" t="inlineStr">
        <is>
          <t>Positivo</t>
        </is>
      </c>
      <c r="F524" s="144" t="n">
        <v>45291</v>
      </c>
      <c r="G524" s="5" t="n">
        <v>2023</v>
      </c>
      <c r="H524" s="5" t="inlineStr">
        <is>
          <t>Diciembre</t>
        </is>
      </c>
      <c r="I524" s="6" t="inlineStr">
        <is>
          <t>2023-2</t>
        </is>
      </c>
      <c r="J524" s="5" t="n">
        <v>100</v>
      </c>
      <c r="K524" s="5" t="n">
        <v>81.65289256198299</v>
      </c>
      <c r="L524" s="28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n"/>
      <c r="O524" s="5" t="n"/>
      <c r="P524" s="5" t="n">
        <v>0</v>
      </c>
      <c r="Q524" s="5" t="n">
        <v>0</v>
      </c>
      <c r="R524" s="5" t="inlineStr">
        <is>
          <t>235-2023-12-31</t>
        </is>
      </c>
    </row>
    <row r="525">
      <c r="A525" s="5" t="n">
        <v>235</v>
      </c>
      <c r="B525" s="5" t="inlineStr">
        <is>
          <t>Cumplimiento de Requisitos Legales Ambientales Aplicables</t>
        </is>
      </c>
      <c r="C525" s="5" t="inlineStr">
        <is>
          <t>GESTIÓN AMBIENTAL</t>
        </is>
      </c>
      <c r="D525" s="5" t="inlineStr">
        <is>
          <t>Anual</t>
        </is>
      </c>
      <c r="E525" s="5" t="inlineStr">
        <is>
          <t>Positivo</t>
        </is>
      </c>
      <c r="F525" s="144" t="n">
        <v>45657</v>
      </c>
      <c r="G525" s="16" t="n">
        <v>2024</v>
      </c>
      <c r="H525" s="6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92.012779552716</v>
      </c>
      <c r="L525" s="120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n"/>
      <c r="O525" s="5" t="n"/>
      <c r="P525" s="5" t="n">
        <v>0</v>
      </c>
      <c r="Q525" s="5" t="n">
        <v>0</v>
      </c>
      <c r="R525" s="5" t="inlineStr">
        <is>
          <t>235-2024-12-31</t>
        </is>
      </c>
    </row>
    <row r="526">
      <c r="A526" s="39" t="n">
        <v>236</v>
      </c>
      <c r="B526" s="5" t="inlineStr">
        <is>
          <t>Actos Administrativos o Decisiones Judiciales Ambientales</t>
        </is>
      </c>
      <c r="C526" s="5" t="inlineStr">
        <is>
          <t>GESTIÓN AMBIENTAL</t>
        </is>
      </c>
      <c r="D526" s="5" t="inlineStr">
        <is>
          <t>Anual</t>
        </is>
      </c>
      <c r="E526" s="5" t="inlineStr">
        <is>
          <t>Negativo</t>
        </is>
      </c>
      <c r="F526" s="144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0</v>
      </c>
      <c r="K526" s="5" t="n">
        <v>0</v>
      </c>
      <c r="L526" s="120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236-2023-12-31</t>
        </is>
      </c>
    </row>
    <row r="527">
      <c r="A527" s="5" t="n">
        <v>236</v>
      </c>
      <c r="B527" s="5" t="inlineStr">
        <is>
          <t>Actos Administrativos o Decisiones Judiciales Ambientales</t>
        </is>
      </c>
      <c r="C527" s="5" t="inlineStr">
        <is>
          <t>GESTIÓN AMBIENTAL</t>
        </is>
      </c>
      <c r="D527" s="5" t="inlineStr">
        <is>
          <t>Anual</t>
        </is>
      </c>
      <c r="E527" s="5" t="inlineStr">
        <is>
          <t>Negativo</t>
        </is>
      </c>
      <c r="F527" s="144" t="n">
        <v>45657</v>
      </c>
      <c r="G527" s="16" t="n">
        <v>2024</v>
      </c>
      <c r="H527" s="6" t="inlineStr">
        <is>
          <t>Diciembre</t>
        </is>
      </c>
      <c r="I527" s="6" t="inlineStr">
        <is>
          <t>2024-2</t>
        </is>
      </c>
      <c r="J527" s="5" t="n">
        <v>0</v>
      </c>
      <c r="K527" s="5" t="n">
        <v>0</v>
      </c>
      <c r="L527" s="120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n"/>
      <c r="O527" s="5" t="n"/>
      <c r="P527" s="5" t="n">
        <v>0</v>
      </c>
      <c r="Q527" s="5" t="n">
        <v>0</v>
      </c>
      <c r="R527" s="5" t="inlineStr">
        <is>
          <t>236-2024-12-31</t>
        </is>
      </c>
    </row>
    <row r="528">
      <c r="A528" s="5" t="n">
        <v>236</v>
      </c>
      <c r="B528" s="5" t="inlineStr">
        <is>
          <t>Actos Administrativos o Decisiones Judiciales Ambientales</t>
        </is>
      </c>
      <c r="C528" s="5" t="inlineStr">
        <is>
          <t>GESTIÓN AMBIENTAL</t>
        </is>
      </c>
      <c r="D528" s="5" t="inlineStr">
        <is>
          <t>Anual</t>
        </is>
      </c>
      <c r="E528" s="5" t="inlineStr">
        <is>
          <t>Negativo</t>
        </is>
      </c>
      <c r="F528" s="144" t="n">
        <v>46022</v>
      </c>
      <c r="G528" s="16" t="n">
        <v>2025</v>
      </c>
      <c r="H528" s="6" t="inlineStr">
        <is>
          <t>Diciembre</t>
        </is>
      </c>
      <c r="I528" s="6" t="inlineStr">
        <is>
          <t>2025-2</t>
        </is>
      </c>
      <c r="J528" s="5" t="n">
        <v>0</v>
      </c>
      <c r="K528" s="5" t="n">
        <v>0</v>
      </c>
      <c r="L528" s="120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236-2025-12-31</t>
        </is>
      </c>
    </row>
    <row r="529">
      <c r="A529" s="5" t="n">
        <v>238</v>
      </c>
      <c r="B529" s="5" t="inlineStr">
        <is>
          <t>Cumplimiento de la Protección del Medio Ambiente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44" t="n">
        <v>45016</v>
      </c>
      <c r="G529" s="5" t="n">
        <v>2023</v>
      </c>
      <c r="H529" s="5" t="inlineStr">
        <is>
          <t>Marzo</t>
        </is>
      </c>
      <c r="I529" s="6" t="inlineStr">
        <is>
          <t>2023-1</t>
        </is>
      </c>
      <c r="J529" s="5" t="n">
        <v>90</v>
      </c>
      <c r="K529" s="5" t="n">
        <v>95.43650793650795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238-2023-03-31</t>
        </is>
      </c>
    </row>
    <row r="530">
      <c r="A530" s="5" t="n">
        <v>238</v>
      </c>
      <c r="B530" s="5" t="inlineStr">
        <is>
          <t>Cumplimiento de la Protección del Medio Ambiente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44" t="n">
        <v>45107</v>
      </c>
      <c r="G530" s="5" t="n">
        <v>2023</v>
      </c>
      <c r="H530" s="5" t="inlineStr">
        <is>
          <t>Junio</t>
        </is>
      </c>
      <c r="I530" s="6" t="inlineStr">
        <is>
          <t>2023-1</t>
        </is>
      </c>
      <c r="J530" s="5" t="n">
        <v>90</v>
      </c>
      <c r="K530" s="5" t="n">
        <v>95.43650793650795</v>
      </c>
      <c r="L530" s="28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238-2023-06-30</t>
        </is>
      </c>
    </row>
    <row r="531">
      <c r="A531" s="43" t="n">
        <v>238</v>
      </c>
      <c r="B531" s="5" t="inlineStr">
        <is>
          <t>Cumplimiento de la Protección del Medio Ambiente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44" t="n">
        <v>45199</v>
      </c>
      <c r="G531" s="5" t="n">
        <v>2023</v>
      </c>
      <c r="H531" s="5" t="inlineStr">
        <is>
          <t>Septiembre</t>
        </is>
      </c>
      <c r="I531" s="6" t="inlineStr">
        <is>
          <t>2023-2</t>
        </is>
      </c>
      <c r="J531" s="5" t="n">
        <v>90</v>
      </c>
      <c r="K531" s="5" t="n">
        <v>79.60526315789474</v>
      </c>
      <c r="L531" s="120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n"/>
      <c r="O531" s="5" t="n"/>
      <c r="P531" s="5" t="n">
        <v>0</v>
      </c>
      <c r="Q531" s="5" t="n">
        <v>0</v>
      </c>
      <c r="R531" s="5" t="inlineStr">
        <is>
          <t>238-2023-09-30</t>
        </is>
      </c>
    </row>
    <row r="532">
      <c r="A532" s="39" t="n">
        <v>238</v>
      </c>
      <c r="B532" s="5" t="inlineStr">
        <is>
          <t>Cumplimiento de la Protección del Medio Ambiente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144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90</v>
      </c>
      <c r="K532" s="5" t="n">
        <v>79.60526315789474</v>
      </c>
      <c r="L532" s="120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n"/>
      <c r="O532" s="5" t="n"/>
      <c r="P532" s="5" t="n">
        <v>0</v>
      </c>
      <c r="Q532" s="5" t="n">
        <v>0</v>
      </c>
      <c r="R532" s="5" t="inlineStr">
        <is>
          <t>238-2023-12-31</t>
        </is>
      </c>
    </row>
    <row r="533">
      <c r="A533" s="5" t="n">
        <v>238</v>
      </c>
      <c r="B533" s="5" t="inlineStr">
        <is>
          <t>Cumplimiento de la Protección del Medio Ambiente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144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90</v>
      </c>
      <c r="K533" s="5" t="n">
        <v>77.1577380952381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n"/>
      <c r="O533" s="5" t="n"/>
      <c r="P533" s="5" t="n">
        <v>0</v>
      </c>
      <c r="Q533" s="5" t="n">
        <v>0</v>
      </c>
      <c r="R533" s="5" t="inlineStr">
        <is>
          <t>238-2024-06-30</t>
        </is>
      </c>
    </row>
    <row r="534">
      <c r="A534" s="5" t="n">
        <v>238</v>
      </c>
      <c r="B534" s="5" t="inlineStr">
        <is>
          <t>Cumplimiento de la Protección del Medio Ambiente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144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90</v>
      </c>
      <c r="K534" s="5" t="n">
        <v>82.10526315789474</v>
      </c>
      <c r="L534" s="28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n"/>
      <c r="O534" s="5" t="n"/>
      <c r="P534" s="5" t="n">
        <v>0</v>
      </c>
      <c r="Q534" s="5" t="n">
        <v>0</v>
      </c>
      <c r="R534" s="5" t="inlineStr">
        <is>
          <t>238-2024-12-31</t>
        </is>
      </c>
    </row>
    <row r="535">
      <c r="A535" s="43" t="n">
        <v>238</v>
      </c>
      <c r="B535" s="5" t="inlineStr">
        <is>
          <t>Cumplimiento de la Protección del Medio Ambiente</t>
        </is>
      </c>
      <c r="C535" s="5" t="inlineStr">
        <is>
          <t>GESTIÓN AMBIENTAL</t>
        </is>
      </c>
      <c r="D535" s="5" t="inlineStr">
        <is>
          <t>Semestral</t>
        </is>
      </c>
      <c r="E535" s="5" t="inlineStr">
        <is>
          <t>Positivo</t>
        </is>
      </c>
      <c r="F535" s="144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90</v>
      </c>
      <c r="K535" s="5" t="n">
        <v>92.80000000000001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Sin Reporte</t>
        </is>
      </c>
      <c r="O535" s="5" t="inlineStr">
        <is>
          <t>Sin Reporte</t>
        </is>
      </c>
      <c r="P535" s="5" t="n">
        <v>0</v>
      </c>
      <c r="Q535" s="5" t="n">
        <v>0</v>
      </c>
      <c r="R535" s="5" t="inlineStr">
        <is>
          <t>238-2025-06-30</t>
        </is>
      </c>
    </row>
    <row r="536">
      <c r="A536" s="39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Semestral</t>
        </is>
      </c>
      <c r="E536" s="5" t="inlineStr">
        <is>
          <t>Positivo</t>
        </is>
      </c>
      <c r="F536" s="144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90</v>
      </c>
      <c r="K536" s="5" t="n">
        <v>68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Sin Reporte</t>
        </is>
      </c>
      <c r="O536" s="5" t="inlineStr">
        <is>
          <t>Sin Reporte</t>
        </is>
      </c>
      <c r="P536" s="5" t="n">
        <v>0</v>
      </c>
      <c r="Q536" s="5" t="n">
        <v>0</v>
      </c>
      <c r="R536" s="5" t="inlineStr">
        <is>
          <t>238-2025-12-31</t>
        </is>
      </c>
    </row>
    <row r="537">
      <c r="A537" s="5" t="n">
        <v>239</v>
      </c>
      <c r="B537" s="5" t="inlineStr">
        <is>
          <t>Portafolio de Proyectos - Metrica</t>
        </is>
      </c>
      <c r="C537" s="5" t="inlineStr">
        <is>
          <t>Gestión de Proyectos</t>
        </is>
      </c>
      <c r="D537" s="5" t="inlineStr">
        <is>
          <t>Mensual</t>
        </is>
      </c>
      <c r="E537" s="5" t="inlineStr">
        <is>
          <t>Positivo</t>
        </is>
      </c>
      <c r="F537" s="144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/>
      <c r="K537" s="5" t="n">
        <v>0</v>
      </c>
      <c r="L537" s="28" t="n"/>
      <c r="M537" s="28" t="n"/>
      <c r="N537" s="5" t="inlineStr">
        <is>
          <t>Metrica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239-2022-06-30</t>
        </is>
      </c>
      <c r="S537" t="inlineStr">
        <is>
          <t>Metrica</t>
        </is>
      </c>
    </row>
    <row r="538">
      <c r="A538" s="5" t="n">
        <v>239</v>
      </c>
      <c r="B538" s="5" t="inlineStr">
        <is>
          <t>Portafolio de Proyectos - Metrica</t>
        </is>
      </c>
      <c r="C538" s="5" t="inlineStr">
        <is>
          <t>Gestión de Proyectos</t>
        </is>
      </c>
      <c r="D538" s="5" t="inlineStr">
        <is>
          <t>Mensual</t>
        </is>
      </c>
      <c r="E538" s="5" t="inlineStr">
        <is>
          <t>Positivo</t>
        </is>
      </c>
      <c r="F538" s="144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/>
      <c r="K538" s="5" t="n">
        <v>0</v>
      </c>
      <c r="L538" s="28" t="n"/>
      <c r="M538" s="28" t="n"/>
      <c r="N538" s="5" t="inlineStr">
        <is>
          <t>Metrica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239-2022-12-31</t>
        </is>
      </c>
      <c r="S538" t="inlineStr">
        <is>
          <t>Metrica</t>
        </is>
      </c>
    </row>
    <row r="539">
      <c r="A539" s="43" t="n">
        <v>239</v>
      </c>
      <c r="B539" s="5" t="inlineStr">
        <is>
          <t>Portafolio de Proyectos</t>
        </is>
      </c>
      <c r="C539" s="5" t="inlineStr">
        <is>
          <t>Gestión de Proyectos</t>
        </is>
      </c>
      <c r="D539" s="5" t="inlineStr">
        <is>
          <t>Mensual</t>
        </is>
      </c>
      <c r="E539" s="5" t="inlineStr">
        <is>
          <t>Positivo</t>
        </is>
      </c>
      <c r="F539" s="144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/>
      <c r="K539" s="5" t="n">
        <v>19</v>
      </c>
      <c r="L539" s="136" t="n"/>
      <c r="M539" s="28" t="n"/>
      <c r="N539" s="5" t="inlineStr">
        <is>
          <t>Metrica</t>
        </is>
      </c>
      <c r="O539" s="5" t="n"/>
      <c r="P539" s="5" t="n">
        <v>0</v>
      </c>
      <c r="Q539" s="5" t="n">
        <v>0</v>
      </c>
      <c r="R539" s="5" t="inlineStr">
        <is>
          <t>239-2023-06-30</t>
        </is>
      </c>
    </row>
    <row r="540">
      <c r="A540" s="39" t="n">
        <v>239</v>
      </c>
      <c r="B540" s="5" t="inlineStr">
        <is>
          <t>Portafolio de Proyectos</t>
        </is>
      </c>
      <c r="C540" s="5" t="inlineStr">
        <is>
          <t>Gestión de Proyectos</t>
        </is>
      </c>
      <c r="D540" s="5" t="inlineStr">
        <is>
          <t>Mensual</t>
        </is>
      </c>
      <c r="E540" s="5" t="inlineStr">
        <is>
          <t>Positivo</t>
        </is>
      </c>
      <c r="F540" s="144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/>
      <c r="K540" s="5" t="n">
        <v>0</v>
      </c>
      <c r="L540" s="136" t="n"/>
      <c r="M540" s="28" t="n"/>
      <c r="N540" s="5" t="inlineStr">
        <is>
          <t>Metrica</t>
        </is>
      </c>
      <c r="O540" s="5" t="n"/>
      <c r="P540" s="5" t="n">
        <v>0</v>
      </c>
      <c r="Q540" s="5" t="n">
        <v>0</v>
      </c>
      <c r="R540" s="5" t="inlineStr">
        <is>
          <t>239-2023-12-31</t>
        </is>
      </c>
    </row>
    <row r="541">
      <c r="A541" s="5" t="n">
        <v>239</v>
      </c>
      <c r="B541" s="5" t="inlineStr">
        <is>
          <t>Portafolio de Proyectos</t>
        </is>
      </c>
      <c r="C541" s="5" t="inlineStr">
        <is>
          <t>Gestión de Proyectos</t>
        </is>
      </c>
      <c r="D541" s="5" t="inlineStr">
        <is>
          <t>Mensual</t>
        </is>
      </c>
      <c r="E541" s="5" t="inlineStr">
        <is>
          <t>Positivo</t>
        </is>
      </c>
      <c r="F541" s="144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/>
      <c r="K541" s="5" t="n">
        <v>29</v>
      </c>
      <c r="L541" s="28" t="n"/>
      <c r="M541" s="28" t="n"/>
      <c r="N541" s="5" t="inlineStr">
        <is>
          <t>Metrica</t>
        </is>
      </c>
      <c r="O541" s="5" t="n"/>
      <c r="P541" s="5" t="n">
        <v>0</v>
      </c>
      <c r="Q541" s="5" t="n">
        <v>0</v>
      </c>
      <c r="R541" s="5" t="inlineStr">
        <is>
          <t>239-2024-06-30</t>
        </is>
      </c>
    </row>
    <row r="542">
      <c r="A542" s="5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144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/>
      <c r="K542" s="5" t="n">
        <v>0</v>
      </c>
      <c r="L542" s="28" t="n"/>
      <c r="M542" s="28" t="n"/>
      <c r="N542" s="5" t="inlineStr">
        <is>
          <t>Metrica</t>
        </is>
      </c>
      <c r="O542" s="5" t="n"/>
      <c r="P542" s="5" t="n">
        <v>0</v>
      </c>
      <c r="Q542" s="5" t="n">
        <v>0</v>
      </c>
      <c r="R542" s="5" t="inlineStr">
        <is>
          <t>239-2024-12-31</t>
        </is>
      </c>
    </row>
    <row r="543">
      <c r="A543" s="43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144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/>
      <c r="K543" s="5" t="n">
        <v>41</v>
      </c>
      <c r="L543" s="8" t="n"/>
      <c r="M543" s="28" t="n"/>
      <c r="N543" s="5" t="inlineStr">
        <is>
          <t>Metrica</t>
        </is>
      </c>
      <c r="O543" s="5" t="n"/>
      <c r="P543" s="5" t="n">
        <v>0</v>
      </c>
      <c r="Q543" s="5" t="n">
        <v>0</v>
      </c>
      <c r="R543" s="5" t="inlineStr">
        <is>
          <t>239-2025-06-30</t>
        </is>
      </c>
    </row>
    <row r="544">
      <c r="A544" s="39" t="n">
        <v>239</v>
      </c>
      <c r="B544" s="5" t="inlineStr">
        <is>
          <t>Portafolio de Proyectos - Metrica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144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/>
      <c r="K544" s="5" t="n">
        <v>44</v>
      </c>
      <c r="L544" s="8" t="n"/>
      <c r="M544" s="28" t="n"/>
      <c r="N544" s="5" t="inlineStr">
        <is>
          <t>Metrica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239-2025-12-31</t>
        </is>
      </c>
      <c r="S544" t="inlineStr">
        <is>
          <t>Metrica</t>
        </is>
      </c>
    </row>
    <row r="545">
      <c r="A545" s="5" t="n">
        <v>240</v>
      </c>
      <c r="B545" s="5" t="inlineStr">
        <is>
          <t>Cumplimiento de Gestión De Proyectos Cerrados</t>
        </is>
      </c>
      <c r="C545" s="5" t="inlineStr">
        <is>
          <t>Gestión de Proyectos</t>
        </is>
      </c>
      <c r="D545" s="5" t="inlineStr">
        <is>
          <t>Trimestral</t>
        </is>
      </c>
      <c r="E545" s="5" t="inlineStr">
        <is>
          <t>Positivo</t>
        </is>
      </c>
      <c r="F545" s="144" t="n">
        <v>45107</v>
      </c>
      <c r="G545" s="5" t="n">
        <v>2023</v>
      </c>
      <c r="H545" s="5" t="inlineStr">
        <is>
          <t>Junio</t>
        </is>
      </c>
      <c r="I545" s="6" t="inlineStr">
        <is>
          <t>2023-1</t>
        </is>
      </c>
      <c r="J545" s="5" t="n">
        <v>100</v>
      </c>
      <c r="K545" s="5" t="n">
        <v>50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240-2023-06-30</t>
        </is>
      </c>
    </row>
    <row r="546">
      <c r="A546" s="5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144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100</v>
      </c>
      <c r="K546" s="5" t="n">
        <v>80</v>
      </c>
      <c r="L546" s="28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240-2023-12-31</t>
        </is>
      </c>
    </row>
    <row r="547">
      <c r="A547" s="43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144" t="n">
        <v>45473</v>
      </c>
      <c r="G547" s="5" t="n">
        <v>2024</v>
      </c>
      <c r="H547" s="5" t="inlineStr">
        <is>
          <t>Junio</t>
        </is>
      </c>
      <c r="I547" s="6" t="inlineStr">
        <is>
          <t>2024-1</t>
        </is>
      </c>
      <c r="J547" s="5" t="n">
        <v>100</v>
      </c>
      <c r="K547" s="5" t="n">
        <v>95.83333333333333</v>
      </c>
      <c r="L547" s="120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240-2024-06-30</t>
        </is>
      </c>
    </row>
    <row r="548">
      <c r="A548" s="39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144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100</v>
      </c>
      <c r="K548" s="5" t="n">
        <v>100</v>
      </c>
      <c r="L548" s="120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240-2024-12-31</t>
        </is>
      </c>
    </row>
    <row r="549">
      <c r="A549" s="39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144" t="n">
        <v>45838</v>
      </c>
      <c r="G549" s="5" t="n">
        <v>2025</v>
      </c>
      <c r="H549" s="5" t="inlineStr">
        <is>
          <t>Junio</t>
        </is>
      </c>
      <c r="I549" s="6" t="inlineStr">
        <is>
          <t>2025-1</t>
        </is>
      </c>
      <c r="J549" s="5" t="n">
        <v>100</v>
      </c>
      <c r="K549" s="5" t="n">
        <v>100</v>
      </c>
      <c r="L549" s="120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240-2025-06-30</t>
        </is>
      </c>
    </row>
    <row r="550">
      <c r="A550" s="5" t="n">
        <v>240</v>
      </c>
      <c r="B550" s="5" t="inlineStr">
        <is>
          <t>Cumplimiento de Gestión De Proyectos Cerrados</t>
        </is>
      </c>
      <c r="C550" s="5" t="inlineStr">
        <is>
          <t>Gestión de Proyectos</t>
        </is>
      </c>
      <c r="D550" s="5" t="inlineStr">
        <is>
          <t>Semestral</t>
        </is>
      </c>
      <c r="E550" s="5" t="inlineStr">
        <is>
          <t>Positivo</t>
        </is>
      </c>
      <c r="F550" s="144" t="n">
        <v>46022</v>
      </c>
      <c r="G550" s="5" t="n">
        <v>2025</v>
      </c>
      <c r="H550" s="5" t="inlineStr">
        <is>
          <t>Diciembre</t>
        </is>
      </c>
      <c r="I550" s="6" t="inlineStr">
        <is>
          <t>2025-2</t>
        </is>
      </c>
      <c r="J550" s="5" t="n">
        <v>100</v>
      </c>
      <c r="K550" s="5" t="n">
        <v>100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240-2025-12-31</t>
        </is>
      </c>
    </row>
    <row r="551">
      <c r="A551" s="39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44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80</v>
      </c>
      <c r="K551" s="5" t="n">
        <v>94.19191919191917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n"/>
      <c r="O551" s="5" t="n"/>
      <c r="P551" s="5" t="n">
        <v>0</v>
      </c>
      <c r="Q551" s="5" t="n">
        <v>0</v>
      </c>
      <c r="R551" s="5" t="inlineStr">
        <is>
          <t>241-2023-06-30</t>
        </is>
      </c>
    </row>
    <row r="552">
      <c r="A552" s="54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44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80</v>
      </c>
      <c r="K552" s="5" t="n">
        <v>90.90666666666668</v>
      </c>
      <c r="L552" s="120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n"/>
      <c r="O552" s="5" t="n"/>
      <c r="P552" s="5" t="n">
        <v>0</v>
      </c>
      <c r="Q552" s="5" t="n">
        <v>0</v>
      </c>
      <c r="R552" s="5" t="inlineStr">
        <is>
          <t>241-2023-12-31</t>
        </is>
      </c>
    </row>
    <row r="553">
      <c r="A553" s="39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44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80</v>
      </c>
      <c r="K553" s="5" t="n">
        <v>88.53775853775853</v>
      </c>
      <c r="L553" s="120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n"/>
      <c r="O553" s="5" t="n"/>
      <c r="P553" s="5" t="n">
        <v>0</v>
      </c>
      <c r="Q553" s="5" t="n">
        <v>0</v>
      </c>
      <c r="R553" s="5" t="inlineStr">
        <is>
          <t>241-2024-06-30</t>
        </is>
      </c>
    </row>
    <row r="554">
      <c r="A554" s="43" t="n">
        <v>241</v>
      </c>
      <c r="B554" s="5" t="inlineStr">
        <is>
          <t>Cumplimiento de gestión de proyectos fase inicio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44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80</v>
      </c>
      <c r="K554" s="5" t="n">
        <v>89.34065934065934</v>
      </c>
      <c r="L554" s="120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n"/>
      <c r="O554" s="5" t="n"/>
      <c r="P554" s="5" t="n">
        <v>0</v>
      </c>
      <c r="Q554" s="5" t="n">
        <v>0</v>
      </c>
      <c r="R554" s="5" t="inlineStr">
        <is>
          <t>241-2024-12-31</t>
        </is>
      </c>
    </row>
    <row r="555">
      <c r="A555" s="39" t="n">
        <v>241</v>
      </c>
      <c r="B555" s="5" t="inlineStr">
        <is>
          <t>Cumplimiento de gestión de proyectos fase inicio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44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80</v>
      </c>
      <c r="K555" s="5" t="n">
        <v>100</v>
      </c>
      <c r="L555" s="120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n"/>
      <c r="O555" s="5" t="n"/>
      <c r="P555" s="5" t="n">
        <v>0</v>
      </c>
      <c r="Q555" s="5" t="n">
        <v>0</v>
      </c>
      <c r="R555" s="5" t="inlineStr">
        <is>
          <t>241-2025-06-30</t>
        </is>
      </c>
    </row>
    <row r="556">
      <c r="A556" s="5" t="n">
        <v>241</v>
      </c>
      <c r="B556" s="5" t="inlineStr">
        <is>
          <t>Cumplimiento de gestión de proyectos fase inicio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144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80</v>
      </c>
      <c r="K556" s="5" t="n">
        <v>98.61166666666666</v>
      </c>
      <c r="L556" s="28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241-2025-12-31</t>
        </is>
      </c>
    </row>
    <row r="557">
      <c r="A557" s="54" t="n">
        <v>242</v>
      </c>
      <c r="B557" s="5" t="inlineStr">
        <is>
          <t>Cumplimiento a cronograma de proyectos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44" t="n">
        <v>45107</v>
      </c>
      <c r="G557" s="5" t="n">
        <v>2023</v>
      </c>
      <c r="H557" s="5" t="inlineStr">
        <is>
          <t>Junio</t>
        </is>
      </c>
      <c r="I557" s="6" t="inlineStr">
        <is>
          <t>2023-1</t>
        </is>
      </c>
      <c r="J557" s="5" t="n">
        <v>90</v>
      </c>
      <c r="K557" s="5" t="n">
        <v>97.68000000000001</v>
      </c>
      <c r="L557" s="120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242-2023-06-30</t>
        </is>
      </c>
    </row>
    <row r="558">
      <c r="A558" s="39" t="n">
        <v>242</v>
      </c>
      <c r="B558" s="5" t="inlineStr">
        <is>
          <t>Cumplimiento a cronograma de proyectos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Positivo</t>
        </is>
      </c>
      <c r="F558" s="144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90</v>
      </c>
      <c r="K558" s="5" t="n">
        <v>95.44</v>
      </c>
      <c r="L558" s="120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242-2023-12-31</t>
        </is>
      </c>
    </row>
    <row r="559">
      <c r="A559" s="43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144" t="n">
        <v>44957</v>
      </c>
      <c r="G559" s="5" t="n">
        <v>2023</v>
      </c>
      <c r="H559" s="5" t="inlineStr">
        <is>
          <t>Enero</t>
        </is>
      </c>
      <c r="I559" s="6" t="inlineStr">
        <is>
          <t>2023-1</t>
        </is>
      </c>
      <c r="J559" s="5" t="n">
        <v>0</v>
      </c>
      <c r="K559" s="5" t="n">
        <v>0</v>
      </c>
      <c r="L559" s="120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243-2023-01-31</t>
        </is>
      </c>
    </row>
    <row r="560">
      <c r="A560" s="39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144" t="n">
        <v>44985</v>
      </c>
      <c r="G560" s="5" t="n">
        <v>2023</v>
      </c>
      <c r="H560" s="5" t="inlineStr">
        <is>
          <t>Febrero</t>
        </is>
      </c>
      <c r="I560" s="6" t="inlineStr">
        <is>
          <t>2023-1</t>
        </is>
      </c>
      <c r="J560" s="5" t="n">
        <v>0</v>
      </c>
      <c r="K560" s="5" t="n">
        <v>0</v>
      </c>
      <c r="L560" s="120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243-2023-02-28</t>
        </is>
      </c>
    </row>
    <row r="561">
      <c r="A561" s="5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144" t="n">
        <v>45016</v>
      </c>
      <c r="G561" s="5" t="n">
        <v>2023</v>
      </c>
      <c r="H561" s="5" t="inlineStr">
        <is>
          <t>Marzo</t>
        </is>
      </c>
      <c r="I561" s="6" t="inlineStr">
        <is>
          <t>2023-1</t>
        </is>
      </c>
      <c r="J561" s="5" t="n">
        <v>0</v>
      </c>
      <c r="K561" s="5" t="n">
        <v>0</v>
      </c>
      <c r="L561" s="28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243-2023-03-31</t>
        </is>
      </c>
    </row>
    <row r="562">
      <c r="A562" s="5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144" t="n">
        <v>45046</v>
      </c>
      <c r="G562" s="5" t="n">
        <v>2023</v>
      </c>
      <c r="H562" s="5" t="inlineStr">
        <is>
          <t>Abril</t>
        </is>
      </c>
      <c r="I562" s="6" t="inlineStr">
        <is>
          <t>2023-1</t>
        </is>
      </c>
      <c r="J562" s="5" t="n">
        <v>0</v>
      </c>
      <c r="K562" s="5" t="n">
        <v>0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243-2023-04-30</t>
        </is>
      </c>
    </row>
    <row r="563">
      <c r="A563" s="43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144" t="n">
        <v>45077</v>
      </c>
      <c r="G563" s="5" t="n">
        <v>2023</v>
      </c>
      <c r="H563" s="5" t="inlineStr">
        <is>
          <t>Mayo</t>
        </is>
      </c>
      <c r="I563" s="6" t="inlineStr">
        <is>
          <t>2023-1</t>
        </is>
      </c>
      <c r="J563" s="5" t="n">
        <v>0</v>
      </c>
      <c r="K563" s="5" t="n">
        <v>0</v>
      </c>
      <c r="L563" s="120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243-2023-05-31</t>
        </is>
      </c>
    </row>
    <row r="564">
      <c r="A564" s="39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144" t="n">
        <v>45107</v>
      </c>
      <c r="G564" s="5" t="n">
        <v>2023</v>
      </c>
      <c r="H564" s="5" t="inlineStr">
        <is>
          <t>Junio</t>
        </is>
      </c>
      <c r="I564" s="6" t="inlineStr">
        <is>
          <t>2023-1</t>
        </is>
      </c>
      <c r="J564" s="5" t="n">
        <v>0</v>
      </c>
      <c r="K564" s="5" t="n">
        <v>8.33333333333333</v>
      </c>
      <c r="L564" s="120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243-2023-06-30</t>
        </is>
      </c>
    </row>
    <row r="565">
      <c r="A565" s="5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144" t="n">
        <v>45138</v>
      </c>
      <c r="G565" s="5" t="n">
        <v>2023</v>
      </c>
      <c r="H565" s="5" t="inlineStr">
        <is>
          <t>Julio</t>
        </is>
      </c>
      <c r="I565" s="6" t="inlineStr">
        <is>
          <t>2023-2</t>
        </is>
      </c>
      <c r="J565" s="5" t="n">
        <v>0</v>
      </c>
      <c r="K565" s="5" t="n">
        <v>16.666666666667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243-2023-07-31</t>
        </is>
      </c>
    </row>
    <row r="566">
      <c r="A566" s="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144" t="n">
        <v>45169</v>
      </c>
      <c r="G566" s="5" t="n">
        <v>2023</v>
      </c>
      <c r="H566" s="5" t="inlineStr">
        <is>
          <t>Agosto</t>
        </is>
      </c>
      <c r="I566" s="6" t="inlineStr">
        <is>
          <t>2023-2</t>
        </is>
      </c>
      <c r="J566" s="5" t="n">
        <v>0</v>
      </c>
      <c r="K566" s="5" t="n">
        <v>9.09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243-2023-08-31</t>
        </is>
      </c>
    </row>
    <row r="567">
      <c r="A567" s="43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144" t="n">
        <v>45199</v>
      </c>
      <c r="G567" s="5" t="n">
        <v>2023</v>
      </c>
      <c r="H567" s="5" t="inlineStr">
        <is>
          <t>Septiembre</t>
        </is>
      </c>
      <c r="I567" s="6" t="inlineStr">
        <is>
          <t>2023-2</t>
        </is>
      </c>
      <c r="J567" s="5" t="n">
        <v>0</v>
      </c>
      <c r="K567" s="5" t="n">
        <v>0</v>
      </c>
      <c r="L567" s="120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243-2023-09-30</t>
        </is>
      </c>
    </row>
    <row r="568">
      <c r="A568" s="39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144" t="n">
        <v>45230</v>
      </c>
      <c r="G568" s="5" t="n">
        <v>2023</v>
      </c>
      <c r="H568" s="5" t="inlineStr">
        <is>
          <t>Octubre</t>
        </is>
      </c>
      <c r="I568" s="6" t="inlineStr">
        <is>
          <t>2023-2</t>
        </is>
      </c>
      <c r="J568" s="5" t="n">
        <v>0</v>
      </c>
      <c r="K568" s="5" t="n">
        <v>11.11</v>
      </c>
      <c r="L568" s="120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243-2023-10-31</t>
        </is>
      </c>
    </row>
    <row r="569">
      <c r="A569" s="5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44" t="n">
        <v>45260</v>
      </c>
      <c r="G569" s="5" t="n">
        <v>2023</v>
      </c>
      <c r="H569" s="5" t="inlineStr">
        <is>
          <t>Noviembre</t>
        </is>
      </c>
      <c r="I569" s="6" t="inlineStr">
        <is>
          <t>2023-2</t>
        </is>
      </c>
      <c r="J569" s="5" t="n">
        <v>0</v>
      </c>
      <c r="K569" s="5" t="n">
        <v>0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243-2023-11-30</t>
        </is>
      </c>
    </row>
    <row r="570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4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0</v>
      </c>
      <c r="K570" s="5" t="n">
        <v>14.29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243-2023-12-31</t>
        </is>
      </c>
    </row>
    <row r="571">
      <c r="A571" s="43" t="n">
        <v>244</v>
      </c>
      <c r="B571" s="5" t="inlineStr">
        <is>
          <t>GreenMetric - Nacional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Negativo</t>
        </is>
      </c>
      <c r="F571" s="144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25</v>
      </c>
      <c r="K571" s="5" t="n">
        <v>24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n"/>
      <c r="O571" s="5" t="n"/>
      <c r="P571" s="5" t="n">
        <v>0</v>
      </c>
      <c r="Q571" s="5" t="n">
        <v>0</v>
      </c>
      <c r="R571" s="5" t="inlineStr">
        <is>
          <t>244-2023-12-31</t>
        </is>
      </c>
    </row>
    <row r="572">
      <c r="A572" s="39" t="n">
        <v>244</v>
      </c>
      <c r="B572" s="5" t="inlineStr">
        <is>
          <t>GreenMetric - Nacional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Negativo</t>
        </is>
      </c>
      <c r="F572" s="144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25</v>
      </c>
      <c r="K572" s="5" t="n">
        <v>25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n"/>
      <c r="O572" s="5" t="n"/>
      <c r="P572" s="5" t="n">
        <v>0</v>
      </c>
      <c r="Q572" s="5" t="n">
        <v>0</v>
      </c>
      <c r="R572" s="5" t="inlineStr">
        <is>
          <t>244-2024-12-31</t>
        </is>
      </c>
    </row>
    <row r="573">
      <c r="A573" s="5" t="n">
        <v>244</v>
      </c>
      <c r="B573" s="5" t="inlineStr">
        <is>
          <t>GreenMetric - Nacional</t>
        </is>
      </c>
      <c r="C573" s="5" t="inlineStr">
        <is>
          <t>GESTIÓN AMBIENTAL</t>
        </is>
      </c>
      <c r="D573" s="5" t="inlineStr">
        <is>
          <t>Anual</t>
        </is>
      </c>
      <c r="E573" s="5" t="inlineStr">
        <is>
          <t>Negativo</t>
        </is>
      </c>
      <c r="F573" s="144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25</v>
      </c>
      <c r="K573" s="5" t="n">
        <v>13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244-2025-12-31</t>
        </is>
      </c>
    </row>
    <row r="574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144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87</v>
      </c>
      <c r="K574" s="10" t="n">
        <v>97.84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245-2023-06-30</t>
        </is>
      </c>
    </row>
    <row r="575">
      <c r="A575" s="39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144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87</v>
      </c>
      <c r="K575" s="5" t="n">
        <v>98.14</v>
      </c>
      <c r="L575" s="120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245-2023-12-31</t>
        </is>
      </c>
    </row>
    <row r="576">
      <c r="A576" s="5" t="n">
        <v>245</v>
      </c>
      <c r="B576" s="5" t="inlineStr">
        <is>
          <t>Permanencia Intersemestral</t>
        </is>
      </c>
      <c r="C576" s="5" t="inlineStr">
        <is>
          <t>Permanencia</t>
        </is>
      </c>
      <c r="D576" s="5" t="inlineStr">
        <is>
          <t>Semestral</t>
        </is>
      </c>
      <c r="E576" s="5" t="inlineStr">
        <is>
          <t>Positivo</t>
        </is>
      </c>
      <c r="F576" s="144" t="n">
        <v>45473</v>
      </c>
      <c r="G576" s="5" t="n">
        <v>2024</v>
      </c>
      <c r="H576" s="5" t="inlineStr">
        <is>
          <t>Junio</t>
        </is>
      </c>
      <c r="I576" s="6" t="inlineStr">
        <is>
          <t>2024-1</t>
        </is>
      </c>
      <c r="J576" s="5" t="n">
        <v>100</v>
      </c>
      <c r="K576" s="5" t="n">
        <v>100.15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245-2024-06-30</t>
        </is>
      </c>
    </row>
    <row r="577">
      <c r="A577" s="39" t="n">
        <v>245</v>
      </c>
      <c r="B577" s="5" t="inlineStr">
        <is>
          <t>Permanencia Intersemestral</t>
        </is>
      </c>
      <c r="C577" s="5" t="inlineStr">
        <is>
          <t>Permanencia</t>
        </is>
      </c>
      <c r="D577" s="5" t="inlineStr">
        <is>
          <t>Semestral</t>
        </is>
      </c>
      <c r="E577" s="5" t="inlineStr">
        <is>
          <t>Positivo</t>
        </is>
      </c>
      <c r="F577" s="144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5" t="n">
        <v>100.22</v>
      </c>
      <c r="L577" s="120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245-2024-12-31</t>
        </is>
      </c>
    </row>
    <row r="578">
      <c r="A578" s="43" t="n">
        <v>245</v>
      </c>
      <c r="B578" s="5" t="inlineStr">
        <is>
          <t>Permanencia Intersemestral</t>
        </is>
      </c>
      <c r="C578" s="5" t="inlineStr">
        <is>
          <t>Permanencia</t>
        </is>
      </c>
      <c r="D578" s="5" t="inlineStr">
        <is>
          <t>Semestral</t>
        </is>
      </c>
      <c r="E578" s="5" t="inlineStr">
        <is>
          <t>Positivo</t>
        </is>
      </c>
      <c r="F578" s="144" t="n">
        <v>45838</v>
      </c>
      <c r="G578" s="5" t="n">
        <v>2025</v>
      </c>
      <c r="H578" s="5" t="inlineStr">
        <is>
          <t>Junio</t>
        </is>
      </c>
      <c r="I578" s="6" t="inlineStr">
        <is>
          <t>2025-1</t>
        </is>
      </c>
      <c r="J578" s="5" t="n">
        <v>100</v>
      </c>
      <c r="K578" s="5" t="n">
        <v>100.93</v>
      </c>
      <c r="L578" s="120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245-2025-06-30</t>
        </is>
      </c>
    </row>
    <row r="579">
      <c r="A579" s="39" t="n">
        <v>245</v>
      </c>
      <c r="B579" s="5" t="inlineStr">
        <is>
          <t>Permanencia Intersemestral</t>
        </is>
      </c>
      <c r="C579" s="5" t="inlineStr">
        <is>
          <t>Permanencia</t>
        </is>
      </c>
      <c r="D579" s="5" t="inlineStr">
        <is>
          <t>Semestral</t>
        </is>
      </c>
      <c r="E579" s="5" t="inlineStr">
        <is>
          <t>Positivo</t>
        </is>
      </c>
      <c r="F579" s="144" t="n">
        <v>46022</v>
      </c>
      <c r="G579" s="5" t="n">
        <v>2025</v>
      </c>
      <c r="H579" s="5" t="inlineStr">
        <is>
          <t>Diciembre</t>
        </is>
      </c>
      <c r="I579" s="6" t="inlineStr">
        <is>
          <t>2025-2</t>
        </is>
      </c>
      <c r="J579" s="5" t="n">
        <v>100</v>
      </c>
      <c r="K579" s="5" t="n">
        <v>100.12</v>
      </c>
      <c r="L579" s="120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245-2025-12-31</t>
        </is>
      </c>
    </row>
    <row r="580">
      <c r="A580" s="5" t="n">
        <v>246</v>
      </c>
      <c r="B580" s="5" t="inlineStr">
        <is>
          <t>Satisfacción del proceso de grados</t>
        </is>
      </c>
      <c r="C580" s="5" t="inlineStr">
        <is>
          <t>Registro y Control</t>
        </is>
      </c>
      <c r="D580" s="5" t="inlineStr">
        <is>
          <t>Semestral</t>
        </is>
      </c>
      <c r="E580" s="5" t="inlineStr">
        <is>
          <t>Positivo</t>
        </is>
      </c>
      <c r="F580" s="144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85</v>
      </c>
      <c r="K580" s="5" t="n">
        <v>61.4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246-2023-12-31</t>
        </is>
      </c>
    </row>
    <row r="581">
      <c r="A581" s="5" t="n">
        <v>246</v>
      </c>
      <c r="B581" s="5" t="inlineStr">
        <is>
          <t>Satisfacción del proceso de grados presencial</t>
        </is>
      </c>
      <c r="C581" s="5" t="inlineStr">
        <is>
          <t>Registro y Control</t>
        </is>
      </c>
      <c r="D581" s="5" t="inlineStr">
        <is>
          <t>Semestral</t>
        </is>
      </c>
      <c r="E581" s="5" t="inlineStr">
        <is>
          <t>Positivo</t>
        </is>
      </c>
      <c r="F581" s="144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67.5</v>
      </c>
      <c r="K581" s="5" t="n">
        <v>92.5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246-2024-06-30</t>
        </is>
      </c>
    </row>
    <row r="582">
      <c r="A582" s="43" t="n">
        <v>246</v>
      </c>
      <c r="B582" s="5" t="inlineStr">
        <is>
          <t>Satisfacción del proceso de grados presencial</t>
        </is>
      </c>
      <c r="C582" s="5" t="inlineStr">
        <is>
          <t>Registro y Control</t>
        </is>
      </c>
      <c r="D582" s="5" t="inlineStr">
        <is>
          <t>Semestral</t>
        </is>
      </c>
      <c r="E582" s="5" t="inlineStr">
        <is>
          <t>Positivo</t>
        </is>
      </c>
      <c r="F582" s="144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67.5</v>
      </c>
      <c r="K582" s="5" t="n">
        <v>94.40000000000001</v>
      </c>
      <c r="L582" s="120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246-2024-12-31</t>
        </is>
      </c>
    </row>
    <row r="583">
      <c r="A583" s="39" t="n">
        <v>246</v>
      </c>
      <c r="B583" s="5" t="inlineStr">
        <is>
          <t>Satisfacción del proceso de grados presencial</t>
        </is>
      </c>
      <c r="C583" s="5" t="inlineStr">
        <is>
          <t>Registro y Control</t>
        </is>
      </c>
      <c r="D583" s="5" t="inlineStr">
        <is>
          <t>Semestral</t>
        </is>
      </c>
      <c r="E583" s="5" t="inlineStr">
        <is>
          <t>Positivo</t>
        </is>
      </c>
      <c r="F583" s="144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5" t="n">
        <v>90.09999999999999</v>
      </c>
      <c r="L583" s="120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246-2025-06-30</t>
        </is>
      </c>
    </row>
    <row r="584">
      <c r="A584" s="5" t="n">
        <v>246</v>
      </c>
      <c r="B584" s="5" t="inlineStr">
        <is>
          <t>Satisfacción del proceso de grados presencial</t>
        </is>
      </c>
      <c r="C584" s="5" t="inlineStr">
        <is>
          <t>Registro y Control</t>
        </is>
      </c>
      <c r="D584" s="5" t="inlineStr">
        <is>
          <t>Trimestral</t>
        </is>
      </c>
      <c r="E584" s="5" t="inlineStr">
        <is>
          <t>Positivo</t>
        </is>
      </c>
      <c r="F584" s="144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5" t="n">
        <v>92.7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246-2025-12-31</t>
        </is>
      </c>
    </row>
    <row r="585">
      <c r="A585" s="5" t="n">
        <v>247</v>
      </c>
      <c r="B585" s="5" t="inlineStr">
        <is>
          <t>Solicitud de certificados</t>
        </is>
      </c>
      <c r="C585" s="5" t="inlineStr">
        <is>
          <t>Registro y Control</t>
        </is>
      </c>
      <c r="D585" s="5" t="inlineStr">
        <is>
          <t>Mensual</t>
        </is>
      </c>
      <c r="E585" s="5" t="inlineStr">
        <is>
          <t>Positivo</t>
        </is>
      </c>
      <c r="F585" s="144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0</v>
      </c>
      <c r="K585" s="5" t="n">
        <v>70.54000000000001</v>
      </c>
      <c r="L585" s="28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n"/>
      <c r="O585" s="5" t="n"/>
      <c r="P585" s="5" t="n">
        <v>1</v>
      </c>
      <c r="Q585" s="5" t="n">
        <v>1</v>
      </c>
      <c r="R585" s="5" t="inlineStr">
        <is>
          <t>247-2023-06-30</t>
        </is>
      </c>
    </row>
    <row r="586">
      <c r="A586" s="43" t="n">
        <v>247</v>
      </c>
      <c r="B586" s="5" t="inlineStr">
        <is>
          <t>Solicitud de certificados</t>
        </is>
      </c>
      <c r="C586" s="5" t="inlineStr">
        <is>
          <t>Registro y Control</t>
        </is>
      </c>
      <c r="D586" s="5" t="inlineStr">
        <is>
          <t>Mensual</t>
        </is>
      </c>
      <c r="E586" s="5" t="inlineStr">
        <is>
          <t>Positivo</t>
        </is>
      </c>
      <c r="F586" s="144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0</v>
      </c>
      <c r="K586" s="3" t="n">
        <v>69.08</v>
      </c>
      <c r="L586" s="120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n"/>
      <c r="O586" s="5" t="n"/>
      <c r="P586" s="5" t="n">
        <v>1</v>
      </c>
      <c r="Q586" s="5" t="n">
        <v>1</v>
      </c>
      <c r="R586" s="5" t="inlineStr">
        <is>
          <t>247-2023-12-31</t>
        </is>
      </c>
    </row>
    <row r="587">
      <c r="A587" s="39" t="n">
        <v>248</v>
      </c>
      <c r="B587" s="5" t="inlineStr">
        <is>
          <t>Programas con reforzamiento curricular</t>
        </is>
      </c>
      <c r="C587" s="5" t="inlineStr">
        <is>
          <t>Gestión, Evaluación e Innovación Curricular</t>
        </is>
      </c>
      <c r="D587" s="5" t="inlineStr">
        <is>
          <t>Semestral</t>
        </is>
      </c>
      <c r="E587" s="5" t="inlineStr">
        <is>
          <t>Positivo</t>
        </is>
      </c>
      <c r="F587" s="144" t="n">
        <v>45107</v>
      </c>
      <c r="G587" s="5" t="n">
        <v>2023</v>
      </c>
      <c r="H587" s="5" t="inlineStr">
        <is>
          <t>Junio</t>
        </is>
      </c>
      <c r="I587" s="6" t="inlineStr">
        <is>
          <t>2023-1</t>
        </is>
      </c>
      <c r="J587" s="5" t="n">
        <v>27</v>
      </c>
      <c r="K587" s="3" t="n">
        <v>27</v>
      </c>
      <c r="L587" s="120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n"/>
      <c r="O587" s="5" t="n"/>
      <c r="P587" s="5" t="n">
        <v>0</v>
      </c>
      <c r="Q587" s="5" t="n">
        <v>0</v>
      </c>
      <c r="R587" s="5" t="inlineStr">
        <is>
          <t>248-2023-06-30</t>
        </is>
      </c>
    </row>
    <row r="588">
      <c r="A588" s="5" t="n">
        <v>248</v>
      </c>
      <c r="B588" s="5" t="inlineStr">
        <is>
          <t>Programas con reforzamiento curricular</t>
        </is>
      </c>
      <c r="C588" s="5" t="inlineStr">
        <is>
          <t>Gestión, Evaluación e Innovación Curricular</t>
        </is>
      </c>
      <c r="D588" s="5" t="inlineStr">
        <is>
          <t>Semestral</t>
        </is>
      </c>
      <c r="E588" s="5" t="inlineStr">
        <is>
          <t>Positivo</t>
        </is>
      </c>
      <c r="F588" s="144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17</v>
      </c>
      <c r="K588" s="5" t="n">
        <v>17</v>
      </c>
      <c r="L588" s="28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n"/>
      <c r="O588" s="5" t="n"/>
      <c r="P588" s="5" t="n">
        <v>0</v>
      </c>
      <c r="Q588" s="5" t="n">
        <v>0</v>
      </c>
      <c r="R588" s="5" t="inlineStr">
        <is>
          <t>248-2023-12-31</t>
        </is>
      </c>
    </row>
    <row r="589">
      <c r="A589" s="5" t="n">
        <v>249</v>
      </c>
      <c r="B589" s="5" t="inlineStr">
        <is>
          <t>Programas con matriz de resultado de aprendizaje</t>
        </is>
      </c>
      <c r="C589" s="5" t="inlineStr">
        <is>
          <t>Gestión, Evaluación e Innovación Curricular</t>
        </is>
      </c>
      <c r="D589" s="5" t="inlineStr">
        <is>
          <t>Semestral</t>
        </is>
      </c>
      <c r="E589" s="5" t="inlineStr">
        <is>
          <t>Positivo</t>
        </is>
      </c>
      <c r="F589" s="144" t="n">
        <v>45107</v>
      </c>
      <c r="G589" s="5" t="n">
        <v>2023</v>
      </c>
      <c r="H589" s="5" t="inlineStr">
        <is>
          <t>Junio</t>
        </is>
      </c>
      <c r="I589" s="6" t="inlineStr">
        <is>
          <t>2023-1</t>
        </is>
      </c>
      <c r="J589" s="5" t="n">
        <v>72</v>
      </c>
      <c r="K589" s="5" t="n">
        <v>72</v>
      </c>
      <c r="L589" s="28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n"/>
      <c r="O589" s="5" t="n"/>
      <c r="P589" s="5" t="n">
        <v>0</v>
      </c>
      <c r="Q589" s="5" t="n">
        <v>0</v>
      </c>
      <c r="R589" s="5" t="inlineStr">
        <is>
          <t>249-2023-06-30</t>
        </is>
      </c>
    </row>
    <row r="590">
      <c r="A590" s="43" t="n">
        <v>249</v>
      </c>
      <c r="B590" s="5" t="inlineStr">
        <is>
          <t>Programas con matriz de resultado de aprendizaje</t>
        </is>
      </c>
      <c r="C590" s="5" t="inlineStr">
        <is>
          <t>Gestión, Evaluación e Innovación Curricular</t>
        </is>
      </c>
      <c r="D590" s="5" t="inlineStr">
        <is>
          <t>Semestral</t>
        </is>
      </c>
      <c r="E590" s="5" t="inlineStr">
        <is>
          <t>Positivo</t>
        </is>
      </c>
      <c r="F590" s="144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26</v>
      </c>
      <c r="K590" s="3" t="n">
        <v>26</v>
      </c>
      <c r="L590" s="120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n"/>
      <c r="O590" s="5" t="n"/>
      <c r="P590" s="5" t="n">
        <v>0</v>
      </c>
      <c r="Q590" s="5" t="n">
        <v>0</v>
      </c>
      <c r="R590" s="5" t="inlineStr">
        <is>
          <t>249-2023-12-31</t>
        </is>
      </c>
    </row>
    <row r="591">
      <c r="A591" s="39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144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100</v>
      </c>
      <c r="K591" s="3" t="n">
        <v>93.87755102040816</v>
      </c>
      <c r="L591" s="120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251-2023-06-30</t>
        </is>
      </c>
    </row>
    <row r="592">
      <c r="A592" s="5" t="n">
        <v>251</v>
      </c>
      <c r="B592" s="5" t="inlineStr">
        <is>
          <t>Subprocesos Con CMI Estructurado</t>
        </is>
      </c>
      <c r="C592" s="5" t="inlineStr">
        <is>
          <t>Desempeño Institucional</t>
        </is>
      </c>
      <c r="D592" s="5" t="inlineStr">
        <is>
          <t>Trimestral</t>
        </is>
      </c>
      <c r="E592" s="5" t="inlineStr">
        <is>
          <t>Positivo</t>
        </is>
      </c>
      <c r="F592" s="144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100</v>
      </c>
      <c r="K592" s="5" t="n">
        <v>100</v>
      </c>
      <c r="L592" s="28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251-2023-12-31</t>
        </is>
      </c>
    </row>
    <row r="593">
      <c r="A593" s="5" t="n">
        <v>251</v>
      </c>
      <c r="B593" s="5" t="inlineStr">
        <is>
          <t>Subprocesos Con CMI Estructurado</t>
        </is>
      </c>
      <c r="C593" s="5" t="inlineStr">
        <is>
          <t>Desempeño Institucional</t>
        </is>
      </c>
      <c r="D593" s="5" t="inlineStr">
        <is>
          <t>Trimestral</t>
        </is>
      </c>
      <c r="E593" s="5" t="inlineStr">
        <is>
          <t>Positivo</t>
        </is>
      </c>
      <c r="F593" s="144" t="n">
        <v>45473</v>
      </c>
      <c r="G593" s="5" t="n">
        <v>2024</v>
      </c>
      <c r="H593" s="5" t="inlineStr">
        <is>
          <t>Junio</t>
        </is>
      </c>
      <c r="I593" s="6" t="inlineStr">
        <is>
          <t>2024-1</t>
        </is>
      </c>
      <c r="J593" s="5" t="n">
        <v>100</v>
      </c>
      <c r="K593" s="5" t="n">
        <v>92.45283018867924</v>
      </c>
      <c r="L593" s="28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251-2024-06-30</t>
        </is>
      </c>
    </row>
    <row r="594">
      <c r="A594" s="43" t="n">
        <v>251</v>
      </c>
      <c r="B594" s="5" t="inlineStr">
        <is>
          <t>Subprocesos Con CMI Estructurado</t>
        </is>
      </c>
      <c r="C594" s="5" t="inlineStr">
        <is>
          <t>Desempeño Institucional</t>
        </is>
      </c>
      <c r="D594" s="5" t="inlineStr">
        <is>
          <t>Trimestral</t>
        </is>
      </c>
      <c r="E594" s="5" t="inlineStr">
        <is>
          <t>Positivo</t>
        </is>
      </c>
      <c r="F594" s="144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96.22641509433964</v>
      </c>
      <c r="L594" s="120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251-2024-12-31</t>
        </is>
      </c>
    </row>
    <row r="595">
      <c r="A595" s="39" t="n">
        <v>251</v>
      </c>
      <c r="B595" s="5" t="inlineStr">
        <is>
          <t>Subprocesos Con CMI Estructurado</t>
        </is>
      </c>
      <c r="C595" s="5" t="inlineStr">
        <is>
          <t>Desempeño Institucional</t>
        </is>
      </c>
      <c r="D595" s="5" t="inlineStr">
        <is>
          <t>Trimestral</t>
        </is>
      </c>
      <c r="E595" s="5" t="inlineStr">
        <is>
          <t>Positivo</t>
        </is>
      </c>
      <c r="F595" s="144" t="n">
        <v>45838</v>
      </c>
      <c r="G595" s="5" t="n">
        <v>2025</v>
      </c>
      <c r="H595" s="5" t="inlineStr">
        <is>
          <t>Junio</t>
        </is>
      </c>
      <c r="I595" s="6" t="inlineStr">
        <is>
          <t>2025-1</t>
        </is>
      </c>
      <c r="J595" s="5" t="n">
        <v>100</v>
      </c>
      <c r="K595" s="5" t="n">
        <v>82.34999999999999</v>
      </c>
      <c r="L595" s="120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251-2025-06-30</t>
        </is>
      </c>
    </row>
    <row r="596">
      <c r="A596" s="5" t="n">
        <v>251</v>
      </c>
      <c r="B596" s="5" t="inlineStr">
        <is>
          <t>Subprocesos Con indicadores definidos</t>
        </is>
      </c>
      <c r="C596" s="5" t="inlineStr">
        <is>
          <t>Desempeño Institucional</t>
        </is>
      </c>
      <c r="D596" s="5" t="inlineStr">
        <is>
          <t>Semestral</t>
        </is>
      </c>
      <c r="E596" s="5" t="inlineStr">
        <is>
          <t>Positivo</t>
        </is>
      </c>
      <c r="F596" s="144" t="n">
        <v>46022</v>
      </c>
      <c r="G596" s="5" t="n">
        <v>2025</v>
      </c>
      <c r="H596" s="5" t="inlineStr">
        <is>
          <t>Diciembre</t>
        </is>
      </c>
      <c r="I596" s="6" t="inlineStr">
        <is>
          <t>2025-2</t>
        </is>
      </c>
      <c r="J596" s="5" t="n">
        <v>100</v>
      </c>
      <c r="K596" s="5" t="n">
        <v>100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251-2025-12-31</t>
        </is>
      </c>
    </row>
    <row r="597">
      <c r="A597" s="5" t="n">
        <v>252</v>
      </c>
      <c r="B597" s="5" t="inlineStr">
        <is>
          <t>Permanencia intersemestral ingresantes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44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68</v>
      </c>
      <c r="K597" s="5" t="n">
        <v>98.81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2</v>
      </c>
      <c r="Q597" s="5" t="n">
        <v>2</v>
      </c>
      <c r="R597" s="5" t="inlineStr">
        <is>
          <t>252-2023-06-30</t>
        </is>
      </c>
    </row>
    <row r="598">
      <c r="A598" s="43" t="n">
        <v>252</v>
      </c>
      <c r="B598" s="5" t="inlineStr">
        <is>
          <t>Permanencia intersemestral ingresantes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44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68</v>
      </c>
      <c r="K598" s="5" t="n">
        <v>109.91</v>
      </c>
      <c r="L598" s="120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2</v>
      </c>
      <c r="Q598" s="5" t="n">
        <v>2</v>
      </c>
      <c r="R598" s="5" t="inlineStr">
        <is>
          <t>252-2023-12-31</t>
        </is>
      </c>
    </row>
    <row r="599">
      <c r="A599" s="39" t="n">
        <v>252</v>
      </c>
      <c r="B599" s="5" t="inlineStr">
        <is>
          <t>Permanencia intersemestral ingresantes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44" t="n">
        <v>45473</v>
      </c>
      <c r="G599" s="5" t="n">
        <v>2024</v>
      </c>
      <c r="H599" s="5" t="inlineStr">
        <is>
          <t>Junio</t>
        </is>
      </c>
      <c r="I599" s="6" t="inlineStr">
        <is>
          <t>2024-1</t>
        </is>
      </c>
      <c r="J599" s="5" t="n">
        <v>68.5</v>
      </c>
      <c r="K599" s="5" t="n">
        <v>104.47</v>
      </c>
      <c r="L599" s="120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252-2024-06-30</t>
        </is>
      </c>
    </row>
    <row r="600">
      <c r="A600" s="5" t="n">
        <v>252</v>
      </c>
      <c r="B600" s="5" t="inlineStr">
        <is>
          <t>Permanencia intersemestral ingresantes</t>
        </is>
      </c>
      <c r="C600" s="5" t="inlineStr">
        <is>
          <t>Permanencia</t>
        </is>
      </c>
      <c r="D600" s="5" t="inlineStr">
        <is>
          <t>Semestral</t>
        </is>
      </c>
      <c r="E600" s="5" t="inlineStr">
        <is>
          <t>Positivo</t>
        </is>
      </c>
      <c r="F600" s="144" t="n">
        <v>45657</v>
      </c>
      <c r="G600" s="5" t="n">
        <v>2024</v>
      </c>
      <c r="H600" s="5" t="inlineStr">
        <is>
          <t>Diciembre</t>
        </is>
      </c>
      <c r="I600" s="6" t="inlineStr">
        <is>
          <t>2024-2</t>
        </is>
      </c>
      <c r="J600" s="5" t="n">
        <v>72.90000000000001</v>
      </c>
      <c r="K600" s="5" t="n">
        <v>99.48999999999999</v>
      </c>
      <c r="L600" s="28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252-2024-12-31</t>
        </is>
      </c>
    </row>
    <row r="601">
      <c r="A601" s="5" t="n">
        <v>252</v>
      </c>
      <c r="B601" s="5" t="inlineStr">
        <is>
          <t>Permanencia intersemestral ingresantes</t>
        </is>
      </c>
      <c r="C601" s="5" t="inlineStr">
        <is>
          <t>Permanencia</t>
        </is>
      </c>
      <c r="D601" s="5" t="inlineStr">
        <is>
          <t>Semestral</t>
        </is>
      </c>
      <c r="E601" s="5" t="inlineStr">
        <is>
          <t>Positivo</t>
        </is>
      </c>
      <c r="F601" s="144" t="n">
        <v>45838</v>
      </c>
      <c r="G601" s="5" t="n">
        <v>2025</v>
      </c>
      <c r="H601" s="5" t="inlineStr">
        <is>
          <t>Junio</t>
        </is>
      </c>
      <c r="I601" s="6" t="inlineStr">
        <is>
          <t>2025-1</t>
        </is>
      </c>
      <c r="J601" s="5" t="n">
        <v>100</v>
      </c>
      <c r="K601" s="5" t="n">
        <v>99.58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252-2025-06-30</t>
        </is>
      </c>
    </row>
    <row r="602">
      <c r="A602" s="43" t="n">
        <v>252</v>
      </c>
      <c r="B602" s="5" t="inlineStr">
        <is>
          <t>Tasa de Permanencia Intersemestral de Estudiantes Ingresantes</t>
        </is>
      </c>
      <c r="C602" s="5" t="inlineStr">
        <is>
          <t>Permanencia</t>
        </is>
      </c>
      <c r="D602" s="5" t="inlineStr">
        <is>
          <t>Trimestral</t>
        </is>
      </c>
      <c r="E602" s="5" t="inlineStr">
        <is>
          <t>Positivo</t>
        </is>
      </c>
      <c r="F602" s="144" t="n">
        <v>46022</v>
      </c>
      <c r="G602" s="5" t="n">
        <v>2025</v>
      </c>
      <c r="H602" s="5" t="inlineStr">
        <is>
          <t>Diciembre</t>
        </is>
      </c>
      <c r="I602" s="6" t="inlineStr">
        <is>
          <t>2025-2</t>
        </is>
      </c>
      <c r="J602" s="5" t="n">
        <v>100</v>
      </c>
      <c r="K602" s="5" t="n">
        <v>104.31</v>
      </c>
      <c r="L602" s="120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1</v>
      </c>
      <c r="Q602" s="5" t="n">
        <v>1</v>
      </c>
      <c r="R602" s="5" t="inlineStr">
        <is>
          <t>252-2025-12-31</t>
        </is>
      </c>
    </row>
    <row r="603">
      <c r="A603" s="39" t="n">
        <v>253</v>
      </c>
      <c r="B603" s="5" t="inlineStr">
        <is>
          <t>Oportunidad en la entrega de informes de auditoria</t>
        </is>
      </c>
      <c r="C603" s="5" t="inlineStr">
        <is>
          <t>AUDITORÍA INTERNA</t>
        </is>
      </c>
      <c r="D603" s="5" t="inlineStr">
        <is>
          <t>Bimestral</t>
        </is>
      </c>
      <c r="E603" s="5" t="inlineStr">
        <is>
          <t>Negativo</t>
        </is>
      </c>
      <c r="F603" s="144" t="n">
        <v>45046</v>
      </c>
      <c r="G603" s="5" t="n">
        <v>2023</v>
      </c>
      <c r="H603" s="5" t="inlineStr">
        <is>
          <t>Abril</t>
        </is>
      </c>
      <c r="I603" s="6" t="inlineStr">
        <is>
          <t>2023-1</t>
        </is>
      </c>
      <c r="J603" s="5" t="n">
        <v>8</v>
      </c>
      <c r="K603" s="5" t="n">
        <v>8</v>
      </c>
      <c r="L603" s="120">
        <f>IFERROR(IF(OR(J603=0,K603=""),"",IF(E603="Positivo",MIN(MAX(K603/J603,0),1.3),MIN(MAX(J603/K603,0),1.3))),"") </f>
        <v/>
      </c>
      <c r="M603" s="28">
        <f>IFERROR(IF(OR(J603=0,K603=""),"",IF(E603="Positivo",MAX(K603/J603,0),MAX(J603/K603,0))),"") </f>
        <v/>
      </c>
      <c r="N603" s="5" t="inlineStr">
        <is>
          <t>Días</t>
        </is>
      </c>
      <c r="O603" s="5" t="inlineStr">
        <is>
          <t>Días</t>
        </is>
      </c>
      <c r="P603" s="5" t="n">
        <v>0</v>
      </c>
      <c r="Q603" s="5" t="n">
        <v>0</v>
      </c>
      <c r="R603" s="5" t="inlineStr">
        <is>
          <t>253-2023-04-30</t>
        </is>
      </c>
    </row>
    <row r="604">
      <c r="A604" s="5" t="n">
        <v>253</v>
      </c>
      <c r="B604" s="5" t="inlineStr">
        <is>
          <t>Oportunidad en la entrega de informes de auditoria</t>
        </is>
      </c>
      <c r="C604" s="5" t="inlineStr">
        <is>
          <t>AUDITORÍA INTERNA</t>
        </is>
      </c>
      <c r="D604" s="5" t="inlineStr">
        <is>
          <t>Bimestral</t>
        </is>
      </c>
      <c r="E604" s="5" t="inlineStr">
        <is>
          <t>Negativo</t>
        </is>
      </c>
      <c r="F604" s="144" t="n">
        <v>45107</v>
      </c>
      <c r="G604" s="5" t="n">
        <v>2023</v>
      </c>
      <c r="H604" s="5" t="inlineStr">
        <is>
          <t>Junio</t>
        </is>
      </c>
      <c r="I604" s="6" t="inlineStr">
        <is>
          <t>2023-1</t>
        </is>
      </c>
      <c r="J604" s="5" t="n">
        <v>8</v>
      </c>
      <c r="K604" s="5" t="n">
        <v>4.5</v>
      </c>
      <c r="L604" s="28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Días</t>
        </is>
      </c>
      <c r="O604" s="5" t="inlineStr">
        <is>
          <t>Días</t>
        </is>
      </c>
      <c r="P604" s="5" t="n">
        <v>0</v>
      </c>
      <c r="Q604" s="5" t="n">
        <v>0</v>
      </c>
      <c r="R604" s="5" t="inlineStr">
        <is>
          <t>253-2023-06-30</t>
        </is>
      </c>
    </row>
    <row r="605">
      <c r="A605" s="5" t="n">
        <v>253</v>
      </c>
      <c r="B605" s="5" t="inlineStr">
        <is>
          <t>Oportunidad en la entrega de informes de auditoria</t>
        </is>
      </c>
      <c r="C605" s="5" t="inlineStr">
        <is>
          <t>AUDITORÍA INTERNA</t>
        </is>
      </c>
      <c r="D605" s="5" t="inlineStr">
        <is>
          <t>Bimestral</t>
        </is>
      </c>
      <c r="E605" s="5" t="inlineStr">
        <is>
          <t>Negativo</t>
        </is>
      </c>
      <c r="F605" s="144" t="n">
        <v>45169</v>
      </c>
      <c r="G605" s="5" t="n">
        <v>2023</v>
      </c>
      <c r="H605" s="5" t="inlineStr">
        <is>
          <t>Agosto</t>
        </is>
      </c>
      <c r="I605" s="6" t="inlineStr">
        <is>
          <t>2023-2</t>
        </is>
      </c>
      <c r="J605" s="5" t="n">
        <v>8</v>
      </c>
      <c r="K605" s="5" t="n">
        <v>4.5</v>
      </c>
      <c r="L605" s="28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Días</t>
        </is>
      </c>
      <c r="O605" s="5" t="inlineStr">
        <is>
          <t>Días</t>
        </is>
      </c>
      <c r="P605" s="5" t="n">
        <v>0</v>
      </c>
      <c r="Q605" s="5" t="n">
        <v>0</v>
      </c>
      <c r="R605" s="5" t="inlineStr">
        <is>
          <t>253-2023-08-31</t>
        </is>
      </c>
    </row>
    <row r="606">
      <c r="A606" s="43" t="n">
        <v>253</v>
      </c>
      <c r="B606" s="5" t="inlineStr">
        <is>
          <t>Oportunidad en la entrega de informes de auditoria</t>
        </is>
      </c>
      <c r="C606" s="5" t="inlineStr">
        <is>
          <t>AUDITORÍA INTERNA</t>
        </is>
      </c>
      <c r="D606" s="5" t="inlineStr">
        <is>
          <t>Bimestral</t>
        </is>
      </c>
      <c r="E606" s="5" t="inlineStr">
        <is>
          <t>Negativo</t>
        </is>
      </c>
      <c r="F606" s="144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8</v>
      </c>
      <c r="K606" s="5" t="n">
        <v>5.8</v>
      </c>
      <c r="L606" s="120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Días</t>
        </is>
      </c>
      <c r="O606" s="5" t="inlineStr">
        <is>
          <t>Días</t>
        </is>
      </c>
      <c r="P606" s="5" t="n">
        <v>0</v>
      </c>
      <c r="Q606" s="5" t="n">
        <v>0</v>
      </c>
      <c r="R606" s="5" t="inlineStr">
        <is>
          <t>253-2023-10-31</t>
        </is>
      </c>
    </row>
    <row r="607">
      <c r="A607" s="39" t="n">
        <v>253</v>
      </c>
      <c r="B607" s="5" t="inlineStr">
        <is>
          <t>Oportunidad en la entrega de informes de auditoria</t>
        </is>
      </c>
      <c r="C607" s="5" t="inlineStr">
        <is>
          <t>AUDITORÍA INTERNA</t>
        </is>
      </c>
      <c r="D607" s="5" t="inlineStr">
        <is>
          <t>Bimestral</t>
        </is>
      </c>
      <c r="E607" s="5" t="inlineStr">
        <is>
          <t>Negativo</t>
        </is>
      </c>
      <c r="F607" s="144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8</v>
      </c>
      <c r="K607" s="5" t="n">
        <v>5</v>
      </c>
      <c r="L607" s="120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Días</t>
        </is>
      </c>
      <c r="O607" s="5" t="inlineStr">
        <is>
          <t>Días</t>
        </is>
      </c>
      <c r="P607" s="5" t="n">
        <v>0</v>
      </c>
      <c r="Q607" s="5" t="n">
        <v>0</v>
      </c>
      <c r="R607" s="5" t="inlineStr">
        <is>
          <t>253-2023-12-31</t>
        </is>
      </c>
    </row>
    <row r="608">
      <c r="A608" s="5" t="n">
        <v>254</v>
      </c>
      <c r="B608" s="5" t="inlineStr">
        <is>
          <t>Áreas con reportes de plan de retos</t>
        </is>
      </c>
      <c r="C608" s="5" t="inlineStr">
        <is>
          <t>Planeación Estratégica</t>
        </is>
      </c>
      <c r="D608" s="5" t="inlineStr">
        <is>
          <t>Trimestral</t>
        </is>
      </c>
      <c r="E608" s="5" t="inlineStr">
        <is>
          <t>Positivo</t>
        </is>
      </c>
      <c r="F608" s="144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100</v>
      </c>
      <c r="K608" s="5" t="n">
        <v>100</v>
      </c>
      <c r="L608" s="28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254-2023-06-30</t>
        </is>
      </c>
    </row>
    <row r="609">
      <c r="A609" s="5" t="n">
        <v>254</v>
      </c>
      <c r="B609" s="5" t="inlineStr">
        <is>
          <t>Áreas con reportes de plan de retos</t>
        </is>
      </c>
      <c r="C609" s="5" t="inlineStr">
        <is>
          <t>Planeación Estratégica</t>
        </is>
      </c>
      <c r="D609" s="5" t="inlineStr">
        <is>
          <t>Trimestral</t>
        </is>
      </c>
      <c r="E609" s="5" t="inlineStr">
        <is>
          <t>Positivo</t>
        </is>
      </c>
      <c r="F609" s="144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100</v>
      </c>
      <c r="K609" s="5" t="n">
        <v>100</v>
      </c>
      <c r="L609" s="28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254-2023-12-31</t>
        </is>
      </c>
    </row>
    <row r="610">
      <c r="A610" s="43" t="n">
        <v>254</v>
      </c>
      <c r="B610" s="5" t="inlineStr">
        <is>
          <t>Áreas con reportes de plan de retos</t>
        </is>
      </c>
      <c r="C610" s="5" t="inlineStr">
        <is>
          <t>Planeación Estratégica</t>
        </is>
      </c>
      <c r="D610" s="5" t="inlineStr">
        <is>
          <t>Trimestral</t>
        </is>
      </c>
      <c r="E610" s="5" t="inlineStr">
        <is>
          <t>Positivo</t>
        </is>
      </c>
      <c r="F610" s="144" t="n">
        <v>45473</v>
      </c>
      <c r="G610" s="5" t="n">
        <v>2024</v>
      </c>
      <c r="H610" s="5" t="inlineStr">
        <is>
          <t>Junio</t>
        </is>
      </c>
      <c r="I610" s="6" t="inlineStr">
        <is>
          <t>2024-1</t>
        </is>
      </c>
      <c r="J610" s="5" t="n">
        <v>100</v>
      </c>
      <c r="K610" s="5" t="n">
        <v>100</v>
      </c>
      <c r="L610" s="120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254-2024-06-30</t>
        </is>
      </c>
    </row>
    <row r="611">
      <c r="A611" s="39" t="n">
        <v>254</v>
      </c>
      <c r="B611" s="5" t="inlineStr">
        <is>
          <t>Áreas con reportes de plan de retos</t>
        </is>
      </c>
      <c r="C611" s="5" t="inlineStr">
        <is>
          <t>Planeación Estratégica</t>
        </is>
      </c>
      <c r="D611" s="5" t="inlineStr">
        <is>
          <t>Trimestral</t>
        </is>
      </c>
      <c r="E611" s="5" t="inlineStr">
        <is>
          <t>Positivo</t>
        </is>
      </c>
      <c r="F611" s="144" t="n">
        <v>45657</v>
      </c>
      <c r="G611" s="5" t="n">
        <v>2024</v>
      </c>
      <c r="H611" s="5" t="inlineStr">
        <is>
          <t>Diciembre</t>
        </is>
      </c>
      <c r="I611" s="6" t="inlineStr">
        <is>
          <t>2024-2</t>
        </is>
      </c>
      <c r="J611" s="5" t="n">
        <v>100</v>
      </c>
      <c r="K611" s="5" t="n">
        <v>100</v>
      </c>
      <c r="L611" s="120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254-2024-12-31</t>
        </is>
      </c>
    </row>
    <row r="612">
      <c r="A612" s="5" t="n">
        <v>254</v>
      </c>
      <c r="B612" s="5" t="inlineStr">
        <is>
          <t>Áreas con reportes de plan de retos</t>
        </is>
      </c>
      <c r="C612" s="5" t="inlineStr">
        <is>
          <t>Planeación Estratégica</t>
        </is>
      </c>
      <c r="D612" s="5" t="inlineStr">
        <is>
          <t>Trimestral</t>
        </is>
      </c>
      <c r="E612" s="5" t="inlineStr">
        <is>
          <t>Positivo</t>
        </is>
      </c>
      <c r="F612" s="144" t="n">
        <v>45838</v>
      </c>
      <c r="G612" s="5" t="n">
        <v>2025</v>
      </c>
      <c r="H612" s="5" t="inlineStr">
        <is>
          <t>Junio</t>
        </is>
      </c>
      <c r="I612" s="6" t="inlineStr">
        <is>
          <t>2025-1</t>
        </is>
      </c>
      <c r="J612" s="5" t="n">
        <v>100</v>
      </c>
      <c r="K612" s="5" t="n">
        <v>100</v>
      </c>
      <c r="L612" s="28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254-2025-06-30</t>
        </is>
      </c>
    </row>
    <row r="613">
      <c r="A613" s="5" t="n">
        <v>254</v>
      </c>
      <c r="B613" s="5" t="inlineStr">
        <is>
          <t>Áreas con reportes de plan de retos</t>
        </is>
      </c>
      <c r="C613" s="5" t="inlineStr">
        <is>
          <t>Planeación Estratégica</t>
        </is>
      </c>
      <c r="D613" s="5" t="inlineStr">
        <is>
          <t>Semestral</t>
        </is>
      </c>
      <c r="E613" s="5" t="inlineStr">
        <is>
          <t>Positivo</t>
        </is>
      </c>
      <c r="F613" s="144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100</v>
      </c>
      <c r="K613" s="5" t="n">
        <v>100</v>
      </c>
      <c r="L613" s="28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254-2025-12-31</t>
        </is>
      </c>
    </row>
    <row r="614">
      <c r="A614" s="43" t="n">
        <v>255</v>
      </c>
      <c r="B614" s="5" t="inlineStr">
        <is>
          <t>Informe anual de variación de índice H</t>
        </is>
      </c>
      <c r="C614" s="5" t="inlineStr">
        <is>
          <t>Editorial y Publicaciones</t>
        </is>
      </c>
      <c r="D614" s="5" t="inlineStr">
        <is>
          <t>Anual</t>
        </is>
      </c>
      <c r="E614" s="5" t="inlineStr">
        <is>
          <t>Positivo</t>
        </is>
      </c>
      <c r="F614" s="144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100</v>
      </c>
      <c r="K614" s="5" t="n">
        <v>18</v>
      </c>
      <c r="L614" s="120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n"/>
      <c r="O614" s="5" t="n"/>
      <c r="P614" s="5" t="n">
        <v>0</v>
      </c>
      <c r="Q614" s="5" t="n">
        <v>0</v>
      </c>
      <c r="R614" s="5" t="inlineStr">
        <is>
          <t>255-2023-12-31</t>
        </is>
      </c>
    </row>
    <row r="615">
      <c r="A615" s="39" t="n">
        <v>255</v>
      </c>
      <c r="B615" s="5" t="inlineStr">
        <is>
          <t>Informe anual de variación de índice H</t>
        </is>
      </c>
      <c r="C615" s="5" t="inlineStr">
        <is>
          <t>Editorial y Publicaciones</t>
        </is>
      </c>
      <c r="D615" s="5" t="inlineStr">
        <is>
          <t>Anual</t>
        </is>
      </c>
      <c r="E615" s="5" t="inlineStr">
        <is>
          <t>Positivo</t>
        </is>
      </c>
      <c r="F615" s="144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100</v>
      </c>
      <c r="K615" s="5" t="n">
        <v>15</v>
      </c>
      <c r="L615" s="120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n"/>
      <c r="O615" s="5" t="n"/>
      <c r="P615" s="5" t="n">
        <v>0</v>
      </c>
      <c r="Q615" s="5" t="n">
        <v>0</v>
      </c>
      <c r="R615" s="5" t="inlineStr">
        <is>
          <t>255-2024-12-31</t>
        </is>
      </c>
    </row>
    <row r="616">
      <c r="A616" s="5" t="n">
        <v>255</v>
      </c>
      <c r="B616" s="5" t="inlineStr">
        <is>
          <t>Informe anual de índice H</t>
        </is>
      </c>
      <c r="C616" s="5" t="inlineStr">
        <is>
          <t>Editorial y Publicaciones</t>
        </is>
      </c>
      <c r="D616" s="5" t="inlineStr">
        <is>
          <t>Anual</t>
        </is>
      </c>
      <c r="E616" s="5" t="inlineStr">
        <is>
          <t>Positivo</t>
        </is>
      </c>
      <c r="F616" s="144" t="n">
        <v>46022</v>
      </c>
      <c r="G616" s="5" t="n">
        <v>2025</v>
      </c>
      <c r="H616" s="5" t="inlineStr">
        <is>
          <t>Diciembre</t>
        </is>
      </c>
      <c r="I616" s="6" t="inlineStr">
        <is>
          <t>2025-2</t>
        </is>
      </c>
      <c r="J616" s="5" t="n"/>
      <c r="K616" s="5" t="n">
        <v>17.5</v>
      </c>
      <c r="L616" s="28" t="n"/>
      <c r="M616" s="28" t="n"/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255-2025-12-31</t>
        </is>
      </c>
    </row>
    <row r="617">
      <c r="A617" s="5" t="n">
        <v>256</v>
      </c>
      <c r="B617" s="5" t="inlineStr">
        <is>
          <t>Publicaciones editadas por la editorial</t>
        </is>
      </c>
      <c r="C617" s="5" t="inlineStr">
        <is>
          <t>Editorial y Publicaciones</t>
        </is>
      </c>
      <c r="D617" s="5" t="inlineStr">
        <is>
          <t>Semestral</t>
        </is>
      </c>
      <c r="E617" s="5" t="inlineStr">
        <is>
          <t>Positivo</t>
        </is>
      </c>
      <c r="F617" s="144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123.52941176471</v>
      </c>
      <c r="L617" s="28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256-2023-06-30</t>
        </is>
      </c>
    </row>
    <row r="618">
      <c r="A618" s="43" t="n">
        <v>256</v>
      </c>
      <c r="B618" s="5" t="inlineStr">
        <is>
          <t>Publicaciones editadas por la editorial</t>
        </is>
      </c>
      <c r="C618" s="5" t="inlineStr">
        <is>
          <t>Editorial y Publicaciones</t>
        </is>
      </c>
      <c r="D618" s="5" t="inlineStr">
        <is>
          <t>Semestral</t>
        </is>
      </c>
      <c r="E618" s="5" t="inlineStr">
        <is>
          <t>Positivo</t>
        </is>
      </c>
      <c r="F618" s="144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123.53</v>
      </c>
      <c r="L618" s="120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256-2023-12-31</t>
        </is>
      </c>
    </row>
    <row r="619">
      <c r="A619" s="39" t="n">
        <v>256</v>
      </c>
      <c r="B619" s="5" t="inlineStr">
        <is>
          <t>Publicaciones editadas por la editorial</t>
        </is>
      </c>
      <c r="C619" s="5" t="inlineStr">
        <is>
          <t>Editorial y Publicaciones</t>
        </is>
      </c>
      <c r="D619" s="5" t="inlineStr">
        <is>
          <t>Semestral</t>
        </is>
      </c>
      <c r="E619" s="5" t="inlineStr">
        <is>
          <t>Positivo</t>
        </is>
      </c>
      <c r="F619" s="144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117.65</v>
      </c>
      <c r="L619" s="120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256-2024-06-30</t>
        </is>
      </c>
    </row>
    <row r="620">
      <c r="A620" s="39" t="n">
        <v>256</v>
      </c>
      <c r="B620" s="5" t="inlineStr">
        <is>
          <t>Publicaciones editadas por la editorial</t>
        </is>
      </c>
      <c r="C620" s="5" t="inlineStr">
        <is>
          <t>Editorial y Publicaciones</t>
        </is>
      </c>
      <c r="D620" s="5" t="inlineStr">
        <is>
          <t>Semestral</t>
        </is>
      </c>
      <c r="E620" s="5" t="inlineStr">
        <is>
          <t>Positivo</t>
        </is>
      </c>
      <c r="F620" s="144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100</v>
      </c>
      <c r="K620" s="5" t="n">
        <v>152.94</v>
      </c>
      <c r="L620" s="120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256-2024-12-31</t>
        </is>
      </c>
    </row>
    <row r="621">
      <c r="A621" s="5" t="n">
        <v>256</v>
      </c>
      <c r="B621" s="5" t="inlineStr">
        <is>
          <t>Publicaciones editadas por la editorial</t>
        </is>
      </c>
      <c r="C621" s="5" t="inlineStr">
        <is>
          <t>Editorial y Publicaciones</t>
        </is>
      </c>
      <c r="D621" s="5" t="inlineStr">
        <is>
          <t>Semestral</t>
        </is>
      </c>
      <c r="E621" s="5" t="inlineStr">
        <is>
          <t>Positivo</t>
        </is>
      </c>
      <c r="F621" s="144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256-2025-06-30</t>
        </is>
      </c>
    </row>
    <row r="622">
      <c r="A622" s="43" t="n">
        <v>256</v>
      </c>
      <c r="B622" s="5" t="inlineStr">
        <is>
          <t>Publicaciones editadas por la editorial</t>
        </is>
      </c>
      <c r="C622" s="5" t="inlineStr">
        <is>
          <t>Editorial y Publicaciones</t>
        </is>
      </c>
      <c r="D622" s="5" t="inlineStr">
        <is>
          <t>Trimestral</t>
        </is>
      </c>
      <c r="E622" s="5" t="inlineStr">
        <is>
          <t>Positivo</t>
        </is>
      </c>
      <c r="F622" s="144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5" t="n">
        <v>170.59</v>
      </c>
      <c r="L622" s="120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256-2025-12-31</t>
        </is>
      </c>
    </row>
    <row r="623">
      <c r="A623" s="39" t="n">
        <v>257</v>
      </c>
      <c r="B623" s="5" t="inlineStr">
        <is>
          <t>N de publicaciones aprobadas en convocatorias</t>
        </is>
      </c>
      <c r="C623" s="5" t="inlineStr">
        <is>
          <t>Editorial y Publicaciones</t>
        </is>
      </c>
      <c r="D623" s="5" t="inlineStr">
        <is>
          <t>Semestral</t>
        </is>
      </c>
      <c r="E623" s="5" t="inlineStr">
        <is>
          <t>Positivo</t>
        </is>
      </c>
      <c r="F623" s="144" t="n">
        <v>45107</v>
      </c>
      <c r="G623" s="5" t="n">
        <v>2023</v>
      </c>
      <c r="H623" s="5" t="inlineStr">
        <is>
          <t>Junio</t>
        </is>
      </c>
      <c r="I623" s="6" t="inlineStr">
        <is>
          <t>2023-1</t>
        </is>
      </c>
      <c r="J623" s="5" t="n">
        <v>18</v>
      </c>
      <c r="K623" s="5" t="n">
        <v>15</v>
      </c>
      <c r="L623" s="120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n"/>
      <c r="O623" s="5" t="n"/>
      <c r="P623" s="5" t="n">
        <v>0</v>
      </c>
      <c r="Q623" s="5" t="n">
        <v>0</v>
      </c>
      <c r="R623" s="5" t="inlineStr">
        <is>
          <t>257-2023-06-30</t>
        </is>
      </c>
    </row>
    <row r="624">
      <c r="A624" s="5" t="n">
        <v>257</v>
      </c>
      <c r="B624" s="5" t="inlineStr">
        <is>
          <t>N de publicaciones aprobadas en convocatorias</t>
        </is>
      </c>
      <c r="C624" s="5" t="inlineStr">
        <is>
          <t>Editorial y Publicaciones</t>
        </is>
      </c>
      <c r="D624" s="5" t="inlineStr">
        <is>
          <t>Semestral</t>
        </is>
      </c>
      <c r="E624" s="5" t="inlineStr">
        <is>
          <t>Positivo</t>
        </is>
      </c>
      <c r="F624" s="144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24</v>
      </c>
      <c r="K624" s="5" t="n">
        <v>24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n"/>
      <c r="O624" s="5" t="n"/>
      <c r="P624" s="5" t="n">
        <v>0</v>
      </c>
      <c r="Q624" s="5" t="n">
        <v>0</v>
      </c>
      <c r="R624" s="5" t="inlineStr">
        <is>
          <t>257-2023-12-31</t>
        </is>
      </c>
    </row>
    <row r="625">
      <c r="A625" s="43" t="n">
        <v>259</v>
      </c>
      <c r="B625" s="5" t="inlineStr">
        <is>
          <t>Subprocesos con indicadores reportados oportunamente</t>
        </is>
      </c>
      <c r="C625" s="5" t="inlineStr">
        <is>
          <t>Desempeño Institucional</t>
        </is>
      </c>
      <c r="D625" s="5" t="inlineStr">
        <is>
          <t>Trimestral</t>
        </is>
      </c>
      <c r="E625" s="5" t="inlineStr">
        <is>
          <t>Positivo</t>
        </is>
      </c>
      <c r="F625" s="144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100</v>
      </c>
      <c r="K625" s="5" t="n">
        <v>60.526315789474</v>
      </c>
      <c r="L625" s="120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259-2023-06-30</t>
        </is>
      </c>
    </row>
    <row r="626">
      <c r="A626" s="39" t="n">
        <v>259</v>
      </c>
      <c r="B626" s="5" t="inlineStr">
        <is>
          <t>Subprocesos con indicadores reportados oportunamente</t>
        </is>
      </c>
      <c r="C626" s="5" t="inlineStr">
        <is>
          <t>Desempeño Institucional</t>
        </is>
      </c>
      <c r="D626" s="5" t="inlineStr">
        <is>
          <t>Trimestral</t>
        </is>
      </c>
      <c r="E626" s="5" t="inlineStr">
        <is>
          <t>Positivo</t>
        </is>
      </c>
      <c r="F626" s="144" t="n">
        <v>45199</v>
      </c>
      <c r="G626" s="5" t="n">
        <v>2023</v>
      </c>
      <c r="H626" s="5" t="inlineStr">
        <is>
          <t>Septiembre</t>
        </is>
      </c>
      <c r="I626" s="6" t="inlineStr">
        <is>
          <t>2023-2</t>
        </is>
      </c>
      <c r="J626" s="5" t="n">
        <v>100</v>
      </c>
      <c r="K626" s="5" t="n">
        <v>68.75</v>
      </c>
      <c r="L626" s="120">
        <f>IFERROR(IF(OR(J626=0,K626=""),"",IF(E626="Positivo",MIN(MAX(K626/J626,0),1.3),MIN(MAX(J626/K626,0),1.3))),"") </f>
        <v/>
      </c>
      <c r="M626" s="28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259-2023-09-30</t>
        </is>
      </c>
    </row>
    <row r="627">
      <c r="A627" s="5" t="n">
        <v>259</v>
      </c>
      <c r="B627" s="5" t="inlineStr">
        <is>
          <t>Subprocesos con indicadores reportados oportunamente</t>
        </is>
      </c>
      <c r="C627" s="5" t="inlineStr">
        <is>
          <t>Desempeño Institucional</t>
        </is>
      </c>
      <c r="D627" s="5" t="inlineStr">
        <is>
          <t>Trimestral</t>
        </is>
      </c>
      <c r="E627" s="5" t="inlineStr">
        <is>
          <t>Positivo</t>
        </is>
      </c>
      <c r="F627" s="144" t="n">
        <v>45291</v>
      </c>
      <c r="G627" s="5" t="n">
        <v>2023</v>
      </c>
      <c r="H627" s="5" t="inlineStr">
        <is>
          <t>Diciembre</t>
        </is>
      </c>
      <c r="I627" s="6" t="inlineStr">
        <is>
          <t>2023-2</t>
        </is>
      </c>
      <c r="J627" s="5" t="n">
        <v>100</v>
      </c>
      <c r="K627" s="5" t="n">
        <v>70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 t="inlineStr">
        <is>
          <t>259-2023-12-31</t>
        </is>
      </c>
    </row>
    <row r="628">
      <c r="A628" s="5" t="n">
        <v>259</v>
      </c>
      <c r="B628" s="5" t="inlineStr">
        <is>
          <t>Subprocesos con indicadores reportados oportunamente</t>
        </is>
      </c>
      <c r="C628" s="5" t="inlineStr">
        <is>
          <t>Desempeño Institucional</t>
        </is>
      </c>
      <c r="D628" s="5" t="inlineStr">
        <is>
          <t>Trimestral</t>
        </is>
      </c>
      <c r="E628" s="5" t="inlineStr">
        <is>
          <t>Positivo</t>
        </is>
      </c>
      <c r="F628" s="144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90</v>
      </c>
      <c r="K628" s="5" t="n">
        <v>34.69</v>
      </c>
      <c r="L628" s="28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n"/>
      <c r="O628" s="5" t="n"/>
      <c r="P628" s="5" t="n">
        <v>0</v>
      </c>
      <c r="Q628" s="5" t="n">
        <v>0</v>
      </c>
      <c r="R628" s="5" t="inlineStr">
        <is>
          <t>259-2024-06-30</t>
        </is>
      </c>
    </row>
    <row r="629">
      <c r="A629" s="43" t="n">
        <v>259</v>
      </c>
      <c r="B629" s="5" t="inlineStr">
        <is>
          <t>Subprocesos con indicadores reportados oportunamente</t>
        </is>
      </c>
      <c r="C629" s="5" t="inlineStr">
        <is>
          <t>Desempeño Institucional</t>
        </is>
      </c>
      <c r="D629" s="5" t="inlineStr">
        <is>
          <t>Trimestral</t>
        </is>
      </c>
      <c r="E629" s="5" t="inlineStr">
        <is>
          <t>Positivo</t>
        </is>
      </c>
      <c r="F629" s="144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90</v>
      </c>
      <c r="K629" s="5" t="n">
        <v>78.43000000000001</v>
      </c>
      <c r="L629" s="120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n"/>
      <c r="O629" s="5" t="n"/>
      <c r="P629" s="5" t="n">
        <v>0</v>
      </c>
      <c r="Q629" s="5" t="n">
        <v>0</v>
      </c>
      <c r="R629" s="5" t="inlineStr">
        <is>
          <t>259-2024-12-31</t>
        </is>
      </c>
    </row>
    <row r="630">
      <c r="A630" s="39" t="n">
        <v>260</v>
      </c>
      <c r="B630" s="5" t="inlineStr">
        <is>
          <t>CES- Costumer Effort Score del proceso de Rematrícula</t>
        </is>
      </c>
      <c r="C630" s="5" t="inlineStr">
        <is>
          <t>Rematrícula</t>
        </is>
      </c>
      <c r="D630" s="5" t="inlineStr">
        <is>
          <t>Semestral</t>
        </is>
      </c>
      <c r="E630" s="5" t="inlineStr">
        <is>
          <t>Negativo</t>
        </is>
      </c>
      <c r="F630" s="144" t="n">
        <v>45107</v>
      </c>
      <c r="G630" s="5" t="n">
        <v>2023</v>
      </c>
      <c r="H630" s="5" t="inlineStr">
        <is>
          <t>Junio</t>
        </is>
      </c>
      <c r="I630" s="6" t="inlineStr">
        <is>
          <t>2023-1</t>
        </is>
      </c>
      <c r="J630" s="5" t="n">
        <v>3</v>
      </c>
      <c r="K630" s="5" t="n">
        <v>2.8</v>
      </c>
      <c r="L630" s="120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DEC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260-2023-06-30</t>
        </is>
      </c>
    </row>
    <row r="631">
      <c r="A631" s="5" t="n">
        <v>260</v>
      </c>
      <c r="B631" s="5" t="inlineStr">
        <is>
          <t>CES- Costumer Effort Score del proceso de Rematrícula</t>
        </is>
      </c>
      <c r="C631" s="5" t="inlineStr">
        <is>
          <t>Rematrícula</t>
        </is>
      </c>
      <c r="D631" s="5" t="inlineStr">
        <is>
          <t>Semestral</t>
        </is>
      </c>
      <c r="E631" s="5" t="inlineStr">
        <is>
          <t>Negativo</t>
        </is>
      </c>
      <c r="F631" s="144" t="n">
        <v>45291</v>
      </c>
      <c r="G631" s="5" t="n">
        <v>2023</v>
      </c>
      <c r="H631" s="5" t="inlineStr">
        <is>
          <t>Diciembre</t>
        </is>
      </c>
      <c r="I631" s="6" t="inlineStr">
        <is>
          <t>2023-2</t>
        </is>
      </c>
      <c r="J631" s="5" t="n">
        <v>3</v>
      </c>
      <c r="K631" s="5" t="n">
        <v>2.9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DEC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260-2023-12-31</t>
        </is>
      </c>
    </row>
    <row r="632">
      <c r="A632" s="5" t="n">
        <v>260</v>
      </c>
      <c r="B632" s="5" t="inlineStr">
        <is>
          <t>CES- Costumer Effort Score del proceso de Rematrícula</t>
        </is>
      </c>
      <c r="C632" s="5" t="inlineStr">
        <is>
          <t>Rematrícula</t>
        </is>
      </c>
      <c r="D632" s="5" t="inlineStr">
        <is>
          <t>Semestral</t>
        </is>
      </c>
      <c r="E632" s="5" t="inlineStr">
        <is>
          <t>Negativo</t>
        </is>
      </c>
      <c r="F632" s="144" t="n">
        <v>45473</v>
      </c>
      <c r="G632" s="5" t="n">
        <v>2024</v>
      </c>
      <c r="H632" s="5" t="inlineStr">
        <is>
          <t>Junio</t>
        </is>
      </c>
      <c r="I632" s="6" t="inlineStr">
        <is>
          <t>2024-1</t>
        </is>
      </c>
      <c r="J632" s="5" t="n">
        <v>2.8</v>
      </c>
      <c r="K632" s="5" t="n">
        <v>2.51</v>
      </c>
      <c r="L632" s="28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1</v>
      </c>
      <c r="R632" s="5" t="inlineStr">
        <is>
          <t>260-2024-06-30</t>
        </is>
      </c>
    </row>
    <row r="633">
      <c r="A633" s="43" t="n">
        <v>260</v>
      </c>
      <c r="B633" s="5" t="inlineStr">
        <is>
          <t>CES- Costumer Effort Score del proceso de Rematrícula</t>
        </is>
      </c>
      <c r="C633" s="5" t="inlineStr">
        <is>
          <t>Rematrícula</t>
        </is>
      </c>
      <c r="D633" s="5" t="inlineStr">
        <is>
          <t>Semestral</t>
        </is>
      </c>
      <c r="E633" s="5" t="inlineStr">
        <is>
          <t>Negativo</t>
        </is>
      </c>
      <c r="F633" s="144" t="n">
        <v>45657</v>
      </c>
      <c r="G633" s="5" t="n">
        <v>2024</v>
      </c>
      <c r="H633" s="5" t="inlineStr">
        <is>
          <t>Diciembre</t>
        </is>
      </c>
      <c r="I633" s="6" t="inlineStr">
        <is>
          <t>2024-2</t>
        </is>
      </c>
      <c r="J633" s="5" t="n">
        <v>2.8</v>
      </c>
      <c r="K633" s="5" t="n">
        <v>2.1</v>
      </c>
      <c r="L633" s="28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DEC</t>
        </is>
      </c>
      <c r="O633" s="5" t="inlineStr">
        <is>
          <t>DEC</t>
        </is>
      </c>
      <c r="P633" s="5" t="n">
        <v>1</v>
      </c>
      <c r="Q633" s="5" t="n">
        <v>1</v>
      </c>
      <c r="R633" s="5" t="inlineStr">
        <is>
          <t>260-2024-12-31</t>
        </is>
      </c>
    </row>
    <row r="634">
      <c r="A634" s="39" t="n">
        <v>260</v>
      </c>
      <c r="B634" s="5" t="inlineStr">
        <is>
          <t>CES- Costumer Effort Score del proceso de Rematrícula</t>
        </is>
      </c>
      <c r="C634" s="5" t="inlineStr">
        <is>
          <t>Rematrícula</t>
        </is>
      </c>
      <c r="D634" s="5" t="inlineStr">
        <is>
          <t>Semestral</t>
        </is>
      </c>
      <c r="E634" s="5" t="inlineStr">
        <is>
          <t>Negativo</t>
        </is>
      </c>
      <c r="F634" s="144" t="n">
        <v>45838</v>
      </c>
      <c r="G634" s="5" t="n">
        <v>2025</v>
      </c>
      <c r="H634" s="5" t="inlineStr">
        <is>
          <t>Junio</t>
        </is>
      </c>
      <c r="I634" s="6" t="inlineStr">
        <is>
          <t>2025-1</t>
        </is>
      </c>
      <c r="J634" s="5" t="n">
        <v>2.2</v>
      </c>
      <c r="K634" s="5" t="n">
        <v>1.9</v>
      </c>
      <c r="L634" s="120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DEC</t>
        </is>
      </c>
      <c r="O634" s="5" t="inlineStr">
        <is>
          <t>DEC</t>
        </is>
      </c>
      <c r="P634" s="5" t="n">
        <v>1</v>
      </c>
      <c r="Q634" s="5" t="n">
        <v>1</v>
      </c>
      <c r="R634" s="5" t="inlineStr">
        <is>
          <t>260-2025-06-30</t>
        </is>
      </c>
    </row>
    <row r="635">
      <c r="A635" s="5" t="n">
        <v>260</v>
      </c>
      <c r="B635" s="5" t="inlineStr">
        <is>
          <t>CES- Costumer Effort Score del proceso de Rematrícula</t>
        </is>
      </c>
      <c r="C635" s="5" t="inlineStr">
        <is>
          <t>Rematrícula</t>
        </is>
      </c>
      <c r="D635" s="5" t="inlineStr">
        <is>
          <t>Trimestral</t>
        </is>
      </c>
      <c r="E635" s="5" t="inlineStr">
        <is>
          <t>Negativo</t>
        </is>
      </c>
      <c r="F635" s="144" t="n">
        <v>46022</v>
      </c>
      <c r="G635" s="5" t="n">
        <v>2025</v>
      </c>
      <c r="H635" s="5" t="inlineStr">
        <is>
          <t>Diciembre</t>
        </is>
      </c>
      <c r="I635" s="6" t="inlineStr">
        <is>
          <t>2025-2</t>
        </is>
      </c>
      <c r="J635" s="5" t="n">
        <v>2.1</v>
      </c>
      <c r="K635" s="5" t="n">
        <v>1.9</v>
      </c>
      <c r="L635" s="28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DEC</t>
        </is>
      </c>
      <c r="O635" s="5" t="inlineStr">
        <is>
          <t>DEC</t>
        </is>
      </c>
      <c r="P635" s="5" t="n">
        <v>1</v>
      </c>
      <c r="Q635" s="5" t="n">
        <v>1</v>
      </c>
      <c r="R635" s="5" t="inlineStr">
        <is>
          <t>260-2025-12-31</t>
        </is>
      </c>
    </row>
    <row r="636">
      <c r="A636" s="5" t="n">
        <v>261</v>
      </c>
      <c r="B636" s="5" t="inlineStr">
        <is>
          <t>CES- Costumer Effort Score del proceso de Saber Pro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Negativo</t>
        </is>
      </c>
      <c r="F636" s="144" t="n">
        <v>45107</v>
      </c>
      <c r="G636" s="5" t="n">
        <v>2023</v>
      </c>
      <c r="H636" s="5" t="inlineStr">
        <is>
          <t>Junio</t>
        </is>
      </c>
      <c r="I636" s="6" t="inlineStr">
        <is>
          <t>2023-1</t>
        </is>
      </c>
      <c r="J636" s="5" t="n">
        <v>3</v>
      </c>
      <c r="K636" s="5" t="n">
        <v>1.98</v>
      </c>
      <c r="L636" s="28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ENT</t>
        </is>
      </c>
      <c r="O636" s="5" t="inlineStr">
        <is>
          <t>DEC</t>
        </is>
      </c>
      <c r="P636" s="5" t="n">
        <v>0</v>
      </c>
      <c r="Q636" s="5" t="n">
        <v>1</v>
      </c>
      <c r="R636" s="5" t="inlineStr">
        <is>
          <t>261-2023-06-30</t>
        </is>
      </c>
    </row>
    <row r="637">
      <c r="A637" s="5" t="n">
        <v>261</v>
      </c>
      <c r="B637" s="5" t="inlineStr">
        <is>
          <t>CES- Costumer Effort Score del proceso de Saber Pro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Negativo</t>
        </is>
      </c>
      <c r="F637" s="143" t="n">
        <v>45291</v>
      </c>
      <c r="G637" s="16" t="n">
        <v>2023</v>
      </c>
      <c r="H637" s="6" t="inlineStr">
        <is>
          <t>Diciembre</t>
        </is>
      </c>
      <c r="I637" s="41" t="inlineStr">
        <is>
          <t>2023-2</t>
        </is>
      </c>
      <c r="J637" s="5" t="n">
        <v>3</v>
      </c>
      <c r="K637" s="5" t="n">
        <v>2.06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ENT</t>
        </is>
      </c>
      <c r="O637" s="5" t="inlineStr">
        <is>
          <t>DEC</t>
        </is>
      </c>
      <c r="P637" s="5" t="n">
        <v>0</v>
      </c>
      <c r="Q637" s="5" t="n">
        <v>1</v>
      </c>
      <c r="R637" s="5" t="inlineStr">
        <is>
          <t>261-2023-12-31</t>
        </is>
      </c>
    </row>
    <row r="638">
      <c r="A638" s="39" t="n">
        <v>261</v>
      </c>
      <c r="B638" s="5" t="inlineStr">
        <is>
          <t>CES- Costumer Effort Score del proceso de Saber Pro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Negativo</t>
        </is>
      </c>
      <c r="F638" s="144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3</v>
      </c>
      <c r="K638" s="5" t="n">
        <v>2.2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inlineStr">
        <is>
          <t>ENT</t>
        </is>
      </c>
      <c r="O638" s="5" t="inlineStr">
        <is>
          <t>DEC</t>
        </is>
      </c>
      <c r="P638" s="5" t="n">
        <v>0</v>
      </c>
      <c r="Q638" s="5" t="n">
        <v>1</v>
      </c>
      <c r="R638" s="5" t="inlineStr">
        <is>
          <t>261-2024-06-30</t>
        </is>
      </c>
    </row>
    <row r="639">
      <c r="A639" s="39" t="n">
        <v>261</v>
      </c>
      <c r="B639" s="5" t="inlineStr">
        <is>
          <t>CES- Costumer Effort Score del proceso de Saber Pro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Negativo</t>
        </is>
      </c>
      <c r="F639" s="143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3</v>
      </c>
      <c r="K639" s="5" t="n">
        <v>2.2</v>
      </c>
      <c r="L639" s="28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261-2024-12-31</t>
        </is>
      </c>
    </row>
    <row r="640">
      <c r="A640" s="39" t="n">
        <v>261</v>
      </c>
      <c r="B640" s="5" t="inlineStr">
        <is>
          <t>CES- Costumer Effort Score del proceso de Saber Pro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Negativo</t>
        </is>
      </c>
      <c r="F640" s="143" t="n">
        <v>45838</v>
      </c>
      <c r="G640" s="5" t="n">
        <v>2025</v>
      </c>
      <c r="H640" s="5" t="inlineStr">
        <is>
          <t>Junio</t>
        </is>
      </c>
      <c r="I640" s="6" t="inlineStr">
        <is>
          <t>2025-1</t>
        </is>
      </c>
      <c r="J640" s="5" t="n">
        <v>3</v>
      </c>
      <c r="K640" s="5" t="n">
        <v>2.3</v>
      </c>
      <c r="L640" s="28">
        <f>IFERROR(IF(OR(J640=0,K640=""),"",IF(E640="Positivo",MIN(MAX(K640/J640,0),1.3),MIN(MAX(J640/K640,0),1.3))),"") </f>
        <v/>
      </c>
      <c r="M640" s="28">
        <f>IFERROR(IF(OR(J640=0,K640=""),"",IF(E640="Positivo",MAX(K640/J640,0),MAX(J640/K640,0))),"") </f>
        <v/>
      </c>
      <c r="N640" s="5" t="inlineStr">
        <is>
          <t>DEC</t>
        </is>
      </c>
      <c r="O640" s="5" t="inlineStr">
        <is>
          <t>DEC</t>
        </is>
      </c>
      <c r="P640" s="5" t="n">
        <v>1</v>
      </c>
      <c r="Q640" s="5" t="n">
        <v>1</v>
      </c>
      <c r="R640" s="5" t="inlineStr">
        <is>
          <t>261-2025-06-30</t>
        </is>
      </c>
    </row>
    <row r="641">
      <c r="A641" s="43" t="n">
        <v>261</v>
      </c>
      <c r="B641" s="5" t="inlineStr">
        <is>
          <t>CES- Costumer Effort Score del proceso de Saber Pro</t>
        </is>
      </c>
      <c r="C641" s="5" t="inlineStr">
        <is>
          <t>Servicio</t>
        </is>
      </c>
      <c r="D641" s="5" t="inlineStr">
        <is>
          <t>Trimestral</t>
        </is>
      </c>
      <c r="E641" s="5" t="inlineStr">
        <is>
          <t>Negativo</t>
        </is>
      </c>
      <c r="F641" s="144" t="n">
        <v>46022</v>
      </c>
      <c r="G641" s="5" t="n">
        <v>2025</v>
      </c>
      <c r="H641" s="5" t="inlineStr">
        <is>
          <t>Diciembre</t>
        </is>
      </c>
      <c r="I641" s="6" t="inlineStr">
        <is>
          <t>2025-2</t>
        </is>
      </c>
      <c r="J641" s="5" t="n">
        <v>3</v>
      </c>
      <c r="K641" s="5" t="n">
        <v>2.1</v>
      </c>
      <c r="L641" s="120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261-2025-12-31</t>
        </is>
      </c>
    </row>
    <row r="642">
      <c r="A642" s="39" t="n">
        <v>262</v>
      </c>
      <c r="B642" s="5" t="inlineStr">
        <is>
          <t>Evitar erogación de dinero por multas asociadas en contra del POLI por los procesos en curso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Negativo</t>
        </is>
      </c>
      <c r="F642" s="144" t="n">
        <v>45107</v>
      </c>
      <c r="G642" s="5" t="n">
        <v>2023</v>
      </c>
      <c r="H642" s="5" t="inlineStr">
        <is>
          <t>Junio</t>
        </is>
      </c>
      <c r="I642" s="6" t="inlineStr">
        <is>
          <t>2023-1</t>
        </is>
      </c>
      <c r="J642" s="5" t="n">
        <v>20</v>
      </c>
      <c r="K642" s="5" t="n">
        <v>0</v>
      </c>
      <c r="L642" s="120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262-2023-06-30</t>
        </is>
      </c>
    </row>
    <row r="643">
      <c r="A643" s="5" t="n">
        <v>262</v>
      </c>
      <c r="B643" s="5" t="inlineStr">
        <is>
          <t>Evitar erogación de dinero por multas asociadas en contra del POLI por los procesos en curso</t>
        </is>
      </c>
      <c r="C643" s="5" t="inlineStr">
        <is>
          <t>GESTIÓN JURÍDICA Y NORMATIVA</t>
        </is>
      </c>
      <c r="D643" s="5" t="inlineStr">
        <is>
          <t>Semestral</t>
        </is>
      </c>
      <c r="E643" s="5" t="inlineStr">
        <is>
          <t>Negativo</t>
        </is>
      </c>
      <c r="F643" s="144" t="n">
        <v>45291</v>
      </c>
      <c r="G643" s="5" t="n">
        <v>2023</v>
      </c>
      <c r="H643" s="5" t="inlineStr">
        <is>
          <t>Diciembre</t>
        </is>
      </c>
      <c r="I643" s="6" t="inlineStr">
        <is>
          <t>2023-2</t>
        </is>
      </c>
      <c r="J643" s="5" t="n">
        <v>20</v>
      </c>
      <c r="K643" s="5" t="n">
        <v>11.11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262-2023-12-31</t>
        </is>
      </c>
    </row>
    <row r="644">
      <c r="A644" s="5" t="n">
        <v>262</v>
      </c>
      <c r="B644" s="5" t="inlineStr">
        <is>
          <t>Reducción de número de sentencias condenatorias en contra del Poli</t>
        </is>
      </c>
      <c r="C644" s="5" t="inlineStr">
        <is>
          <t>GESTIÓN JURÍDICA Y NORMATIVA</t>
        </is>
      </c>
      <c r="D644" s="5" t="inlineStr">
        <is>
          <t>Semestral</t>
        </is>
      </c>
      <c r="E644" s="5" t="inlineStr">
        <is>
          <t>Negativo</t>
        </is>
      </c>
      <c r="F644" s="144" t="n">
        <v>45473</v>
      </c>
      <c r="G644" s="5" t="n">
        <v>2024</v>
      </c>
      <c r="H644" s="5" t="inlineStr">
        <is>
          <t>Junio</t>
        </is>
      </c>
      <c r="I644" s="6" t="inlineStr">
        <is>
          <t>2024-1</t>
        </is>
      </c>
      <c r="J644" s="5" t="n">
        <v>20</v>
      </c>
      <c r="K644" s="5" t="n">
        <v>0</v>
      </c>
      <c r="L644" s="28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262-2024-06-30</t>
        </is>
      </c>
    </row>
    <row r="645">
      <c r="A645" s="5" t="n">
        <v>262</v>
      </c>
      <c r="B645" s="5" t="inlineStr">
        <is>
          <t>Reducción de número de sentencias condenatorias en contra del Poli</t>
        </is>
      </c>
      <c r="C645" s="5" t="inlineStr">
        <is>
          <t>GESTIÓN JURÍDICA Y NORMATIVA</t>
        </is>
      </c>
      <c r="D645" s="5" t="inlineStr">
        <is>
          <t>Semestral</t>
        </is>
      </c>
      <c r="E645" s="5" t="inlineStr">
        <is>
          <t>Negativo</t>
        </is>
      </c>
      <c r="F645" s="143" t="n">
        <v>45657</v>
      </c>
      <c r="G645" s="16" t="n">
        <v>2024</v>
      </c>
      <c r="H645" s="6" t="inlineStr">
        <is>
          <t>Diciembre</t>
        </is>
      </c>
      <c r="I645" s="41" t="inlineStr">
        <is>
          <t>2024-2</t>
        </is>
      </c>
      <c r="J645" s="5" t="n">
        <v>20</v>
      </c>
      <c r="K645" s="5" t="n">
        <v>0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262-2024-12-31</t>
        </is>
      </c>
    </row>
    <row r="646">
      <c r="A646" s="39" t="n">
        <v>262</v>
      </c>
      <c r="B646" s="5" t="inlineStr">
        <is>
          <t>Reducción de número de sentencias condenatorias en contra del Poli</t>
        </is>
      </c>
      <c r="C646" s="5" t="inlineStr">
        <is>
          <t>GESTIÓN JURÍDICA Y NORMATIVA</t>
        </is>
      </c>
      <c r="D646" s="5" t="inlineStr">
        <is>
          <t>Semestral</t>
        </is>
      </c>
      <c r="E646" s="5" t="inlineStr">
        <is>
          <t>Negativo</t>
        </is>
      </c>
      <c r="F646" s="144" t="n">
        <v>45838</v>
      </c>
      <c r="G646" s="5" t="n">
        <v>2025</v>
      </c>
      <c r="H646" s="5" t="inlineStr">
        <is>
          <t>Junio</t>
        </is>
      </c>
      <c r="I646" s="6" t="inlineStr">
        <is>
          <t>2025-1</t>
        </is>
      </c>
      <c r="J646" s="5" t="n">
        <v>10</v>
      </c>
      <c r="K646" s="5" t="n">
        <v>0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262-2025-06-30</t>
        </is>
      </c>
    </row>
    <row r="647">
      <c r="A647" s="5" t="n">
        <v>262</v>
      </c>
      <c r="B647" s="5" t="inlineStr">
        <is>
          <t>Reducción de número de sentencias condenatorias en contra del Poli</t>
        </is>
      </c>
      <c r="C647" s="5" t="inlineStr">
        <is>
          <t>GESTIÓN JURÍDICA Y NORMATIVA</t>
        </is>
      </c>
      <c r="D647" s="5" t="inlineStr">
        <is>
          <t>Trimestral</t>
        </is>
      </c>
      <c r="E647" s="5" t="inlineStr">
        <is>
          <t>Negativo</t>
        </is>
      </c>
      <c r="F647" s="144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10</v>
      </c>
      <c r="K647" s="10" t="n">
        <v>0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262-2025-12-31</t>
        </is>
      </c>
    </row>
    <row r="648">
      <c r="A648" s="5" t="n">
        <v>263</v>
      </c>
      <c r="B648" s="5" t="inlineStr">
        <is>
          <t>Oportunidad de respuesta de PQRS</t>
        </is>
      </c>
      <c r="C648" s="5" t="inlineStr">
        <is>
          <t>GESTIÓN JURÍDICA Y NORMATIVA</t>
        </is>
      </c>
      <c r="D648" s="5" t="inlineStr">
        <is>
          <t>Trimestral</t>
        </is>
      </c>
      <c r="E648" s="5" t="inlineStr">
        <is>
          <t>Positivo</t>
        </is>
      </c>
      <c r="F648" s="144" t="n">
        <v>45107</v>
      </c>
      <c r="G648" s="5" t="n">
        <v>2023</v>
      </c>
      <c r="H648" s="5" t="inlineStr">
        <is>
          <t>Junio</t>
        </is>
      </c>
      <c r="I648" s="6" t="inlineStr">
        <is>
          <t>2023-1</t>
        </is>
      </c>
      <c r="J648" s="5" t="n">
        <v>100</v>
      </c>
      <c r="K648" s="10" t="n">
        <v>100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263-2023-06-30</t>
        </is>
      </c>
    </row>
    <row r="649">
      <c r="A649" s="39" t="n">
        <v>263</v>
      </c>
      <c r="B649" s="5" t="inlineStr">
        <is>
          <t>Oportunidad de respuesta de PQRS</t>
        </is>
      </c>
      <c r="C649" s="5" t="inlineStr">
        <is>
          <t>GESTIÓN JURÍDICA Y NORMATIVA</t>
        </is>
      </c>
      <c r="D649" s="5" t="inlineStr">
        <is>
          <t>Trimestral</t>
        </is>
      </c>
      <c r="E649" s="5" t="inlineStr">
        <is>
          <t>Positivo</t>
        </is>
      </c>
      <c r="F649" s="144" t="n">
        <v>45291</v>
      </c>
      <c r="G649" s="5" t="n">
        <v>2023</v>
      </c>
      <c r="H649" s="5" t="inlineStr">
        <is>
          <t>Diciembre</t>
        </is>
      </c>
      <c r="I649" s="6" t="inlineStr">
        <is>
          <t>2023-2</t>
        </is>
      </c>
      <c r="J649" s="5" t="n">
        <v>100</v>
      </c>
      <c r="K649" s="5" t="n">
        <v>100</v>
      </c>
      <c r="L649" s="120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263-2023-12-31</t>
        </is>
      </c>
    </row>
    <row r="650">
      <c r="A650" s="5" t="n">
        <v>263</v>
      </c>
      <c r="B650" s="5" t="inlineStr">
        <is>
          <t>Oportunidad de respuesta de PQRS</t>
        </is>
      </c>
      <c r="C650" s="5" t="inlineStr">
        <is>
          <t>GESTIÓN JURÍDICA Y NORMATIVA</t>
        </is>
      </c>
      <c r="D650" s="5" t="inlineStr">
        <is>
          <t>Trimestral</t>
        </is>
      </c>
      <c r="E650" s="5" t="inlineStr">
        <is>
          <t>Positivo</t>
        </is>
      </c>
      <c r="F650" s="144" t="n">
        <v>45473</v>
      </c>
      <c r="G650" s="5" t="n">
        <v>2024</v>
      </c>
      <c r="H650" s="5" t="inlineStr">
        <is>
          <t>Junio</t>
        </is>
      </c>
      <c r="I650" s="6" t="inlineStr">
        <is>
          <t>2024-1</t>
        </is>
      </c>
      <c r="J650" s="5" t="n">
        <v>100</v>
      </c>
      <c r="K650" s="5" t="n">
        <v>100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263-2024-06-30</t>
        </is>
      </c>
    </row>
    <row r="651">
      <c r="A651" s="43" t="n">
        <v>263</v>
      </c>
      <c r="B651" s="5" t="inlineStr">
        <is>
          <t>Oportunidad de respuesta de PQRS</t>
        </is>
      </c>
      <c r="C651" s="5" t="inlineStr">
        <is>
          <t>GESTIÓN JURÍDICA Y NORMATIVA</t>
        </is>
      </c>
      <c r="D651" s="5" t="inlineStr">
        <is>
          <t>Trimestral</t>
        </is>
      </c>
      <c r="E651" s="5" t="inlineStr">
        <is>
          <t>Positivo</t>
        </is>
      </c>
      <c r="F651" s="144" t="n">
        <v>45657</v>
      </c>
      <c r="G651" s="5" t="n">
        <v>2024</v>
      </c>
      <c r="H651" s="5" t="inlineStr">
        <is>
          <t>Diciembre</t>
        </is>
      </c>
      <c r="I651" s="6" t="inlineStr">
        <is>
          <t>2024-2</t>
        </is>
      </c>
      <c r="J651" s="5" t="n">
        <v>100</v>
      </c>
      <c r="K651" s="5" t="n">
        <v>100</v>
      </c>
      <c r="L651" s="120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263-2024-12-31</t>
        </is>
      </c>
    </row>
    <row r="652">
      <c r="A652" s="39" t="n">
        <v>263</v>
      </c>
      <c r="B652" s="5" t="inlineStr">
        <is>
          <t>Oportunidad de respuesta de PQRS</t>
        </is>
      </c>
      <c r="C652" s="5" t="inlineStr">
        <is>
          <t>GESTIÓN JURÍDICA Y NORMATIVA</t>
        </is>
      </c>
      <c r="D652" s="5" t="inlineStr">
        <is>
          <t>Trimestral</t>
        </is>
      </c>
      <c r="E652" s="5" t="inlineStr">
        <is>
          <t>Positivo</t>
        </is>
      </c>
      <c r="F652" s="144" t="n">
        <v>45838</v>
      </c>
      <c r="G652" s="5" t="n">
        <v>2025</v>
      </c>
      <c r="H652" s="5" t="inlineStr">
        <is>
          <t>Junio</t>
        </is>
      </c>
      <c r="I652" s="6" t="inlineStr">
        <is>
          <t>2025-1</t>
        </is>
      </c>
      <c r="J652" s="5" t="n">
        <v>100</v>
      </c>
      <c r="K652" s="5" t="n">
        <v>100</v>
      </c>
      <c r="L652" s="120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263-2025-06-30</t>
        </is>
      </c>
    </row>
    <row r="653">
      <c r="A653" s="5" t="n">
        <v>263</v>
      </c>
      <c r="B653" s="5" t="inlineStr">
        <is>
          <t>Oportunidad de respuesta de PQRS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Positivo</t>
        </is>
      </c>
      <c r="F653" s="144" t="n">
        <v>46022</v>
      </c>
      <c r="G653" s="5" t="n">
        <v>2025</v>
      </c>
      <c r="H653" s="5" t="inlineStr">
        <is>
          <t>Diciembre</t>
        </is>
      </c>
      <c r="I653" s="6" t="inlineStr">
        <is>
          <t>2025-2</t>
        </is>
      </c>
      <c r="J653" s="5" t="n">
        <v>100</v>
      </c>
      <c r="K653" s="10" t="n">
        <v>100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263-2025-12-31</t>
        </is>
      </c>
    </row>
    <row r="654">
      <c r="A654" s="5" t="n">
        <v>264</v>
      </c>
      <c r="B654" s="5" t="inlineStr">
        <is>
          <t>Emisión De Conceptos Jurídicos (Educación)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Positivo</t>
        </is>
      </c>
      <c r="F654" s="144" t="n">
        <v>45107</v>
      </c>
      <c r="G654" s="5" t="n">
        <v>2023</v>
      </c>
      <c r="H654" s="5" t="inlineStr">
        <is>
          <t>Junio</t>
        </is>
      </c>
      <c r="I654" s="6" t="inlineStr">
        <is>
          <t>2023-1</t>
        </is>
      </c>
      <c r="J654" s="5" t="n">
        <v>100</v>
      </c>
      <c r="K654" s="5" t="n">
        <v>100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264-2023-06-30</t>
        </is>
      </c>
    </row>
    <row r="655">
      <c r="A655" s="39" t="n">
        <v>264</v>
      </c>
      <c r="B655" s="5" t="inlineStr">
        <is>
          <t>Emisión De Conceptos Jurídicos (Educación)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Positivo</t>
        </is>
      </c>
      <c r="F655" s="144" t="n">
        <v>45291</v>
      </c>
      <c r="G655" s="5" t="n">
        <v>2023</v>
      </c>
      <c r="H655" s="5" t="inlineStr">
        <is>
          <t>Diciembre</t>
        </is>
      </c>
      <c r="I655" s="6" t="inlineStr">
        <is>
          <t>2023-2</t>
        </is>
      </c>
      <c r="J655" s="5" t="n">
        <v>100</v>
      </c>
      <c r="K655" s="5" t="n">
        <v>100</v>
      </c>
      <c r="L655" s="120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264-2023-12-31</t>
        </is>
      </c>
    </row>
    <row r="656">
      <c r="A656" s="5" t="n">
        <v>264</v>
      </c>
      <c r="B656" s="5" t="inlineStr">
        <is>
          <t>Eficiencia Emisión De Conceptos Jurídicos (Educación)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Positivo</t>
        </is>
      </c>
      <c r="F656" s="144" t="n">
        <v>45473</v>
      </c>
      <c r="G656" s="5" t="n">
        <v>2024</v>
      </c>
      <c r="H656" s="5" t="inlineStr">
        <is>
          <t>Junio</t>
        </is>
      </c>
      <c r="I656" s="6" t="inlineStr">
        <is>
          <t>2024-1</t>
        </is>
      </c>
      <c r="J656" s="5" t="n">
        <v>100</v>
      </c>
      <c r="K656" s="5" t="n">
        <v>100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n"/>
      <c r="O656" s="5" t="n"/>
      <c r="P656" s="5" t="n">
        <v>0</v>
      </c>
      <c r="Q656" s="5" t="n">
        <v>0</v>
      </c>
      <c r="R656" s="5" t="inlineStr">
        <is>
          <t>264-2024-06-30</t>
        </is>
      </c>
    </row>
    <row r="657">
      <c r="A657" s="39" t="n">
        <v>264</v>
      </c>
      <c r="B657" s="5" t="inlineStr">
        <is>
          <t>Eficiencia Emisión De Conceptos Jurídicos (Educación)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Positivo</t>
        </is>
      </c>
      <c r="F657" s="144" t="n">
        <v>45657</v>
      </c>
      <c r="G657" s="5" t="n">
        <v>2024</v>
      </c>
      <c r="H657" s="5" t="inlineStr">
        <is>
          <t>Diciembre</t>
        </is>
      </c>
      <c r="I657" s="6" t="inlineStr">
        <is>
          <t>2024-2</t>
        </is>
      </c>
      <c r="J657" s="5" t="n">
        <v>100</v>
      </c>
      <c r="K657" s="5" t="n">
        <v>100</v>
      </c>
      <c r="L657" s="120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n"/>
      <c r="O657" s="5" t="n"/>
      <c r="P657" s="5" t="n">
        <v>0</v>
      </c>
      <c r="Q657" s="5" t="n">
        <v>0</v>
      </c>
      <c r="R657" s="5" t="inlineStr">
        <is>
          <t>264-2024-12-31</t>
        </is>
      </c>
    </row>
    <row r="658">
      <c r="A658" s="5" t="n">
        <v>265</v>
      </c>
      <c r="B658" s="5" t="inlineStr">
        <is>
          <t>Emisión De Conceptos Jurídicos (Jurídicos)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Positivo</t>
        </is>
      </c>
      <c r="F658" s="144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5" t="n">
        <v>80</v>
      </c>
      <c r="L658" s="28">
        <f>IFERROR(IF(OR(J658=0,K658=""),"",IF(E658="Positivo",MIN(MAX(K658/J658,0),1.3),MIN(MAX(J658/K658,0),1.3))),"") </f>
        <v/>
      </c>
      <c r="M658" s="28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265-2023-06-30</t>
        </is>
      </c>
    </row>
    <row r="659">
      <c r="A659" s="39" t="n">
        <v>265</v>
      </c>
      <c r="B659" s="5" t="inlineStr">
        <is>
          <t>Emisión De Conceptos Jurídicos (Jurídicos)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Positivo</t>
        </is>
      </c>
      <c r="F659" s="144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5" t="n">
        <v>97.13</v>
      </c>
      <c r="L659" s="28">
        <f>IFERROR(IF(OR(J659=0,K659=""),"",IF(E659="Positivo",MIN(MAX(K659/J659,0),1.3),MIN(MAX(J659/K659,0),1.3))),"") </f>
        <v/>
      </c>
      <c r="M659" s="28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265-2023-12-31</t>
        </is>
      </c>
    </row>
    <row r="660">
      <c r="A660" s="39" t="n">
        <v>265</v>
      </c>
      <c r="B660" s="5" t="inlineStr">
        <is>
          <t>Eficiencia Emisión De Conceptos Jurídicos (Jurídicos)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Positivo</t>
        </is>
      </c>
      <c r="F660" s="144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95</v>
      </c>
      <c r="K660" s="5" t="n">
        <v>100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265-2024-06-30</t>
        </is>
      </c>
    </row>
    <row r="661">
      <c r="A661" s="5" t="n">
        <v>265</v>
      </c>
      <c r="B661" s="5" t="inlineStr">
        <is>
          <t>Eficiencia Emisión De Conceptos Jurídicos (Jurídicos)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143" t="n">
        <v>45657</v>
      </c>
      <c r="G661" s="16" t="n">
        <v>2024</v>
      </c>
      <c r="H661" s="6" t="inlineStr">
        <is>
          <t>Diciembre</t>
        </is>
      </c>
      <c r="I661" s="41" t="inlineStr">
        <is>
          <t>2024-2</t>
        </is>
      </c>
      <c r="J661" s="5" t="n">
        <v>95</v>
      </c>
      <c r="K661" s="5" t="n">
        <v>100</v>
      </c>
      <c r="L661" s="28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265-2024-12-31</t>
        </is>
      </c>
    </row>
    <row r="662">
      <c r="A662" s="39" t="n">
        <v>265</v>
      </c>
      <c r="B662" s="5" t="inlineStr">
        <is>
          <t>Eficiencia Emisión De Conceptos Jurídicos (Jurídicos)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144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95</v>
      </c>
      <c r="K662" s="5" t="n">
        <v>100</v>
      </c>
      <c r="L662" s="28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265-2025-06-30</t>
        </is>
      </c>
    </row>
    <row r="663">
      <c r="A663" s="5" t="n">
        <v>265</v>
      </c>
      <c r="B663" s="5" t="inlineStr">
        <is>
          <t>Eficiencia Emisión De Conceptos Jurídicos (Jurídicos)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44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95</v>
      </c>
      <c r="K663" s="10" t="n">
        <v>100</v>
      </c>
      <c r="L663" s="28">
        <f>IFERROR(IF(OR(J663=0,K663=""),"",IF(E663="Positivo",MIN(MAX(K663/J663,0),1.3),MIN(MAX(J663/K663,0),1.3))),"") </f>
        <v/>
      </c>
      <c r="M663" s="28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265-2025-12-31</t>
        </is>
      </c>
    </row>
    <row r="664">
      <c r="A664" s="5" t="n">
        <v>266</v>
      </c>
      <c r="B664" s="5" t="inlineStr">
        <is>
          <t>Oportunidad en la elaboración de contratos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44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95</v>
      </c>
      <c r="K664" s="5" t="n">
        <v>89.907038512616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266-2023-06-30</t>
        </is>
      </c>
    </row>
    <row r="665">
      <c r="A665" s="39" t="n">
        <v>266</v>
      </c>
      <c r="B665" s="5" t="inlineStr">
        <is>
          <t>Oportunidad en la elaboración de contratos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44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97.06999999999999</v>
      </c>
      <c r="L665" s="28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266-2023-12-31</t>
        </is>
      </c>
    </row>
    <row r="666">
      <c r="A666" s="5" t="n">
        <v>266</v>
      </c>
      <c r="B666" s="5" t="inlineStr">
        <is>
          <t>Oportunidad en la elaboración de contratos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44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95</v>
      </c>
      <c r="K666" s="5" t="n">
        <v>95.02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266-2024-06-30</t>
        </is>
      </c>
    </row>
    <row r="667">
      <c r="A667" s="39" t="n">
        <v>266</v>
      </c>
      <c r="B667" s="5" t="inlineStr">
        <is>
          <t>Oportunidad en la elaboración de contratos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44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95</v>
      </c>
      <c r="K667" s="5" t="n">
        <v>81.93000000000001</v>
      </c>
      <c r="L667" s="120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266-2024-12-31</t>
        </is>
      </c>
    </row>
    <row r="668">
      <c r="A668" s="5" t="n">
        <v>266</v>
      </c>
      <c r="B668" s="5" t="inlineStr">
        <is>
          <t>Oportunidad en la elaboración de contratos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44" t="n">
        <v>45838</v>
      </c>
      <c r="G668" s="5" t="n">
        <v>2025</v>
      </c>
      <c r="H668" s="5" t="inlineStr">
        <is>
          <t>Junio</t>
        </is>
      </c>
      <c r="I668" s="6" t="inlineStr">
        <is>
          <t>2025-1</t>
        </is>
      </c>
      <c r="J668" s="5" t="n">
        <v>95</v>
      </c>
      <c r="K668" s="5" t="n">
        <v>53.15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266-2025-06-30</t>
        </is>
      </c>
    </row>
    <row r="669">
      <c r="A669" s="39" t="n">
        <v>266</v>
      </c>
      <c r="B669" s="5" t="inlineStr">
        <is>
          <t>Oportunidad en la elaboración de contratos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44" t="n">
        <v>46022</v>
      </c>
      <c r="G669" s="5" t="n">
        <v>2025</v>
      </c>
      <c r="H669" s="5" t="inlineStr">
        <is>
          <t>Diciembre</t>
        </is>
      </c>
      <c r="I669" s="6" t="inlineStr">
        <is>
          <t>2025-2</t>
        </is>
      </c>
      <c r="J669" s="5" t="n">
        <v>95</v>
      </c>
      <c r="K669" s="5" t="n">
        <v>88.09999999999999</v>
      </c>
      <c r="L669" s="28">
        <f>IFERROR(IF(OR(J669=0,K669=""),"",IF(E669="Positivo",MIN(MAX(K669/J669,0),1.3),MIN(MAX(J669/K669,0),1.3))),"") </f>
        <v/>
      </c>
      <c r="M669" s="28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266-2025-12-31</t>
        </is>
      </c>
    </row>
    <row r="670">
      <c r="A670" s="5" t="n">
        <v>267</v>
      </c>
      <c r="B670" s="5" t="inlineStr">
        <is>
          <t>Satisfacción procesos de Homologaciones</t>
        </is>
      </c>
      <c r="C670" s="5" t="inlineStr">
        <is>
          <t>Registro y Control</t>
        </is>
      </c>
      <c r="D670" s="5" t="inlineStr">
        <is>
          <t>Anual</t>
        </is>
      </c>
      <c r="E670" s="5" t="inlineStr">
        <is>
          <t>Positivo</t>
        </is>
      </c>
      <c r="F670" s="144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/>
      <c r="K670" s="5" t="n">
        <v>0</v>
      </c>
      <c r="L670" s="28" t="n"/>
      <c r="M670" s="28" t="n"/>
      <c r="N670" s="5" t="n"/>
      <c r="O670" s="5" t="n"/>
      <c r="P670" s="5" t="n">
        <v>0</v>
      </c>
      <c r="Q670" s="5" t="n">
        <v>0</v>
      </c>
      <c r="R670" s="5" t="inlineStr">
        <is>
          <t>267-2023-12-31</t>
        </is>
      </c>
    </row>
    <row r="671">
      <c r="A671" s="43" t="n">
        <v>268</v>
      </c>
      <c r="B671" s="5" t="inlineStr">
        <is>
          <t>Cantidad de usuarios</t>
        </is>
      </c>
      <c r="C671" s="5" t="inlineStr">
        <is>
          <t>Centro de Medios Audiovisuales</t>
        </is>
      </c>
      <c r="D671" s="5" t="inlineStr">
        <is>
          <t>Semestral</t>
        </is>
      </c>
      <c r="E671" s="5" t="inlineStr">
        <is>
          <t>Positivo</t>
        </is>
      </c>
      <c r="F671" s="144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0</v>
      </c>
      <c r="K671" s="5" t="n">
        <v>661</v>
      </c>
      <c r="L671" s="120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n"/>
      <c r="O671" s="5" t="n"/>
      <c r="P671" s="5" t="n">
        <v>0</v>
      </c>
      <c r="Q671" s="5" t="n">
        <v>0</v>
      </c>
      <c r="R671" s="5" t="inlineStr">
        <is>
          <t>268-2023-06-30</t>
        </is>
      </c>
    </row>
    <row r="672">
      <c r="A672" s="39" t="n">
        <v>268</v>
      </c>
      <c r="B672" s="5" t="inlineStr">
        <is>
          <t>Cantidad de usuarios</t>
        </is>
      </c>
      <c r="C672" s="5" t="inlineStr">
        <is>
          <t>Centro de Medios Audiovisuales</t>
        </is>
      </c>
      <c r="D672" s="5" t="inlineStr">
        <is>
          <t>Semestral</t>
        </is>
      </c>
      <c r="E672" s="5" t="inlineStr">
        <is>
          <t>Positivo</t>
        </is>
      </c>
      <c r="F672" s="144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0</v>
      </c>
      <c r="K672" s="5" t="n">
        <v>727</v>
      </c>
      <c r="L672" s="120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n"/>
      <c r="O672" s="5" t="n"/>
      <c r="P672" s="5" t="n">
        <v>0</v>
      </c>
      <c r="Q672" s="5" t="n">
        <v>0</v>
      </c>
      <c r="R672" s="5" t="inlineStr">
        <is>
          <t>268-2023-12-31</t>
        </is>
      </c>
    </row>
    <row r="673">
      <c r="A673" s="5" t="n">
        <v>268</v>
      </c>
      <c r="B673" s="5" t="inlineStr">
        <is>
          <t>Cantidad de usuarios</t>
        </is>
      </c>
      <c r="C673" s="5" t="inlineStr">
        <is>
          <t>Centro de Medios Audiovisuales</t>
        </is>
      </c>
      <c r="D673" s="5" t="inlineStr">
        <is>
          <t>Semestral</t>
        </is>
      </c>
      <c r="E673" s="5" t="inlineStr">
        <is>
          <t>Positivo</t>
        </is>
      </c>
      <c r="F673" s="144" t="n">
        <v>45473</v>
      </c>
      <c r="G673" s="5" t="n">
        <v>2024</v>
      </c>
      <c r="H673" s="5" t="inlineStr">
        <is>
          <t>Junio</t>
        </is>
      </c>
      <c r="I673" s="6" t="inlineStr">
        <is>
          <t>2024-1</t>
        </is>
      </c>
      <c r="J673" s="5" t="n">
        <v>0</v>
      </c>
      <c r="K673" s="5" t="n">
        <v>743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n"/>
      <c r="O673" s="5" t="n"/>
      <c r="P673" s="5" t="n">
        <v>0</v>
      </c>
      <c r="Q673" s="5" t="n">
        <v>0</v>
      </c>
      <c r="R673" s="5" t="inlineStr">
        <is>
          <t>268-2024-06-30</t>
        </is>
      </c>
    </row>
    <row r="674">
      <c r="A674" s="5" t="n">
        <v>268</v>
      </c>
      <c r="B674" s="5" t="inlineStr">
        <is>
          <t>Cantidad de usuarios</t>
        </is>
      </c>
      <c r="C674" s="5" t="inlineStr">
        <is>
          <t>Centro de Medios Audiovisuales</t>
        </is>
      </c>
      <c r="D674" s="5" t="inlineStr">
        <is>
          <t>Semestral</t>
        </is>
      </c>
      <c r="E674" s="5" t="inlineStr">
        <is>
          <t>Positivo</t>
        </is>
      </c>
      <c r="F674" s="144" t="n">
        <v>45657</v>
      </c>
      <c r="G674" s="5" t="n">
        <v>2024</v>
      </c>
      <c r="H674" s="5" t="inlineStr">
        <is>
          <t>Diciembre</t>
        </is>
      </c>
      <c r="I674" s="6" t="inlineStr">
        <is>
          <t>2024-2</t>
        </is>
      </c>
      <c r="J674" s="5" t="n">
        <v>0</v>
      </c>
      <c r="K674" s="5" t="n">
        <v>732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n"/>
      <c r="O674" s="5" t="n"/>
      <c r="P674" s="5" t="n">
        <v>0</v>
      </c>
      <c r="Q674" s="5" t="n">
        <v>0</v>
      </c>
      <c r="R674" s="5" t="inlineStr">
        <is>
          <t>268-2024-12-31</t>
        </is>
      </c>
    </row>
    <row r="675">
      <c r="A675" s="43" t="n">
        <v>268</v>
      </c>
      <c r="B675" s="5" t="inlineStr">
        <is>
          <t>Cantidad de usuarios - (Metrica)</t>
        </is>
      </c>
      <c r="C675" s="5" t="inlineStr">
        <is>
          <t>Centro de Medios Audiovisuales</t>
        </is>
      </c>
      <c r="D675" s="5" t="inlineStr">
        <is>
          <t>Trimestral</t>
        </is>
      </c>
      <c r="E675" s="5" t="inlineStr">
        <is>
          <t>Positivo</t>
        </is>
      </c>
      <c r="F675" s="144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/>
      <c r="K675" s="5" t="n">
        <v>765</v>
      </c>
      <c r="L675" s="136" t="n"/>
      <c r="M675" s="28" t="n"/>
      <c r="N675" s="5" t="inlineStr">
        <is>
          <t>%</t>
        </is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268-2025-06-30</t>
        </is>
      </c>
      <c r="S675" t="inlineStr">
        <is>
          <t>Metrica</t>
        </is>
      </c>
    </row>
    <row r="676">
      <c r="A676" s="39" t="n">
        <v>268</v>
      </c>
      <c r="B676" s="5" t="inlineStr">
        <is>
          <t>Cantidad de usuarios - (Metrica)</t>
        </is>
      </c>
      <c r="C676" s="5" t="inlineStr">
        <is>
          <t>Centro de Medios Audiovisuales</t>
        </is>
      </c>
      <c r="D676" s="5" t="inlineStr">
        <is>
          <t>Trimestral</t>
        </is>
      </c>
      <c r="E676" s="5" t="inlineStr">
        <is>
          <t>Positivo</t>
        </is>
      </c>
      <c r="F676" s="144" t="n">
        <v>46022</v>
      </c>
      <c r="G676" s="5" t="n">
        <v>2025</v>
      </c>
      <c r="H676" s="5" t="inlineStr">
        <is>
          <t>Diciembre</t>
        </is>
      </c>
      <c r="I676" s="6" t="inlineStr">
        <is>
          <t>2025-2</t>
        </is>
      </c>
      <c r="J676" s="5" t="n"/>
      <c r="K676" s="5" t="n">
        <v>877</v>
      </c>
      <c r="L676" s="136" t="n"/>
      <c r="M676" s="28" t="n"/>
      <c r="N676" s="5" t="inlineStr">
        <is>
          <t>%</t>
        </is>
      </c>
      <c r="O676" s="5" t="inlineStr">
        <is>
          <t>ENT</t>
        </is>
      </c>
      <c r="P676" s="5" t="n">
        <v>0</v>
      </c>
      <c r="Q676" s="5" t="n">
        <v>0</v>
      </c>
      <c r="R676" s="5" t="inlineStr">
        <is>
          <t>268-2025-12-31</t>
        </is>
      </c>
      <c r="S676" t="inlineStr">
        <is>
          <t>Metrica</t>
        </is>
      </c>
    </row>
    <row r="677">
      <c r="A677" s="43" t="n">
        <v>269</v>
      </c>
      <c r="B677" s="5" t="inlineStr">
        <is>
          <t>N de personas promedio por evento</t>
        </is>
      </c>
      <c r="C677" s="5" t="inlineStr">
        <is>
          <t>Centro de Medios Audiovisuales</t>
        </is>
      </c>
      <c r="D677" s="5" t="inlineStr">
        <is>
          <t>Semestral</t>
        </is>
      </c>
      <c r="E677" s="5" t="inlineStr">
        <is>
          <t>Positivo</t>
        </is>
      </c>
      <c r="F677" s="144" t="n">
        <v>45107</v>
      </c>
      <c r="G677" s="5" t="n">
        <v>2023</v>
      </c>
      <c r="H677" s="5" t="inlineStr">
        <is>
          <t>Junio</t>
        </is>
      </c>
      <c r="I677" s="6" t="inlineStr">
        <is>
          <t>2023-1</t>
        </is>
      </c>
      <c r="J677" s="5" t="n">
        <v>0</v>
      </c>
      <c r="K677" s="5" t="n">
        <v>0.4</v>
      </c>
      <c r="L677" s="120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inlineStr">
        <is>
          <t>DEC</t>
        </is>
      </c>
      <c r="O677" s="5" t="inlineStr">
        <is>
          <t>DEC</t>
        </is>
      </c>
      <c r="P677" s="5" t="n">
        <v>2</v>
      </c>
      <c r="Q677" s="5" t="n">
        <v>2</v>
      </c>
      <c r="R677" s="5" t="inlineStr">
        <is>
          <t>269-2023-06-30</t>
        </is>
      </c>
    </row>
    <row r="678">
      <c r="A678" s="43" t="n">
        <v>269</v>
      </c>
      <c r="B678" s="5" t="inlineStr">
        <is>
          <t>N de personas promedio por evento</t>
        </is>
      </c>
      <c r="C678" s="5" t="inlineStr">
        <is>
          <t>Centro de Medios Audiovisuales</t>
        </is>
      </c>
      <c r="D678" s="5" t="inlineStr">
        <is>
          <t>Semestral</t>
        </is>
      </c>
      <c r="E678" s="5" t="inlineStr">
        <is>
          <t>Positivo</t>
        </is>
      </c>
      <c r="F678" s="144" t="n">
        <v>45291</v>
      </c>
      <c r="G678" s="5" t="n">
        <v>2023</v>
      </c>
      <c r="H678" s="5" t="inlineStr">
        <is>
          <t>Diciembre</t>
        </is>
      </c>
      <c r="I678" s="6" t="inlineStr">
        <is>
          <t>2023-2</t>
        </is>
      </c>
      <c r="J678" s="5" t="n">
        <v>0</v>
      </c>
      <c r="K678" s="5" t="n">
        <v>1.276978417266187</v>
      </c>
      <c r="L678" s="120">
        <f>IFERROR(IF(OR(J678=0,K678=""),"",IF(E678="Positivo",MIN(MAX(K678/J678,0),1.3),MIN(MAX(J678/K678,0),1.3))),"") </f>
        <v/>
      </c>
      <c r="M678" s="28">
        <f>IFERROR(IF(OR(J678=0,K678=""),"",IF(E678="Positivo",MAX(K678/J678,0),MAX(J678/K678,0))),"") </f>
        <v/>
      </c>
      <c r="N678" s="5" t="inlineStr">
        <is>
          <t>DEC</t>
        </is>
      </c>
      <c r="O678" s="5" t="inlineStr">
        <is>
          <t>DEC</t>
        </is>
      </c>
      <c r="P678" s="5" t="n">
        <v>2</v>
      </c>
      <c r="Q678" s="5" t="n">
        <v>2</v>
      </c>
      <c r="R678" s="5" t="inlineStr">
        <is>
          <t>269-2023-12-31</t>
        </is>
      </c>
    </row>
    <row r="679">
      <c r="A679" s="39" t="n">
        <v>269</v>
      </c>
      <c r="B679" s="5" t="inlineStr">
        <is>
          <t>N de personas promedio por evento</t>
        </is>
      </c>
      <c r="C679" s="5" t="inlineStr">
        <is>
          <t>Centro de Medios Audiovisuales</t>
        </is>
      </c>
      <c r="D679" s="5" t="inlineStr">
        <is>
          <t>Semestral</t>
        </is>
      </c>
      <c r="E679" s="5" t="inlineStr">
        <is>
          <t>Positivo</t>
        </is>
      </c>
      <c r="F679" s="144" t="n">
        <v>45473</v>
      </c>
      <c r="G679" s="5" t="n">
        <v>2024</v>
      </c>
      <c r="H679" s="5" t="inlineStr">
        <is>
          <t>Junio</t>
        </is>
      </c>
      <c r="I679" s="6" t="inlineStr">
        <is>
          <t>2024-1</t>
        </is>
      </c>
      <c r="J679" s="5" t="n">
        <v>0</v>
      </c>
      <c r="K679" s="5" t="n">
        <v>3</v>
      </c>
      <c r="L679" s="28">
        <f>IFERROR(IF(OR(J679=0,K679=""),"",IF(E679="Positivo",MIN(MAX(K679/J679,0),1.3),MIN(MAX(J679/K679,0),1.3))),"") </f>
        <v/>
      </c>
      <c r="M679" s="28">
        <f>IFERROR(IF(OR(J679=0,K679=""),"",IF(E679="Positivo",MAX(K679/J679,0),MAX(J679/K679,0))),"") </f>
        <v/>
      </c>
      <c r="N679" s="5" t="n"/>
      <c r="O679" s="5" t="n"/>
      <c r="P679" s="5" t="n">
        <v>0</v>
      </c>
      <c r="Q679" s="5" t="n">
        <v>0</v>
      </c>
      <c r="R679" s="5" t="inlineStr">
        <is>
          <t>269-2024-06-30</t>
        </is>
      </c>
    </row>
    <row r="680">
      <c r="A680" s="5" t="n">
        <v>269</v>
      </c>
      <c r="B680" s="5" t="inlineStr">
        <is>
          <t>N de personas promedio por evento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144" t="n">
        <v>45657</v>
      </c>
      <c r="G680" s="5" t="n">
        <v>2024</v>
      </c>
      <c r="H680" s="5" t="inlineStr">
        <is>
          <t>Diciembre</t>
        </is>
      </c>
      <c r="I680" s="6" t="inlineStr">
        <is>
          <t>2024-2</t>
        </is>
      </c>
      <c r="J680" s="5" t="n"/>
      <c r="K680" s="5" t="n">
        <v>1.28</v>
      </c>
      <c r="L680" s="28" t="n"/>
      <c r="M680" s="28" t="n"/>
      <c r="N680" s="5" t="n"/>
      <c r="O680" s="5" t="n"/>
      <c r="P680" s="5" t="n">
        <v>0</v>
      </c>
      <c r="Q680" s="5" t="n">
        <v>0</v>
      </c>
      <c r="R680" s="5" t="inlineStr">
        <is>
          <t>269-2024-12-31</t>
        </is>
      </c>
    </row>
    <row r="681">
      <c r="A681" s="39" t="n">
        <v>269</v>
      </c>
      <c r="B681" s="5" t="inlineStr">
        <is>
          <t>N de personas promedio por evento - (Metrica)</t>
        </is>
      </c>
      <c r="C681" s="5" t="inlineStr">
        <is>
          <t>Centro de Medios Audiovisuales</t>
        </is>
      </c>
      <c r="D681" s="5" t="inlineStr">
        <is>
          <t>Trimestral</t>
        </is>
      </c>
      <c r="E681" s="5" t="inlineStr">
        <is>
          <t>Positivo</t>
        </is>
      </c>
      <c r="F681" s="144" t="n">
        <v>45838</v>
      </c>
      <c r="G681" s="5" t="n">
        <v>2025</v>
      </c>
      <c r="H681" s="5" t="inlineStr">
        <is>
          <t>Junio</t>
        </is>
      </c>
      <c r="I681" s="6" t="inlineStr">
        <is>
          <t>2025-1</t>
        </is>
      </c>
      <c r="J681" s="5" t="n">
        <v>368</v>
      </c>
      <c r="K681" s="5" t="n">
        <v>1.83</v>
      </c>
      <c r="L681" s="28" t="n"/>
      <c r="M681" s="28" t="n"/>
      <c r="N681" s="5" t="inlineStr">
        <is>
          <t>DEC</t>
        </is>
      </c>
      <c r="O681" s="5" t="inlineStr">
        <is>
          <t>DEC</t>
        </is>
      </c>
      <c r="P681" s="5" t="n">
        <v>2</v>
      </c>
      <c r="Q681" s="5" t="n">
        <v>2</v>
      </c>
      <c r="R681" s="5" t="inlineStr">
        <is>
          <t>269-2025-06-30</t>
        </is>
      </c>
      <c r="S681" t="inlineStr">
        <is>
          <t>Metrica</t>
        </is>
      </c>
    </row>
    <row r="682">
      <c r="A682" s="39" t="n">
        <v>269</v>
      </c>
      <c r="B682" s="5" t="inlineStr">
        <is>
          <t>N de personas promedio por evento - (Metrica)</t>
        </is>
      </c>
      <c r="C682" s="5" t="inlineStr">
        <is>
          <t>Centro de Medios Audiovisuales</t>
        </is>
      </c>
      <c r="D682" s="5" t="inlineStr">
        <is>
          <t>Trimestral</t>
        </is>
      </c>
      <c r="E682" s="5" t="inlineStr">
        <is>
          <t>Positivo</t>
        </is>
      </c>
      <c r="F682" s="144" t="n">
        <v>46022</v>
      </c>
      <c r="G682" s="5" t="n">
        <v>2025</v>
      </c>
      <c r="H682" s="5" t="inlineStr">
        <is>
          <t>Diciembre</t>
        </is>
      </c>
      <c r="I682" s="6" t="inlineStr">
        <is>
          <t>2025-2</t>
        </is>
      </c>
      <c r="J682" s="5" t="n">
        <v>545</v>
      </c>
      <c r="K682" s="5" t="n">
        <v>1.65</v>
      </c>
      <c r="L682" s="28" t="n"/>
      <c r="M682" s="28" t="n"/>
      <c r="N682" s="5" t="inlineStr">
        <is>
          <t>DEC</t>
        </is>
      </c>
      <c r="O682" s="5" t="inlineStr">
        <is>
          <t>DEC</t>
        </is>
      </c>
      <c r="P682" s="5" t="n">
        <v>2</v>
      </c>
      <c r="Q682" s="5" t="n">
        <v>2</v>
      </c>
      <c r="R682" s="5" t="inlineStr">
        <is>
          <t>269-2025-12-31</t>
        </is>
      </c>
      <c r="S682" t="inlineStr">
        <is>
          <t>Metrica</t>
        </is>
      </c>
    </row>
    <row r="683">
      <c r="A683" s="5" t="n">
        <v>270</v>
      </c>
      <c r="B683" s="5" t="inlineStr">
        <is>
          <t>N de horas promedio por evento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44" t="n">
        <v>45107</v>
      </c>
      <c r="G683" s="5" t="n">
        <v>2023</v>
      </c>
      <c r="H683" s="5" t="inlineStr">
        <is>
          <t>Junio</t>
        </is>
      </c>
      <c r="I683" s="6" t="inlineStr">
        <is>
          <t>2023-1</t>
        </is>
      </c>
      <c r="J683" s="5" t="n">
        <v>0</v>
      </c>
      <c r="K683" s="5" t="n">
        <v>6.55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n"/>
      <c r="O683" s="5" t="n"/>
      <c r="P683" s="5" t="n">
        <v>1</v>
      </c>
      <c r="Q683" s="5" t="n">
        <v>1</v>
      </c>
      <c r="R683" s="5" t="inlineStr">
        <is>
          <t>270-2023-06-30</t>
        </is>
      </c>
    </row>
    <row r="684">
      <c r="A684" s="5" t="n">
        <v>270</v>
      </c>
      <c r="B684" s="5" t="inlineStr">
        <is>
          <t>N de horas promedio por evento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44" t="n">
        <v>45291</v>
      </c>
      <c r="G684" s="5" t="n">
        <v>2023</v>
      </c>
      <c r="H684" s="5" t="inlineStr">
        <is>
          <t>Diciembre</t>
        </is>
      </c>
      <c r="I684" s="6" t="inlineStr">
        <is>
          <t>2023-2</t>
        </is>
      </c>
      <c r="J684" s="5" t="n">
        <v>0</v>
      </c>
      <c r="K684" s="5" t="n">
        <v>3.83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n"/>
      <c r="O684" s="5" t="n"/>
      <c r="P684" s="5" t="n">
        <v>1</v>
      </c>
      <c r="Q684" s="5" t="n">
        <v>1</v>
      </c>
      <c r="R684" s="5" t="inlineStr">
        <is>
          <t>270-2023-12-31</t>
        </is>
      </c>
    </row>
    <row r="685">
      <c r="A685" s="43" t="n">
        <v>270</v>
      </c>
      <c r="B685" s="5" t="inlineStr">
        <is>
          <t>N de horas promedio por evento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144" t="n">
        <v>45473</v>
      </c>
      <c r="G685" s="5" t="n">
        <v>2024</v>
      </c>
      <c r="H685" s="5" t="inlineStr">
        <is>
          <t>Junio</t>
        </is>
      </c>
      <c r="I685" s="6" t="inlineStr">
        <is>
          <t>2024-1</t>
        </is>
      </c>
      <c r="J685" s="5" t="n">
        <v>0</v>
      </c>
      <c r="K685" s="11" t="n">
        <v>4.88</v>
      </c>
      <c r="L685" s="28">
        <f>IFERROR(IF(OR(J685=0,K685=""),"",IF(E685="Positivo",MIN(MAX(K685/J685,0),1.3),MIN(MAX(J685/K685,0),1.3))),"") </f>
        <v/>
      </c>
      <c r="M685" s="28">
        <f>IFERROR(IF(OR(J685=0,K685=""),"",IF(E685="Positivo",MAX(K685/J685,0),MAX(J685/K685,0))),"") </f>
        <v/>
      </c>
      <c r="N685" s="5" t="n"/>
      <c r="O685" s="5" t="n"/>
      <c r="P685" s="5" t="n">
        <v>0</v>
      </c>
      <c r="Q685" s="5" t="n">
        <v>0</v>
      </c>
      <c r="R685" s="5" t="inlineStr">
        <is>
          <t>270-2024-06-30</t>
        </is>
      </c>
    </row>
    <row r="686">
      <c r="A686" s="39" t="n">
        <v>270</v>
      </c>
      <c r="B686" s="5" t="inlineStr">
        <is>
          <t>N de horas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144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0</v>
      </c>
      <c r="K686" s="11" t="n">
        <v>4.57</v>
      </c>
      <c r="L686" s="28">
        <f>IFERROR(IF(OR(J686=0,K686=""),"",IF(E686="Positivo",MIN(MAX(K686/J686,0),1.3),MIN(MAX(J686/K686,0),1.3))),"") </f>
        <v/>
      </c>
      <c r="M686" s="28">
        <f>IFERROR(IF(OR(J686=0,K686=""),"",IF(E686="Positivo",MAX(K686/J686,0),MAX(J686/K686,0))),"") </f>
        <v/>
      </c>
      <c r="N686" s="5" t="n"/>
      <c r="O686" s="5" t="n"/>
      <c r="P686" s="5" t="n">
        <v>0</v>
      </c>
      <c r="Q686" s="5" t="n">
        <v>0</v>
      </c>
      <c r="R686" s="5" t="inlineStr">
        <is>
          <t>270-2024-12-31</t>
        </is>
      </c>
    </row>
    <row r="687">
      <c r="A687" s="5" t="n">
        <v>270</v>
      </c>
      <c r="B687" s="5" t="inlineStr">
        <is>
          <t>N de horas promedio por evento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144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119" t="n">
        <v>368</v>
      </c>
      <c r="K687" s="123" t="n">
        <v>4.17</v>
      </c>
      <c r="L687" s="127" t="n"/>
      <c r="M687" s="28" t="n"/>
      <c r="N687" s="5" t="inlineStr">
        <is>
          <t>DEC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270-2025-06-30</t>
        </is>
      </c>
      <c r="S687" t="inlineStr">
        <is>
          <t>Metrica</t>
        </is>
      </c>
    </row>
    <row r="688">
      <c r="A688" s="5" t="n">
        <v>270</v>
      </c>
      <c r="B688" s="5" t="inlineStr">
        <is>
          <t>N de horas promedio por evento - (Metrica)</t>
        </is>
      </c>
      <c r="C688" s="5" t="inlineStr">
        <is>
          <t>Centro de Medios Audiovisuales</t>
        </is>
      </c>
      <c r="D688" s="5" t="inlineStr">
        <is>
          <t>Trimestral</t>
        </is>
      </c>
      <c r="E688" s="5" t="inlineStr">
        <is>
          <t>Positivo</t>
        </is>
      </c>
      <c r="F688" s="144" t="n">
        <v>46022</v>
      </c>
      <c r="G688" s="5" t="n">
        <v>2025</v>
      </c>
      <c r="H688" s="5" t="inlineStr">
        <is>
          <t>Diciembre</t>
        </is>
      </c>
      <c r="I688" s="6" t="inlineStr">
        <is>
          <t>2025-2</t>
        </is>
      </c>
      <c r="J688" s="119" t="n">
        <v>545</v>
      </c>
      <c r="K688" s="123" t="n">
        <v>4.3</v>
      </c>
      <c r="L688" s="127" t="n"/>
      <c r="M688" s="28" t="n"/>
      <c r="N688" s="5" t="inlineStr">
        <is>
          <t>DEC</t>
        </is>
      </c>
      <c r="O688" s="5" t="inlineStr">
        <is>
          <t>ENT</t>
        </is>
      </c>
      <c r="P688" s="5" t="n">
        <v>0</v>
      </c>
      <c r="Q688" s="5" t="n">
        <v>0</v>
      </c>
      <c r="R688" s="5" t="inlineStr">
        <is>
          <t>270-2025-12-31</t>
        </is>
      </c>
      <c r="S688" t="inlineStr">
        <is>
          <t>Metrica</t>
        </is>
      </c>
    </row>
    <row r="689">
      <c r="A689" s="43" t="n">
        <v>271</v>
      </c>
      <c r="B689" s="5" t="inlineStr">
        <is>
          <t>N de horas por solicitud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44" t="n">
        <v>45107</v>
      </c>
      <c r="G689" s="5" t="n">
        <v>2023</v>
      </c>
      <c r="H689" s="5" t="inlineStr">
        <is>
          <t>Junio</t>
        </is>
      </c>
      <c r="I689" s="6" t="inlineStr">
        <is>
          <t>2023-1</t>
        </is>
      </c>
      <c r="J689" s="5" t="n">
        <v>0</v>
      </c>
      <c r="K689" s="5" t="n">
        <v>63.29113924050633</v>
      </c>
      <c r="L689" s="120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n"/>
      <c r="O689" s="5" t="n"/>
      <c r="P689" s="5" t="n">
        <v>1</v>
      </c>
      <c r="Q689" s="5" t="n">
        <v>1</v>
      </c>
      <c r="R689" s="5" t="inlineStr">
        <is>
          <t>271-2023-06-30</t>
        </is>
      </c>
    </row>
    <row r="690">
      <c r="A690" s="39" t="n">
        <v>271</v>
      </c>
      <c r="B690" s="5" t="inlineStr">
        <is>
          <t>N de horas por solicitud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44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0</v>
      </c>
      <c r="K690" s="5" t="n">
        <v>16.17233646643447</v>
      </c>
      <c r="L690" s="120">
        <f>IFERROR(IF(OR(J690=0,K690=""),"",IF(E690="Positivo",MIN(MAX(K690/J690,0),1.3),MIN(MAX(J690/K690,0),1.3))),"") </f>
        <v/>
      </c>
      <c r="M690" s="28">
        <f>IFERROR(IF(OR(J690=0,K690=""),"",IF(E690="Positivo",MAX(K690/J690,0),MAX(J690/K690,0))),"") </f>
        <v/>
      </c>
      <c r="N690" s="5" t="n"/>
      <c r="O690" s="5" t="n"/>
      <c r="P690" s="5" t="n">
        <v>1</v>
      </c>
      <c r="Q690" s="5" t="n">
        <v>1</v>
      </c>
      <c r="R690" s="5" t="inlineStr">
        <is>
          <t>271-2023-12-31</t>
        </is>
      </c>
    </row>
    <row r="691">
      <c r="A691" s="5" t="n">
        <v>271</v>
      </c>
      <c r="B691" s="5" t="inlineStr">
        <is>
          <t>N de horas por solicitud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44" t="n">
        <v>45473</v>
      </c>
      <c r="G691" s="5" t="n">
        <v>2024</v>
      </c>
      <c r="H691" s="5" t="inlineStr">
        <is>
          <t>Junio</t>
        </is>
      </c>
      <c r="I691" s="6" t="inlineStr">
        <is>
          <t>2024-1</t>
        </is>
      </c>
      <c r="J691" s="5" t="n">
        <v>0</v>
      </c>
      <c r="K691" s="5" t="n">
        <v>19.39471652327377</v>
      </c>
      <c r="L691" s="28">
        <f>IFERROR(IF(OR(J691=0,K691=""),"",IF(E691="Positivo",MIN(MAX(K691/J691,0),1.3),MIN(MAX(J691/K691,0),1.3))),"") </f>
        <v/>
      </c>
      <c r="M691" s="28">
        <f>IFERROR(IF(OR(J691=0,K691=""),"",IF(E691="Positivo",MAX(K691/J691,0),MAX(J691/K691,0))),"") </f>
        <v/>
      </c>
      <c r="N691" s="5" t="n"/>
      <c r="O691" s="5" t="n"/>
      <c r="P691" s="5" t="n">
        <v>0</v>
      </c>
      <c r="Q691" s="5" t="n">
        <v>0</v>
      </c>
      <c r="R691" s="5" t="inlineStr">
        <is>
          <t>271-2024-06-30</t>
        </is>
      </c>
    </row>
    <row r="692">
      <c r="A692" s="5" t="n">
        <v>271</v>
      </c>
      <c r="B692" s="5" t="inlineStr">
        <is>
          <t>N de horas por solicitud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144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5" t="n">
        <v>16.86</v>
      </c>
      <c r="L692" s="28" t="n"/>
      <c r="M692" s="28" t="n"/>
      <c r="N692" s="5" t="n"/>
      <c r="O692" s="5" t="n"/>
      <c r="P692" s="5" t="n">
        <v>0</v>
      </c>
      <c r="Q692" s="5" t="n">
        <v>0</v>
      </c>
      <c r="R692" s="5" t="inlineStr">
        <is>
          <t>271-2024-12-31</t>
        </is>
      </c>
    </row>
    <row r="693">
      <c r="A693" s="39" t="n">
        <v>271</v>
      </c>
      <c r="B693" s="5" t="inlineStr">
        <is>
          <t>N de horas por solicitud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44" t="n">
        <v>45838</v>
      </c>
      <c r="G693" s="5" t="n">
        <v>2025</v>
      </c>
      <c r="H693" s="5" t="inlineStr">
        <is>
          <t>Junio</t>
        </is>
      </c>
      <c r="I693" s="6" t="inlineStr">
        <is>
          <t>2025-1</t>
        </is>
      </c>
      <c r="J693" s="5" t="n">
        <v>21346</v>
      </c>
      <c r="K693" s="5" t="n">
        <v>23.85</v>
      </c>
      <c r="L693" s="28" t="n"/>
      <c r="M693" s="28" t="n"/>
      <c r="N693" s="5" t="n">
        <v>0</v>
      </c>
      <c r="O693" s="5" t="inlineStr">
        <is>
          <t>ENT</t>
        </is>
      </c>
      <c r="P693" s="5" t="n">
        <v>0</v>
      </c>
      <c r="Q693" s="5" t="n">
        <v>0</v>
      </c>
      <c r="R693" s="5" t="inlineStr">
        <is>
          <t>271-2025-06-30</t>
        </is>
      </c>
      <c r="S693" t="inlineStr">
        <is>
          <t>Metrica</t>
        </is>
      </c>
    </row>
    <row r="694">
      <c r="A694" s="39" t="n">
        <v>271</v>
      </c>
      <c r="B694" s="5" t="inlineStr">
        <is>
          <t>N de horas por solicitud - (Metrica)</t>
        </is>
      </c>
      <c r="C694" s="5" t="inlineStr">
        <is>
          <t>Centro de Medios Audiovisuales</t>
        </is>
      </c>
      <c r="D694" s="5" t="inlineStr">
        <is>
          <t>Trimestral</t>
        </is>
      </c>
      <c r="E694" s="5" t="inlineStr">
        <is>
          <t>Positivo</t>
        </is>
      </c>
      <c r="F694" s="144" t="n">
        <v>46022</v>
      </c>
      <c r="G694" s="5" t="n">
        <v>2025</v>
      </c>
      <c r="H694" s="5" t="inlineStr">
        <is>
          <t>Diciembre</t>
        </is>
      </c>
      <c r="I694" s="6" t="inlineStr">
        <is>
          <t>2025-2</t>
        </is>
      </c>
      <c r="J694" s="5" t="n">
        <v>30907</v>
      </c>
      <c r="K694" s="5" t="n">
        <v>19.93</v>
      </c>
      <c r="L694" s="136" t="n"/>
      <c r="M694" s="28" t="n"/>
      <c r="N694" s="5" t="n">
        <v>0</v>
      </c>
      <c r="O694" s="5" t="inlineStr">
        <is>
          <t>ENT</t>
        </is>
      </c>
      <c r="P694" s="5" t="n">
        <v>0</v>
      </c>
      <c r="Q694" s="5" t="n">
        <v>0</v>
      </c>
      <c r="R694" s="5" t="inlineStr">
        <is>
          <t>271-2025-12-31</t>
        </is>
      </c>
      <c r="S694" t="inlineStr">
        <is>
          <t>Metrica</t>
        </is>
      </c>
    </row>
    <row r="695">
      <c r="A695" s="5" t="n">
        <v>272</v>
      </c>
      <c r="B695" s="5" t="inlineStr">
        <is>
          <t>Proporción de accidentes de trabajo mortales</t>
        </is>
      </c>
      <c r="C695" s="5" t="inlineStr">
        <is>
          <t>GESTIÓN DE SEGURIDAD Y SALUD EN EL TRABAJO</t>
        </is>
      </c>
      <c r="D695" s="5" t="inlineStr">
        <is>
          <t>Anual</t>
        </is>
      </c>
      <c r="E695" s="5" t="inlineStr">
        <is>
          <t>Negativo</t>
        </is>
      </c>
      <c r="F695" s="144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0</v>
      </c>
      <c r="K695" s="5" t="n">
        <v>0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272-2023-12-31</t>
        </is>
      </c>
    </row>
    <row r="696">
      <c r="A696" s="39" t="n">
        <v>272</v>
      </c>
      <c r="B696" s="5" t="inlineStr">
        <is>
          <t>Proporción de accidentes de trabajo mortales</t>
        </is>
      </c>
      <c r="C696" s="5" t="inlineStr">
        <is>
          <t>GESTIÓN DE SEGURIDAD Y SALUD EN EL TRABAJO</t>
        </is>
      </c>
      <c r="D696" s="5" t="inlineStr">
        <is>
          <t>Anual</t>
        </is>
      </c>
      <c r="E696" s="5" t="inlineStr">
        <is>
          <t>Negativo</t>
        </is>
      </c>
      <c r="F696" s="144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5" t="n">
        <v>0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n"/>
      <c r="O696" s="5" t="n"/>
      <c r="P696" s="5" t="n">
        <v>0</v>
      </c>
      <c r="Q696" s="5" t="n">
        <v>0</v>
      </c>
      <c r="R696" s="5" t="inlineStr">
        <is>
          <t>272-2024-12-31</t>
        </is>
      </c>
    </row>
    <row r="697">
      <c r="A697" s="39" t="n">
        <v>272</v>
      </c>
      <c r="B697" s="5" t="inlineStr">
        <is>
          <t>Proporción de accidentes de trabajo mortales</t>
        </is>
      </c>
      <c r="C697" s="5" t="inlineStr">
        <is>
          <t>GESTIÓN DE SEGURIDAD Y SALUD EN EL TRABAJO</t>
        </is>
      </c>
      <c r="D697" s="5" t="inlineStr">
        <is>
          <t>Anual</t>
        </is>
      </c>
      <c r="E697" s="5" t="inlineStr">
        <is>
          <t>Negativo</t>
        </is>
      </c>
      <c r="F697" s="144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>
        <v>0</v>
      </c>
      <c r="K697" s="5" t="n">
        <v>0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n">
        <v>0</v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272-2025-12-31</t>
        </is>
      </c>
    </row>
    <row r="698">
      <c r="A698" s="5" t="n">
        <v>273</v>
      </c>
      <c r="B698" s="5" t="inlineStr">
        <is>
          <t>Número de programas con condiciones iniciales elaboradas y analizadas institucionalmente</t>
        </is>
      </c>
      <c r="C698" s="5" t="inlineStr">
        <is>
          <t>Autoevaluación de programas académicos</t>
        </is>
      </c>
      <c r="D698" s="5" t="inlineStr">
        <is>
          <t>Semestral</t>
        </is>
      </c>
      <c r="E698" s="5" t="inlineStr">
        <is>
          <t>Positivo</t>
        </is>
      </c>
      <c r="F698" s="144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100</v>
      </c>
      <c r="K698" s="5" t="n">
        <v>100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inlineStr">
        <is>
          <t>ENT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273-2023-06-30</t>
        </is>
      </c>
    </row>
    <row r="699">
      <c r="A699" s="5" t="n">
        <v>273</v>
      </c>
      <c r="B699" s="5" t="inlineStr">
        <is>
          <t>Número de programas con condiciones iniciales elaboradas y analizadas institucionalmente</t>
        </is>
      </c>
      <c r="C699" s="5" t="inlineStr">
        <is>
          <t>Autoevaluación de programas académicos</t>
        </is>
      </c>
      <c r="D699" s="5" t="inlineStr">
        <is>
          <t>Semestral</t>
        </is>
      </c>
      <c r="E699" s="5" t="inlineStr">
        <is>
          <t>Positivo</t>
        </is>
      </c>
      <c r="F699" s="144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100</v>
      </c>
      <c r="K699" s="5" t="n">
        <v>100</v>
      </c>
      <c r="L699" s="28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inlineStr">
        <is>
          <t>ENT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273-2023-12-31</t>
        </is>
      </c>
    </row>
    <row r="700">
      <c r="A700" s="54" t="n">
        <v>273</v>
      </c>
      <c r="B700" s="5" t="inlineStr">
        <is>
          <t>Número de programas con condiciones iniciales elaboradas y analizadas institucionalmente</t>
        </is>
      </c>
      <c r="C700" s="5" t="inlineStr">
        <is>
          <t>Autoevaluación de programas académicos</t>
        </is>
      </c>
      <c r="D700" s="5" t="inlineStr">
        <is>
          <t>Semestral</t>
        </is>
      </c>
      <c r="E700" s="5" t="inlineStr">
        <is>
          <t>Positivo</t>
        </is>
      </c>
      <c r="F700" s="144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100</v>
      </c>
      <c r="K700" s="5" t="n">
        <v>100</v>
      </c>
      <c r="L700" s="120">
        <f>IFERROR(IF(OR(J700=0,K700=""),"",IF(E700="Positivo",MIN(MAX(K700/J700,0),1.3),MIN(MAX(J700/K700,0),1.3))),"") </f>
        <v/>
      </c>
      <c r="M700" s="28">
        <f>IFERROR(IF(OR(J700=0,K700=""),"",IF(E700="Positivo",MAX(K700/J700,0),MAX(J700/K700,0))),"") </f>
        <v/>
      </c>
      <c r="N700" s="5" t="inlineStr">
        <is>
          <t>ENT</t>
        </is>
      </c>
      <c r="O700" s="5" t="inlineStr">
        <is>
          <t>ENT</t>
        </is>
      </c>
      <c r="P700" s="5" t="n">
        <v>0</v>
      </c>
      <c r="Q700" s="5" t="n">
        <v>0</v>
      </c>
      <c r="R700" s="5" t="inlineStr">
        <is>
          <t>273-2024-06-30</t>
        </is>
      </c>
    </row>
    <row r="701">
      <c r="A701" s="39" t="n">
        <v>273</v>
      </c>
      <c r="B701" s="5" t="inlineStr">
        <is>
          <t>Número de programas con condiciones iniciales elaboradas y analizadas institucionalmente</t>
        </is>
      </c>
      <c r="C701" s="5" t="inlineStr">
        <is>
          <t>Autoevaluación de programas académicos</t>
        </is>
      </c>
      <c r="D701" s="5" t="inlineStr">
        <is>
          <t>Semestral</t>
        </is>
      </c>
      <c r="E701" s="5" t="inlineStr">
        <is>
          <t>Positivo</t>
        </is>
      </c>
      <c r="F701" s="144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100</v>
      </c>
      <c r="K701" s="5" t="n">
        <v>100</v>
      </c>
      <c r="L701" s="120">
        <f>IFERROR(IF(OR(J701=0,K701=""),"",IF(E701="Positivo",MIN(MAX(K701/J701,0),1.3),MIN(MAX(J701/K701,0),1.3))),"") </f>
        <v/>
      </c>
      <c r="M701" s="28">
        <f>IFERROR(IF(OR(J701=0,K701=""),"",IF(E701="Positivo",MAX(K701/J701,0),MAX(J701/K701,0))),"") </f>
        <v/>
      </c>
      <c r="N701" s="5" t="inlineStr">
        <is>
          <t>ENT</t>
        </is>
      </c>
      <c r="O701" s="5" t="inlineStr">
        <is>
          <t>ENT</t>
        </is>
      </c>
      <c r="P701" s="5" t="n">
        <v>0</v>
      </c>
      <c r="Q701" s="5" t="n">
        <v>0</v>
      </c>
      <c r="R701" s="5" t="inlineStr">
        <is>
          <t>273-2024-12-31</t>
        </is>
      </c>
    </row>
    <row r="702">
      <c r="A702" s="43" t="n">
        <v>273</v>
      </c>
      <c r="B702" s="5" t="inlineStr">
        <is>
          <t>Número de programas con condiciones iniciales elaboradas y analizadas institucionalmente</t>
        </is>
      </c>
      <c r="C702" s="5" t="inlineStr">
        <is>
          <t>Autoevaluación de programas académicos</t>
        </is>
      </c>
      <c r="D702" s="5" t="inlineStr">
        <is>
          <t>Semestral</t>
        </is>
      </c>
      <c r="E702" s="5" t="inlineStr">
        <is>
          <t>Positivo</t>
        </is>
      </c>
      <c r="F702" s="144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100</v>
      </c>
      <c r="K702" s="5" t="n">
        <v>150</v>
      </c>
      <c r="L702" s="120">
        <f>IFERROR(IF(OR(J702=0,K702=""),"",IF(E702="Positivo",MIN(MAX(K702/J702,0),1.3),MIN(MAX(J702/K702,0),1.3))),"") </f>
        <v/>
      </c>
      <c r="M702" s="28">
        <f>IFERROR(IF(OR(J702=0,K702=""),"",IF(E702="Positivo",MAX(K702/J702,0),MAX(J702/K702,0))),"") </f>
        <v/>
      </c>
      <c r="N702" s="5" t="inlineStr">
        <is>
          <t>ENT</t>
        </is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273-2025-06-30</t>
        </is>
      </c>
    </row>
    <row r="703">
      <c r="A703" s="39" t="n">
        <v>273</v>
      </c>
      <c r="B703" s="5" t="inlineStr">
        <is>
          <t>Número de programas con condiciones iniciales elaboradas y analizadas institucionalmente</t>
        </is>
      </c>
      <c r="C703" s="5" t="inlineStr">
        <is>
          <t>Autoevaluación de programas académicos</t>
        </is>
      </c>
      <c r="D703" s="5" t="inlineStr">
        <is>
          <t>Trimestral</t>
        </is>
      </c>
      <c r="E703" s="5" t="inlineStr">
        <is>
          <t>Positivo</t>
        </is>
      </c>
      <c r="F703" s="144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100</v>
      </c>
      <c r="K703" s="5" t="n">
        <v>100</v>
      </c>
      <c r="L703" s="120">
        <f>IFERROR(IF(OR(J703=0,K703=""),"",IF(E703="Positivo",MIN(MAX(K703/J703,0),1.3),MIN(MAX(J703/K703,0),1.3))),"") </f>
        <v/>
      </c>
      <c r="M703" s="28">
        <f>IFERROR(IF(OR(J703=0,K703=""),"",IF(E703="Positivo",MAX(K703/J703,0),MAX(J703/K703,0))),"") </f>
        <v/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273-2025-12-31</t>
        </is>
      </c>
    </row>
    <row r="704">
      <c r="A704" s="5" t="n">
        <v>274</v>
      </c>
      <c r="B704" s="5" t="inlineStr">
        <is>
          <t>Cumplimiento total estudiantes antiguos</t>
        </is>
      </c>
      <c r="C704" s="5" t="inlineStr">
        <is>
          <t>Rematrícula</t>
        </is>
      </c>
      <c r="D704" s="5" t="inlineStr">
        <is>
          <t>Semestral</t>
        </is>
      </c>
      <c r="E704" s="5" t="inlineStr">
        <is>
          <t>Positivo</t>
        </is>
      </c>
      <c r="F704" s="144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100</v>
      </c>
      <c r="K704" s="5" t="n">
        <v>97.85502035108701</v>
      </c>
      <c r="L704" s="28">
        <f>IFERROR(IF(OR(J704=0,K704=""),"",IF(E704="Positivo",MIN(MAX(K704/J704,0),1.3),MIN(MAX(J704/K704,0),1.3))),"") </f>
        <v/>
      </c>
      <c r="M704" s="28">
        <f>IFERROR(IF(OR(J704=0,K704=""),"",IF(E704="Positivo",MAX(K704/J704,0),MAX(J704/K704,0))),"") </f>
        <v/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274-2023-06-30</t>
        </is>
      </c>
    </row>
    <row r="705">
      <c r="A705" s="5" t="n">
        <v>274</v>
      </c>
      <c r="B705" s="5" t="inlineStr">
        <is>
          <t>Cumplimiento total estudiantes antiguos</t>
        </is>
      </c>
      <c r="C705" s="5" t="inlineStr">
        <is>
          <t>Rematrícula</t>
        </is>
      </c>
      <c r="D705" s="5" t="inlineStr">
        <is>
          <t>Semestral</t>
        </is>
      </c>
      <c r="E705" s="5" t="inlineStr">
        <is>
          <t>Positivo</t>
        </is>
      </c>
      <c r="F705" s="144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100</v>
      </c>
      <c r="K705" s="5" t="n">
        <v>97.50550081316401</v>
      </c>
      <c r="L705" s="28">
        <f>IFERROR(IF(OR(J705=0,K705=""),"",IF(E705="Positivo",MIN(MAX(K705/J705,0),1.3),MIN(MAX(J705/K705,0),1.3))),"") </f>
        <v/>
      </c>
      <c r="M705" s="28">
        <f>IFERROR(IF(OR(J705=0,K705=""),"",IF(E705="Positivo",MAX(K705/J705,0),MAX(J705/K705,0))),"") </f>
        <v/>
      </c>
      <c r="N705" s="5" t="inlineStr">
        <is>
          <t>ENT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274-2023-12-31</t>
        </is>
      </c>
    </row>
    <row r="706">
      <c r="A706" s="39" t="n">
        <v>274</v>
      </c>
      <c r="B706" s="5" t="inlineStr">
        <is>
          <t>Cumplimiento total estudiantes antiguos</t>
        </is>
      </c>
      <c r="C706" s="5" t="inlineStr">
        <is>
          <t>Rematrícula</t>
        </is>
      </c>
      <c r="D706" s="5" t="inlineStr">
        <is>
          <t>Semestral</t>
        </is>
      </c>
      <c r="E706" s="5" t="inlineStr">
        <is>
          <t>Positivo</t>
        </is>
      </c>
      <c r="F706" s="144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>
        <v>100</v>
      </c>
      <c r="K706" s="5" t="n">
        <v>102.33930181631</v>
      </c>
      <c r="L706" s="120">
        <f>IFERROR(IF(OR(J706=0,K706=""),"",IF(E706="Positivo",MIN(MAX(K706/J706,0),1.3),MIN(MAX(J706/K706,0),1.3))),"") </f>
        <v/>
      </c>
      <c r="M706" s="28">
        <f>IFERROR(IF(OR(J706=0,K706=""),"",IF(E706="Positivo",MAX(K706/J706,0),MAX(J706/K706,0))),"") </f>
        <v/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274-2024-06-30</t>
        </is>
      </c>
    </row>
    <row r="707">
      <c r="A707" s="39" t="n">
        <v>274</v>
      </c>
      <c r="B707" s="5" t="inlineStr">
        <is>
          <t>Cumplimiento total estudiantes antiguos</t>
        </is>
      </c>
      <c r="C707" s="5" t="inlineStr">
        <is>
          <t>Rematrícula</t>
        </is>
      </c>
      <c r="D707" s="5" t="inlineStr">
        <is>
          <t>Semestral</t>
        </is>
      </c>
      <c r="E707" s="5" t="inlineStr">
        <is>
          <t>Positivo</t>
        </is>
      </c>
      <c r="F707" s="144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100</v>
      </c>
      <c r="K707" s="5" t="n">
        <v>101.6087500306545</v>
      </c>
      <c r="L707" s="120">
        <f>IFERROR(IF(OR(J707=0,K707=""),"",IF(E707="Positivo",MIN(MAX(K707/J707,0),1.3),MIN(MAX(J707/K707,0),1.3))),"") </f>
        <v/>
      </c>
      <c r="M707" s="28">
        <f>IFERROR(IF(OR(J707=0,K707=""),"",IF(E707="Positivo",MAX(K707/J707,0),MAX(J707/K707,0))),"") 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274-2024-12-31</t>
        </is>
      </c>
    </row>
    <row r="708">
      <c r="A708" s="39" t="n">
        <v>274</v>
      </c>
      <c r="B708" s="5" t="inlineStr">
        <is>
          <t>Cumplimiento total estudiantes antiguos</t>
        </is>
      </c>
      <c r="C708" s="5" t="inlineStr">
        <is>
          <t>Rematrícula</t>
        </is>
      </c>
      <c r="D708" s="5" t="inlineStr">
        <is>
          <t>Semestral</t>
        </is>
      </c>
      <c r="E708" s="5" t="inlineStr">
        <is>
          <t>Positivo</t>
        </is>
      </c>
      <c r="F708" s="144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100</v>
      </c>
      <c r="K708" s="5" t="n">
        <v>105.8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274-2025-06-30</t>
        </is>
      </c>
    </row>
    <row r="709">
      <c r="A709" s="39" t="n">
        <v>274</v>
      </c>
      <c r="B709" s="5" t="inlineStr">
        <is>
          <t>Cumplimiento total estudiantes antiguos</t>
        </is>
      </c>
      <c r="C709" s="5" t="inlineStr">
        <is>
          <t>Rematrícula</t>
        </is>
      </c>
      <c r="D709" s="5" t="inlineStr">
        <is>
          <t>Semestral</t>
        </is>
      </c>
      <c r="E709" s="5" t="inlineStr">
        <is>
          <t>Positivo</t>
        </is>
      </c>
      <c r="F709" s="144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100</v>
      </c>
      <c r="K709" s="5" t="n">
        <v>102.03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274-2025-12-31</t>
        </is>
      </c>
    </row>
    <row r="710">
      <c r="A710" s="5" t="n">
        <v>275</v>
      </c>
      <c r="B710" s="5" t="inlineStr">
        <is>
          <t>Satisfacción Institucional por grupo de interes</t>
        </is>
      </c>
      <c r="C710" s="5" t="inlineStr">
        <is>
          <t>EXPERIENCIA INSTITUCIONAL</t>
        </is>
      </c>
      <c r="D710" s="5" t="inlineStr">
        <is>
          <t>Anual</t>
        </is>
      </c>
      <c r="E710" s="5" t="inlineStr">
        <is>
          <t>Positivo</t>
        </is>
      </c>
      <c r="F710" s="144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80</v>
      </c>
      <c r="K710" s="5" t="n">
        <v>0</v>
      </c>
      <c r="L710" s="28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275-2023-12-31</t>
        </is>
      </c>
    </row>
    <row r="711">
      <c r="A711" s="5" t="n">
        <v>275</v>
      </c>
      <c r="B711" s="5" t="inlineStr">
        <is>
          <t>Satisfacción Institucional por grupo de interes</t>
        </is>
      </c>
      <c r="C711" s="5" t="inlineStr">
        <is>
          <t>EXPERIENCIA INSTITUCIONAL</t>
        </is>
      </c>
      <c r="D711" s="5" t="inlineStr">
        <is>
          <t>Semestral</t>
        </is>
      </c>
      <c r="E711" s="5" t="inlineStr">
        <is>
          <t>Positivo</t>
        </is>
      </c>
      <c r="F711" s="144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80</v>
      </c>
      <c r="K711" s="5" t="n">
        <v>103.75</v>
      </c>
      <c r="L711" s="28">
        <f>IFERROR(IF(OR(J711=0,K711=""),"",IF(E711="Positivo",MIN(MAX(K711/J711,0),1.3),MIN(MAX(J711/K711,0),1.3))),"") </f>
        <v/>
      </c>
      <c r="M711" s="28">
        <f>IFERROR(IF(OR(J711=0,K711=""),"",IF(E711="Positivo",MAX(K711/J711,0),MAX(J711/K711,0))),"") </f>
        <v/>
      </c>
      <c r="N711" s="5" t="inlineStr">
        <is>
          <t>%</t>
        </is>
      </c>
      <c r="O711" s="5" t="inlineStr">
        <is>
          <t>%</t>
        </is>
      </c>
      <c r="P711" s="5" t="n">
        <v>0</v>
      </c>
      <c r="Q711" s="5" t="n">
        <v>0</v>
      </c>
      <c r="R711" s="5" t="inlineStr">
        <is>
          <t>275-2024-06-30</t>
        </is>
      </c>
    </row>
    <row r="712">
      <c r="A712" s="39" t="n">
        <v>275</v>
      </c>
      <c r="B712" s="5" t="inlineStr">
        <is>
          <t>Satisfacción Institucional por grupo de interes</t>
        </is>
      </c>
      <c r="C712" s="5" t="inlineStr">
        <is>
          <t>EXPERIENCIA INSTITUCIONAL</t>
        </is>
      </c>
      <c r="D712" s="5" t="inlineStr">
        <is>
          <t>Semestral</t>
        </is>
      </c>
      <c r="E712" s="5" t="inlineStr">
        <is>
          <t>Positivo</t>
        </is>
      </c>
      <c r="F712" s="144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80</v>
      </c>
      <c r="K712" s="5" t="n">
        <v>109.58</v>
      </c>
      <c r="L712" s="28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275-2024-12-31</t>
        </is>
      </c>
    </row>
    <row r="713">
      <c r="A713" s="39" t="n">
        <v>275</v>
      </c>
      <c r="B713" s="5" t="inlineStr">
        <is>
          <t>Satisfacción Institucional por grupo de interes</t>
        </is>
      </c>
      <c r="C713" s="5" t="inlineStr">
        <is>
          <t>EXPERIENCIA INSTITUCIONAL</t>
        </is>
      </c>
      <c r="D713" s="5" t="inlineStr">
        <is>
          <t>Trimestral</t>
        </is>
      </c>
      <c r="E713" s="5" t="inlineStr">
        <is>
          <t>Positivo</t>
        </is>
      </c>
      <c r="F713" s="144" t="n">
        <v>45838</v>
      </c>
      <c r="G713" s="5" t="n">
        <v>2025</v>
      </c>
      <c r="H713" s="5" t="inlineStr">
        <is>
          <t>Junio</t>
        </is>
      </c>
      <c r="I713" s="6" t="inlineStr">
        <is>
          <t>2025-1</t>
        </is>
      </c>
      <c r="J713" s="5" t="n">
        <v>80</v>
      </c>
      <c r="K713" s="5" t="n">
        <v>90</v>
      </c>
      <c r="L713" s="28">
        <f>IFERROR(IF(OR(J713=0,K713=""),"",IF(E713="Positivo",MIN(MAX(K713/J713,0),1.3),MIN(MAX(J713/K713,0),1.3))),"") </f>
        <v/>
      </c>
      <c r="M713" s="28">
        <f>IFERROR(IF(OR(J713=0,K713=""),"",IF(E713="Positivo",MAX(K713/J713,0),MAX(J713/K713,0))),"") 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275-2025-06-30</t>
        </is>
      </c>
    </row>
    <row r="714">
      <c r="A714" s="5" t="n">
        <v>275</v>
      </c>
      <c r="B714" s="5" t="inlineStr">
        <is>
          <t>Satisfacción Institucional por grupo de interes</t>
        </is>
      </c>
      <c r="C714" s="5" t="inlineStr">
        <is>
          <t>EXPERIENCIA INSTITUCIONAL</t>
        </is>
      </c>
      <c r="D714" s="5" t="inlineStr">
        <is>
          <t>Trimestral</t>
        </is>
      </c>
      <c r="E714" s="5" t="inlineStr">
        <is>
          <t>Positivo</t>
        </is>
      </c>
      <c r="F714" s="144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80</v>
      </c>
      <c r="K714" s="5" t="n">
        <v>91.67</v>
      </c>
      <c r="L714" s="28">
        <f>IFERROR(IF(OR(J714=0,K714=""),"",IF(E714="Positivo",MIN(MAX(K714/J714,0),1.3),MIN(MAX(J714/K714,0),1.3))),"") </f>
        <v/>
      </c>
      <c r="M714" s="28">
        <f>IFERROR(IF(OR(J714=0,K714=""),"",IF(E714="Positivo",MAX(K714/J714,0),MAX(J714/K714,0))),"") </f>
        <v/>
      </c>
      <c r="N714" s="5" t="inlineStr">
        <is>
          <t>%</t>
        </is>
      </c>
      <c r="O714" s="5" t="inlineStr">
        <is>
          <t>%</t>
        </is>
      </c>
      <c r="P714" s="5" t="n">
        <v>0</v>
      </c>
      <c r="Q714" s="5" t="n">
        <v>0</v>
      </c>
      <c r="R714" s="5" t="inlineStr">
        <is>
          <t>275-2025-12-31</t>
        </is>
      </c>
    </row>
    <row r="715">
      <c r="A715" s="5" t="n">
        <v>276</v>
      </c>
      <c r="B715" s="5" t="inlineStr">
        <is>
          <t>Relación Estudiante-Docente Tiempo completo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Negativo</t>
        </is>
      </c>
      <c r="F715" s="144" t="n">
        <v>45107</v>
      </c>
      <c r="G715" s="5" t="n">
        <v>2023</v>
      </c>
      <c r="H715" s="5" t="inlineStr">
        <is>
          <t>Junio</t>
        </is>
      </c>
      <c r="I715" s="6" t="inlineStr">
        <is>
          <t>2023-1</t>
        </is>
      </c>
      <c r="J715" s="5" t="n">
        <v>85</v>
      </c>
      <c r="K715" s="5" t="n">
        <v>89.98999999999999</v>
      </c>
      <c r="L715" s="28">
        <f>IFERROR(IF(OR(J715=0,K715=""),"",IF(E715="Positivo",MIN(MAX(K715/J715,0),1.3),MIN(MAX(J715/K715,0),1.3))),"") </f>
        <v/>
      </c>
      <c r="M715" s="28">
        <f>IFERROR(IF(OR(J715=0,K715=""),"",IF(E715="Positivo",MAX(K715/J715,0),MAX(J715/K715,0))),"") </f>
        <v/>
      </c>
      <c r="N715" s="5" t="n"/>
      <c r="O715" s="5" t="n"/>
      <c r="P715" s="5" t="n">
        <v>0</v>
      </c>
      <c r="Q715" s="5" t="n">
        <v>1</v>
      </c>
      <c r="R715" s="5" t="inlineStr">
        <is>
          <t>276-2023-06-30</t>
        </is>
      </c>
    </row>
    <row r="716">
      <c r="A716" s="5" t="n">
        <v>276</v>
      </c>
      <c r="B716" s="5" t="inlineStr">
        <is>
          <t>Relación Estudiante-Docente Tiempo completo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Negativo</t>
        </is>
      </c>
      <c r="F716" s="143" t="n">
        <v>45291</v>
      </c>
      <c r="G716" s="16" t="n">
        <v>2023</v>
      </c>
      <c r="H716" s="6" t="inlineStr">
        <is>
          <t>Diciembre</t>
        </is>
      </c>
      <c r="I716" s="41" t="inlineStr">
        <is>
          <t>2023-2</t>
        </is>
      </c>
      <c r="J716" s="5" t="n">
        <v>85</v>
      </c>
      <c r="K716" s="5" t="n">
        <v>84.5</v>
      </c>
      <c r="L716" s="28">
        <f>IFERROR(IF(OR(J716=0,K716=""),"",IF(E716="Positivo",MIN(MAX(K716/J716,0),1.3),MIN(MAX(J716/K716,0),1.3))),"") </f>
        <v/>
      </c>
      <c r="M716" s="28">
        <f>IFERROR(IF(OR(J716=0,K716=""),"",IF(E716="Positivo",MAX(K716/J716,0),MAX(J716/K716,0))),"") </f>
        <v/>
      </c>
      <c r="N716" s="5" t="n"/>
      <c r="O716" s="5" t="n"/>
      <c r="P716" s="5" t="n">
        <v>0</v>
      </c>
      <c r="Q716" s="5" t="n">
        <v>1</v>
      </c>
      <c r="R716" s="5" t="inlineStr">
        <is>
          <t>276-2023-12-31</t>
        </is>
      </c>
    </row>
    <row r="717">
      <c r="A717" s="39" t="n">
        <v>276</v>
      </c>
      <c r="B717" s="5" t="inlineStr">
        <is>
          <t>Relación Estudiante-Docente Tiempo completo</t>
        </is>
      </c>
      <c r="C717" s="5" t="inlineStr">
        <is>
          <t>Gestión Docente</t>
        </is>
      </c>
      <c r="D717" s="5" t="inlineStr">
        <is>
          <t>Semestral</t>
        </is>
      </c>
      <c r="E717" s="5" t="inlineStr">
        <is>
          <t>Negativo</t>
        </is>
      </c>
      <c r="F717" s="144" t="n">
        <v>45473</v>
      </c>
      <c r="G717" s="5" t="n">
        <v>2024</v>
      </c>
      <c r="H717" s="5" t="inlineStr">
        <is>
          <t>Junio</t>
        </is>
      </c>
      <c r="I717" s="6" t="inlineStr">
        <is>
          <t>2024-1</t>
        </is>
      </c>
      <c r="J717" s="5" t="n">
        <v>75</v>
      </c>
      <c r="K717" s="5" t="n">
        <v>83.65000000000001</v>
      </c>
      <c r="L717" s="28">
        <f>IFERROR(IF(OR(J717=0,K717=""),"",IF(E717="Positivo",MIN(MAX(K717/J717,0),1.3),MIN(MAX(J717/K717,0),1.3))),"") </f>
        <v/>
      </c>
      <c r="M717" s="28">
        <f>IFERROR(IF(OR(J717=0,K717=""),"",IF(E717="Positivo",MAX(K717/J717,0),MAX(J717/K717,0))),"") </f>
        <v/>
      </c>
      <c r="N717" s="5" t="n"/>
      <c r="O717" s="5" t="n"/>
      <c r="P717" s="5" t="n">
        <v>0</v>
      </c>
      <c r="Q717" s="5" t="n">
        <v>1</v>
      </c>
      <c r="R717" s="5" t="inlineStr">
        <is>
          <t>276-2024-06-30</t>
        </is>
      </c>
    </row>
    <row r="718">
      <c r="A718" s="43" t="n">
        <v>276</v>
      </c>
      <c r="B718" s="5" t="inlineStr">
        <is>
          <t>Relación Estudiante-Docente Tiempo completo</t>
        </is>
      </c>
      <c r="C718" s="5" t="inlineStr">
        <is>
          <t>Gestión Docente</t>
        </is>
      </c>
      <c r="D718" s="5" t="inlineStr">
        <is>
          <t>Semestral</t>
        </is>
      </c>
      <c r="E718" s="5" t="inlineStr">
        <is>
          <t>Negativo</t>
        </is>
      </c>
      <c r="F718" s="144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75</v>
      </c>
      <c r="K718" s="5" t="n">
        <v>82.68000000000001</v>
      </c>
      <c r="L718" s="120">
        <f>IFERROR(IF(OR(J718=0,K718=""),"",IF(E718="Positivo",MIN(MAX(K718/J718,0),1.3),MIN(MAX(J718/K718,0),1.3))),"") </f>
        <v/>
      </c>
      <c r="M718" s="28">
        <f>IFERROR(IF(OR(J718=0,K718=""),"",IF(E718="Positivo",MAX(K718/J718,0),MAX(J718/K718,0))),"") </f>
        <v/>
      </c>
      <c r="N718" s="5" t="n"/>
      <c r="O718" s="5" t="n"/>
      <c r="P718" s="5" t="n">
        <v>0</v>
      </c>
      <c r="Q718" s="5" t="n">
        <v>1</v>
      </c>
      <c r="R718" s="5" t="inlineStr">
        <is>
          <t>276-2024-12-31</t>
        </is>
      </c>
    </row>
    <row r="719">
      <c r="A719" s="39" t="n">
        <v>276</v>
      </c>
      <c r="B719" s="5" t="inlineStr">
        <is>
          <t>Relación Estudiante-Docente Tiempo completo</t>
        </is>
      </c>
      <c r="C719" s="5" t="inlineStr">
        <is>
          <t>Gestión Docente</t>
        </is>
      </c>
      <c r="D719" s="5" t="inlineStr">
        <is>
          <t>Trimestral</t>
        </is>
      </c>
      <c r="E719" s="5" t="inlineStr">
        <is>
          <t>Negativo</t>
        </is>
      </c>
      <c r="F719" s="144" t="n">
        <v>45838</v>
      </c>
      <c r="G719" s="5" t="n">
        <v>2025</v>
      </c>
      <c r="H719" s="5" t="inlineStr">
        <is>
          <t>Junio</t>
        </is>
      </c>
      <c r="I719" s="6" t="inlineStr">
        <is>
          <t>2025-1</t>
        </is>
      </c>
      <c r="J719" s="5" t="n">
        <v>81</v>
      </c>
      <c r="K719" s="5" t="n">
        <v>84.18000000000001</v>
      </c>
      <c r="L719" s="120">
        <f>IFERROR(IF(OR(J719=0,K719=""),"",IF(E719="Positivo",MIN(MAX(K719/J719,0),1.3),MIN(MAX(J719/K719,0),1.3))),"") </f>
        <v/>
      </c>
      <c r="M719" s="28">
        <f>IFERROR(IF(OR(J719=0,K719=""),"",IF(E719="Positivo",MAX(K719/J719,0),MAX(J719/K719,0))),"") </f>
        <v/>
      </c>
      <c r="N719" s="5" t="inlineStr">
        <is>
          <t>ENT</t>
        </is>
      </c>
      <c r="O719" s="5" t="inlineStr">
        <is>
          <t>DEC</t>
        </is>
      </c>
      <c r="P719" s="5" t="n">
        <v>0</v>
      </c>
      <c r="Q719" s="5" t="n">
        <v>1</v>
      </c>
      <c r="R719" s="5" t="inlineStr">
        <is>
          <t>276-2025-06-30</t>
        </is>
      </c>
    </row>
    <row r="720">
      <c r="A720" s="39" t="n">
        <v>276</v>
      </c>
      <c r="B720" s="5" t="inlineStr">
        <is>
          <t>Relación Estudiante-Docente Tiempo completo</t>
        </is>
      </c>
      <c r="C720" s="5" t="inlineStr">
        <is>
          <t>Gestión Docente</t>
        </is>
      </c>
      <c r="D720" s="5" t="inlineStr">
        <is>
          <t>Trimestral</t>
        </is>
      </c>
      <c r="E720" s="5" t="inlineStr">
        <is>
          <t>Negativo</t>
        </is>
      </c>
      <c r="F720" s="144" t="n">
        <v>46022</v>
      </c>
      <c r="G720" s="5" t="n">
        <v>2025</v>
      </c>
      <c r="H720" s="5" t="inlineStr">
        <is>
          <t>Diciembre</t>
        </is>
      </c>
      <c r="I720" s="6" t="inlineStr">
        <is>
          <t>2025-2</t>
        </is>
      </c>
      <c r="J720" s="5" t="n">
        <v>81</v>
      </c>
      <c r="K720" s="5" t="n">
        <v>82.81</v>
      </c>
      <c r="L720" s="120">
        <f>IFERROR(IF(OR(J720=0,K720=""),"",IF(E720="Positivo",MIN(MAX(K720/J720,0),1.3),MIN(MAX(J720/K720,0),1.3))),"") </f>
        <v/>
      </c>
      <c r="M720" s="28">
        <f>IFERROR(IF(OR(J720=0,K720=""),"",IF(E720="Positivo",MAX(K720/J720,0),MAX(J720/K720,0))),"") </f>
        <v/>
      </c>
      <c r="N720" s="5" t="inlineStr">
        <is>
          <t>ENT</t>
        </is>
      </c>
      <c r="O720" s="5" t="inlineStr">
        <is>
          <t>DEC</t>
        </is>
      </c>
      <c r="P720" s="5" t="n">
        <v>0</v>
      </c>
      <c r="Q720" s="5" t="n">
        <v>1</v>
      </c>
      <c r="R720" s="5" t="inlineStr">
        <is>
          <t>276-2025-12-31</t>
        </is>
      </c>
    </row>
    <row r="721">
      <c r="A721" s="5" t="n">
        <v>277</v>
      </c>
      <c r="B721" s="5" t="inlineStr">
        <is>
          <t>Relación estudiante docente Tiempo Completo Equivalente</t>
        </is>
      </c>
      <c r="C721" s="5" t="inlineStr">
        <is>
          <t>Gestión Docente</t>
        </is>
      </c>
      <c r="D721" s="5" t="inlineStr">
        <is>
          <t>Semestral</t>
        </is>
      </c>
      <c r="E721" s="5" t="inlineStr">
        <is>
          <t>Negativo</t>
        </is>
      </c>
      <c r="F721" s="144" t="n">
        <v>45107</v>
      </c>
      <c r="G721" s="5" t="n">
        <v>2023</v>
      </c>
      <c r="H721" s="5" t="inlineStr">
        <is>
          <t>Junio</t>
        </is>
      </c>
      <c r="I721" s="6" t="inlineStr">
        <is>
          <t>2023-1</t>
        </is>
      </c>
      <c r="J721" s="5" t="n">
        <v>85</v>
      </c>
      <c r="K721" s="5" t="n">
        <v>76.48</v>
      </c>
      <c r="L721" s="28">
        <f>IFERROR(IF(OR(J721=0,K721=""),"",IF(E721="Positivo",MIN(MAX(K721/J721,0),1.3),MIN(MAX(J721/K721,0),1.3))),"") </f>
        <v/>
      </c>
      <c r="M721" s="28">
        <f>IFERROR(IF(OR(J721=0,K721=""),"",IF(E721="Positivo",MAX(K721/J721,0),MAX(J721/K721,0))),"") </f>
        <v/>
      </c>
      <c r="N721" s="5" t="n"/>
      <c r="O721" s="5" t="n"/>
      <c r="P721" s="5" t="n">
        <v>0</v>
      </c>
      <c r="Q721" s="5" t="n">
        <v>1</v>
      </c>
      <c r="R721" s="5" t="inlineStr">
        <is>
          <t>277-2023-06-30</t>
        </is>
      </c>
    </row>
    <row r="722">
      <c r="A722" s="43" t="n">
        <v>277</v>
      </c>
      <c r="B722" s="5" t="inlineStr">
        <is>
          <t>Relación estudiante docente Tiempo Completo Equivalente</t>
        </is>
      </c>
      <c r="C722" s="5" t="inlineStr">
        <is>
          <t>Gestión Docente</t>
        </is>
      </c>
      <c r="D722" s="5" t="inlineStr">
        <is>
          <t>Semestral</t>
        </is>
      </c>
      <c r="E722" s="5" t="inlineStr">
        <is>
          <t>Negativo</t>
        </is>
      </c>
      <c r="F722" s="144" t="n">
        <v>45291</v>
      </c>
      <c r="G722" s="5" t="n">
        <v>2023</v>
      </c>
      <c r="H722" s="5" t="inlineStr">
        <is>
          <t>Diciembre</t>
        </is>
      </c>
      <c r="I722" s="6" t="inlineStr">
        <is>
          <t>2023-2</t>
        </is>
      </c>
      <c r="J722" s="5" t="n">
        <v>85</v>
      </c>
      <c r="K722" s="5" t="n">
        <v>73.29000000000001</v>
      </c>
      <c r="L722" s="28">
        <f>IFERROR(IF(OR(J722=0,K722=""),"",IF(E722="Positivo",MIN(MAX(K722/J722,0),1.3),MIN(MAX(J722/K722,0),1.3))),"") </f>
        <v/>
      </c>
      <c r="M722" s="28">
        <f>IFERROR(IF(OR(J722=0,K722=""),"",IF(E722="Positivo",MAX(K722/J722,0),MAX(J722/K722,0))),"") </f>
        <v/>
      </c>
      <c r="N722" s="5" t="n"/>
      <c r="O722" s="5" t="n"/>
      <c r="P722" s="5" t="n">
        <v>0</v>
      </c>
      <c r="Q722" s="5" t="n">
        <v>1</v>
      </c>
      <c r="R722" s="5" t="inlineStr">
        <is>
          <t>277-2023-12-31</t>
        </is>
      </c>
    </row>
    <row r="723">
      <c r="A723" s="39" t="n">
        <v>277</v>
      </c>
      <c r="B723" s="5" t="inlineStr">
        <is>
          <t>Relación estudiante docente Tiempo Completo Equivalente</t>
        </is>
      </c>
      <c r="C723" s="5" t="inlineStr">
        <is>
          <t>Gestión Docente</t>
        </is>
      </c>
      <c r="D723" s="5" t="inlineStr">
        <is>
          <t>Semestral</t>
        </is>
      </c>
      <c r="E723" s="5" t="inlineStr">
        <is>
          <t>Negativo</t>
        </is>
      </c>
      <c r="F723" s="144" t="n">
        <v>45473</v>
      </c>
      <c r="G723" s="5" t="n">
        <v>2024</v>
      </c>
      <c r="H723" s="5" t="inlineStr">
        <is>
          <t>Junio</t>
        </is>
      </c>
      <c r="I723" s="6" t="inlineStr">
        <is>
          <t>2024-1</t>
        </is>
      </c>
      <c r="J723" s="5" t="n">
        <v>73</v>
      </c>
      <c r="K723" s="5" t="n">
        <v>71.18000000000001</v>
      </c>
      <c r="L723" s="28">
        <f>IFERROR(IF(OR(J723=0,K723=""),"",IF(E723="Positivo",MIN(MAX(K723/J723,0),1.3),MIN(MAX(J723/K723,0),1.3))),"") </f>
        <v/>
      </c>
      <c r="M723" s="28">
        <f>IFERROR(IF(OR(J723=0,K723=""),"",IF(E723="Positivo",MAX(K723/J723,0),MAX(J723/K723,0))),"") </f>
        <v/>
      </c>
      <c r="N723" s="5" t="n"/>
      <c r="O723" s="5" t="n"/>
      <c r="P723" s="5" t="n">
        <v>0</v>
      </c>
      <c r="Q723" s="5" t="n">
        <v>1</v>
      </c>
      <c r="R723" s="5" t="inlineStr">
        <is>
          <t>277-2024-06-30</t>
        </is>
      </c>
    </row>
    <row r="724">
      <c r="A724" s="5" t="n">
        <v>277</v>
      </c>
      <c r="B724" s="5" t="inlineStr">
        <is>
          <t>Relación estudiante docente Tiempo Completo Equivalente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144" t="n">
        <v>45657</v>
      </c>
      <c r="G724" s="5" t="n">
        <v>2024</v>
      </c>
      <c r="H724" s="5" t="inlineStr">
        <is>
          <t>Diciembre</t>
        </is>
      </c>
      <c r="I724" s="6" t="inlineStr">
        <is>
          <t>2024-2</t>
        </is>
      </c>
      <c r="J724" s="5" t="n">
        <v>73</v>
      </c>
      <c r="K724" s="5" t="n">
        <v>71.23999999999999</v>
      </c>
      <c r="L724" s="28">
        <f>IFERROR(IF(OR(J724=0,K724=""),"",IF(E724="Positivo",MIN(MAX(K724/J724,0),1.3),MIN(MAX(J724/K724,0),1.3))),"") </f>
        <v/>
      </c>
      <c r="M724" s="28">
        <f>IFERROR(IF(OR(J724=0,K724=""),"",IF(E724="Positivo",MAX(K724/J724,0),MAX(J724/K724,0))),"") </f>
        <v/>
      </c>
      <c r="N724" s="5" t="n"/>
      <c r="O724" s="5" t="n"/>
      <c r="P724" s="5" t="n">
        <v>0</v>
      </c>
      <c r="Q724" s="5" t="n">
        <v>1</v>
      </c>
      <c r="R724" s="5" t="inlineStr">
        <is>
          <t>277-2024-12-31</t>
        </is>
      </c>
    </row>
    <row r="725">
      <c r="A725" s="5" t="n">
        <v>277</v>
      </c>
      <c r="B725" s="5" t="inlineStr">
        <is>
          <t>Relación estudiante docente Tiempo Completo Equivalente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44" t="n">
        <v>45838</v>
      </c>
      <c r="G725" s="5" t="n">
        <v>2025</v>
      </c>
      <c r="H725" s="5" t="inlineStr">
        <is>
          <t>Junio</t>
        </is>
      </c>
      <c r="I725" s="6" t="inlineStr">
        <is>
          <t>2025-1</t>
        </is>
      </c>
      <c r="J725" s="5" t="n">
        <v>71</v>
      </c>
      <c r="K725" s="10" t="n">
        <v>69.39</v>
      </c>
      <c r="L725" s="28">
        <f>IFERROR(IF(OR(J725=0,K725=""),"",IF(E725="Positivo",MIN(MAX(K725/J725,0),1.3),MIN(MAX(J725/K725,0),1.3))),"") </f>
        <v/>
      </c>
      <c r="M725" s="28">
        <f>IFERROR(IF(OR(J725=0,K725=""),"",IF(E725="Positivo",MAX(K725/J725,0),MAX(J725/K725,0))),"") </f>
        <v/>
      </c>
      <c r="N725" s="5" t="n"/>
      <c r="O725" s="5" t="n"/>
      <c r="P725" s="5" t="n">
        <v>0</v>
      </c>
      <c r="Q725" s="5" t="n">
        <v>1</v>
      </c>
      <c r="R725" s="5" t="inlineStr">
        <is>
          <t>277-2025-06-30</t>
        </is>
      </c>
    </row>
    <row r="726">
      <c r="A726" s="43" t="n">
        <v>277</v>
      </c>
      <c r="B726" s="5" t="inlineStr">
        <is>
          <t>Relación estudiante docente TCE (Tiempo Completo Equivalente)</t>
        </is>
      </c>
      <c r="C726" s="5" t="inlineStr">
        <is>
          <t>Gestión Docente</t>
        </is>
      </c>
      <c r="D726" s="5" t="inlineStr">
        <is>
          <t>Trimestral</t>
        </is>
      </c>
      <c r="E726" s="5" t="inlineStr">
        <is>
          <t>Negativo</t>
        </is>
      </c>
      <c r="F726" s="144" t="n">
        <v>46022</v>
      </c>
      <c r="G726" s="5" t="n">
        <v>2025</v>
      </c>
      <c r="H726" s="5" t="inlineStr">
        <is>
          <t>Diciembre</t>
        </is>
      </c>
      <c r="I726" s="6" t="inlineStr">
        <is>
          <t>2025-2</t>
        </is>
      </c>
      <c r="J726" s="5" t="n">
        <v>71</v>
      </c>
      <c r="K726" s="5" t="n">
        <v>68.40000000000001</v>
      </c>
      <c r="L726" s="120">
        <f>IFERROR(IF(OR(J726=0,K726=""),"",IF(E726="Positivo",MIN(MAX(K726/J726,0),1.3),MIN(MAX(J726/K726,0),1.3))),"") </f>
        <v/>
      </c>
      <c r="M726" s="28">
        <f>IFERROR(IF(OR(J726=0,K726=""),"",IF(E726="Positivo",MAX(K726/J726,0),MAX(J726/K726,0))),"") </f>
        <v/>
      </c>
      <c r="N726" s="5" t="inlineStr">
        <is>
          <t>ENT</t>
        </is>
      </c>
      <c r="O726" s="5" t="inlineStr">
        <is>
          <t>DEC</t>
        </is>
      </c>
      <c r="P726" s="5" t="n">
        <v>1</v>
      </c>
      <c r="Q726" s="5" t="n">
        <v>1</v>
      </c>
      <c r="R726" s="5" t="inlineStr">
        <is>
          <t>277-2025-12-31</t>
        </is>
      </c>
    </row>
    <row r="727">
      <c r="A727" s="39" t="n">
        <v>278</v>
      </c>
      <c r="B727" s="5" t="inlineStr">
        <is>
          <t>Docentes contratados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Positivo</t>
        </is>
      </c>
      <c r="F727" s="144" t="n">
        <v>45107</v>
      </c>
      <c r="G727" s="5" t="n">
        <v>2023</v>
      </c>
      <c r="H727" s="5" t="inlineStr">
        <is>
          <t>Junio</t>
        </is>
      </c>
      <c r="I727" s="6" t="inlineStr">
        <is>
          <t>2023-1</t>
        </is>
      </c>
      <c r="J727" s="5" t="n">
        <v>0</v>
      </c>
      <c r="K727" s="5" t="n">
        <v>0</v>
      </c>
      <c r="L727" s="120">
        <f>IFERROR(IF(OR(J727=0,K727=""),"",IF(E727="Positivo",MIN(MAX(K727/J727,0),1.3),MIN(MAX(J727/K727,0),1.3))),"") </f>
        <v/>
      </c>
      <c r="M727" s="28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0</v>
      </c>
      <c r="R727" s="5" t="inlineStr">
        <is>
          <t>278-2023-06-30</t>
        </is>
      </c>
    </row>
    <row r="728">
      <c r="A728" s="5" t="n">
        <v>278</v>
      </c>
      <c r="B728" s="5" t="inlineStr">
        <is>
          <t>Docentes contratados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Positivo</t>
        </is>
      </c>
      <c r="F728" s="144" t="n">
        <v>45291</v>
      </c>
      <c r="G728" s="5" t="n">
        <v>2023</v>
      </c>
      <c r="H728" s="5" t="inlineStr">
        <is>
          <t>Diciembre</t>
        </is>
      </c>
      <c r="I728" s="6" t="inlineStr">
        <is>
          <t>2023-2</t>
        </is>
      </c>
      <c r="J728" s="5" t="n">
        <v>0</v>
      </c>
      <c r="K728" s="5" t="n">
        <v>1017</v>
      </c>
      <c r="L728" s="28">
        <f>IFERROR(IF(OR(J728=0,K728=""),"",IF(E728="Positivo",MIN(MAX(K728/J728,0),1.3),MIN(MAX(J728/K728,0),1.3))),"") </f>
        <v/>
      </c>
      <c r="M728" s="28">
        <f>IFERROR(IF(OR(J728=0,K728=""),"",IF(E728="Positivo",MAX(K728/J728,0),MAX(J728/K728,0))),"") </f>
        <v/>
      </c>
      <c r="N728" s="5" t="n"/>
      <c r="O728" s="5" t="n"/>
      <c r="P728" s="5" t="n">
        <v>0</v>
      </c>
      <c r="Q728" s="5" t="n">
        <v>0</v>
      </c>
      <c r="R728" s="5" t="inlineStr">
        <is>
          <t>278-2023-12-31</t>
        </is>
      </c>
    </row>
    <row r="729">
      <c r="A729" s="5" t="n">
        <v>278</v>
      </c>
      <c r="B729" s="5" t="inlineStr">
        <is>
          <t>Docentes contratados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Positivo</t>
        </is>
      </c>
      <c r="F729" s="144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0</v>
      </c>
      <c r="K729" s="5" t="n">
        <v>1080</v>
      </c>
      <c r="L729" s="28">
        <f>IFERROR(IF(OR(J729=0,K729=""),"",IF(E729="Positivo",MIN(MAX(K729/J729,0),1.3),MIN(MAX(J729/K729,0),1.3))),"") </f>
        <v/>
      </c>
      <c r="M729" s="28">
        <f>IFERROR(IF(OR(J729=0,K729=""),"",IF(E729="Positivo",MAX(K729/J729,0),MAX(J729/K729,0))),"") </f>
        <v/>
      </c>
      <c r="N729" s="5" t="n"/>
      <c r="O729" s="5" t="n"/>
      <c r="P729" s="5" t="n">
        <v>0</v>
      </c>
      <c r="Q729" s="5" t="n">
        <v>0</v>
      </c>
      <c r="R729" s="5" t="inlineStr">
        <is>
          <t>278-2024-06-30</t>
        </is>
      </c>
    </row>
    <row r="730">
      <c r="A730" s="43" t="n">
        <v>278</v>
      </c>
      <c r="B730" s="5" t="inlineStr">
        <is>
          <t>Docentes contratados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Positivo</t>
        </is>
      </c>
      <c r="F730" s="144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0</v>
      </c>
      <c r="K730" s="5" t="n">
        <v>1018</v>
      </c>
      <c r="L730" s="120">
        <f>IFERROR(IF(OR(J730=0,K730=""),"",IF(E730="Positivo",MIN(MAX(K730/J730,0),1.3),MIN(MAX(J730/K730,0),1.3))),"") </f>
        <v/>
      </c>
      <c r="M730" s="28">
        <f>IFERROR(IF(OR(J730=0,K730=""),"",IF(E730="Positivo",MAX(K730/J730,0),MAX(J730/K730,0))),"") </f>
        <v/>
      </c>
      <c r="N730" s="5" t="n"/>
      <c r="O730" s="5" t="n"/>
      <c r="P730" s="5" t="n">
        <v>0</v>
      </c>
      <c r="Q730" s="5" t="n">
        <v>0</v>
      </c>
      <c r="R730" s="5" t="inlineStr">
        <is>
          <t>278-2024-12-31</t>
        </is>
      </c>
    </row>
    <row r="731">
      <c r="A731" s="39" t="n">
        <v>278</v>
      </c>
      <c r="B731" s="5" t="inlineStr">
        <is>
          <t>Docentes contratados - Metrica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Positivo</t>
        </is>
      </c>
      <c r="F731" s="144" t="n">
        <v>45838</v>
      </c>
      <c r="G731" s="5" t="n">
        <v>2025</v>
      </c>
      <c r="H731" s="5" t="inlineStr">
        <is>
          <t>Junio</t>
        </is>
      </c>
      <c r="I731" s="6" t="inlineStr">
        <is>
          <t>2025-1</t>
        </is>
      </c>
      <c r="J731" s="5" t="n"/>
      <c r="K731" s="5" t="n">
        <v>1099</v>
      </c>
      <c r="L731" s="136" t="n"/>
      <c r="M731" s="28" t="n"/>
      <c r="N731" s="5" t="inlineStr">
        <is>
          <t>Metrica</t>
        </is>
      </c>
      <c r="O731" s="5" t="inlineStr">
        <is>
          <t>Metrica</t>
        </is>
      </c>
      <c r="P731" s="5" t="n">
        <v>0</v>
      </c>
      <c r="Q731" s="5" t="n">
        <v>0</v>
      </c>
      <c r="R731" s="5" t="inlineStr">
        <is>
          <t>278-2025-06-30</t>
        </is>
      </c>
      <c r="S731" t="inlineStr">
        <is>
          <t>Metrica</t>
        </is>
      </c>
    </row>
    <row r="732">
      <c r="A732" s="5" t="n">
        <v>278</v>
      </c>
      <c r="B732" s="5" t="inlineStr">
        <is>
          <t>Docentes contratados - Metrica</t>
        </is>
      </c>
      <c r="C732" s="5" t="inlineStr">
        <is>
          <t>Gestión Docente</t>
        </is>
      </c>
      <c r="D732" s="5" t="inlineStr">
        <is>
          <t>Trimestral</t>
        </is>
      </c>
      <c r="E732" s="5" t="inlineStr">
        <is>
          <t>Positivo</t>
        </is>
      </c>
      <c r="F732" s="144" t="n">
        <v>46022</v>
      </c>
      <c r="G732" s="5" t="n">
        <v>2025</v>
      </c>
      <c r="H732" s="5" t="inlineStr">
        <is>
          <t>Diciembre</t>
        </is>
      </c>
      <c r="I732" s="6" t="inlineStr">
        <is>
          <t>2025-2</t>
        </is>
      </c>
      <c r="J732" s="5" t="n"/>
      <c r="K732" s="5" t="n">
        <v>1071</v>
      </c>
      <c r="L732" s="28" t="n"/>
      <c r="M732" s="28" t="n"/>
      <c r="N732" s="5" t="inlineStr">
        <is>
          <t>Metrica</t>
        </is>
      </c>
      <c r="O732" s="5" t="inlineStr">
        <is>
          <t>Metrica</t>
        </is>
      </c>
      <c r="P732" s="5" t="n">
        <v>0</v>
      </c>
      <c r="Q732" s="5" t="n">
        <v>0</v>
      </c>
      <c r="R732" s="5" t="inlineStr">
        <is>
          <t>278-2025-12-31</t>
        </is>
      </c>
      <c r="S732" t="inlineStr">
        <is>
          <t>Metrica</t>
        </is>
      </c>
    </row>
    <row r="733">
      <c r="A733" s="5" t="n">
        <v>279</v>
      </c>
      <c r="B733" s="5" t="inlineStr">
        <is>
          <t>Docentes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Positivo</t>
        </is>
      </c>
      <c r="F733" s="144" t="n">
        <v>45107</v>
      </c>
      <c r="G733" s="5" t="n">
        <v>2023</v>
      </c>
      <c r="H733" s="5" t="inlineStr">
        <is>
          <t>Junio</t>
        </is>
      </c>
      <c r="I733" s="6" t="inlineStr">
        <is>
          <t>2023-1</t>
        </is>
      </c>
      <c r="J733" s="5" t="n">
        <v>0</v>
      </c>
      <c r="K733" s="5" t="n">
        <v>572</v>
      </c>
      <c r="L733" s="28">
        <f>IFERROR(IF(OR(J733=0,K733=""),"",IF(E733="Positivo",MIN(MAX(K733/J733,0),1.3),MIN(MAX(J733/K733,0),1.3))),"") </f>
        <v/>
      </c>
      <c r="M733" s="28">
        <f>IFERROR(IF(OR(J733=0,K733=""),"",IF(E733="Positivo",MAX(K733/J733,0),MAX(J733/K733,0))),"") </f>
        <v/>
      </c>
      <c r="N733" s="5" t="n"/>
      <c r="O733" s="5" t="n"/>
      <c r="P733" s="5" t="n">
        <v>0</v>
      </c>
      <c r="Q733" s="5" t="n">
        <v>0</v>
      </c>
      <c r="R733" s="5" t="inlineStr">
        <is>
          <t>279-2023-06-30</t>
        </is>
      </c>
    </row>
    <row r="734">
      <c r="A734" s="39" t="n">
        <v>279</v>
      </c>
      <c r="B734" s="5" t="inlineStr">
        <is>
          <t>Docentes tiempo completo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Positivo</t>
        </is>
      </c>
      <c r="F734" s="144" t="n">
        <v>45291</v>
      </c>
      <c r="G734" s="5" t="n">
        <v>2023</v>
      </c>
      <c r="H734" s="5" t="inlineStr">
        <is>
          <t>Diciembre</t>
        </is>
      </c>
      <c r="I734" s="6" t="inlineStr">
        <is>
          <t>2023-2</t>
        </is>
      </c>
      <c r="J734" s="5" t="n">
        <v>0</v>
      </c>
      <c r="K734" s="5" t="n">
        <v>608</v>
      </c>
      <c r="L734" s="120">
        <f>IFERROR(IF(OR(J734=0,K734=""),"",IF(E734="Positivo",MIN(MAX(K734/J734,0),1.3),MIN(MAX(J734/K734,0),1.3))),"") </f>
        <v/>
      </c>
      <c r="M734" s="28">
        <f>IFERROR(IF(OR(J734=0,K734=""),"",IF(E734="Positivo",MAX(K734/J734,0),MAX(J734/K734,0))),"") </f>
        <v/>
      </c>
      <c r="N734" s="5" t="n"/>
      <c r="O734" s="5" t="n"/>
      <c r="P734" s="5" t="n">
        <v>0</v>
      </c>
      <c r="Q734" s="5" t="n">
        <v>0</v>
      </c>
      <c r="R734" s="5" t="inlineStr">
        <is>
          <t>279-2023-12-31</t>
        </is>
      </c>
    </row>
    <row r="735">
      <c r="A735" s="5" t="n">
        <v>280</v>
      </c>
      <c r="B735" s="5" t="inlineStr">
        <is>
          <t>Docentes medio tiempo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Positivo</t>
        </is>
      </c>
      <c r="F735" s="144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0</v>
      </c>
      <c r="K735" s="5" t="n">
        <v>203</v>
      </c>
      <c r="L735" s="28">
        <f>IFERROR(IF(OR(J735=0,K735=""),"",IF(E735="Positivo",MIN(MAX(K735/J735,0),1.3),MIN(MAX(J735/K735,0),1.3))),"") </f>
        <v/>
      </c>
      <c r="M735" s="28">
        <f>IFERROR(IF(OR(J735=0,K735=""),"",IF(E735="Positivo",MAX(K735/J735,0),MAX(J735/K735,0))),"") </f>
        <v/>
      </c>
      <c r="N735" s="5" t="n"/>
      <c r="O735" s="5" t="n"/>
      <c r="P735" s="5" t="n">
        <v>0</v>
      </c>
      <c r="Q735" s="5" t="n">
        <v>0</v>
      </c>
      <c r="R735" s="5" t="inlineStr">
        <is>
          <t>280-2023-06-30</t>
        </is>
      </c>
    </row>
    <row r="736">
      <c r="A736" s="43" t="n">
        <v>280</v>
      </c>
      <c r="B736" s="5" t="inlineStr">
        <is>
          <t>Docentes medio tiempo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144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0</v>
      </c>
      <c r="K736" s="5" t="n">
        <v>186</v>
      </c>
      <c r="L736" s="28">
        <f>IFERROR(IF(OR(J736=0,K736=""),"",IF(E736="Positivo",MIN(MAX(K736/J736,0),1.3),MIN(MAX(J736/K736,0),1.3))),"") </f>
        <v/>
      </c>
      <c r="M736" s="28">
        <f>IFERROR(IF(OR(J736=0,K736=""),"",IF(E736="Positivo",MAX(K736/J736,0),MAX(J736/K736,0))),"") </f>
        <v/>
      </c>
      <c r="N736" s="5" t="n"/>
      <c r="O736" s="5" t="n"/>
      <c r="P736" s="5" t="n">
        <v>0</v>
      </c>
      <c r="Q736" s="5" t="n">
        <v>0</v>
      </c>
      <c r="R736" s="5" t="inlineStr">
        <is>
          <t>280-2023-12-31</t>
        </is>
      </c>
    </row>
    <row r="737">
      <c r="A737" s="39" t="n">
        <v>281</v>
      </c>
      <c r="B737" s="5" t="inlineStr">
        <is>
          <t>Docentes cátedra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44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/>
      <c r="K737" s="5" t="n">
        <v>240</v>
      </c>
      <c r="L737" s="28" t="n"/>
      <c r="M737" s="28" t="n"/>
      <c r="N737" s="5" t="n"/>
      <c r="O737" s="5" t="n"/>
      <c r="P737" s="5" t="n">
        <v>0</v>
      </c>
      <c r="Q737" s="5" t="n">
        <v>0</v>
      </c>
      <c r="R737" s="5" t="inlineStr">
        <is>
          <t>281-2023-06-30</t>
        </is>
      </c>
    </row>
    <row r="738">
      <c r="A738" s="39" t="n">
        <v>281</v>
      </c>
      <c r="B738" s="5" t="inlineStr">
        <is>
          <t>Docentes cátedra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44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/>
      <c r="K738" s="5" t="n">
        <v>223</v>
      </c>
      <c r="L738" s="28" t="n"/>
      <c r="M738" s="28" t="n"/>
      <c r="N738" s="5" t="n"/>
      <c r="O738" s="5" t="n"/>
      <c r="P738" s="5" t="n">
        <v>0</v>
      </c>
      <c r="Q738" s="5" t="n">
        <v>0</v>
      </c>
      <c r="R738" s="5" t="inlineStr">
        <is>
          <t>281-2023-12-31</t>
        </is>
      </c>
    </row>
    <row r="739">
      <c r="A739" s="5" t="n">
        <v>282</v>
      </c>
      <c r="B739" s="5" t="inlineStr">
        <is>
          <t>Docentes evaluados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44" t="n">
        <v>45107</v>
      </c>
      <c r="G739" s="5" t="n">
        <v>2023</v>
      </c>
      <c r="H739" s="5" t="inlineStr">
        <is>
          <t>Junio</t>
        </is>
      </c>
      <c r="I739" s="6" t="inlineStr">
        <is>
          <t>2023-1</t>
        </is>
      </c>
      <c r="J739" s="5" t="n">
        <v>96</v>
      </c>
      <c r="K739" s="5" t="n">
        <v>97.02</v>
      </c>
      <c r="L739" s="28">
        <f>IFERROR(IF(OR(J739=0,K739=""),"",IF(E739="Positivo",MIN(MAX(K739/J739,0),1.3),MIN(MAX(J739/K739,0),1.3))),"") </f>
        <v/>
      </c>
      <c r="M739" s="28">
        <f>IFERROR(IF(OR(J739=0,K739=""),"",IF(E739="Positivo",MAX(K739/J739,0),MAX(J739/K739,0))),"") </f>
        <v/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282-2023-06-30</t>
        </is>
      </c>
    </row>
    <row r="740">
      <c r="A740" s="39" t="n">
        <v>282</v>
      </c>
      <c r="B740" s="5" t="inlineStr">
        <is>
          <t>Docentes evaluados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44" t="n">
        <v>45291</v>
      </c>
      <c r="G740" s="5" t="n">
        <v>2023</v>
      </c>
      <c r="H740" s="5" t="inlineStr">
        <is>
          <t>Diciembre</t>
        </is>
      </c>
      <c r="I740" s="6" t="inlineStr">
        <is>
          <t>2023-2</t>
        </is>
      </c>
      <c r="J740" s="5" t="n">
        <v>96</v>
      </c>
      <c r="K740" s="5" t="n">
        <v>97.34</v>
      </c>
      <c r="L740" s="120">
        <f>IFERROR(IF(OR(J740=0,K740=""),"",IF(E740="Positivo",MIN(MAX(K740/J740,0),1.3),MIN(MAX(J740/K740,0),1.3))),"") </f>
        <v/>
      </c>
      <c r="M740" s="28">
        <f>IFERROR(IF(OR(J740=0,K740=""),"",IF(E740="Positivo",MAX(K740/J740,0),MAX(J740/K740,0))),"") </f>
        <v/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282-2023-12-31</t>
        </is>
      </c>
    </row>
    <row r="741">
      <c r="A741" s="5" t="n">
        <v>282</v>
      </c>
      <c r="B741" s="5" t="inlineStr">
        <is>
          <t>Docentes evaluados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144" t="n">
        <v>45473</v>
      </c>
      <c r="G741" s="5" t="n">
        <v>2024</v>
      </c>
      <c r="H741" s="5" t="inlineStr">
        <is>
          <t>Junio</t>
        </is>
      </c>
      <c r="I741" s="6" t="inlineStr">
        <is>
          <t>2024-1</t>
        </is>
      </c>
      <c r="J741" s="5" t="n">
        <v>97</v>
      </c>
      <c r="K741" s="5" t="n">
        <v>97.02</v>
      </c>
      <c r="L741" s="28">
        <f>IFERROR(IF(OR(J741=0,K741=""),"",IF(E741="Positivo",MIN(MAX(K741/J741,0),1.3),MIN(MAX(J741/K741,0),1.3))),"") </f>
        <v/>
      </c>
      <c r="M741" s="28">
        <f>IFERROR(IF(OR(J741=0,K741=""),"",IF(E741="Positivo",MAX(K741/J741,0),MAX(J741/K741,0))),"") </f>
        <v/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282-2024-06-30</t>
        </is>
      </c>
    </row>
    <row r="742">
      <c r="A742" s="5" t="n">
        <v>282</v>
      </c>
      <c r="B742" s="5" t="inlineStr">
        <is>
          <t>Docentes evaluados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144" t="n">
        <v>45657</v>
      </c>
      <c r="G742" s="5" t="n">
        <v>2024</v>
      </c>
      <c r="H742" s="5" t="inlineStr">
        <is>
          <t>Diciembre</t>
        </is>
      </c>
      <c r="I742" s="6" t="inlineStr">
        <is>
          <t>2024-2</t>
        </is>
      </c>
      <c r="J742" s="5" t="n">
        <v>97</v>
      </c>
      <c r="K742" s="5" t="n">
        <v>96.84</v>
      </c>
      <c r="L742" s="28">
        <f>IFERROR(IF(OR(J742=0,K742=""),"",IF(E742="Positivo",MIN(MAX(K742/J742,0),1.3),MIN(MAX(J742/K742,0),1.3))),"") </f>
        <v/>
      </c>
      <c r="M742" s="28">
        <f>IFERROR(IF(OR(J742=0,K742=""),"",IF(E742="Positivo",MAX(K742/J742,0),MAX(J742/K742,0))),"") 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282-2024-12-31</t>
        </is>
      </c>
    </row>
    <row r="743">
      <c r="A743" s="43" t="n">
        <v>282</v>
      </c>
      <c r="B743" s="5" t="inlineStr">
        <is>
          <t>Docentes evaluados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44" t="n">
        <v>45838</v>
      </c>
      <c r="G743" s="5" t="n">
        <v>2025</v>
      </c>
      <c r="H743" s="5" t="inlineStr">
        <is>
          <t>Junio</t>
        </is>
      </c>
      <c r="I743" s="6" t="inlineStr">
        <is>
          <t>2025-1</t>
        </is>
      </c>
      <c r="J743" s="5" t="n">
        <v>97</v>
      </c>
      <c r="K743" s="5" t="n">
        <v>97.41</v>
      </c>
      <c r="L743" s="120">
        <f>IFERROR(IF(OR(J743=0,K743=""),"",IF(E743="Positivo",MIN(MAX(K743/J743,0),1.3),MIN(MAX(J743/K743,0),1.3))),"") </f>
        <v/>
      </c>
      <c r="M743" s="28">
        <f>IFERROR(IF(OR(J743=0,K743=""),"",IF(E743="Positivo",MAX(K743/J743,0),MAX(J743/K743,0))),"") 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282-2025-06-30</t>
        </is>
      </c>
    </row>
    <row r="744">
      <c r="A744" s="39" t="n">
        <v>282</v>
      </c>
      <c r="B744" s="5" t="inlineStr">
        <is>
          <t>Docentes evaluados</t>
        </is>
      </c>
      <c r="C744" s="5" t="inlineStr">
        <is>
          <t>Gestión Docente</t>
        </is>
      </c>
      <c r="D744" s="5" t="inlineStr">
        <is>
          <t>Trimestral</t>
        </is>
      </c>
      <c r="E744" s="5" t="inlineStr">
        <is>
          <t>Positivo</t>
        </is>
      </c>
      <c r="F744" s="144" t="n">
        <v>46022</v>
      </c>
      <c r="G744" s="5" t="n">
        <v>2025</v>
      </c>
      <c r="H744" s="5" t="inlineStr">
        <is>
          <t>Diciembre</t>
        </is>
      </c>
      <c r="I744" s="6" t="inlineStr">
        <is>
          <t>2025-2</t>
        </is>
      </c>
      <c r="J744" s="5" t="n">
        <v>97</v>
      </c>
      <c r="K744" s="5" t="n">
        <v>97.56</v>
      </c>
      <c r="L744" s="120">
        <f>IFERROR(IF(OR(J744=0,K744=""),"",IF(E744="Positivo",MIN(MAX(K744/J744,0),1.3),MIN(MAX(J744/K744,0),1.3))),"") </f>
        <v/>
      </c>
      <c r="M744" s="28">
        <f>IFERROR(IF(OR(J744=0,K744=""),"",IF(E744="Positivo",MAX(K744/J744,0),MAX(J744/K744,0))),"") 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282-2025-12-31</t>
        </is>
      </c>
    </row>
    <row r="745">
      <c r="A745" s="5" t="n">
        <v>283</v>
      </c>
      <c r="B745" s="5" t="inlineStr">
        <is>
          <t>Resultado evaluación docente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44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4.5</v>
      </c>
      <c r="K745" s="5" t="n">
        <v>4.6</v>
      </c>
      <c r="L745" s="28">
        <f>IFERROR(IF(OR(J745=0,K745=""),"",IF(E745="Positivo",MIN(MAX(K745/J745,0),1.3),MIN(MAX(J745/K745,0),1.3))),"") </f>
        <v/>
      </c>
      <c r="M745" s="28">
        <f>IFERROR(IF(OR(J745=0,K745=""),"",IF(E745="Positivo",MAX(K745/J745,0),MAX(J745/K745,0))),"") </f>
        <v/>
      </c>
      <c r="N745" s="5" t="n"/>
      <c r="O745" s="5" t="n"/>
      <c r="P745" s="5" t="n">
        <v>2</v>
      </c>
      <c r="Q745" s="5" t="n">
        <v>2</v>
      </c>
      <c r="R745" s="5" t="inlineStr">
        <is>
          <t>283-2023-06-30</t>
        </is>
      </c>
    </row>
    <row r="746">
      <c r="A746" s="5" t="n">
        <v>283</v>
      </c>
      <c r="B746" s="5" t="inlineStr">
        <is>
          <t>Resultado evaluación docente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44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4.5</v>
      </c>
      <c r="K746" s="5" t="n">
        <v>4.55</v>
      </c>
      <c r="L746" s="28">
        <f>IFERROR(IF(OR(J746=0,K746=""),"",IF(E746="Positivo",MIN(MAX(K746/J746,0),1.3),MIN(MAX(J746/K746,0),1.3))),"") </f>
        <v/>
      </c>
      <c r="M746" s="28">
        <f>IFERROR(IF(OR(J746=0,K746=""),"",IF(E746="Positivo",MAX(K746/J746,0),MAX(J746/K746,0))),"") </f>
        <v/>
      </c>
      <c r="N746" s="5" t="n"/>
      <c r="O746" s="5" t="n"/>
      <c r="P746" s="5" t="n">
        <v>2</v>
      </c>
      <c r="Q746" s="5" t="n">
        <v>2</v>
      </c>
      <c r="R746" s="5" t="inlineStr">
        <is>
          <t>283-2023-12-31</t>
        </is>
      </c>
    </row>
    <row r="747">
      <c r="A747" s="5" t="n">
        <v>283</v>
      </c>
      <c r="B747" s="5" t="inlineStr">
        <is>
          <t>Resultado evaluación docente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43" t="n">
        <v>45473</v>
      </c>
      <c r="G747" s="16" t="n">
        <v>2024</v>
      </c>
      <c r="H747" s="6" t="inlineStr">
        <is>
          <t>Junio</t>
        </is>
      </c>
      <c r="I747" s="41" t="inlineStr">
        <is>
          <t>2024-1</t>
        </is>
      </c>
      <c r="J747" s="5" t="n">
        <v>4.5</v>
      </c>
      <c r="K747" s="5" t="n">
        <v>4.57</v>
      </c>
      <c r="L747" s="28">
        <f>IFERROR(IF(OR(J747=0,K747=""),"",IF(E747="Positivo",MIN(MAX(K747/J747,0),1.3),MIN(MAX(J747/K747,0),1.3))),"") </f>
        <v/>
      </c>
      <c r="M747" s="28">
        <f>IFERROR(IF(OR(J747=0,K747=""),"",IF(E747="Positivo",MAX(K747/J747,0),MAX(J747/K747,0))),"") </f>
        <v/>
      </c>
      <c r="N747" s="5" t="n"/>
      <c r="O747" s="5" t="n"/>
      <c r="P747" s="5" t="n">
        <v>0</v>
      </c>
      <c r="Q747" s="5" t="n">
        <v>0</v>
      </c>
      <c r="R747" s="5" t="inlineStr">
        <is>
          <t>283-2024-06-30</t>
        </is>
      </c>
    </row>
    <row r="748">
      <c r="A748" s="39" t="n">
        <v>283</v>
      </c>
      <c r="B748" s="5" t="inlineStr">
        <is>
          <t>Resultado evaluación docente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44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4.5</v>
      </c>
      <c r="K748" s="5" t="n">
        <v>4.64</v>
      </c>
      <c r="L748" s="28">
        <f>IFERROR(IF(OR(J748=0,K748=""),"",IF(E748="Positivo",MIN(MAX(K748/J748,0),1.3),MIN(MAX(J748/K748,0),1.3))),"") </f>
        <v/>
      </c>
      <c r="M748" s="28">
        <f>IFERROR(IF(OR(J748=0,K748=""),"",IF(E748="Positivo",MAX(K748/J748,0),MAX(J748/K748,0))),"") </f>
        <v/>
      </c>
      <c r="N748" s="5" t="n"/>
      <c r="O748" s="5" t="n"/>
      <c r="P748" s="5" t="n">
        <v>0</v>
      </c>
      <c r="Q748" s="5" t="n">
        <v>0</v>
      </c>
      <c r="R748" s="5" t="inlineStr">
        <is>
          <t>283-2024-12-31</t>
        </is>
      </c>
    </row>
    <row r="749">
      <c r="A749" s="5" t="n">
        <v>283</v>
      </c>
      <c r="B749" s="5" t="inlineStr">
        <is>
          <t>Resultado evaluación docente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44" t="n">
        <v>45838</v>
      </c>
      <c r="G749" s="5" t="n">
        <v>2025</v>
      </c>
      <c r="H749" s="5" t="inlineStr">
        <is>
          <t>Junio</t>
        </is>
      </c>
      <c r="I749" s="6" t="inlineStr">
        <is>
          <t>2025-1</t>
        </is>
      </c>
      <c r="J749" s="5" t="n">
        <v>4.6</v>
      </c>
      <c r="K749" s="10" t="n">
        <v>4.66</v>
      </c>
      <c r="L749" s="28">
        <f>IFERROR(IF(OR(J749=0,K749=""),"",IF(E749="Positivo",MIN(MAX(K749/J749,0),1.3),MIN(MAX(J749/K749,0),1.3))),"") </f>
        <v/>
      </c>
      <c r="M749" s="28">
        <f>IFERROR(IF(OR(J749=0,K749=""),"",IF(E749="Positivo",MAX(K749/J749,0),MAX(J749/K749,0))),"") </f>
        <v/>
      </c>
      <c r="N749" s="5" t="inlineStr">
        <is>
          <t>DEC</t>
        </is>
      </c>
      <c r="O749" s="5" t="inlineStr">
        <is>
          <t>DEC</t>
        </is>
      </c>
      <c r="P749" s="5" t="n">
        <v>0</v>
      </c>
      <c r="Q749" s="5" t="n">
        <v>0</v>
      </c>
      <c r="R749" s="5" t="inlineStr">
        <is>
          <t>283-2025-06-30</t>
        </is>
      </c>
    </row>
    <row r="750">
      <c r="A750" s="5" t="n">
        <v>283</v>
      </c>
      <c r="B750" s="5" t="inlineStr">
        <is>
          <t>Resultado evaluación docente</t>
        </is>
      </c>
      <c r="C750" s="5" t="inlineStr">
        <is>
          <t>Gestión Docente</t>
        </is>
      </c>
      <c r="D750" s="5" t="inlineStr">
        <is>
          <t>Trimestral</t>
        </is>
      </c>
      <c r="E750" s="5" t="inlineStr">
        <is>
          <t>Positivo</t>
        </is>
      </c>
      <c r="F750" s="144" t="n">
        <v>46022</v>
      </c>
      <c r="G750" s="5" t="n">
        <v>2025</v>
      </c>
      <c r="H750" s="5" t="inlineStr">
        <is>
          <t>Diciembre</t>
        </is>
      </c>
      <c r="I750" s="6" t="inlineStr">
        <is>
          <t>2025-2</t>
        </is>
      </c>
      <c r="J750" s="5" t="n">
        <v>4.6</v>
      </c>
      <c r="K750" s="10" t="n">
        <v>4.67</v>
      </c>
      <c r="L750" s="28">
        <f>IFERROR(IF(OR(J750=0,K750=""),"",IF(E750="Positivo",MIN(MAX(K750/J750,0),1.3),MIN(MAX(J750/K750,0),1.3))),"") </f>
        <v/>
      </c>
      <c r="M750" s="28">
        <f>IFERROR(IF(OR(J750=0,K750=""),"",IF(E750="Positivo",MAX(K750/J750,0),MAX(J750/K750,0))),"") </f>
        <v/>
      </c>
      <c r="N750" s="5" t="inlineStr">
        <is>
          <t>DEC</t>
        </is>
      </c>
      <c r="O750" s="5" t="inlineStr">
        <is>
          <t>DEC</t>
        </is>
      </c>
      <c r="P750" s="5" t="n">
        <v>1</v>
      </c>
      <c r="Q750" s="5" t="n">
        <v>2</v>
      </c>
      <c r="R750" s="5" t="inlineStr">
        <is>
          <t>283-2025-12-31</t>
        </is>
      </c>
    </row>
    <row r="751">
      <c r="A751" s="39" t="n">
        <v>284</v>
      </c>
      <c r="B751" s="5" t="inlineStr">
        <is>
          <t>Número Horas semanales docentes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44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/>
      <c r="K751" s="5" t="n">
        <v>15047</v>
      </c>
      <c r="L751" s="136" t="n"/>
      <c r="M751" s="28" t="n"/>
      <c r="N751" s="5" t="n"/>
      <c r="O751" s="5" t="n"/>
      <c r="P751" s="5" t="n">
        <v>0</v>
      </c>
      <c r="Q751" s="5" t="n">
        <v>0</v>
      </c>
      <c r="R751" s="5" t="inlineStr">
        <is>
          <t>284-2023-06-30</t>
        </is>
      </c>
    </row>
    <row r="752">
      <c r="A752" s="39" t="n">
        <v>284</v>
      </c>
      <c r="B752" s="5" t="inlineStr">
        <is>
          <t>Número Horas semanales docentes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44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/>
      <c r="K752" s="5" t="n">
        <v>16281</v>
      </c>
      <c r="L752" s="136" t="n"/>
      <c r="M752" s="28" t="n"/>
      <c r="N752" s="5" t="n"/>
      <c r="O752" s="5" t="n"/>
      <c r="P752" s="5" t="n">
        <v>0</v>
      </c>
      <c r="Q752" s="5" t="n">
        <v>0</v>
      </c>
      <c r="R752" s="5" t="inlineStr">
        <is>
          <t>284-2023-12-31</t>
        </is>
      </c>
    </row>
    <row r="753">
      <c r="A753" s="5" t="n">
        <v>285</v>
      </c>
      <c r="B753" s="5" t="inlineStr">
        <is>
          <t>Docentes con plan de trabajo asignado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44" t="n">
        <v>45107</v>
      </c>
      <c r="G753" s="5" t="n">
        <v>2023</v>
      </c>
      <c r="H753" s="5" t="inlineStr">
        <is>
          <t>Junio</t>
        </is>
      </c>
      <c r="I753" s="6" t="inlineStr">
        <is>
          <t>2023-1</t>
        </is>
      </c>
      <c r="J753" s="5" t="n">
        <v>100</v>
      </c>
      <c r="K753" s="5" t="n">
        <v>100</v>
      </c>
      <c r="L753" s="28">
        <f>IFERROR(IF(OR(J753=0,K753=""),"",IF(E753="Positivo",MIN(MAX(K753/J753,0),1.3),MIN(MAX(J753/K753,0),1.3))),"") </f>
        <v/>
      </c>
      <c r="M753" s="28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285-2023-06-30</t>
        </is>
      </c>
    </row>
    <row r="754">
      <c r="A754" s="39" t="n">
        <v>285</v>
      </c>
      <c r="B754" s="5" t="inlineStr">
        <is>
          <t>Docentes con plan de trabajo asignado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44" t="n">
        <v>45291</v>
      </c>
      <c r="G754" s="5" t="n">
        <v>2023</v>
      </c>
      <c r="H754" s="5" t="inlineStr">
        <is>
          <t>Diciembre</t>
        </is>
      </c>
      <c r="I754" s="6" t="inlineStr">
        <is>
          <t>2023-2</t>
        </is>
      </c>
      <c r="J754" s="5" t="n">
        <v>100</v>
      </c>
      <c r="K754" s="5" t="n">
        <v>100</v>
      </c>
      <c r="L754" s="120">
        <f>IFERROR(IF(OR(J754=0,K754=""),"",IF(E754="Positivo",MIN(MAX(K754/J754,0),1.3),MIN(MAX(J754/K754,0),1.3))),"") </f>
        <v/>
      </c>
      <c r="M754" s="28">
        <f>IFERROR(IF(OR(J754=0,K754=""),"",IF(E754="Positivo",MAX(K754/J754,0),MAX(J754/K754,0))),"") 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285-2023-12-31</t>
        </is>
      </c>
    </row>
    <row r="755">
      <c r="A755" s="39" t="n">
        <v>285</v>
      </c>
      <c r="B755" s="5" t="inlineStr">
        <is>
          <t>Docentes con plan de trabajo asignado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44" t="n">
        <v>45473</v>
      </c>
      <c r="G755" s="5" t="n">
        <v>2024</v>
      </c>
      <c r="H755" s="5" t="inlineStr">
        <is>
          <t>Junio</t>
        </is>
      </c>
      <c r="I755" s="6" t="inlineStr">
        <is>
          <t>2024-1</t>
        </is>
      </c>
      <c r="J755" s="5" t="n">
        <v>100</v>
      </c>
      <c r="K755" s="5" t="n">
        <v>100</v>
      </c>
      <c r="L755" s="120">
        <f>IFERROR(IF(OR(J755=0,K755=""),"",IF(E755="Positivo",MIN(MAX(K755/J755,0),1.3),MIN(MAX(J755/K755,0),1.3))),"") </f>
        <v/>
      </c>
      <c r="M755" s="28">
        <f>IFERROR(IF(OR(J755=0,K755=""),"",IF(E755="Positivo",MAX(K755/J755,0),MAX(J755/K755,0))),"") 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285-2024-06-30</t>
        </is>
      </c>
    </row>
    <row r="756">
      <c r="A756" s="39" t="n">
        <v>285</v>
      </c>
      <c r="B756" s="5" t="inlineStr">
        <is>
          <t>Docentes con plan de trabajo asignado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44" t="n">
        <v>45657</v>
      </c>
      <c r="G756" s="5" t="n">
        <v>2024</v>
      </c>
      <c r="H756" s="5" t="inlineStr">
        <is>
          <t>Diciembre</t>
        </is>
      </c>
      <c r="I756" s="6" t="inlineStr">
        <is>
          <t>2024-2</t>
        </is>
      </c>
      <c r="J756" s="5" t="n">
        <v>100</v>
      </c>
      <c r="K756" s="5" t="n">
        <v>100</v>
      </c>
      <c r="L756" s="120">
        <f>IFERROR(IF(OR(J756=0,K756=""),"",IF(E756="Positivo",MIN(MAX(K756/J756,0),1.3),MIN(MAX(J756/K756,0),1.3))),"") </f>
        <v/>
      </c>
      <c r="M756" s="28">
        <f>IFERROR(IF(OR(J756=0,K756=""),"",IF(E756="Positivo",MAX(K756/J756,0),MAX(J756/K756,0))),"") 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285-2024-12-31</t>
        </is>
      </c>
    </row>
    <row r="757">
      <c r="A757" s="5" t="n">
        <v>285</v>
      </c>
      <c r="B757" s="5" t="inlineStr">
        <is>
          <t>Docentes con plan de trabajo asignado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44" t="n">
        <v>45838</v>
      </c>
      <c r="G757" s="5" t="n">
        <v>2025</v>
      </c>
      <c r="H757" s="5" t="inlineStr">
        <is>
          <t>Junio</t>
        </is>
      </c>
      <c r="I757" s="6" t="inlineStr">
        <is>
          <t>2025-1</t>
        </is>
      </c>
      <c r="J757" s="5" t="n">
        <v>100</v>
      </c>
      <c r="K757" s="5" t="n">
        <v>100</v>
      </c>
      <c r="L757" s="28">
        <f>IFERROR(IF(OR(J757=0,K757=""),"",IF(E757="Positivo",MIN(MAX(K757/J757,0),1.3),MIN(MAX(J757/K757,0),1.3))),"") </f>
        <v/>
      </c>
      <c r="M757" s="28">
        <f>IFERROR(IF(OR(J757=0,K757=""),"",IF(E757="Positivo",MAX(K757/J757,0),MAX(J757/K757,0))),"") 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285-2025-06-30</t>
        </is>
      </c>
    </row>
    <row r="758">
      <c r="A758" s="5" t="n">
        <v>285</v>
      </c>
      <c r="B758" s="5" t="inlineStr">
        <is>
          <t>Docentes con plan de trabajo asignado</t>
        </is>
      </c>
      <c r="C758" s="5" t="inlineStr">
        <is>
          <t>Gestión Docente</t>
        </is>
      </c>
      <c r="D758" s="5" t="inlineStr">
        <is>
          <t>Trimestral</t>
        </is>
      </c>
      <c r="E758" s="5" t="inlineStr">
        <is>
          <t>Positivo</t>
        </is>
      </c>
      <c r="F758" s="144" t="n">
        <v>46022</v>
      </c>
      <c r="G758" s="5" t="n">
        <v>2025</v>
      </c>
      <c r="H758" s="5" t="inlineStr">
        <is>
          <t>Diciembre</t>
        </is>
      </c>
      <c r="I758" s="6" t="inlineStr">
        <is>
          <t>2025-2</t>
        </is>
      </c>
      <c r="J758" s="5" t="n">
        <v>100</v>
      </c>
      <c r="K758" s="5" t="n">
        <v>100</v>
      </c>
      <c r="L758" s="28">
        <f>IFERROR(IF(OR(J758=0,K758=""),"",IF(E758="Positivo",MIN(MAX(K758/J758,0),1.3),MIN(MAX(J758/K758,0),1.3))),"") </f>
        <v/>
      </c>
      <c r="M758" s="28">
        <f>IFERROR(IF(OR(J758=0,K758=""),"",IF(E758="Positivo",MAX(K758/J758,0),MAX(J758/K758,0))),"") 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285-2025-12-31</t>
        </is>
      </c>
    </row>
    <row r="759">
      <c r="A759" s="5" t="n">
        <v>286</v>
      </c>
      <c r="B759" s="5" t="inlineStr">
        <is>
          <t>Total docentes por nivel de estudios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43" t="n">
        <v>45107</v>
      </c>
      <c r="G759" s="16" t="n">
        <v>2023</v>
      </c>
      <c r="H759" s="6" t="inlineStr">
        <is>
          <t>Junio</t>
        </is>
      </c>
      <c r="I759" s="41" t="inlineStr">
        <is>
          <t>2023-1</t>
        </is>
      </c>
      <c r="J759" s="5" t="n"/>
      <c r="K759" s="5" t="n">
        <v>0</v>
      </c>
      <c r="L759" s="28" t="n"/>
      <c r="M759" s="28" t="n"/>
      <c r="N759" s="5" t="n"/>
      <c r="O759" s="5" t="n"/>
      <c r="P759" s="5" t="n">
        <v>0</v>
      </c>
      <c r="Q759" s="5" t="n">
        <v>0</v>
      </c>
      <c r="R759" s="5" t="inlineStr">
        <is>
          <t>286-2023-06-30</t>
        </is>
      </c>
    </row>
    <row r="760">
      <c r="A760" s="39" t="n">
        <v>286</v>
      </c>
      <c r="B760" s="5" t="inlineStr">
        <is>
          <t>Total docentes por nivel de estudios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44" t="n">
        <v>45291</v>
      </c>
      <c r="G760" s="5" t="n">
        <v>2023</v>
      </c>
      <c r="H760" s="5" t="inlineStr">
        <is>
          <t>Diciembre</t>
        </is>
      </c>
      <c r="I760" s="6" t="inlineStr">
        <is>
          <t>2023-2</t>
        </is>
      </c>
      <c r="J760" s="5" t="n"/>
      <c r="K760" s="5" t="n">
        <v>1017</v>
      </c>
      <c r="L760" s="28" t="n"/>
      <c r="M760" s="28" t="n"/>
      <c r="N760" s="5" t="n"/>
      <c r="O760" s="5" t="n"/>
      <c r="P760" s="5" t="n">
        <v>0</v>
      </c>
      <c r="Q760" s="5" t="n">
        <v>0</v>
      </c>
      <c r="R760" s="5" t="inlineStr">
        <is>
          <t>286-2023-12-31</t>
        </is>
      </c>
    </row>
    <row r="761">
      <c r="A761" s="5" t="n">
        <v>286</v>
      </c>
      <c r="B761" s="5" t="inlineStr">
        <is>
          <t>Total docentes por nivel de estudios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43" t="n">
        <v>45473</v>
      </c>
      <c r="G761" s="16" t="n">
        <v>2024</v>
      </c>
      <c r="H761" s="6" t="inlineStr">
        <is>
          <t>Junio</t>
        </is>
      </c>
      <c r="I761" s="6" t="inlineStr">
        <is>
          <t>2024-1</t>
        </is>
      </c>
      <c r="J761" s="5" t="n">
        <v>0</v>
      </c>
      <c r="K761" s="5" t="n">
        <v>1080</v>
      </c>
      <c r="L761" s="28">
        <f>IFERROR(IF(OR(J761=0,K761=""),"",IF(E761="Positivo",MIN(MAX(K761/J761,0),1.3),MIN(MAX(J761/K761,0),1.3))),"") </f>
        <v/>
      </c>
      <c r="M761" s="28">
        <f>IFERROR(IF(OR(J761=0,K761=""),"",IF(E761="Positivo",MAX(K761/J761,0),MAX(J761/K761,0))),"") </f>
        <v/>
      </c>
      <c r="N761" s="5" t="n"/>
      <c r="O761" s="5" t="n"/>
      <c r="P761" s="5" t="n">
        <v>0</v>
      </c>
      <c r="Q761" s="5" t="n">
        <v>0</v>
      </c>
      <c r="R761" s="5" t="inlineStr">
        <is>
          <t>286-2024-06-30</t>
        </is>
      </c>
    </row>
    <row r="762">
      <c r="A762" s="5" t="n">
        <v>286</v>
      </c>
      <c r="B762" s="5" t="inlineStr">
        <is>
          <t>Total docentes por nivel de estudios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44" t="n">
        <v>45657</v>
      </c>
      <c r="G762" s="16" t="n">
        <v>2024</v>
      </c>
      <c r="H762" s="6" t="inlineStr">
        <is>
          <t>Diciembre</t>
        </is>
      </c>
      <c r="I762" s="6" t="inlineStr">
        <is>
          <t>2024-2</t>
        </is>
      </c>
      <c r="J762" s="5" t="n">
        <v>0</v>
      </c>
      <c r="K762" s="5" t="n">
        <v>1018</v>
      </c>
      <c r="L762" s="28">
        <f>IFERROR(IF(OR(J762=0,K762=""),"",IF(E762="Positivo",MIN(MAX(K762/J762,0),1.3),MIN(MAX(J762/K762,0),1.3))),"") </f>
        <v/>
      </c>
      <c r="M762" s="28">
        <f>IFERROR(IF(OR(J762=0,K762=""),"",IF(E762="Positivo",MAX(K762/J762,0),MAX(J762/K762,0))),"") </f>
        <v/>
      </c>
      <c r="N762" s="5" t="n"/>
      <c r="O762" s="5" t="n"/>
      <c r="P762" s="5" t="n">
        <v>0</v>
      </c>
      <c r="Q762" s="5" t="n">
        <v>0</v>
      </c>
      <c r="R762" s="5" t="inlineStr">
        <is>
          <t>286-2024-12-31</t>
        </is>
      </c>
    </row>
    <row r="763">
      <c r="A763" s="43" t="n">
        <v>286</v>
      </c>
      <c r="B763" s="5" t="inlineStr">
        <is>
          <t>Total docentes por nivel de estudios - Metrica</t>
        </is>
      </c>
      <c r="C763" s="5" t="inlineStr">
        <is>
          <t>Gestión Docente</t>
        </is>
      </c>
      <c r="D763" s="5" t="inlineStr">
        <is>
          <t>Trimestral</t>
        </is>
      </c>
      <c r="E763" s="5" t="inlineStr">
        <is>
          <t>Positivo</t>
        </is>
      </c>
      <c r="F763" s="144" t="n">
        <v>45838</v>
      </c>
      <c r="G763" s="5" t="n">
        <v>2025</v>
      </c>
      <c r="H763" s="5" t="inlineStr">
        <is>
          <t>Junio</t>
        </is>
      </c>
      <c r="I763" s="6" t="inlineStr">
        <is>
          <t>2025-1</t>
        </is>
      </c>
      <c r="J763" s="5" t="n"/>
      <c r="K763" s="5" t="n">
        <v>1099</v>
      </c>
      <c r="L763" s="136" t="n"/>
      <c r="M763" s="28" t="n"/>
      <c r="N763" s="5" t="inlineStr">
        <is>
          <t>Metrica</t>
        </is>
      </c>
      <c r="O763" s="5" t="inlineStr">
        <is>
          <t>Metrica</t>
        </is>
      </c>
      <c r="P763" s="5" t="n">
        <v>0</v>
      </c>
      <c r="Q763" s="5" t="n">
        <v>0</v>
      </c>
      <c r="R763" s="5" t="inlineStr">
        <is>
          <t>286-2025-06-30</t>
        </is>
      </c>
      <c r="S763" t="inlineStr">
        <is>
          <t>Metrica</t>
        </is>
      </c>
    </row>
    <row r="764">
      <c r="A764" s="39" t="n">
        <v>286</v>
      </c>
      <c r="B764" s="5" t="inlineStr">
        <is>
          <t>Total docentes por nivel de estudios - Metrica</t>
        </is>
      </c>
      <c r="C764" s="5" t="inlineStr">
        <is>
          <t>Gestión Docente</t>
        </is>
      </c>
      <c r="D764" s="5" t="inlineStr">
        <is>
          <t>Trimestral</t>
        </is>
      </c>
      <c r="E764" s="5" t="inlineStr">
        <is>
          <t>Positivo</t>
        </is>
      </c>
      <c r="F764" s="144" t="n">
        <v>46022</v>
      </c>
      <c r="G764" s="5" t="n">
        <v>2025</v>
      </c>
      <c r="H764" s="5" t="inlineStr">
        <is>
          <t>Diciembre</t>
        </is>
      </c>
      <c r="I764" s="6" t="inlineStr">
        <is>
          <t>2025-2</t>
        </is>
      </c>
      <c r="J764" s="5" t="n"/>
      <c r="K764" s="5" t="n">
        <v>1071</v>
      </c>
      <c r="L764" s="136" t="n"/>
      <c r="M764" s="28" t="n"/>
      <c r="N764" s="5" t="inlineStr">
        <is>
          <t>Metrica</t>
        </is>
      </c>
      <c r="O764" s="5" t="inlineStr">
        <is>
          <t>Metrica</t>
        </is>
      </c>
      <c r="P764" s="5" t="n">
        <v>0</v>
      </c>
      <c r="Q764" s="5" t="n">
        <v>0</v>
      </c>
      <c r="R764" s="5" t="inlineStr">
        <is>
          <t>286-2025-12-31</t>
        </is>
      </c>
      <c r="S764" t="inlineStr">
        <is>
          <t>Metrica</t>
        </is>
      </c>
    </row>
    <row r="765">
      <c r="A765" s="43" t="n">
        <v>288</v>
      </c>
      <c r="B765" s="5" t="inlineStr">
        <is>
          <t>Número docentes escalafonados presentados en convocatoria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44" t="n">
        <v>45107</v>
      </c>
      <c r="G765" s="5" t="n">
        <v>2023</v>
      </c>
      <c r="H765" s="5" t="inlineStr">
        <is>
          <t>Junio</t>
        </is>
      </c>
      <c r="I765" s="6" t="inlineStr">
        <is>
          <t>2023-1</t>
        </is>
      </c>
      <c r="J765" s="119" t="n">
        <v>85</v>
      </c>
      <c r="K765" s="123" t="n">
        <v>112.5</v>
      </c>
      <c r="L765" s="120">
        <f>IFERROR(IF(OR(J765=0,K765=""),"",IF(E765="Positivo",MIN(MAX(K765/J765,0),1.3),MIN(MAX(J765/K765,0),1.3))),"") </f>
        <v/>
      </c>
      <c r="M765" s="28">
        <f>IFERROR(IF(OR(J765=0,K765=""),"",IF(E765="Positivo",MAX(K765/J765,0),MAX(J765/K765,0))),"") </f>
        <v/>
      </c>
      <c r="N765" s="5" t="n"/>
      <c r="O765" s="5" t="n"/>
      <c r="P765" s="5" t="n">
        <v>0</v>
      </c>
      <c r="Q765" s="5" t="n">
        <v>0</v>
      </c>
      <c r="R765" s="5" t="inlineStr">
        <is>
          <t>288-2023-06-30</t>
        </is>
      </c>
    </row>
    <row r="766">
      <c r="A766" s="39" t="n">
        <v>288</v>
      </c>
      <c r="B766" s="5" t="inlineStr">
        <is>
          <t>Número docentes escalafonados presentados en convocatoria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44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119" t="n">
        <v>85</v>
      </c>
      <c r="K766" s="123" t="n">
        <v>112.5</v>
      </c>
      <c r="L766" s="120">
        <f>IFERROR(IF(OR(J766=0,K766=""),"",IF(E766="Positivo",MIN(MAX(K766/J766,0),1.3),MIN(MAX(J766/K766,0),1.3))),"") </f>
        <v/>
      </c>
      <c r="M766" s="28">
        <f>IFERROR(IF(OR(J766=0,K766=""),"",IF(E766="Positivo",MAX(K766/J766,0),MAX(J766/K766,0))),"") </f>
        <v/>
      </c>
      <c r="N766" s="5" t="n"/>
      <c r="O766" s="5" t="n"/>
      <c r="P766" s="5" t="n">
        <v>0</v>
      </c>
      <c r="Q766" s="5" t="n">
        <v>0</v>
      </c>
      <c r="R766" s="5" t="inlineStr">
        <is>
          <t>288-2023-12-31</t>
        </is>
      </c>
    </row>
    <row r="767">
      <c r="A767" s="5" t="n">
        <v>288</v>
      </c>
      <c r="B767" s="5" t="inlineStr">
        <is>
          <t>Número docentes escalafonados presentados en convocatoria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44" t="n">
        <v>45473</v>
      </c>
      <c r="G767" s="5" t="n">
        <v>2024</v>
      </c>
      <c r="H767" s="5" t="inlineStr">
        <is>
          <t>Junio</t>
        </is>
      </c>
      <c r="I767" s="6" t="inlineStr">
        <is>
          <t>2024-1</t>
        </is>
      </c>
      <c r="J767" s="5" t="n">
        <v>85</v>
      </c>
      <c r="K767" s="11" t="n">
        <v>185.71428571429</v>
      </c>
      <c r="L767" s="28">
        <f>IFERROR(IF(OR(J767=0,K767=""),"",IF(E767="Positivo",MIN(MAX(K767/J767,0),1.3),MIN(MAX(J767/K767,0),1.3))),"") </f>
        <v/>
      </c>
      <c r="M767" s="28">
        <f>IFERROR(IF(OR(J767=0,K767=""),"",IF(E767="Positivo",MAX(K767/J767,0),MAX(J767/K767,0))),"") </f>
        <v/>
      </c>
      <c r="N767" s="5" t="n"/>
      <c r="O767" s="5" t="n"/>
      <c r="P767" s="5" t="n">
        <v>0</v>
      </c>
      <c r="Q767" s="5" t="n">
        <v>0</v>
      </c>
      <c r="R767" s="5" t="inlineStr">
        <is>
          <t>288-2024-06-30</t>
        </is>
      </c>
    </row>
    <row r="768">
      <c r="A768" s="5" t="n">
        <v>288</v>
      </c>
      <c r="B768" s="5" t="inlineStr">
        <is>
          <t>Número docentes escalafonados presentados en convocatoria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44" t="n">
        <v>45657</v>
      </c>
      <c r="G768" s="5" t="n">
        <v>2024</v>
      </c>
      <c r="H768" s="5" t="inlineStr">
        <is>
          <t>Diciembre</t>
        </is>
      </c>
      <c r="I768" s="6" t="inlineStr">
        <is>
          <t>2024-2</t>
        </is>
      </c>
      <c r="J768" s="5" t="n">
        <v>85</v>
      </c>
      <c r="K768" s="5" t="n"/>
      <c r="L768" s="28" t="n"/>
      <c r="M768" s="28" t="n"/>
      <c r="N768" s="5" t="inlineStr">
        <is>
          <t>ENT</t>
        </is>
      </c>
      <c r="O768" s="5" t="inlineStr">
        <is>
          <t>N/A</t>
        </is>
      </c>
      <c r="P768" s="5" t="n">
        <v>0</v>
      </c>
      <c r="Q768" s="5" t="n">
        <v>0</v>
      </c>
      <c r="R768" s="5" t="inlineStr">
        <is>
          <t>288-2024-12-31</t>
        </is>
      </c>
    </row>
    <row r="769">
      <c r="A769" s="43" t="n">
        <v>288</v>
      </c>
      <c r="B769" s="5" t="inlineStr">
        <is>
          <t>Número docentes escalafonados presentados en convocatoria</t>
        </is>
      </c>
      <c r="C769" s="5" t="inlineStr">
        <is>
          <t>Gestión Docente</t>
        </is>
      </c>
      <c r="D769" s="5" t="inlineStr">
        <is>
          <t>Anual</t>
        </is>
      </c>
      <c r="E769" s="5" t="inlineStr">
        <is>
          <t>Positivo</t>
        </is>
      </c>
      <c r="F769" s="144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100</v>
      </c>
      <c r="K769" s="5" t="n">
        <v>100</v>
      </c>
      <c r="L769" s="120">
        <f>IFERROR(IF(OR(J769=0,K769=""),"",IF(E769="Positivo",MIN(MAX(K769/J769,0),1.3),MIN(MAX(J769/K769,0),1.3))),"") </f>
        <v/>
      </c>
      <c r="M769" s="28">
        <f>IFERROR(IF(OR(J769=0,K769=""),"",IF(E769="Positivo",MAX(K769/J769,0),MAX(J769/K769,0))),"") </f>
        <v/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288-2025-06-30</t>
        </is>
      </c>
    </row>
    <row r="770">
      <c r="A770" s="39" t="n">
        <v>289</v>
      </c>
      <c r="B770" s="5" t="inlineStr">
        <is>
          <t>Cumplimiento plan de comunicaciones SGC</t>
        </is>
      </c>
      <c r="C770" s="5" t="inlineStr">
        <is>
          <t>Gestión de calidad</t>
        </is>
      </c>
      <c r="D770" s="5" t="inlineStr">
        <is>
          <t>Trimestral</t>
        </is>
      </c>
      <c r="E770" s="5" t="inlineStr">
        <is>
          <t>Positivo</t>
        </is>
      </c>
      <c r="F770" s="144" t="n">
        <v>45016</v>
      </c>
      <c r="G770" s="5" t="n">
        <v>2023</v>
      </c>
      <c r="H770" s="5" t="inlineStr">
        <is>
          <t>Marzo</t>
        </is>
      </c>
      <c r="I770" s="6" t="inlineStr">
        <is>
          <t>2023-1</t>
        </is>
      </c>
      <c r="J770" s="5" t="n">
        <v>95</v>
      </c>
      <c r="K770" s="5" t="n">
        <v>0</v>
      </c>
      <c r="L770" s="120">
        <f>IFERROR(IF(OR(J770=0,K770=""),"",IF(E770="Positivo",MIN(MAX(K770/J770,0),1.3),MIN(MAX(J770/K770,0),1.3))),"") </f>
        <v/>
      </c>
      <c r="M770" s="28">
        <f>IFERROR(IF(OR(J770=0,K770=""),"",IF(E770="Positivo",MAX(K770/J770,0),MAX(J770/K770,0))),"") </f>
        <v/>
      </c>
      <c r="N770" s="5" t="inlineStr">
        <is>
          <t>N/A</t>
        </is>
      </c>
      <c r="O770" s="5" t="inlineStr">
        <is>
          <t>N/A</t>
        </is>
      </c>
      <c r="P770" s="5" t="n">
        <v>0</v>
      </c>
      <c r="Q770" s="5" t="n">
        <v>0</v>
      </c>
      <c r="R770" s="5" t="inlineStr">
        <is>
          <t>289-2023-03-31</t>
        </is>
      </c>
    </row>
    <row r="771">
      <c r="A771" s="5" t="n">
        <v>289</v>
      </c>
      <c r="B771" s="5" t="inlineStr">
        <is>
          <t>Cumplimiento plan de comunicaciones SGC</t>
        </is>
      </c>
      <c r="C771" s="5" t="inlineStr">
        <is>
          <t>Gestión de calidad</t>
        </is>
      </c>
      <c r="D771" s="5" t="inlineStr">
        <is>
          <t>Trimestral</t>
        </is>
      </c>
      <c r="E771" s="5" t="inlineStr">
        <is>
          <t>Positivo</t>
        </is>
      </c>
      <c r="F771" s="144" t="n">
        <v>45107</v>
      </c>
      <c r="G771" s="5" t="n">
        <v>2023</v>
      </c>
      <c r="H771" s="5" t="inlineStr">
        <is>
          <t>Junio</t>
        </is>
      </c>
      <c r="I771" s="6" t="inlineStr">
        <is>
          <t>2023-1</t>
        </is>
      </c>
      <c r="J771" s="5" t="n">
        <v>95</v>
      </c>
      <c r="K771" s="5" t="n">
        <v>85.71428571428601</v>
      </c>
      <c r="L771" s="28">
        <f>IFERROR(IF(OR(J771=0,K771=""),"",IF(E771="Positivo",MIN(MAX(K771/J771,0),1.3),MIN(MAX(J771/K771,0),1.3))),"") </f>
        <v/>
      </c>
      <c r="M771" s="28">
        <f>IFERROR(IF(OR(J771=0,K771=""),"",IF(E771="Positivo",MAX(K771/J771,0),MAX(J771/K771,0))),"") 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289-2023-06-30</t>
        </is>
      </c>
    </row>
    <row r="772">
      <c r="A772" s="5" t="n">
        <v>289</v>
      </c>
      <c r="B772" s="5" t="inlineStr">
        <is>
          <t>Cumplimiento plan de comunicaciones SGC</t>
        </is>
      </c>
      <c r="C772" s="5" t="inlineStr">
        <is>
          <t>Gestión de calidad</t>
        </is>
      </c>
      <c r="D772" s="5" t="inlineStr">
        <is>
          <t>Trimestral</t>
        </is>
      </c>
      <c r="E772" s="5" t="inlineStr">
        <is>
          <t>Positivo</t>
        </is>
      </c>
      <c r="F772" s="144" t="n">
        <v>45199</v>
      </c>
      <c r="G772" s="5" t="n">
        <v>2023</v>
      </c>
      <c r="H772" s="5" t="inlineStr">
        <is>
          <t>Septiembre</t>
        </is>
      </c>
      <c r="I772" s="6" t="inlineStr">
        <is>
          <t>2023-2</t>
        </is>
      </c>
      <c r="J772" s="5" t="n">
        <v>95</v>
      </c>
      <c r="K772" s="5" t="n">
        <v>87.5</v>
      </c>
      <c r="L772" s="28">
        <f>IFERROR(IF(OR(J772=0,K772=""),"",IF(E772="Positivo",MIN(MAX(K772/J772,0),1.3),MIN(MAX(J772/K772,0),1.3))),"") </f>
        <v/>
      </c>
      <c r="M772" s="28">
        <f>IFERROR(IF(OR(J772=0,K772=""),"",IF(E772="Positivo",MAX(K772/J772,0),MAX(J772/K772,0))),"") </f>
        <v/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289-2023-09-30</t>
        </is>
      </c>
    </row>
    <row r="773">
      <c r="A773" s="54" t="n">
        <v>289</v>
      </c>
      <c r="B773" s="5" t="inlineStr">
        <is>
          <t>Cumplimiento plan de comunicaciones SGC</t>
        </is>
      </c>
      <c r="C773" s="5" t="inlineStr">
        <is>
          <t>Gestión de calidad</t>
        </is>
      </c>
      <c r="D773" s="5" t="inlineStr">
        <is>
          <t>Trimestral</t>
        </is>
      </c>
      <c r="E773" s="5" t="inlineStr">
        <is>
          <t>Positivo</t>
        </is>
      </c>
      <c r="F773" s="144" t="n">
        <v>45291</v>
      </c>
      <c r="G773" s="5" t="n">
        <v>2023</v>
      </c>
      <c r="H773" s="5" t="inlineStr">
        <is>
          <t>Diciembre</t>
        </is>
      </c>
      <c r="I773" s="6" t="inlineStr">
        <is>
          <t>2023-2</t>
        </is>
      </c>
      <c r="J773" s="5" t="n">
        <v>95</v>
      </c>
      <c r="K773" s="5" t="n">
        <v>87.5</v>
      </c>
      <c r="L773" s="120">
        <f>IFERROR(IF(OR(J773=0,K773=""),"",IF(E773="Positivo",MIN(MAX(K773/J773,0),1.3),MIN(MAX(J773/K773,0),1.3))),"") </f>
        <v/>
      </c>
      <c r="M773" s="28">
        <f>IFERROR(IF(OR(J773=0,K773=""),"",IF(E773="Positivo",MAX(K773/J773,0),MAX(J773/K773,0))),"") </f>
        <v/>
      </c>
      <c r="N773" s="5" t="inlineStr">
        <is>
          <t>%</t>
        </is>
      </c>
      <c r="O773" s="5" t="inlineStr">
        <is>
          <t>%</t>
        </is>
      </c>
      <c r="P773" s="5" t="n">
        <v>0</v>
      </c>
      <c r="Q773" s="5" t="n">
        <v>0</v>
      </c>
      <c r="R773" s="5" t="inlineStr">
        <is>
          <t>289-2023-12-31</t>
        </is>
      </c>
    </row>
    <row r="774">
      <c r="A774" s="39" t="n">
        <v>289</v>
      </c>
      <c r="B774" s="5" t="inlineStr">
        <is>
          <t>Cumplimiento plan de comunicaciones SGC</t>
        </is>
      </c>
      <c r="C774" s="5" t="inlineStr">
        <is>
          <t>Gestión de calidad</t>
        </is>
      </c>
      <c r="D774" s="5" t="inlineStr">
        <is>
          <t>Trimestral</t>
        </is>
      </c>
      <c r="E774" s="5" t="inlineStr">
        <is>
          <t>Positivo</t>
        </is>
      </c>
      <c r="F774" s="144" t="n">
        <v>45473</v>
      </c>
      <c r="G774" s="5" t="n">
        <v>2024</v>
      </c>
      <c r="H774" s="5" t="inlineStr">
        <is>
          <t>Junio</t>
        </is>
      </c>
      <c r="I774" s="6" t="inlineStr">
        <is>
          <t>2024-1</t>
        </is>
      </c>
      <c r="J774" s="5" t="n">
        <v>95</v>
      </c>
      <c r="K774" s="5" t="n">
        <v>100</v>
      </c>
      <c r="L774" s="120">
        <f>IFERROR(IF(OR(J774=0,K774=""),"",IF(E774="Positivo",MIN(MAX(K774/J774,0),1.3),MIN(MAX(J774/K774,0),1.3))),"") </f>
        <v/>
      </c>
      <c r="M774" s="28">
        <f>IFERROR(IF(OR(J774=0,K774=""),"",IF(E774="Positivo",MAX(K774/J774,0),MAX(J774/K774,0))),"") </f>
        <v/>
      </c>
      <c r="N774" s="5" t="n"/>
      <c r="O774" s="5" t="n"/>
      <c r="P774" s="5" t="n">
        <v>0</v>
      </c>
      <c r="Q774" s="5" t="n">
        <v>0</v>
      </c>
      <c r="R774" s="5" t="inlineStr">
        <is>
          <t>289-2024-06-30</t>
        </is>
      </c>
    </row>
    <row r="775">
      <c r="A775" s="43" t="n">
        <v>289</v>
      </c>
      <c r="B775" s="5" t="inlineStr">
        <is>
          <t>Cumplimiento plan de comunicaciones SGC</t>
        </is>
      </c>
      <c r="C775" s="5" t="inlineStr">
        <is>
          <t>Gestión de calidad</t>
        </is>
      </c>
      <c r="D775" s="5" t="inlineStr">
        <is>
          <t>Trimestral</t>
        </is>
      </c>
      <c r="E775" s="5" t="inlineStr">
        <is>
          <t>Positivo</t>
        </is>
      </c>
      <c r="F775" s="144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95</v>
      </c>
      <c r="K775" s="5" t="n">
        <v>100</v>
      </c>
      <c r="L775" s="120">
        <f>IFERROR(IF(OR(J775=0,K775=""),"",IF(E775="Positivo",MIN(MAX(K775/J775,0),1.3),MIN(MAX(J775/K775,0),1.3))),"") </f>
        <v/>
      </c>
      <c r="M775" s="28">
        <f>IFERROR(IF(OR(J775=0,K775=""),"",IF(E775="Positivo",MAX(K775/J775,0),MAX(J775/K775,0))),"") </f>
        <v/>
      </c>
      <c r="N775" s="5" t="n"/>
      <c r="O775" s="5" t="n"/>
      <c r="P775" s="5" t="n">
        <v>0</v>
      </c>
      <c r="Q775" s="5" t="n">
        <v>0</v>
      </c>
      <c r="R775" s="5" t="inlineStr">
        <is>
          <t>289-2024-12-31</t>
        </is>
      </c>
    </row>
    <row r="776">
      <c r="A776" s="39" t="n">
        <v>290</v>
      </c>
      <c r="B776" s="5" t="inlineStr">
        <is>
          <t>Cierre eficaz de las oportunidades de mejora</t>
        </is>
      </c>
      <c r="C776" s="5" t="inlineStr">
        <is>
          <t>Planificación POLISIGS</t>
        </is>
      </c>
      <c r="D776" s="5" t="inlineStr">
        <is>
          <t>Bimestral</t>
        </is>
      </c>
      <c r="E776" s="5" t="inlineStr">
        <is>
          <t>Positivo</t>
        </is>
      </c>
      <c r="F776" s="144" t="n">
        <v>45107</v>
      </c>
      <c r="G776" s="5" t="n">
        <v>2023</v>
      </c>
      <c r="H776" s="5" t="inlineStr">
        <is>
          <t>Junio</t>
        </is>
      </c>
      <c r="I776" s="6" t="inlineStr">
        <is>
          <t>2023-1</t>
        </is>
      </c>
      <c r="J776" s="5" t="n">
        <v>90</v>
      </c>
      <c r="K776" s="5" t="n">
        <v>100</v>
      </c>
      <c r="L776" s="120">
        <f>IFERROR(IF(OR(J776=0,K776=""),"",IF(E776="Positivo",MIN(MAX(K776/J776,0),1.3),MIN(MAX(J776/K776,0),1.3))),"") </f>
        <v/>
      </c>
      <c r="M776" s="28">
        <f>IFERROR(IF(OR(J776=0,K776=""),"",IF(E776="Positivo",MAX(K776/J776,0),MAX(J776/K776,0))),"") </f>
        <v/>
      </c>
      <c r="N776" s="5" t="n"/>
      <c r="O776" s="5" t="n"/>
      <c r="P776" s="5" t="n">
        <v>1</v>
      </c>
      <c r="Q776" s="5" t="n">
        <v>1</v>
      </c>
      <c r="R776" s="5" t="inlineStr">
        <is>
          <t>290-2023-06-30</t>
        </is>
      </c>
    </row>
    <row r="777">
      <c r="A777" s="5" t="n">
        <v>290</v>
      </c>
      <c r="B777" s="5" t="inlineStr">
        <is>
          <t>Cierre eficaz de las oportunidades de mejora</t>
        </is>
      </c>
      <c r="C777" s="5" t="inlineStr">
        <is>
          <t>Planificación POLISIGS</t>
        </is>
      </c>
      <c r="D777" s="5" t="inlineStr">
        <is>
          <t>Bimestral</t>
        </is>
      </c>
      <c r="E777" s="5" t="inlineStr">
        <is>
          <t>Positivo</t>
        </is>
      </c>
      <c r="F777" s="144" t="n">
        <v>45168</v>
      </c>
      <c r="G777" s="5" t="n">
        <v>2023</v>
      </c>
      <c r="H777" s="5" t="inlineStr">
        <is>
          <t>Agosto</t>
        </is>
      </c>
      <c r="I777" s="6" t="inlineStr">
        <is>
          <t>2023-2</t>
        </is>
      </c>
      <c r="J777" s="5" t="n">
        <v>90</v>
      </c>
      <c r="K777" s="5" t="n">
        <v>81.81999999999999</v>
      </c>
      <c r="L777" s="28">
        <f>IFERROR(IF(OR(J777=0,K777=""),"",IF(E777="Positivo",MIN(MAX(K777/J777,0),1.3),MIN(MAX(J777/K777,0),1.3))),"") </f>
        <v/>
      </c>
      <c r="M777" s="28">
        <f>IFERROR(IF(OR(J777=0,K777=""),"",IF(E777="Positivo",MAX(K777/J777,0),MAX(J777/K777,0))),"") </f>
        <v/>
      </c>
      <c r="N777" s="5" t="n"/>
      <c r="O777" s="5" t="n"/>
      <c r="P777" s="5" t="n">
        <v>1</v>
      </c>
      <c r="Q777" s="5" t="n">
        <v>1</v>
      </c>
      <c r="R777" s="5" t="inlineStr">
        <is>
          <t>290-2023-08-30</t>
        </is>
      </c>
    </row>
    <row r="778">
      <c r="A778" s="5" t="n">
        <v>290</v>
      </c>
      <c r="B778" s="5" t="inlineStr">
        <is>
          <t>Cierre eficaz de las oportunidades de mejora</t>
        </is>
      </c>
      <c r="C778" s="5" t="inlineStr">
        <is>
          <t>Planificación POLISIGS</t>
        </is>
      </c>
      <c r="D778" s="5" t="inlineStr">
        <is>
          <t>Bimestral</t>
        </is>
      </c>
      <c r="E778" s="5" t="inlineStr">
        <is>
          <t>Positivo</t>
        </is>
      </c>
      <c r="F778" s="144" t="n">
        <v>45230</v>
      </c>
      <c r="G778" s="5" t="n">
        <v>2023</v>
      </c>
      <c r="H778" s="5" t="inlineStr">
        <is>
          <t>Octubre</t>
        </is>
      </c>
      <c r="I778" s="6" t="inlineStr">
        <is>
          <t>2023-2</t>
        </is>
      </c>
      <c r="J778" s="5" t="n">
        <v>90</v>
      </c>
      <c r="K778" s="5" t="n">
        <v>90.91</v>
      </c>
      <c r="L778" s="28">
        <f>IFERROR(IF(OR(J778=0,K778=""),"",IF(E778="Positivo",MIN(MAX(K778/J778,0),1.3),MIN(MAX(J778/K778,0),1.3))),"") </f>
        <v/>
      </c>
      <c r="M778" s="28">
        <f>IFERROR(IF(OR(J778=0,K778=""),"",IF(E778="Positivo",MAX(K778/J778,0),MAX(J778/K778,0))),"") </f>
        <v/>
      </c>
      <c r="N778" s="5" t="n"/>
      <c r="O778" s="5" t="n"/>
      <c r="P778" s="5" t="n">
        <v>1</v>
      </c>
      <c r="Q778" s="5" t="n">
        <v>1</v>
      </c>
      <c r="R778" s="5" t="inlineStr">
        <is>
          <t>290-2023-10-31</t>
        </is>
      </c>
    </row>
    <row r="779">
      <c r="A779" s="39" t="n">
        <v>290</v>
      </c>
      <c r="B779" s="5" t="inlineStr">
        <is>
          <t>Cierre eficaz de las oportunidades de mejora</t>
        </is>
      </c>
      <c r="C779" s="5" t="inlineStr">
        <is>
          <t>Planificación POLISIGS</t>
        </is>
      </c>
      <c r="D779" s="5" t="inlineStr">
        <is>
          <t>Bimestral</t>
        </is>
      </c>
      <c r="E779" s="5" t="inlineStr">
        <is>
          <t>Positivo</t>
        </is>
      </c>
      <c r="F779" s="144" t="n">
        <v>45291</v>
      </c>
      <c r="G779" s="5" t="n">
        <v>2023</v>
      </c>
      <c r="H779" s="5" t="inlineStr">
        <is>
          <t>Diciembre</t>
        </is>
      </c>
      <c r="I779" s="6" t="inlineStr">
        <is>
          <t>2023-2</t>
        </is>
      </c>
      <c r="J779" s="5" t="n">
        <v>90</v>
      </c>
      <c r="K779" s="5" t="n"/>
      <c r="L779" s="136" t="n"/>
      <c r="M779" s="28" t="n"/>
      <c r="N779" s="5" t="n"/>
      <c r="O779" s="5" t="n"/>
      <c r="P779" s="5" t="n">
        <v>1</v>
      </c>
      <c r="Q779" s="5" t="n">
        <v>1</v>
      </c>
      <c r="R779" s="5" t="inlineStr">
        <is>
          <t>290-2023-12-31</t>
        </is>
      </c>
    </row>
    <row r="780">
      <c r="A780" s="39" t="n">
        <v>290</v>
      </c>
      <c r="B780" s="5" t="inlineStr">
        <is>
          <t>Cierre eficaz de las oportunidades de mejora</t>
        </is>
      </c>
      <c r="C780" s="5" t="inlineStr">
        <is>
          <t>Planificación POLISIGS</t>
        </is>
      </c>
      <c r="D780" s="5" t="inlineStr">
        <is>
          <t>Bimestral</t>
        </is>
      </c>
      <c r="E780" s="5" t="inlineStr">
        <is>
          <t>Positivo</t>
        </is>
      </c>
      <c r="F780" s="144" t="n">
        <v>45473</v>
      </c>
      <c r="G780" s="5" t="n">
        <v>2024</v>
      </c>
      <c r="H780" s="5" t="inlineStr">
        <is>
          <t>Junio</t>
        </is>
      </c>
      <c r="I780" s="6" t="inlineStr">
        <is>
          <t>2024-1</t>
        </is>
      </c>
      <c r="J780" s="5" t="n">
        <v>90</v>
      </c>
      <c r="K780" s="5" t="n">
        <v>100</v>
      </c>
      <c r="L780" s="120">
        <f>IFERROR(IF(OR(J780=0,K780=""),"",IF(E780="Positivo",MIN(MAX(K780/J780,0),1.3),MIN(MAX(J780/K780,0),1.3))),"") </f>
        <v/>
      </c>
      <c r="M780" s="28">
        <f>IFERROR(IF(OR(J780=0,K780=""),"",IF(E780="Positivo",MAX(K780/J780,0),MAX(J780/K780,0))),"") </f>
        <v/>
      </c>
      <c r="N780" s="5" t="n"/>
      <c r="O780" s="5" t="n"/>
      <c r="P780" s="5" t="n">
        <v>0</v>
      </c>
      <c r="Q780" s="5" t="n">
        <v>0</v>
      </c>
      <c r="R780" s="5" t="inlineStr">
        <is>
          <t>290-2024-06-30</t>
        </is>
      </c>
    </row>
    <row r="781">
      <c r="A781" s="5" t="n">
        <v>290</v>
      </c>
      <c r="B781" s="5" t="inlineStr">
        <is>
          <t>Cierre eficaz de las oportunidades de mejora</t>
        </is>
      </c>
      <c r="C781" s="5" t="inlineStr">
        <is>
          <t>Planificación POLISIGS</t>
        </is>
      </c>
      <c r="D781" s="5" t="inlineStr">
        <is>
          <t>Bimestral</t>
        </is>
      </c>
      <c r="E781" s="5" t="inlineStr">
        <is>
          <t>Positivo</t>
        </is>
      </c>
      <c r="F781" s="144" t="n">
        <v>45657</v>
      </c>
      <c r="G781" s="5" t="n">
        <v>2024</v>
      </c>
      <c r="H781" s="5" t="inlineStr">
        <is>
          <t>Diciembre</t>
        </is>
      </c>
      <c r="I781" s="6" t="inlineStr">
        <is>
          <t>2024-2</t>
        </is>
      </c>
      <c r="J781" s="5" t="n">
        <v>90</v>
      </c>
      <c r="K781" s="5" t="n">
        <v>100</v>
      </c>
      <c r="L781" s="28">
        <f>IFERROR(IF(OR(J781=0,K781=""),"",IF(E781="Positivo",MIN(MAX(K781/J781,0),1.3),MIN(MAX(J781/K781,0),1.3))),"") </f>
        <v/>
      </c>
      <c r="M781" s="28">
        <f>IFERROR(IF(OR(J781=0,K781=""),"",IF(E781="Positivo",MAX(K781/J781,0),MAX(J781/K781,0))),"") </f>
        <v/>
      </c>
      <c r="N781" s="5" t="n"/>
      <c r="O781" s="5" t="n"/>
      <c r="P781" s="5" t="n">
        <v>0</v>
      </c>
      <c r="Q781" s="5" t="n">
        <v>0</v>
      </c>
      <c r="R781" s="5" t="inlineStr">
        <is>
          <t>290-2024-12-31</t>
        </is>
      </c>
    </row>
    <row r="782">
      <c r="A782" s="5" t="n">
        <v>290</v>
      </c>
      <c r="B782" s="5" t="inlineStr">
        <is>
          <t>Cierre eficaz de las oportunidades de mejora</t>
        </is>
      </c>
      <c r="C782" s="5" t="inlineStr">
        <is>
          <t>Planificación POLISIGS</t>
        </is>
      </c>
      <c r="D782" s="5" t="inlineStr">
        <is>
          <t>Bimestral</t>
        </is>
      </c>
      <c r="E782" s="5" t="inlineStr">
        <is>
          <t>Positivo</t>
        </is>
      </c>
      <c r="F782" s="144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90</v>
      </c>
      <c r="K782" s="5" t="n">
        <v>93.33</v>
      </c>
      <c r="L782" s="28">
        <f>IFERROR(IF(OR(J782=0,K782=""),"",IF(E782="Positivo",MIN(MAX(K782/J782,0),1.3),MIN(MAX(J782/K782,0),1.3))),"") </f>
        <v/>
      </c>
      <c r="M782" s="28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290-2025-06-30</t>
        </is>
      </c>
    </row>
    <row r="783">
      <c r="A783" s="5" t="n">
        <v>291</v>
      </c>
      <c r="B783" s="5" t="inlineStr">
        <is>
          <t>Cumplimiento del cronograma de actividades deportivas</t>
        </is>
      </c>
      <c r="C783" s="5" t="inlineStr">
        <is>
          <t>Cultura y Deporte</t>
        </is>
      </c>
      <c r="D783" s="5" t="inlineStr">
        <is>
          <t>Semestral</t>
        </is>
      </c>
      <c r="E783" s="5" t="inlineStr">
        <is>
          <t>Positivo</t>
        </is>
      </c>
      <c r="F783" s="143" t="n">
        <v>45107</v>
      </c>
      <c r="G783" s="16" t="n">
        <v>2023</v>
      </c>
      <c r="H783" s="6" t="inlineStr">
        <is>
          <t>Junio</t>
        </is>
      </c>
      <c r="I783" s="41" t="inlineStr">
        <is>
          <t>2023-1</t>
        </is>
      </c>
      <c r="J783" s="5" t="n">
        <v>100</v>
      </c>
      <c r="K783" s="11" t="n">
        <v>100</v>
      </c>
      <c r="L783" s="28">
        <f>IFERROR(IF(OR(J783=0,K783=""),"",IF(E783="Positivo",MIN(MAX(K783/J783,0),1.3),MIN(MAX(J783/K783,0),1.3))),"") </f>
        <v/>
      </c>
      <c r="M783" s="28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291-2023-06-30</t>
        </is>
      </c>
    </row>
    <row r="784">
      <c r="A784" s="39" t="n">
        <v>291</v>
      </c>
      <c r="B784" s="5" t="inlineStr">
        <is>
          <t>Cumplimiento del cronograma de actividades deportivas</t>
        </is>
      </c>
      <c r="C784" s="5" t="inlineStr">
        <is>
          <t>Cultura y Deporte</t>
        </is>
      </c>
      <c r="D784" s="5" t="inlineStr">
        <is>
          <t>Semestral</t>
        </is>
      </c>
      <c r="E784" s="5" t="inlineStr">
        <is>
          <t>Positivo</t>
        </is>
      </c>
      <c r="F784" s="144" t="n">
        <v>45291</v>
      </c>
      <c r="G784" s="5" t="n">
        <v>2023</v>
      </c>
      <c r="H784" s="5" t="inlineStr">
        <is>
          <t>Diciembre</t>
        </is>
      </c>
      <c r="I784" s="6" t="inlineStr">
        <is>
          <t>2023-2</t>
        </is>
      </c>
      <c r="J784" s="5" t="n">
        <v>100</v>
      </c>
      <c r="K784" s="11" t="n">
        <v>100</v>
      </c>
      <c r="L784" s="28">
        <f>IFERROR(IF(OR(J784=0,K784=""),"",IF(E784="Positivo",MIN(MAX(K784/J784,0),1.3),MIN(MAX(J784/K784,0),1.3))),"") </f>
        <v/>
      </c>
      <c r="M784" s="28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291-2023-12-31</t>
        </is>
      </c>
    </row>
    <row r="785">
      <c r="A785" s="5" t="n">
        <v>291</v>
      </c>
      <c r="B785" s="5" t="inlineStr">
        <is>
          <t>Cumplimiento del cronograma de actividades deportivas</t>
        </is>
      </c>
      <c r="C785" s="5" t="inlineStr">
        <is>
          <t>Cultura y Deporte</t>
        </is>
      </c>
      <c r="D785" s="5" t="inlineStr">
        <is>
          <t>Semestral</t>
        </is>
      </c>
      <c r="E785" s="5" t="inlineStr">
        <is>
          <t>Positivo</t>
        </is>
      </c>
      <c r="F785" s="144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100</v>
      </c>
      <c r="K785" s="11" t="n">
        <v>100</v>
      </c>
      <c r="L785" s="28">
        <f>IFERROR(IF(OR(J785=0,K785=""),"",IF(E785="Positivo",MIN(MAX(K785/J785,0),1.3),MIN(MAX(J785/K785,0),1.3))),"") </f>
        <v/>
      </c>
      <c r="M785" s="28">
        <f>IFERROR(IF(OR(J785=0,K785=""),"",IF(E785="Positivo",MAX(K785/J785,0),MAX(J785/K785,0))),"") </f>
        <v/>
      </c>
      <c r="N785" s="5" t="n"/>
      <c r="O785" s="5" t="n"/>
      <c r="P785" s="5" t="n">
        <v>0</v>
      </c>
      <c r="Q785" s="5" t="n">
        <v>0</v>
      </c>
      <c r="R785" s="5" t="inlineStr">
        <is>
          <t>291-2024-06-30</t>
        </is>
      </c>
    </row>
    <row r="786">
      <c r="A786" s="5" t="n">
        <v>291</v>
      </c>
      <c r="B786" s="5" t="inlineStr">
        <is>
          <t>Cumplimiento del cronograma de actividades deportivas</t>
        </is>
      </c>
      <c r="C786" s="5" t="inlineStr">
        <is>
          <t>Cultura y Deporte</t>
        </is>
      </c>
      <c r="D786" s="5" t="inlineStr">
        <is>
          <t>Semestral</t>
        </is>
      </c>
      <c r="E786" s="5" t="inlineStr">
        <is>
          <t>Positivo</t>
        </is>
      </c>
      <c r="F786" s="144" t="n">
        <v>45657</v>
      </c>
      <c r="G786" s="5" t="n">
        <v>2024</v>
      </c>
      <c r="H786" s="5" t="inlineStr">
        <is>
          <t>Diciembre</t>
        </is>
      </c>
      <c r="I786" s="6" t="inlineStr">
        <is>
          <t>2024-2</t>
        </is>
      </c>
      <c r="J786" s="5" t="n">
        <v>100</v>
      </c>
      <c r="K786" s="11" t="n">
        <v>100</v>
      </c>
      <c r="L786" s="28">
        <f>IFERROR(IF(OR(J786=0,K786=""),"",IF(E786="Positivo",MIN(MAX(K786/J786,0),1.3),MIN(MAX(J786/K786,0),1.3))),"") </f>
        <v/>
      </c>
      <c r="M786" s="28">
        <f>IFERROR(IF(OR(J786=0,K786=""),"",IF(E786="Positivo",MAX(K786/J786,0),MAX(J786/K786,0))),"") </f>
        <v/>
      </c>
      <c r="N786" s="5" t="n"/>
      <c r="O786" s="5" t="n"/>
      <c r="P786" s="5" t="n">
        <v>0</v>
      </c>
      <c r="Q786" s="5" t="n">
        <v>0</v>
      </c>
      <c r="R786" s="5" t="inlineStr">
        <is>
          <t>291-2024-12-31</t>
        </is>
      </c>
    </row>
    <row r="787">
      <c r="A787" s="5" t="n">
        <v>292</v>
      </c>
      <c r="B787" s="5" t="inlineStr">
        <is>
          <t>Participación en Actividades deportivas presenciales</t>
        </is>
      </c>
      <c r="C787" s="5" t="inlineStr">
        <is>
          <t>Cultura y Deporte</t>
        </is>
      </c>
      <c r="D787" s="5" t="inlineStr">
        <is>
          <t>Semestral</t>
        </is>
      </c>
      <c r="E787" s="5" t="inlineStr">
        <is>
          <t>Positivo</t>
        </is>
      </c>
      <c r="F787" s="143" t="n">
        <v>45107</v>
      </c>
      <c r="G787" s="16" t="n">
        <v>2023</v>
      </c>
      <c r="H787" s="6" t="inlineStr">
        <is>
          <t>Junio</t>
        </is>
      </c>
      <c r="I787" s="41" t="inlineStr">
        <is>
          <t>2023-1</t>
        </is>
      </c>
      <c r="J787" s="119" t="n">
        <v>3</v>
      </c>
      <c r="K787" s="124" t="n">
        <v>10.990099009901</v>
      </c>
      <c r="L787" s="28">
        <f>IFERROR(IF(OR(J787=0,K787=""),"",IF(E787="Positivo",MIN(MAX(K787/J787,0),1.3),MIN(MAX(J787/K787,0),1.3))),"") </f>
        <v/>
      </c>
      <c r="M787" s="28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292-2023-06-30</t>
        </is>
      </c>
    </row>
    <row r="788">
      <c r="A788" s="39" t="n">
        <v>292</v>
      </c>
      <c r="B788" s="5" t="inlineStr">
        <is>
          <t>Participación en Actividades deportivas presenciales</t>
        </is>
      </c>
      <c r="C788" s="5" t="inlineStr">
        <is>
          <t>Cultura y Deporte</t>
        </is>
      </c>
      <c r="D788" s="5" t="inlineStr">
        <is>
          <t>Semestral</t>
        </is>
      </c>
      <c r="E788" s="5" t="inlineStr">
        <is>
          <t>Positivo</t>
        </is>
      </c>
      <c r="F788" s="144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119" t="n">
        <v>3</v>
      </c>
      <c r="K788" s="123" t="n">
        <v>27.659574468085</v>
      </c>
      <c r="L788" s="28">
        <f>IFERROR(IF(OR(J788=0,K788=""),"",IF(E788="Positivo",MIN(MAX(K788/J788,0),1.3),MIN(MAX(J788/K788,0),1.3))),"") </f>
        <v/>
      </c>
      <c r="M788" s="28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292-2023-12-31</t>
        </is>
      </c>
    </row>
    <row r="789">
      <c r="A789" s="5" t="n">
        <v>292</v>
      </c>
      <c r="B789" s="5" t="inlineStr">
        <is>
          <t>Participación en Actividades deportivas</t>
        </is>
      </c>
      <c r="C789" s="5" t="inlineStr">
        <is>
          <t>Cultura y Deporte</t>
        </is>
      </c>
      <c r="D789" s="5" t="inlineStr">
        <is>
          <t>Semestral</t>
        </is>
      </c>
      <c r="E789" s="5" t="inlineStr">
        <is>
          <t>Positivo</t>
        </is>
      </c>
      <c r="F789" s="144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5" t="n">
        <v>3</v>
      </c>
      <c r="K789" s="11" t="n">
        <v>23.31390507910074</v>
      </c>
      <c r="L789" s="28">
        <f>IFERROR(IF(OR(J789=0,K789=""),"",IF(E789="Positivo",MIN(MAX(K789/J789,0),1.3),MIN(MAX(J789/K789,0),1.3))),"") </f>
        <v/>
      </c>
      <c r="M789" s="28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292-2024-06-30</t>
        </is>
      </c>
    </row>
    <row r="790">
      <c r="A790" s="5" t="n">
        <v>292</v>
      </c>
      <c r="B790" s="5" t="inlineStr">
        <is>
          <t>Participación en Actividades deportivas</t>
        </is>
      </c>
      <c r="C790" s="5" t="inlineStr">
        <is>
          <t>Cultura y Deporte</t>
        </is>
      </c>
      <c r="D790" s="5" t="inlineStr">
        <is>
          <t>Semestral</t>
        </is>
      </c>
      <c r="E790" s="5" t="inlineStr">
        <is>
          <t>Positivo</t>
        </is>
      </c>
      <c r="F790" s="144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5" t="n">
        <v>3</v>
      </c>
      <c r="K790" s="11" t="n">
        <v>14.26386233269599</v>
      </c>
      <c r="L790" s="28">
        <f>IFERROR(IF(OR(J790=0,K790=""),"",IF(E790="Positivo",MIN(MAX(K790/J790,0),1.3),MIN(MAX(J790/K790,0),1.3))),"") </f>
        <v/>
      </c>
      <c r="M790" s="28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292-2024-12-31</t>
        </is>
      </c>
    </row>
    <row r="791">
      <c r="A791" s="39" t="n">
        <v>292</v>
      </c>
      <c r="B791" s="5" t="inlineStr">
        <is>
          <t>Participación en Actividades deportivas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144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5" t="n">
        <v>8</v>
      </c>
      <c r="K791" s="5" t="n">
        <v>9.789999999999999</v>
      </c>
      <c r="L791" s="120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292-2025-06-30</t>
        </is>
      </c>
    </row>
    <row r="792">
      <c r="A792" s="39" t="n">
        <v>292</v>
      </c>
      <c r="B792" s="5" t="inlineStr">
        <is>
          <t>Participación en Actividades deportivas</t>
        </is>
      </c>
      <c r="C792" s="5" t="inlineStr">
        <is>
          <t>Cultura y Deporte</t>
        </is>
      </c>
      <c r="D792" s="5" t="inlineStr">
        <is>
          <t>Trimestral</t>
        </is>
      </c>
      <c r="E792" s="5" t="inlineStr">
        <is>
          <t>Positivo</t>
        </is>
      </c>
      <c r="F792" s="144" t="n">
        <v>46022</v>
      </c>
      <c r="G792" s="5" t="n">
        <v>2025</v>
      </c>
      <c r="H792" s="5" t="inlineStr">
        <is>
          <t>Diciembre</t>
        </is>
      </c>
      <c r="I792" s="6" t="inlineStr">
        <is>
          <t>2025-2</t>
        </is>
      </c>
      <c r="J792" s="5" t="n">
        <v>8</v>
      </c>
      <c r="K792" s="5" t="n">
        <v>11.21</v>
      </c>
      <c r="L792" s="120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292-2025-12-31</t>
        </is>
      </c>
    </row>
    <row r="793">
      <c r="A793" s="5" t="n">
        <v>293</v>
      </c>
      <c r="B793" s="5" t="inlineStr">
        <is>
          <t>Cumplimiento del cronograma de actividades culturales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44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5" t="n">
        <v>100</v>
      </c>
      <c r="K793" s="5" t="n">
        <v>100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293-2023-06-30</t>
        </is>
      </c>
    </row>
    <row r="794">
      <c r="A794" s="5" t="n">
        <v>293</v>
      </c>
      <c r="B794" s="5" t="inlineStr">
        <is>
          <t>Cumplimiento del cronograma de actividades culturales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44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5" t="n">
        <v>100</v>
      </c>
      <c r="K794" s="5" t="n">
        <v>100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293-2023-12-31</t>
        </is>
      </c>
    </row>
    <row r="795">
      <c r="A795" s="5" t="n">
        <v>293</v>
      </c>
      <c r="B795" s="5" t="inlineStr">
        <is>
          <t>Cumplimiento del cronograma de actividades culturales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43" t="n">
        <v>45473</v>
      </c>
      <c r="G795" s="16" t="n">
        <v>2024</v>
      </c>
      <c r="H795" s="6" t="inlineStr">
        <is>
          <t>Junio</t>
        </is>
      </c>
      <c r="I795" s="41" t="inlineStr">
        <is>
          <t>2024-1</t>
        </is>
      </c>
      <c r="J795" s="5" t="n">
        <v>100</v>
      </c>
      <c r="K795" s="34" t="n">
        <v>100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n"/>
      <c r="O795" s="5" t="n"/>
      <c r="P795" s="5" t="n">
        <v>0</v>
      </c>
      <c r="Q795" s="5" t="n">
        <v>0</v>
      </c>
      <c r="R795" s="5" t="inlineStr">
        <is>
          <t>293-2024-06-30</t>
        </is>
      </c>
    </row>
    <row r="796">
      <c r="A796" s="39" t="n">
        <v>293</v>
      </c>
      <c r="B796" s="5" t="inlineStr">
        <is>
          <t>Cumplimiento del cronograma de actividades culturales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44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119" t="n">
        <v>100</v>
      </c>
      <c r="K796" s="123" t="n">
        <v>100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n"/>
      <c r="O796" s="5" t="n"/>
      <c r="P796" s="5" t="n">
        <v>0</v>
      </c>
      <c r="Q796" s="5" t="n">
        <v>0</v>
      </c>
      <c r="R796" s="5" t="inlineStr">
        <is>
          <t>293-2024-12-31</t>
        </is>
      </c>
    </row>
    <row r="797">
      <c r="A797" s="5" t="n">
        <v>294</v>
      </c>
      <c r="B797" s="5" t="inlineStr">
        <is>
          <t>Participación en actividades culturales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44" t="n">
        <v>45107</v>
      </c>
      <c r="G797" s="5" t="n">
        <v>2023</v>
      </c>
      <c r="H797" s="5" t="inlineStr">
        <is>
          <t>Junio</t>
        </is>
      </c>
      <c r="I797" s="6" t="inlineStr">
        <is>
          <t>2023-1</t>
        </is>
      </c>
      <c r="J797" s="119" t="n">
        <v>3</v>
      </c>
      <c r="K797" s="123" t="n">
        <v>30.15873015873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294-2023-06-30</t>
        </is>
      </c>
    </row>
    <row r="798">
      <c r="A798" s="5" t="n">
        <v>294</v>
      </c>
      <c r="B798" s="5" t="inlineStr">
        <is>
          <t>Participación en actividades culturales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44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119" t="n">
        <v>3</v>
      </c>
      <c r="K798" s="123" t="n">
        <v>41.986754966887</v>
      </c>
      <c r="L798" s="28">
        <f>IFERROR(IF(OR(J798=0,K798=""),"",IF(E798="Positivo",MIN(MAX(K798/J798,0),1.3),MIN(MAX(J798/K798,0),1.3))),"") </f>
        <v/>
      </c>
      <c r="M798" s="28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294-2023-12-31</t>
        </is>
      </c>
    </row>
    <row r="799">
      <c r="A799" s="43" t="n">
        <v>294</v>
      </c>
      <c r="B799" s="5" t="inlineStr">
        <is>
          <t>Participación en actividades culturales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44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123" t="n">
        <v>3</v>
      </c>
      <c r="K799" s="123" t="n">
        <v>26.27669452181987</v>
      </c>
      <c r="L799" s="120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294-2024-06-30</t>
        </is>
      </c>
    </row>
    <row r="800">
      <c r="A800" s="39" t="n">
        <v>294</v>
      </c>
      <c r="B800" s="5" t="inlineStr">
        <is>
          <t>Participación en actividades culturales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44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123" t="n">
        <v>3</v>
      </c>
      <c r="K800" s="34" t="n">
        <v>5.5</v>
      </c>
      <c r="L800" s="120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294-2024-12-31</t>
        </is>
      </c>
    </row>
    <row r="801">
      <c r="A801" s="39" t="n">
        <v>294</v>
      </c>
      <c r="B801" s="5" t="inlineStr">
        <is>
          <t>Participación en actividades culturales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44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124" t="n">
        <v>8</v>
      </c>
      <c r="K801" s="124" t="n">
        <v>-9.19</v>
      </c>
      <c r="L801" s="120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294-2025-06-30</t>
        </is>
      </c>
    </row>
    <row r="802">
      <c r="A802" s="5" t="n">
        <v>294</v>
      </c>
      <c r="B802" s="5" t="inlineStr">
        <is>
          <t>Participación en actividades culturales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44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5" t="n">
        <v>54.02</v>
      </c>
      <c r="L802" s="28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294-2025-12-31</t>
        </is>
      </c>
    </row>
    <row r="803">
      <c r="A803" s="39" t="n">
        <v>295</v>
      </c>
      <c r="B803" s="5" t="inlineStr">
        <is>
          <t>Cumplimiento Del Cierre De Oportunidades De Mejora De Auditoria</t>
        </is>
      </c>
      <c r="C803" s="5" t="inlineStr">
        <is>
          <t>AUDITORÍA INTERNA</t>
        </is>
      </c>
      <c r="D803" s="5" t="inlineStr">
        <is>
          <t>Semestral</t>
        </is>
      </c>
      <c r="E803" s="5" t="inlineStr">
        <is>
          <t>Positivo</t>
        </is>
      </c>
      <c r="F803" s="144" t="n">
        <v>45107</v>
      </c>
      <c r="G803" s="5" t="n">
        <v>2023</v>
      </c>
      <c r="H803" s="5" t="inlineStr">
        <is>
          <t>Junio</t>
        </is>
      </c>
      <c r="I803" s="6" t="inlineStr">
        <is>
          <t>2023-1</t>
        </is>
      </c>
      <c r="J803" s="5" t="n">
        <v>11</v>
      </c>
      <c r="K803" s="5" t="n">
        <v>5</v>
      </c>
      <c r="L803" s="120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n"/>
      <c r="O803" s="5" t="n"/>
      <c r="P803" s="5" t="n">
        <v>0</v>
      </c>
      <c r="Q803" s="5" t="n">
        <v>0</v>
      </c>
      <c r="R803" s="5" t="inlineStr">
        <is>
          <t>295-2023-06-30</t>
        </is>
      </c>
    </row>
    <row r="804">
      <c r="A804" s="39" t="n">
        <v>295</v>
      </c>
      <c r="B804" s="5" t="inlineStr">
        <is>
          <t>Cumplimiento Del Cierre De Oportunidades De Mejora De Auditoria</t>
        </is>
      </c>
      <c r="C804" s="5" t="inlineStr">
        <is>
          <t>AUDITORÍA INTERNA</t>
        </is>
      </c>
      <c r="D804" s="5" t="inlineStr">
        <is>
          <t>Semestral</t>
        </is>
      </c>
      <c r="E804" s="5" t="inlineStr">
        <is>
          <t>Positivo</t>
        </is>
      </c>
      <c r="F804" s="144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21</v>
      </c>
      <c r="K804" s="5" t="n">
        <v>9</v>
      </c>
      <c r="L804" s="120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n"/>
      <c r="O804" s="5" t="n"/>
      <c r="P804" s="5" t="n">
        <v>0</v>
      </c>
      <c r="Q804" s="5" t="n">
        <v>0</v>
      </c>
      <c r="R804" s="5" t="inlineStr">
        <is>
          <t>295-2023-12-31</t>
        </is>
      </c>
    </row>
    <row r="805">
      <c r="A805" s="39" t="n">
        <v>296</v>
      </c>
      <c r="B805" s="5" t="inlineStr">
        <is>
          <t>Gestión de riesgos por subprocesos</t>
        </is>
      </c>
      <c r="C805" s="5" t="inlineStr">
        <is>
          <t>GESTIÓN DE RIESGOS</t>
        </is>
      </c>
      <c r="D805" s="5" t="inlineStr">
        <is>
          <t>Bimestral</t>
        </is>
      </c>
      <c r="E805" s="5" t="inlineStr">
        <is>
          <t>Positivo</t>
        </is>
      </c>
      <c r="F805" s="144" t="n">
        <v>45291</v>
      </c>
      <c r="G805" s="5" t="n">
        <v>2023</v>
      </c>
      <c r="H805" s="5" t="inlineStr">
        <is>
          <t>Diciembre</t>
        </is>
      </c>
      <c r="I805" s="6" t="inlineStr">
        <is>
          <t>2023-2</t>
        </is>
      </c>
      <c r="J805" s="5" t="n">
        <v>100</v>
      </c>
      <c r="K805" s="5" t="n">
        <v>85.45</v>
      </c>
      <c r="L805" s="120">
        <f>IFERROR(IF(OR(J805=0,K805=""),"",IF(E805="Positivo",MIN(MAX(K805/J805,0),1.3),MIN(MAX(J805/K805,0),1.3))),"") </f>
        <v/>
      </c>
      <c r="M805" s="28">
        <f>IFERROR(IF(OR(J805=0,K805=""),"",IF(E805="Positivo",MAX(K805/J805,0),MAX(J805/K805,0))),"") </f>
        <v/>
      </c>
      <c r="N805" s="5" t="n"/>
      <c r="O805" s="5" t="n"/>
      <c r="P805" s="5" t="n">
        <v>1</v>
      </c>
      <c r="Q805" s="5" t="n">
        <v>1</v>
      </c>
      <c r="R805" s="5" t="inlineStr">
        <is>
          <t>296-2023-12-31</t>
        </is>
      </c>
    </row>
    <row r="806">
      <c r="A806" s="5" t="n">
        <v>297</v>
      </c>
      <c r="B806" s="5" t="inlineStr">
        <is>
          <t>N de riesgos operacionales intervenidos</t>
        </is>
      </c>
      <c r="C806" s="5" t="inlineStr">
        <is>
          <t>GESTIÓN DE RIESGOS</t>
        </is>
      </c>
      <c r="D806" s="5" t="inlineStr">
        <is>
          <t>Bimestral</t>
        </is>
      </c>
      <c r="E806" s="5" t="inlineStr">
        <is>
          <t>Negativo</t>
        </is>
      </c>
      <c r="F806" s="144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20</v>
      </c>
      <c r="K806" s="5" t="n">
        <v>0.93</v>
      </c>
      <c r="L806" s="120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n"/>
      <c r="O806" s="5" t="n"/>
      <c r="P806" s="5" t="n">
        <v>1</v>
      </c>
      <c r="Q806" s="5" t="n">
        <v>1</v>
      </c>
      <c r="R806" s="5" t="inlineStr">
        <is>
          <t>297-2023-12-31</t>
        </is>
      </c>
    </row>
    <row r="807">
      <c r="A807" s="39" t="n">
        <v>298</v>
      </c>
      <c r="B807" s="5" t="inlineStr">
        <is>
          <t>N de riesgos materializados</t>
        </is>
      </c>
      <c r="C807" s="5" t="inlineStr">
        <is>
          <t>GESTIÓN DE RIESGOS</t>
        </is>
      </c>
      <c r="D807" s="5" t="inlineStr">
        <is>
          <t>Semestral</t>
        </is>
      </c>
      <c r="E807" s="5" t="inlineStr">
        <is>
          <t>Negativo</t>
        </is>
      </c>
      <c r="F807" s="144" t="n">
        <v>45291</v>
      </c>
      <c r="G807" s="5" t="n">
        <v>2023</v>
      </c>
      <c r="H807" s="5" t="inlineStr">
        <is>
          <t>Diciembre</t>
        </is>
      </c>
      <c r="I807" s="6" t="inlineStr">
        <is>
          <t>2023-2</t>
        </is>
      </c>
      <c r="J807" s="5" t="n"/>
      <c r="K807" s="5" t="n">
        <v>1</v>
      </c>
      <c r="L807" s="136" t="n"/>
      <c r="M807" s="28" t="n"/>
      <c r="N807" s="5" t="inlineStr">
        <is>
          <t>Linea base</t>
        </is>
      </c>
      <c r="O807" s="5" t="n"/>
      <c r="P807" s="5" t="n">
        <v>0</v>
      </c>
      <c r="Q807" s="5" t="n">
        <v>0</v>
      </c>
      <c r="R807" s="5" t="inlineStr">
        <is>
          <t>298-2023-12-31</t>
        </is>
      </c>
    </row>
    <row r="808">
      <c r="A808" s="39" t="n">
        <v>300</v>
      </c>
      <c r="B808" s="5" t="inlineStr">
        <is>
          <t>Cumplimiento de Inspecciones de control</t>
        </is>
      </c>
      <c r="C808" s="5" t="inlineStr">
        <is>
          <t>Administración de Servicios Generales</t>
        </is>
      </c>
      <c r="D808" s="5" t="inlineStr">
        <is>
          <t>Trimestral</t>
        </is>
      </c>
      <c r="E808" s="5" t="inlineStr">
        <is>
          <t>Positivo</t>
        </is>
      </c>
      <c r="F808" s="144" t="n">
        <v>45016</v>
      </c>
      <c r="G808" s="5" t="n">
        <v>2023</v>
      </c>
      <c r="H808" s="5" t="inlineStr">
        <is>
          <t>Marzo</t>
        </is>
      </c>
      <c r="I808" s="6" t="inlineStr">
        <is>
          <t>2023-1</t>
        </is>
      </c>
      <c r="J808" s="5" t="n">
        <v>100</v>
      </c>
      <c r="K808" s="5" t="n">
        <v>100</v>
      </c>
      <c r="L808" s="120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300-2023-03-31</t>
        </is>
      </c>
    </row>
    <row r="809">
      <c r="A809" s="39" t="n">
        <v>300</v>
      </c>
      <c r="B809" s="5" t="inlineStr">
        <is>
          <t>Cumplimiento de Inspecciones de control</t>
        </is>
      </c>
      <c r="C809" s="5" t="inlineStr">
        <is>
          <t>Administración de Servicios Generales</t>
        </is>
      </c>
      <c r="D809" s="5" t="inlineStr">
        <is>
          <t>Trimestral</t>
        </is>
      </c>
      <c r="E809" s="5" t="inlineStr">
        <is>
          <t>Positivo</t>
        </is>
      </c>
      <c r="F809" s="144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100</v>
      </c>
      <c r="K809" s="5" t="n">
        <v>100</v>
      </c>
      <c r="L809" s="120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300-2023-06-30</t>
        </is>
      </c>
    </row>
    <row r="810">
      <c r="A810" s="5" t="n">
        <v>300</v>
      </c>
      <c r="B810" s="5" t="inlineStr">
        <is>
          <t>Cumplimiento de Inspecciones de control</t>
        </is>
      </c>
      <c r="C810" s="5" t="inlineStr">
        <is>
          <t>Administración de Servicios Generales</t>
        </is>
      </c>
      <c r="D810" s="5" t="inlineStr">
        <is>
          <t>Trimestral</t>
        </is>
      </c>
      <c r="E810" s="5" t="inlineStr">
        <is>
          <t>Positivo</t>
        </is>
      </c>
      <c r="F810" s="144" t="n">
        <v>45199</v>
      </c>
      <c r="G810" s="5" t="n">
        <v>2023</v>
      </c>
      <c r="H810" s="5" t="inlineStr">
        <is>
          <t>Septiembre</t>
        </is>
      </c>
      <c r="I810" s="6" t="inlineStr">
        <is>
          <t>2023-2</t>
        </is>
      </c>
      <c r="J810" s="5" t="n">
        <v>100</v>
      </c>
      <c r="K810" s="5" t="n">
        <v>100</v>
      </c>
      <c r="L810" s="120">
        <f>IFERROR(IF(OR(J810=0,K810=""),"",IF(E810="Positivo",MIN(MAX(K810/J810,0),1.3),MIN(MAX(J810/K810,0),1.3))),"") </f>
        <v/>
      </c>
      <c r="M810" s="28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300-2023-09-30</t>
        </is>
      </c>
    </row>
    <row r="811">
      <c r="A811" s="39" t="n">
        <v>300</v>
      </c>
      <c r="B811" s="5" t="inlineStr">
        <is>
          <t>Cumplimiento de Inspecciones de control</t>
        </is>
      </c>
      <c r="C811" s="5" t="inlineStr">
        <is>
          <t>Administración de Servicios Generales</t>
        </is>
      </c>
      <c r="D811" s="5" t="inlineStr">
        <is>
          <t>Trimestral</t>
        </is>
      </c>
      <c r="E811" s="5" t="inlineStr">
        <is>
          <t>Positivo</t>
        </is>
      </c>
      <c r="F811" s="144" t="n">
        <v>45291</v>
      </c>
      <c r="G811" s="5" t="n">
        <v>2023</v>
      </c>
      <c r="H811" s="5" t="inlineStr">
        <is>
          <t>Diciembre</t>
        </is>
      </c>
      <c r="I811" s="6" t="inlineStr">
        <is>
          <t>2023-2</t>
        </is>
      </c>
      <c r="J811" s="5" t="n">
        <v>100</v>
      </c>
      <c r="K811" s="5" t="n">
        <v>100</v>
      </c>
      <c r="L811" s="120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300-2023-12-31</t>
        </is>
      </c>
    </row>
    <row r="812">
      <c r="A812" s="39" t="n">
        <v>300</v>
      </c>
      <c r="B812" s="5" t="inlineStr">
        <is>
          <t>Cumplimiento de Inspecciones de control</t>
        </is>
      </c>
      <c r="C812" s="5" t="inlineStr">
        <is>
          <t>Administración de Servicios Generales</t>
        </is>
      </c>
      <c r="D812" s="5" t="inlineStr">
        <is>
          <t>Trimestral</t>
        </is>
      </c>
      <c r="E812" s="5" t="inlineStr">
        <is>
          <t>Positivo</t>
        </is>
      </c>
      <c r="F812" s="144" t="n">
        <v>45473</v>
      </c>
      <c r="G812" s="5" t="n">
        <v>2024</v>
      </c>
      <c r="H812" s="5" t="inlineStr">
        <is>
          <t>Junio</t>
        </is>
      </c>
      <c r="I812" s="6" t="inlineStr">
        <is>
          <t>2024-1</t>
        </is>
      </c>
      <c r="J812" s="5" t="n">
        <v>100</v>
      </c>
      <c r="K812" s="5" t="n">
        <v>100</v>
      </c>
      <c r="L812" s="120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300-2024-06-30</t>
        </is>
      </c>
    </row>
    <row r="813">
      <c r="A813" s="39" t="n">
        <v>300</v>
      </c>
      <c r="B813" s="5" t="inlineStr">
        <is>
          <t>Cumplimiento de Inspecciones de control</t>
        </is>
      </c>
      <c r="C813" s="5" t="inlineStr">
        <is>
          <t>Administración de Servicios Generales</t>
        </is>
      </c>
      <c r="D813" s="5" t="inlineStr">
        <is>
          <t>Trimestral</t>
        </is>
      </c>
      <c r="E813" s="5" t="inlineStr">
        <is>
          <t>Positivo</t>
        </is>
      </c>
      <c r="F813" s="144" t="n">
        <v>45657</v>
      </c>
      <c r="G813" s="5" t="n">
        <v>2024</v>
      </c>
      <c r="H813" s="5" t="inlineStr">
        <is>
          <t>Diciembre</t>
        </is>
      </c>
      <c r="I813" s="6" t="inlineStr">
        <is>
          <t>2024-2</t>
        </is>
      </c>
      <c r="J813" s="3" t="n">
        <v>100</v>
      </c>
      <c r="K813" s="123" t="n">
        <v>100</v>
      </c>
      <c r="L813" s="120">
        <f>IFERROR(IF(OR(J813=0,K813=""),"",IF(E813="Positivo",MIN(MAX(K813/J813,0),1.3),MIN(MAX(J813/K813,0),1.3))),"") </f>
        <v/>
      </c>
      <c r="M813" s="28">
        <f>IFERROR(IF(OR(J813=0,K813=""),"",IF(E813="Positivo",MAX(K813/J813,0),MAX(J813/K813,0))),"") 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300-2024-12-31</t>
        </is>
      </c>
    </row>
    <row r="814">
      <c r="A814" s="5" t="n">
        <v>300</v>
      </c>
      <c r="B814" s="5" t="inlineStr">
        <is>
          <t>Cumplimiento de Inspecciones de control</t>
        </is>
      </c>
      <c r="C814" s="5" t="inlineStr">
        <is>
          <t>Administración de Servicios Generales</t>
        </is>
      </c>
      <c r="D814" s="5" t="inlineStr">
        <is>
          <t>Trimestral</t>
        </is>
      </c>
      <c r="E814" s="5" t="inlineStr">
        <is>
          <t>Positivo</t>
        </is>
      </c>
      <c r="F814" s="144" t="n">
        <v>45838</v>
      </c>
      <c r="G814" s="5" t="n">
        <v>2025</v>
      </c>
      <c r="H814" s="5" t="inlineStr">
        <is>
          <t>Junio</t>
        </is>
      </c>
      <c r="I814" s="6" t="inlineStr">
        <is>
          <t>2025-1</t>
        </is>
      </c>
      <c r="J814" s="3" t="n">
        <v>100</v>
      </c>
      <c r="K814" s="123" t="n">
        <v>100</v>
      </c>
      <c r="L814" s="28">
        <f>IFERROR(IF(OR(J814=0,K814=""),"",IF(E814="Positivo",MIN(MAX(K814/J814,0),1.3),MIN(MAX(J814/K814,0),1.3))),"") </f>
        <v/>
      </c>
      <c r="M814" s="28">
        <f>IFERROR(IF(OR(J814=0,K814=""),"",IF(E814="Positivo",MAX(K814/J814,0),MAX(J814/K814,0))),"") 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300-2025-06-30</t>
        </is>
      </c>
    </row>
    <row r="815">
      <c r="A815" s="39" t="n">
        <v>300</v>
      </c>
      <c r="B815" s="5" t="inlineStr">
        <is>
          <t>Cumplimiento de Inspecciones de control</t>
        </is>
      </c>
      <c r="C815" s="5" t="inlineStr">
        <is>
          <t>Administración de Servicios Generales</t>
        </is>
      </c>
      <c r="D815" s="5" t="inlineStr">
        <is>
          <t>Semestral</t>
        </is>
      </c>
      <c r="E815" s="5" t="inlineStr">
        <is>
          <t>Positivo</t>
        </is>
      </c>
      <c r="F815" s="144" t="n">
        <v>46022</v>
      </c>
      <c r="G815" s="5" t="n">
        <v>2025</v>
      </c>
      <c r="H815" s="5" t="inlineStr">
        <is>
          <t>Diciembre</t>
        </is>
      </c>
      <c r="I815" s="6" t="inlineStr">
        <is>
          <t>2025-2</t>
        </is>
      </c>
      <c r="J815" s="5" t="n">
        <v>100</v>
      </c>
      <c r="K815" s="123" t="n">
        <v>100</v>
      </c>
      <c r="L815" s="28">
        <f>IFERROR(IF(OR(J815=0,K815=""),"",IF(E815="Positivo",MIN(MAX(K815/J815,0),1.3),MIN(MAX(J815/K815,0),1.3))),"") </f>
        <v/>
      </c>
      <c r="M815" s="28">
        <f>IFERROR(IF(OR(J815=0,K815=""),"",IF(E815="Positivo",MAX(K815/J815,0),MAX(J815/K815,0))),"") 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300-2025-12-31</t>
        </is>
      </c>
    </row>
    <row r="816">
      <c r="A816" s="39" t="n">
        <v>301</v>
      </c>
      <c r="B816" s="5" t="inlineStr">
        <is>
          <t>Cumplimiento plan de trabajo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144" t="n">
        <v>45016</v>
      </c>
      <c r="G816" s="5" t="n">
        <v>2023</v>
      </c>
      <c r="H816" s="5" t="inlineStr">
        <is>
          <t>Marzo</t>
        </is>
      </c>
      <c r="I816" s="6" t="inlineStr">
        <is>
          <t>2023-1</t>
        </is>
      </c>
      <c r="J816" s="5" t="n">
        <v>100</v>
      </c>
      <c r="K816" s="123" t="n">
        <v>100</v>
      </c>
      <c r="L816" s="28">
        <f>IFERROR(IF(OR(J816=0,K816=""),"",IF(E816="Positivo",MIN(MAX(K816/J816,0),1.3),MIN(MAX(J816/K816,0),1.3))),"") </f>
        <v/>
      </c>
      <c r="M816" s="28">
        <f>IFERROR(IF(OR(J816=0,K816=""),"",IF(E816="Positivo",MAX(K816/J816,0),MAX(J816/K816,0))),"") 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301-2023-03-31</t>
        </is>
      </c>
    </row>
    <row r="817">
      <c r="A817" s="39" t="n">
        <v>301</v>
      </c>
      <c r="B817" s="5" t="inlineStr">
        <is>
          <t>Cumplimiento plan de trabajo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144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>
        <v>100</v>
      </c>
      <c r="K817" s="123" t="n">
        <v>100</v>
      </c>
      <c r="L817" s="28">
        <f>IFERROR(IF(OR(J817=0,K817=""),"",IF(E817="Positivo",MIN(MAX(K817/J817,0),1.3),MIN(MAX(J817/K817,0),1.3))),"") </f>
        <v/>
      </c>
      <c r="M817" s="28">
        <f>IFERROR(IF(OR(J817=0,K817=""),"",IF(E817="Positivo",MAX(K817/J817,0),MAX(J817/K817,0))),"") 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301-2023-06-30</t>
        </is>
      </c>
    </row>
    <row r="818">
      <c r="A818" s="5" t="n">
        <v>301</v>
      </c>
      <c r="B818" s="5" t="inlineStr">
        <is>
          <t>Cumplimiento plan de trabajo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44" t="n">
        <v>45199</v>
      </c>
      <c r="G818" s="5" t="n">
        <v>2023</v>
      </c>
      <c r="H818" s="5" t="inlineStr">
        <is>
          <t>Septiembre</t>
        </is>
      </c>
      <c r="I818" s="6" t="inlineStr">
        <is>
          <t>2023-2</t>
        </is>
      </c>
      <c r="J818" s="5" t="n">
        <v>100</v>
      </c>
      <c r="K818" s="10" t="n">
        <v>100</v>
      </c>
      <c r="L818" s="28">
        <f>IFERROR(IF(OR(J818=0,K818=""),"",IF(E818="Positivo",MIN(MAX(K818/J818,0),1.3),MIN(MAX(J818/K818,0),1.3))),"") </f>
        <v/>
      </c>
      <c r="M818" s="28">
        <f>IFERROR(IF(OR(J818=0,K818=""),"",IF(E818="Positivo",MAX(K818/J818,0),MAX(J818/K818,0))),"") </f>
        <v/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301-2023-09-30</t>
        </is>
      </c>
    </row>
    <row r="819">
      <c r="A819" s="5" t="n">
        <v>301</v>
      </c>
      <c r="B819" s="5" t="inlineStr">
        <is>
          <t>Cumplimiento plan de trabajo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43" t="n">
        <v>45291</v>
      </c>
      <c r="G819" s="16" t="n">
        <v>2023</v>
      </c>
      <c r="H819" s="6" t="inlineStr">
        <is>
          <t>Diciembre</t>
        </is>
      </c>
      <c r="I819" s="41" t="inlineStr">
        <is>
          <t>2023-2</t>
        </is>
      </c>
      <c r="J819" s="5" t="n">
        <v>100</v>
      </c>
      <c r="K819" s="11" t="n">
        <v>100</v>
      </c>
      <c r="L819" s="28">
        <f>IFERROR(IF(OR(J819=0,K819=""),"",IF(E819="Positivo",MIN(MAX(K819/J819,0),1.3),MIN(MAX(J819/K819,0),1.3))),"") </f>
        <v/>
      </c>
      <c r="M819" s="28">
        <f>IFERROR(IF(OR(J819=0,K819=""),"",IF(E819="Positivo",MAX(K819/J819,0),MAX(J819/K819,0))),"") </f>
        <v/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301-2023-12-31</t>
        </is>
      </c>
    </row>
    <row r="820">
      <c r="A820" s="39" t="n">
        <v>301</v>
      </c>
      <c r="B820" s="5" t="inlineStr">
        <is>
          <t>Cumplimiento plan de trabajo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44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100</v>
      </c>
      <c r="K820" s="5" t="n">
        <v>100</v>
      </c>
      <c r="L820" s="28">
        <f>IFERROR(IF(OR(J820=0,K820=""),"",IF(E820="Positivo",MIN(MAX(K820/J820,0),1.3),MIN(MAX(J820/K820,0),1.3))),"") </f>
        <v/>
      </c>
      <c r="M820" s="28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301-2024-06-30</t>
        </is>
      </c>
    </row>
    <row r="821">
      <c r="A821" s="5" t="n">
        <v>301</v>
      </c>
      <c r="B821" s="5" t="inlineStr">
        <is>
          <t>Cumplimiento plan de trabajo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44" t="n">
        <v>45657</v>
      </c>
      <c r="G821" s="5" t="n">
        <v>2024</v>
      </c>
      <c r="H821" s="5" t="inlineStr">
        <is>
          <t>Diciembre</t>
        </is>
      </c>
      <c r="I821" s="6" t="inlineStr">
        <is>
          <t>2024-2</t>
        </is>
      </c>
      <c r="J821" s="5" t="n">
        <v>100</v>
      </c>
      <c r="K821" s="5" t="n">
        <v>100</v>
      </c>
      <c r="L821" s="28">
        <f>IFERROR(IF(OR(J821=0,K821=""),"",IF(E821="Positivo",MIN(MAX(K821/J821,0),1.3),MIN(MAX(J821/K821,0),1.3))),"") </f>
        <v/>
      </c>
      <c r="M821" s="28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301-2024-12-31</t>
        </is>
      </c>
    </row>
    <row r="822">
      <c r="A822" s="5" t="n">
        <v>301</v>
      </c>
      <c r="B822" s="5" t="inlineStr">
        <is>
          <t>Cumplimiento plan de trabajo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44" t="n">
        <v>45838</v>
      </c>
      <c r="G822" s="5" t="n">
        <v>2025</v>
      </c>
      <c r="H822" s="5" t="inlineStr">
        <is>
          <t>Junio</t>
        </is>
      </c>
      <c r="I822" s="6" t="inlineStr">
        <is>
          <t>2025-1</t>
        </is>
      </c>
      <c r="J822" s="5" t="n">
        <v>100</v>
      </c>
      <c r="K822" s="124" t="n">
        <v>100</v>
      </c>
      <c r="L822" s="28">
        <f>IFERROR(IF(OR(J822=0,K822=""),"",IF(E822="Positivo",MIN(MAX(K822/J822,0),1.3),MIN(MAX(J822/K822,0),1.3))),"") </f>
        <v/>
      </c>
      <c r="M822" s="28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301-2025-06-30</t>
        </is>
      </c>
    </row>
    <row r="823">
      <c r="A823" s="43" t="n">
        <v>301</v>
      </c>
      <c r="B823" s="5" t="inlineStr">
        <is>
          <t>Cumplimiento plan de trabajo</t>
        </is>
      </c>
      <c r="C823" s="5" t="inlineStr">
        <is>
          <t>Administración de Servicios Generales</t>
        </is>
      </c>
      <c r="D823" s="5" t="inlineStr">
        <is>
          <t>Semestral</t>
        </is>
      </c>
      <c r="E823" s="5" t="inlineStr">
        <is>
          <t>Positivo</t>
        </is>
      </c>
      <c r="F823" s="144" t="n">
        <v>46022</v>
      </c>
      <c r="G823" s="5" t="n">
        <v>2025</v>
      </c>
      <c r="H823" s="5" t="inlineStr">
        <is>
          <t>Diciembre</t>
        </is>
      </c>
      <c r="I823" s="6" t="inlineStr">
        <is>
          <t>2025-2</t>
        </is>
      </c>
      <c r="J823" s="119" t="n">
        <v>100</v>
      </c>
      <c r="K823" s="123" t="n">
        <v>100</v>
      </c>
      <c r="L823" s="28">
        <f>IFERROR(IF(OR(J823=0,K823=""),"",IF(E823="Positivo",MIN(MAX(K823/J823,0),1.3),MIN(MAX(J823/K823,0),1.3))),"") </f>
        <v/>
      </c>
      <c r="M823" s="28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301-2025-12-31</t>
        </is>
      </c>
    </row>
    <row r="824">
      <c r="A824" s="39" t="n">
        <v>302</v>
      </c>
      <c r="B824" s="5" t="inlineStr">
        <is>
          <t>N de solicitudes radicadas</t>
        </is>
      </c>
      <c r="C824" s="5" t="inlineStr">
        <is>
          <t>Centro de Medios Audiovisuales</t>
        </is>
      </c>
      <c r="D824" s="5" t="inlineStr">
        <is>
          <t>Semestral</t>
        </is>
      </c>
      <c r="E824" s="5" t="inlineStr">
        <is>
          <t>Positivo</t>
        </is>
      </c>
      <c r="F824" s="144" t="n">
        <v>45107</v>
      </c>
      <c r="G824" s="5" t="n">
        <v>2023</v>
      </c>
      <c r="H824" s="5" t="inlineStr">
        <is>
          <t>Junio</t>
        </is>
      </c>
      <c r="I824" s="6" t="inlineStr">
        <is>
          <t>2023-1</t>
        </is>
      </c>
      <c r="J824" s="119" t="n">
        <v>0</v>
      </c>
      <c r="K824" s="123" t="n">
        <v>0</v>
      </c>
      <c r="L824" s="28">
        <f>IFERROR(IF(OR(J824=0,K824=""),"",IF(E824="Positivo",MIN(MAX(K824/J824,0),1.3),MIN(MAX(J824/K824,0),1.3))),"") </f>
        <v/>
      </c>
      <c r="M824" s="28">
        <f>IFERROR(IF(OR(J824=0,K824=""),"",IF(E824="Positivo",MAX(K824/J824,0),MAX(J824/K824,0))),"") </f>
        <v/>
      </c>
      <c r="N824" s="5" t="n"/>
      <c r="O824" s="5" t="n"/>
      <c r="P824" s="5" t="n">
        <v>0</v>
      </c>
      <c r="Q824" s="5" t="n">
        <v>0</v>
      </c>
      <c r="R824" s="5" t="inlineStr">
        <is>
          <t>302-2023-06-30</t>
        </is>
      </c>
    </row>
    <row r="825">
      <c r="A825" s="5" t="n">
        <v>302</v>
      </c>
      <c r="B825" s="5" t="inlineStr">
        <is>
          <t>N de solicitudes radicadas</t>
        </is>
      </c>
      <c r="C825" s="5" t="inlineStr">
        <is>
          <t>Centro de Medios Audiovisuales</t>
        </is>
      </c>
      <c r="D825" s="5" t="inlineStr">
        <is>
          <t>Semestral</t>
        </is>
      </c>
      <c r="E825" s="5" t="inlineStr">
        <is>
          <t>Positivo</t>
        </is>
      </c>
      <c r="F825" s="144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119" t="n">
        <v>0</v>
      </c>
      <c r="K825" s="123" t="n">
        <v>0</v>
      </c>
      <c r="L825" s="28">
        <f>IFERROR(IF(OR(J825=0,K825=""),"",IF(E825="Positivo",MIN(MAX(K825/J825,0),1.3),MIN(MAX(J825/K825,0),1.3))),"") </f>
        <v/>
      </c>
      <c r="M825" s="28">
        <f>IFERROR(IF(OR(J825=0,K825=""),"",IF(E825="Positivo",MAX(K825/J825,0),MAX(J825/K825,0))),"") </f>
        <v/>
      </c>
      <c r="N825" s="5" t="n"/>
      <c r="O825" s="5" t="n"/>
      <c r="P825" s="5" t="n">
        <v>0</v>
      </c>
      <c r="Q825" s="5" t="n">
        <v>0</v>
      </c>
      <c r="R825" s="5" t="inlineStr">
        <is>
          <t>302-2023-12-31</t>
        </is>
      </c>
    </row>
    <row r="826">
      <c r="A826" s="5" t="n">
        <v>302</v>
      </c>
      <c r="B826" s="5" t="inlineStr">
        <is>
          <t>N de solicitudes radicadas</t>
        </is>
      </c>
      <c r="C826" s="5" t="inlineStr">
        <is>
          <t>Centro de Medios Audiovisuales</t>
        </is>
      </c>
      <c r="D826" s="5" t="inlineStr">
        <is>
          <t>Semestral</t>
        </is>
      </c>
      <c r="E826" s="5" t="inlineStr">
        <is>
          <t>Positivo</t>
        </is>
      </c>
      <c r="F826" s="144" t="n">
        <v>45473</v>
      </c>
      <c r="G826" s="5" t="n">
        <v>2024</v>
      </c>
      <c r="H826" s="5" t="inlineStr">
        <is>
          <t>Junio</t>
        </is>
      </c>
      <c r="I826" s="6" t="inlineStr">
        <is>
          <t>2024-1</t>
        </is>
      </c>
      <c r="J826" s="119" t="n">
        <v>0</v>
      </c>
      <c r="K826" s="123" t="n">
        <v>17878</v>
      </c>
      <c r="L826" s="28">
        <f>IFERROR(IF(OR(J826=0,K826=""),"",IF(E826="Positivo",MIN(MAX(K826/J826,0),1.3),MIN(MAX(J826/K826,0),1.3))),"") </f>
        <v/>
      </c>
      <c r="M826" s="28">
        <f>IFERROR(IF(OR(J826=0,K826=""),"",IF(E826="Positivo",MAX(K826/J826,0),MAX(J826/K826,0))),"") </f>
        <v/>
      </c>
      <c r="N826" s="5" t="n"/>
      <c r="O826" s="5" t="n"/>
      <c r="P826" s="5" t="n">
        <v>0</v>
      </c>
      <c r="Q826" s="5" t="n">
        <v>0</v>
      </c>
      <c r="R826" s="5" t="inlineStr">
        <is>
          <t>302-2024-06-30</t>
        </is>
      </c>
    </row>
    <row r="827">
      <c r="A827" s="43" t="n">
        <v>302</v>
      </c>
      <c r="B827" s="5" t="inlineStr">
        <is>
          <t>N de solicitudes radicadas</t>
        </is>
      </c>
      <c r="C827" s="5" t="inlineStr">
        <is>
          <t>Centro de Medios Audiovisuales</t>
        </is>
      </c>
      <c r="D827" s="5" t="inlineStr">
        <is>
          <t>Semestral</t>
        </is>
      </c>
      <c r="E827" s="5" t="inlineStr">
        <is>
          <t>Positivo</t>
        </is>
      </c>
      <c r="F827" s="144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0</v>
      </c>
      <c r="K827" s="5" t="n">
        <v>19142</v>
      </c>
      <c r="L827" s="120">
        <f>IFERROR(IF(OR(J827=0,K827=""),"",IF(E827="Positivo",MIN(MAX(K827/J827,0),1.3),MIN(MAX(J827/K827,0),1.3))),"") </f>
        <v/>
      </c>
      <c r="M827" s="28">
        <f>IFERROR(IF(OR(J827=0,K827=""),"",IF(E827="Positivo",MAX(K827/J827,0),MAX(J827/K827,0))),"") </f>
        <v/>
      </c>
      <c r="N827" s="5" t="n"/>
      <c r="O827" s="5" t="n"/>
      <c r="P827" s="5" t="n">
        <v>0</v>
      </c>
      <c r="Q827" s="5" t="n">
        <v>0</v>
      </c>
      <c r="R827" s="5" t="inlineStr">
        <is>
          <t>302-2024-12-31</t>
        </is>
      </c>
    </row>
    <row r="828">
      <c r="A828" s="39" t="n">
        <v>302</v>
      </c>
      <c r="B828" s="5" t="inlineStr">
        <is>
          <t>N de solicitudes radicadas - (Metrica)</t>
        </is>
      </c>
      <c r="C828" s="5" t="inlineStr">
        <is>
          <t>Centro de Medios Audiovisuales</t>
        </is>
      </c>
      <c r="D828" s="5" t="inlineStr">
        <is>
          <t>Trimestral</t>
        </is>
      </c>
      <c r="E828" s="5" t="inlineStr">
        <is>
          <t>Positivo</t>
        </is>
      </c>
      <c r="F828" s="144" t="n">
        <v>45838</v>
      </c>
      <c r="G828" s="5" t="n">
        <v>2025</v>
      </c>
      <c r="H828" s="5" t="inlineStr">
        <is>
          <t>Junio</t>
        </is>
      </c>
      <c r="I828" s="6" t="inlineStr">
        <is>
          <t>2025-1</t>
        </is>
      </c>
      <c r="J828" s="5" t="n"/>
      <c r="K828" s="5" t="n">
        <v>21712</v>
      </c>
      <c r="L828" s="136" t="n"/>
      <c r="M828" s="28" t="n"/>
      <c r="N828" s="5" t="inlineStr">
        <is>
          <t>%</t>
        </is>
      </c>
      <c r="O828" s="5" t="inlineStr">
        <is>
          <t>ENT</t>
        </is>
      </c>
      <c r="P828" s="5" t="n">
        <v>0</v>
      </c>
      <c r="Q828" s="5" t="n">
        <v>0</v>
      </c>
      <c r="R828" s="5" t="inlineStr">
        <is>
          <t>302-2025-06-30</t>
        </is>
      </c>
      <c r="S828" t="inlineStr">
        <is>
          <t>Metrica</t>
        </is>
      </c>
    </row>
    <row r="829">
      <c r="A829" s="43" t="n">
        <v>302</v>
      </c>
      <c r="B829" s="5" t="inlineStr">
        <is>
          <t>N de solicitudes radicadas - (Metrica)</t>
        </is>
      </c>
      <c r="C829" s="5" t="inlineStr">
        <is>
          <t>Centro de Medios Audiovisuales</t>
        </is>
      </c>
      <c r="D829" s="5" t="inlineStr">
        <is>
          <t>Trimestral</t>
        </is>
      </c>
      <c r="E829" s="5" t="inlineStr">
        <is>
          <t>Positivo</t>
        </is>
      </c>
      <c r="F829" s="144" t="n">
        <v>46022</v>
      </c>
      <c r="G829" s="5" t="n">
        <v>2025</v>
      </c>
      <c r="H829" s="5" t="inlineStr">
        <is>
          <t>Diciembre</t>
        </is>
      </c>
      <c r="I829" s="6" t="inlineStr">
        <is>
          <t>2025-2</t>
        </is>
      </c>
      <c r="J829" s="5" t="n"/>
      <c r="K829" s="5" t="n">
        <v>31371</v>
      </c>
      <c r="L829" s="136" t="n"/>
      <c r="M829" s="28" t="n"/>
      <c r="N829" s="5" t="inlineStr">
        <is>
          <t>%</t>
        </is>
      </c>
      <c r="O829" s="5" t="inlineStr">
        <is>
          <t>ENT</t>
        </is>
      </c>
      <c r="P829" s="5" t="n">
        <v>0</v>
      </c>
      <c r="Q829" s="5" t="n">
        <v>0</v>
      </c>
      <c r="R829" s="5" t="inlineStr">
        <is>
          <t>302-2025-12-31</t>
        </is>
      </c>
      <c r="S829" t="inlineStr">
        <is>
          <t>Metrica</t>
        </is>
      </c>
    </row>
    <row r="830">
      <c r="A830" s="39" t="n">
        <v>303</v>
      </c>
      <c r="B830" s="5" t="inlineStr">
        <is>
          <t>Cumplimiento del cronograma de actividades de salud</t>
        </is>
      </c>
      <c r="C830" s="5" t="inlineStr">
        <is>
          <t>Servicio de Salud</t>
        </is>
      </c>
      <c r="D830" s="5" t="inlineStr">
        <is>
          <t>Semestral</t>
        </is>
      </c>
      <c r="E830" s="5" t="inlineStr">
        <is>
          <t>Positivo</t>
        </is>
      </c>
      <c r="F830" s="144" t="n">
        <v>45107</v>
      </c>
      <c r="G830" s="5" t="n">
        <v>2023</v>
      </c>
      <c r="H830" s="5" t="inlineStr">
        <is>
          <t>Junio</t>
        </is>
      </c>
      <c r="I830" s="6" t="inlineStr">
        <is>
          <t>2023-1</t>
        </is>
      </c>
      <c r="J830" s="5" t="n">
        <v>100</v>
      </c>
      <c r="K830" s="5" t="n">
        <v>75.75757575757601</v>
      </c>
      <c r="L830" s="120">
        <f>IFERROR(IF(OR(J830=0,K830=""),"",IF(E830="Positivo",MIN(MAX(K830/J830,0),1.3),MIN(MAX(J830/K830,0),1.3))),"") </f>
        <v/>
      </c>
      <c r="M830" s="28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303-2023-06-30</t>
        </is>
      </c>
    </row>
    <row r="831">
      <c r="A831" s="43" t="n">
        <v>303</v>
      </c>
      <c r="B831" s="5" t="inlineStr">
        <is>
          <t>Cumplimiento del cronograma de actividades de salud</t>
        </is>
      </c>
      <c r="C831" s="5" t="inlineStr">
        <is>
          <t>Servicio de Salud</t>
        </is>
      </c>
      <c r="D831" s="5" t="inlineStr">
        <is>
          <t>Semestral</t>
        </is>
      </c>
      <c r="E831" s="5" t="inlineStr">
        <is>
          <t>Positivo</t>
        </is>
      </c>
      <c r="F831" s="144" t="n">
        <v>45291</v>
      </c>
      <c r="G831" s="5" t="n">
        <v>2023</v>
      </c>
      <c r="H831" s="5" t="inlineStr">
        <is>
          <t>Diciembre</t>
        </is>
      </c>
      <c r="I831" s="6" t="inlineStr">
        <is>
          <t>2023-2</t>
        </is>
      </c>
      <c r="J831" s="5" t="n">
        <v>100</v>
      </c>
      <c r="K831" s="5" t="n">
        <v>79.54545454545455</v>
      </c>
      <c r="L831" s="120">
        <f>IFERROR(IF(OR(J831=0,K831=""),"",IF(E831="Positivo",MIN(MAX(K831/J831,0),1.3),MIN(MAX(J831/K831,0),1.3))),"") </f>
        <v/>
      </c>
      <c r="M831" s="28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303-2023-12-31</t>
        </is>
      </c>
    </row>
    <row r="832">
      <c r="A832" s="39" t="n">
        <v>303</v>
      </c>
      <c r="B832" s="5" t="inlineStr">
        <is>
          <t>Cumplimiento del cronograma de actividades de salud</t>
        </is>
      </c>
      <c r="C832" s="5" t="inlineStr">
        <is>
          <t>Servicio de Salud</t>
        </is>
      </c>
      <c r="D832" s="5" t="inlineStr">
        <is>
          <t>Semestral</t>
        </is>
      </c>
      <c r="E832" s="5" t="inlineStr">
        <is>
          <t>Positivo</t>
        </is>
      </c>
      <c r="F832" s="144" t="n">
        <v>45473</v>
      </c>
      <c r="G832" s="5" t="n">
        <v>2024</v>
      </c>
      <c r="H832" s="5" t="inlineStr">
        <is>
          <t>Junio</t>
        </is>
      </c>
      <c r="I832" s="6" t="inlineStr">
        <is>
          <t>2024-1</t>
        </is>
      </c>
      <c r="J832" s="5" t="n">
        <v>95</v>
      </c>
      <c r="K832" s="5" t="n">
        <v>100</v>
      </c>
      <c r="L832" s="120">
        <f>IFERROR(IF(OR(J832=0,K832=""),"",IF(E832="Positivo",MIN(MAX(K832/J832,0),1.3),MIN(MAX(J832/K832,0),1.3))),"") </f>
        <v/>
      </c>
      <c r="M832" s="28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303-2024-06-30</t>
        </is>
      </c>
    </row>
    <row r="833">
      <c r="A833" s="5" t="n">
        <v>303</v>
      </c>
      <c r="B833" s="5" t="inlineStr">
        <is>
          <t>Cumplimiento del cronograma de actividades de salud</t>
        </is>
      </c>
      <c r="C833" s="5" t="inlineStr">
        <is>
          <t>Servicio de Salud</t>
        </is>
      </c>
      <c r="D833" s="5" t="inlineStr">
        <is>
          <t>Semestral</t>
        </is>
      </c>
      <c r="E833" s="5" t="inlineStr">
        <is>
          <t>Positivo</t>
        </is>
      </c>
      <c r="F833" s="144" t="n">
        <v>45657</v>
      </c>
      <c r="G833" s="5" t="n">
        <v>2024</v>
      </c>
      <c r="H833" s="5" t="inlineStr">
        <is>
          <t>Diciembre</t>
        </is>
      </c>
      <c r="I833" s="6" t="inlineStr">
        <is>
          <t>2024-2</t>
        </is>
      </c>
      <c r="J833" s="5" t="n">
        <v>95</v>
      </c>
      <c r="K833" s="5" t="n">
        <v>95.65217391304348</v>
      </c>
      <c r="L833" s="28">
        <f>IFERROR(IF(OR(J833=0,K833=""),"",IF(E833="Positivo",MIN(MAX(K833/J833,0),1.3),MIN(MAX(J833/K833,0),1.3))),"") </f>
        <v/>
      </c>
      <c r="M833" s="28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303-2024-12-31</t>
        </is>
      </c>
    </row>
    <row r="834">
      <c r="A834" s="5" t="n">
        <v>303</v>
      </c>
      <c r="B834" s="5" t="inlineStr">
        <is>
          <t>Cumplimiento del cronograma de actividades de salud</t>
        </is>
      </c>
      <c r="C834" s="5" t="inlineStr">
        <is>
          <t>Servicio de Salud</t>
        </is>
      </c>
      <c r="D834" s="5" t="inlineStr">
        <is>
          <t>Semestral</t>
        </is>
      </c>
      <c r="E834" s="5" t="inlineStr">
        <is>
          <t>Positivo</t>
        </is>
      </c>
      <c r="F834" s="144" t="n">
        <v>45838</v>
      </c>
      <c r="G834" s="5" t="n">
        <v>2025</v>
      </c>
      <c r="H834" s="5" t="inlineStr">
        <is>
          <t>Junio</t>
        </is>
      </c>
      <c r="I834" s="6" t="inlineStr">
        <is>
          <t>2025-1</t>
        </is>
      </c>
      <c r="J834" s="5" t="n">
        <v>95</v>
      </c>
      <c r="K834" s="5" t="n">
        <v>90.31999999999999</v>
      </c>
      <c r="L834" s="28">
        <f>IFERROR(IF(OR(J834=0,K834=""),"",IF(E834="Positivo",MIN(MAX(K834/J834,0),1.3),MIN(MAX(J834/K834,0),1.3))),"") </f>
        <v/>
      </c>
      <c r="M834" s="28">
        <f>IFERROR(IF(OR(J834=0,K834=""),"",IF(E834="Positivo",MAX(K834/J834,0),MAX(J834/K834,0))),"") </f>
        <v/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303-2025-06-30</t>
        </is>
      </c>
    </row>
    <row r="835">
      <c r="A835" s="54" t="n">
        <v>303</v>
      </c>
      <c r="B835" s="5" t="inlineStr">
        <is>
          <t>Cumplimiento del cronograma de actividades de salud</t>
        </is>
      </c>
      <c r="C835" s="5" t="inlineStr">
        <is>
          <t>Servicio de Salud</t>
        </is>
      </c>
      <c r="D835" s="5" t="inlineStr">
        <is>
          <t>Trimestral</t>
        </is>
      </c>
      <c r="E835" s="5" t="inlineStr">
        <is>
          <t>Positivo</t>
        </is>
      </c>
      <c r="F835" s="144" t="n">
        <v>46022</v>
      </c>
      <c r="G835" s="5" t="n">
        <v>2025</v>
      </c>
      <c r="H835" s="5" t="inlineStr">
        <is>
          <t>Diciembre</t>
        </is>
      </c>
      <c r="I835" s="6" t="inlineStr">
        <is>
          <t>2025-2</t>
        </is>
      </c>
      <c r="J835" s="5" t="n">
        <v>95</v>
      </c>
      <c r="K835" s="5" t="n">
        <v>100</v>
      </c>
      <c r="L835" s="120">
        <f>IFERROR(IF(OR(J835=0,K835=""),"",IF(E835="Positivo",MIN(MAX(K835/J835,0),1.3),MIN(MAX(J835/K835,0),1.3))),"") </f>
        <v/>
      </c>
      <c r="M835" s="28">
        <f>IFERROR(IF(OR(J835=0,K835=""),"",IF(E835="Positivo",MAX(K835/J835,0),MAX(J835/K835,0))),"") 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303-2025-12-31</t>
        </is>
      </c>
    </row>
    <row r="836">
      <c r="A836" s="39" t="n">
        <v>304</v>
      </c>
      <c r="B836" s="5" t="inlineStr">
        <is>
          <t>Impacto de Campañas de promoción y prevención</t>
        </is>
      </c>
      <c r="C836" s="5" t="inlineStr">
        <is>
          <t>Servicio de Salud</t>
        </is>
      </c>
      <c r="D836" s="5" t="inlineStr">
        <is>
          <t>Semestral</t>
        </is>
      </c>
      <c r="E836" s="5" t="inlineStr">
        <is>
          <t>Positivo</t>
        </is>
      </c>
      <c r="F836" s="144" t="n">
        <v>45107</v>
      </c>
      <c r="G836" s="5" t="n">
        <v>2023</v>
      </c>
      <c r="H836" s="5" t="inlineStr">
        <is>
          <t>Junio</t>
        </is>
      </c>
      <c r="I836" s="6" t="inlineStr">
        <is>
          <t>2023-1</t>
        </is>
      </c>
      <c r="J836" s="5" t="n">
        <v>100</v>
      </c>
      <c r="K836" s="5" t="n">
        <v>189.86</v>
      </c>
      <c r="L836" s="120">
        <f>IFERROR(IF(OR(J836=0,K836=""),"",IF(E836="Positivo",MIN(MAX(K836/J836,0),1.3),MIN(MAX(J836/K836,0),1.3))),"") </f>
        <v/>
      </c>
      <c r="M836" s="28">
        <f>IFERROR(IF(OR(J836=0,K836=""),"",IF(E836="Positivo",MAX(K836/J836,0),MAX(J836/K836,0))),"") </f>
        <v/>
      </c>
      <c r="N836" s="5" t="inlineStr">
        <is>
          <t>ENT</t>
        </is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304-2023-06-30</t>
        </is>
      </c>
    </row>
    <row r="837">
      <c r="A837" s="43" t="n">
        <v>304</v>
      </c>
      <c r="B837" s="5" t="inlineStr">
        <is>
          <t>Impacto de Campañas de promoción y prevención</t>
        </is>
      </c>
      <c r="C837" s="5" t="inlineStr">
        <is>
          <t>Servicio de Salud</t>
        </is>
      </c>
      <c r="D837" s="5" t="inlineStr">
        <is>
          <t>Semestral</t>
        </is>
      </c>
      <c r="E837" s="5" t="inlineStr">
        <is>
          <t>Positivo</t>
        </is>
      </c>
      <c r="F837" s="144" t="n">
        <v>45291</v>
      </c>
      <c r="G837" s="5" t="n">
        <v>2023</v>
      </c>
      <c r="H837" s="5" t="inlineStr">
        <is>
          <t>Diciembre</t>
        </is>
      </c>
      <c r="I837" s="6" t="inlineStr">
        <is>
          <t>2023-2</t>
        </is>
      </c>
      <c r="J837" s="5" t="n">
        <v>100</v>
      </c>
      <c r="K837" s="5" t="n">
        <v>176.33</v>
      </c>
      <c r="L837" s="120">
        <f>IFERROR(IF(OR(J837=0,K837=""),"",IF(E837="Positivo",MIN(MAX(K837/J837,0),1.3),MIN(MAX(J837/K837,0),1.3))),"") </f>
        <v/>
      </c>
      <c r="M837" s="28">
        <f>IFERROR(IF(OR(J837=0,K837=""),"",IF(E837="Positivo",MAX(K837/J837,0),MAX(J837/K837,0))),"") </f>
        <v/>
      </c>
      <c r="N837" s="5" t="inlineStr">
        <is>
          <t>ENT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304-2023-12-31</t>
        </is>
      </c>
    </row>
    <row r="838">
      <c r="A838" s="39" t="n">
        <v>304</v>
      </c>
      <c r="B838" s="5" t="inlineStr">
        <is>
          <t>Impacto de Campañas de promoción y prevención</t>
        </is>
      </c>
      <c r="C838" s="5" t="inlineStr">
        <is>
          <t>Servicio de Salud</t>
        </is>
      </c>
      <c r="D838" s="5" t="inlineStr">
        <is>
          <t>Semestral</t>
        </is>
      </c>
      <c r="E838" s="5" t="inlineStr">
        <is>
          <t>Positivo</t>
        </is>
      </c>
      <c r="F838" s="144" t="n">
        <v>45473</v>
      </c>
      <c r="G838" s="5" t="n">
        <v>2024</v>
      </c>
      <c r="H838" s="5" t="inlineStr">
        <is>
          <t>Junio</t>
        </is>
      </c>
      <c r="I838" s="6" t="inlineStr">
        <is>
          <t>2024-1</t>
        </is>
      </c>
      <c r="J838" s="5" t="n">
        <v>100</v>
      </c>
      <c r="K838" s="5" t="n">
        <v>100.12</v>
      </c>
      <c r="L838" s="120">
        <f>IFERROR(IF(OR(J838=0,K838=""),"",IF(E838="Positivo",MIN(MAX(K838/J838,0),1.3),MIN(MAX(J838/K838,0),1.3))),"") </f>
        <v/>
      </c>
      <c r="M838" s="28">
        <f>IFERROR(IF(OR(J838=0,K838=""),"",IF(E838="Positivo",MAX(K838/J838,0),MAX(J838/K838,0))),"") </f>
        <v/>
      </c>
      <c r="N838" s="5" t="inlineStr">
        <is>
          <t>ENT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304-2024-06-30</t>
        </is>
      </c>
    </row>
    <row r="839">
      <c r="A839" s="5" t="n">
        <v>304</v>
      </c>
      <c r="B839" s="5" t="inlineStr">
        <is>
          <t>Impacto de Campañas de promoción y prevención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144" t="n">
        <v>45657</v>
      </c>
      <c r="G839" s="5" t="n">
        <v>2024</v>
      </c>
      <c r="H839" s="5" t="inlineStr">
        <is>
          <t>Diciembre</t>
        </is>
      </c>
      <c r="I839" s="6" t="inlineStr">
        <is>
          <t>2024-2</t>
        </is>
      </c>
      <c r="J839" s="5" t="n">
        <v>100</v>
      </c>
      <c r="K839" s="5" t="n">
        <v>83.56</v>
      </c>
      <c r="L839" s="28">
        <f>IFERROR(IF(OR(J839=0,K839=""),"",IF(E839="Positivo",MIN(MAX(K839/J839,0),1.3),MIN(MAX(J839/K839,0),1.3))),"") </f>
        <v/>
      </c>
      <c r="M839" s="28">
        <f>IFERROR(IF(OR(J839=0,K839=""),"",IF(E839="Positivo",MAX(K839/J839,0),MAX(J839/K839,0))),"") </f>
        <v/>
      </c>
      <c r="N839" s="5" t="inlineStr">
        <is>
          <t>ENT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304-2024-12-31</t>
        </is>
      </c>
    </row>
    <row r="840">
      <c r="A840" s="5" t="n">
        <v>304</v>
      </c>
      <c r="B840" s="5" t="inlineStr">
        <is>
          <t>Impacto de Campañas de promoción y prevención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44" t="n">
        <v>45838</v>
      </c>
      <c r="G840" s="5" t="n">
        <v>2025</v>
      </c>
      <c r="H840" s="5" t="inlineStr">
        <is>
          <t>Junio</t>
        </is>
      </c>
      <c r="I840" s="6" t="inlineStr">
        <is>
          <t>2025-1</t>
        </is>
      </c>
      <c r="J840" s="5" t="n">
        <v>100</v>
      </c>
      <c r="K840" s="5" t="n">
        <v>98.47</v>
      </c>
      <c r="L840" s="28">
        <f>IFERROR(IF(OR(J840=0,K840=""),"",IF(E840="Positivo",MIN(MAX(K840/J840,0),1.3),MIN(MAX(J840/K840,0),1.3))),"") </f>
        <v/>
      </c>
      <c r="M840" s="28">
        <f>IFERROR(IF(OR(J840=0,K840=""),"",IF(E840="Positivo",MAX(K840/J840,0),MAX(J840/K840,0))),"") </f>
        <v/>
      </c>
      <c r="N840" s="5" t="inlineStr">
        <is>
          <t>ENT</t>
        </is>
      </c>
      <c r="O840" s="5" t="inlineStr">
        <is>
          <t>ENT</t>
        </is>
      </c>
      <c r="P840" s="5" t="n">
        <v>0</v>
      </c>
      <c r="Q840" s="5" t="n">
        <v>0</v>
      </c>
      <c r="R840" s="5" t="inlineStr">
        <is>
          <t>304-2025-06-30</t>
        </is>
      </c>
    </row>
    <row r="841">
      <c r="A841" s="43" t="n">
        <v>304</v>
      </c>
      <c r="B841" s="5" t="inlineStr">
        <is>
          <t>Impacto de Campañas de promoción y prevención</t>
        </is>
      </c>
      <c r="C841" s="5" t="inlineStr">
        <is>
          <t>Servicio de Salud</t>
        </is>
      </c>
      <c r="D841" s="5" t="inlineStr">
        <is>
          <t>Trimestral</t>
        </is>
      </c>
      <c r="E841" s="5" t="inlineStr">
        <is>
          <t>Positivo</t>
        </is>
      </c>
      <c r="F841" s="144" t="n">
        <v>46022</v>
      </c>
      <c r="G841" s="5" t="n">
        <v>2025</v>
      </c>
      <c r="H841" s="5" t="inlineStr">
        <is>
          <t>Diciembre</t>
        </is>
      </c>
      <c r="I841" s="6" t="inlineStr">
        <is>
          <t>2025-2</t>
        </is>
      </c>
      <c r="J841" s="5" t="n">
        <v>100</v>
      </c>
      <c r="K841" s="5" t="n">
        <v>116.09</v>
      </c>
      <c r="L841" s="120">
        <f>IFERROR(IF(OR(J841=0,K841=""),"",IF(E841="Positivo",MIN(MAX(K841/J841,0),1.3),MIN(MAX(J841/K841,0),1.3))),"") </f>
        <v/>
      </c>
      <c r="M841" s="28">
        <f>IFERROR(IF(OR(J841=0,K841=""),"",IF(E841="Positivo",MAX(K841/J841,0),MAX(J841/K841,0))),"") </f>
        <v/>
      </c>
      <c r="N841" s="5" t="inlineStr">
        <is>
          <t>ENT</t>
        </is>
      </c>
      <c r="O841" s="5" t="inlineStr">
        <is>
          <t>ENT</t>
        </is>
      </c>
      <c r="P841" s="5" t="n">
        <v>0</v>
      </c>
      <c r="Q841" s="5" t="n">
        <v>0</v>
      </c>
      <c r="R841" s="5" t="inlineStr">
        <is>
          <t>304-2025-12-31</t>
        </is>
      </c>
    </row>
    <row r="842">
      <c r="A842" s="39" t="n">
        <v>305</v>
      </c>
      <c r="B842" s="5" t="inlineStr">
        <is>
          <t>Cumplimiento del plan anual de mantenimiento de equipos médicos</t>
        </is>
      </c>
      <c r="C842" s="5" t="inlineStr">
        <is>
          <t>Servicio de Salud</t>
        </is>
      </c>
      <c r="D842" s="5" t="inlineStr">
        <is>
          <t>Anual</t>
        </is>
      </c>
      <c r="E842" s="5" t="inlineStr">
        <is>
          <t>Positivo</t>
        </is>
      </c>
      <c r="F842" s="144" t="n">
        <v>45291</v>
      </c>
      <c r="G842" s="5" t="n">
        <v>2023</v>
      </c>
      <c r="H842" s="5" t="inlineStr">
        <is>
          <t>Diciembre</t>
        </is>
      </c>
      <c r="I842" s="6" t="inlineStr">
        <is>
          <t>2023-2</t>
        </is>
      </c>
      <c r="J842" s="5" t="n">
        <v>100</v>
      </c>
      <c r="K842" s="5" t="n">
        <v>100</v>
      </c>
      <c r="L842" s="120">
        <f>IFERROR(IF(OR(J842=0,K842=""),"",IF(E842="Positivo",MIN(MAX(K842/J842,0),1.3),MIN(MAX(J842/K842,0),1.3))),"") </f>
        <v/>
      </c>
      <c r="M842" s="28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305-2023-12-31</t>
        </is>
      </c>
    </row>
    <row r="843">
      <c r="A843" s="5" t="n">
        <v>305</v>
      </c>
      <c r="B843" s="5" t="inlineStr">
        <is>
          <t>Cumplimiento del plan anual de mantenimiento de equipos médicos</t>
        </is>
      </c>
      <c r="C843" s="5" t="inlineStr">
        <is>
          <t>Servicio de Salud</t>
        </is>
      </c>
      <c r="D843" s="5" t="inlineStr">
        <is>
          <t>Anual</t>
        </is>
      </c>
      <c r="E843" s="5" t="inlineStr">
        <is>
          <t>Positivo</t>
        </is>
      </c>
      <c r="F843" s="144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100</v>
      </c>
      <c r="K843" s="5" t="n">
        <v>100</v>
      </c>
      <c r="L843" s="28">
        <f>IFERROR(IF(OR(J843=0,K843=""),"",IF(E843="Positivo",MIN(MAX(K843/J843,0),1.3),MIN(MAX(J843/K843,0),1.3))),"") </f>
        <v/>
      </c>
      <c r="M843" s="28">
        <f>IFERROR(IF(OR(J843=0,K843=""),"",IF(E843="Positivo",MAX(K843/J843,0),MAX(J843/K843,0))),"") </f>
        <v/>
      </c>
      <c r="N843" s="5" t="n"/>
      <c r="O843" s="5" t="n"/>
      <c r="P843" s="5" t="n">
        <v>0</v>
      </c>
      <c r="Q843" s="5" t="n">
        <v>0</v>
      </c>
      <c r="R843" s="5" t="inlineStr">
        <is>
          <t>305-2024-12-31</t>
        </is>
      </c>
    </row>
    <row r="844">
      <c r="A844" s="5" t="n">
        <v>306</v>
      </c>
      <c r="B844" s="5" t="inlineStr">
        <is>
          <t>Seguimiento KPI Plan de Desarrollo Institucional</t>
        </is>
      </c>
      <c r="C844" s="5" t="inlineStr">
        <is>
          <t>Desempeño Institucional</t>
        </is>
      </c>
      <c r="D844" s="5" t="inlineStr">
        <is>
          <t>Trimestral</t>
        </is>
      </c>
      <c r="E844" s="5" t="inlineStr">
        <is>
          <t>Positivo</t>
        </is>
      </c>
      <c r="F844" s="144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100</v>
      </c>
      <c r="K844" s="5" t="n">
        <v>0</v>
      </c>
      <c r="L844" s="28">
        <f>IFERROR(IF(OR(J844=0,K844=""),"",IF(E844="Positivo",MIN(MAX(K844/J844,0),1.3),MIN(MAX(J844/K844,0),1.3))),"") </f>
        <v/>
      </c>
      <c r="M844" s="28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306-2023-06-30</t>
        </is>
      </c>
    </row>
    <row r="845">
      <c r="A845" s="43" t="n">
        <v>306</v>
      </c>
      <c r="B845" s="5" t="inlineStr">
        <is>
          <t>Seguimiento KPI Plan de Desarrollo Institucional</t>
        </is>
      </c>
      <c r="C845" s="5" t="inlineStr">
        <is>
          <t>Desempeño Institucional</t>
        </is>
      </c>
      <c r="D845" s="5" t="inlineStr">
        <is>
          <t>Trimestral</t>
        </is>
      </c>
      <c r="E845" s="5" t="inlineStr">
        <is>
          <t>Positivo</t>
        </is>
      </c>
      <c r="F845" s="144" t="n">
        <v>45199</v>
      </c>
      <c r="G845" s="5" t="n">
        <v>2023</v>
      </c>
      <c r="H845" s="5" t="inlineStr">
        <is>
          <t>Septiembre</t>
        </is>
      </c>
      <c r="I845" s="6" t="inlineStr">
        <is>
          <t>2023-2</t>
        </is>
      </c>
      <c r="J845" s="5" t="n">
        <v>100</v>
      </c>
      <c r="K845" s="34" t="n">
        <v>313</v>
      </c>
      <c r="L845" s="120">
        <f>IFERROR(IF(OR(J845=0,K845=""),"",IF(E845="Positivo",MIN(MAX(K845/J845,0),1.3),MIN(MAX(J845/K845,0),1.3))),"") </f>
        <v/>
      </c>
      <c r="M845" s="28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306-2023-09-30</t>
        </is>
      </c>
    </row>
    <row r="846">
      <c r="A846" s="39" t="n">
        <v>306</v>
      </c>
      <c r="B846" s="5" t="inlineStr">
        <is>
          <t>Seguimiento KPI Plan de Desarrollo Institucional</t>
        </is>
      </c>
      <c r="C846" s="5" t="inlineStr">
        <is>
          <t>Desempeño Institucional</t>
        </is>
      </c>
      <c r="D846" s="5" t="inlineStr">
        <is>
          <t>Trimestral</t>
        </is>
      </c>
      <c r="E846" s="5" t="inlineStr">
        <is>
          <t>Positivo</t>
        </is>
      </c>
      <c r="F846" s="144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100</v>
      </c>
      <c r="K846" s="34" t="n">
        <v>313</v>
      </c>
      <c r="L846" s="120">
        <f>IFERROR(IF(OR(J846=0,K846=""),"",IF(E846="Positivo",MIN(MAX(K846/J846,0),1.3),MIN(MAX(J846/K846,0),1.3))),"") </f>
        <v/>
      </c>
      <c r="M846" s="28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 t="inlineStr">
        <is>
          <t>306-2023-12-31</t>
        </is>
      </c>
    </row>
    <row r="847">
      <c r="A847" s="5" t="n">
        <v>306</v>
      </c>
      <c r="B847" s="5" t="inlineStr">
        <is>
          <t>Seguimiento KPI Plan de Desarrollo Institucional</t>
        </is>
      </c>
      <c r="C847" s="5" t="inlineStr">
        <is>
          <t>Desempeño Institucional</t>
        </is>
      </c>
      <c r="D847" s="5" t="inlineStr">
        <is>
          <t>Trimestral</t>
        </is>
      </c>
      <c r="E847" s="5" t="inlineStr">
        <is>
          <t>Positivo</t>
        </is>
      </c>
      <c r="F847" s="144" t="n">
        <v>45473</v>
      </c>
      <c r="G847" s="5" t="n">
        <v>2024</v>
      </c>
      <c r="H847" s="5" t="inlineStr">
        <is>
          <t>Junio</t>
        </is>
      </c>
      <c r="I847" s="6" t="inlineStr">
        <is>
          <t>2024-1</t>
        </is>
      </c>
      <c r="J847" s="5" t="n">
        <v>100</v>
      </c>
      <c r="K847" s="5" t="n">
        <v>300.5</v>
      </c>
      <c r="L847" s="28">
        <f>IFERROR(IF(OR(J847=0,K847=""),"",IF(E847="Positivo",MIN(MAX(K847/J847,0),1.3),MIN(MAX(J847/K847,0),1.3))),"") </f>
        <v/>
      </c>
      <c r="M847" s="28">
        <f>IFERROR(IF(OR(J847=0,K847=""),"",IF(E847="Positivo",MAX(K847/J847,0),MAX(J847/K847,0))),"") </f>
        <v/>
      </c>
      <c r="N847" s="5" t="n"/>
      <c r="O847" s="5" t="n"/>
      <c r="P847" s="5" t="n">
        <v>0</v>
      </c>
      <c r="Q847" s="5" t="n">
        <v>0</v>
      </c>
      <c r="R847" s="5" t="inlineStr">
        <is>
          <t>306-2024-06-30</t>
        </is>
      </c>
    </row>
    <row r="848">
      <c r="A848" s="5" t="n">
        <v>306</v>
      </c>
      <c r="B848" s="5" t="inlineStr">
        <is>
          <t>Seguimiento KPI Plan de Desarrollo Institucional</t>
        </is>
      </c>
      <c r="C848" s="5" t="inlineStr">
        <is>
          <t>Desempeño Institucional</t>
        </is>
      </c>
      <c r="D848" s="5" t="inlineStr">
        <is>
          <t>Trimestral</t>
        </is>
      </c>
      <c r="E848" s="5" t="inlineStr">
        <is>
          <t>Positivo</t>
        </is>
      </c>
      <c r="F848" s="144" t="n">
        <v>45657</v>
      </c>
      <c r="G848" s="5" t="n">
        <v>2024</v>
      </c>
      <c r="H848" s="5" t="inlineStr">
        <is>
          <t>Diciembre</t>
        </is>
      </c>
      <c r="I848" s="6" t="inlineStr">
        <is>
          <t>2024-2</t>
        </is>
      </c>
      <c r="J848" s="5" t="n">
        <v>100</v>
      </c>
      <c r="K848" s="5" t="n">
        <v>50.5</v>
      </c>
      <c r="L848" s="28">
        <f>IFERROR(IF(OR(J848=0,K848=""),"",IF(E848="Positivo",MIN(MAX(K848/J848,0),1.3),MIN(MAX(J848/K848,0),1.3))),"") </f>
        <v/>
      </c>
      <c r="M848" s="28">
        <f>IFERROR(IF(OR(J848=0,K848=""),"",IF(E848="Positivo",MAX(K848/J848,0),MAX(J848/K848,0))),"") </f>
        <v/>
      </c>
      <c r="N848" s="5" t="n"/>
      <c r="O848" s="5" t="n"/>
      <c r="P848" s="5" t="n">
        <v>0</v>
      </c>
      <c r="Q848" s="5" t="n">
        <v>0</v>
      </c>
      <c r="R848" s="5" t="inlineStr">
        <is>
          <t>306-2024-12-31</t>
        </is>
      </c>
    </row>
    <row r="849">
      <c r="A849" s="39" t="n">
        <v>306</v>
      </c>
      <c r="B849" s="5" t="inlineStr">
        <is>
          <t>Seguimiento KPI Plan de Desarrollo Institucional</t>
        </is>
      </c>
      <c r="C849" s="5" t="inlineStr">
        <is>
          <t>Desempeño Institucional</t>
        </is>
      </c>
      <c r="D849" s="5" t="inlineStr">
        <is>
          <t>Semestral</t>
        </is>
      </c>
      <c r="E849" s="5" t="inlineStr">
        <is>
          <t>Positivo</t>
        </is>
      </c>
      <c r="F849" s="144" t="n">
        <v>45838</v>
      </c>
      <c r="G849" s="5" t="n">
        <v>2025</v>
      </c>
      <c r="H849" s="5" t="inlineStr">
        <is>
          <t>Junio</t>
        </is>
      </c>
      <c r="I849" s="6" t="inlineStr">
        <is>
          <t>2025-1</t>
        </is>
      </c>
      <c r="J849" s="5" t="n">
        <v>100</v>
      </c>
      <c r="K849" s="5" t="n">
        <v>108.67</v>
      </c>
      <c r="L849" s="120">
        <f>IFERROR(IF(OR(J849=0,K849=""),"",IF(E849="Positivo",MIN(MAX(K849/J849,0),1.3),MIN(MAX(J849/K849,0),1.3))),"") </f>
        <v/>
      </c>
      <c r="M849" s="28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306-2025-06-30</t>
        </is>
      </c>
    </row>
    <row r="850">
      <c r="A850" s="5" t="n">
        <v>306</v>
      </c>
      <c r="B850" s="5" t="inlineStr">
        <is>
          <t>Seguimiento KPI Plan de Desarrollo Institucional</t>
        </is>
      </c>
      <c r="C850" s="5" t="inlineStr">
        <is>
          <t>Desempeño Institucional</t>
        </is>
      </c>
      <c r="D850" s="5" t="inlineStr">
        <is>
          <t>Semestral</t>
        </is>
      </c>
      <c r="E850" s="5" t="inlineStr">
        <is>
          <t>Positivo</t>
        </is>
      </c>
      <c r="F850" s="144" t="n">
        <v>46022</v>
      </c>
      <c r="G850" s="5" t="n">
        <v>2025</v>
      </c>
      <c r="H850" s="5" t="inlineStr">
        <is>
          <t>Diciembre</t>
        </is>
      </c>
      <c r="I850" s="6" t="inlineStr">
        <is>
          <t>2025-2</t>
        </is>
      </c>
      <c r="J850" s="5" t="n">
        <v>100</v>
      </c>
      <c r="K850" s="5" t="n">
        <v>106.725</v>
      </c>
      <c r="L850" s="28">
        <f>IFERROR(IF(OR(J850=0,K850=""),"",IF(E850="Positivo",MIN(MAX(K850/J850,0),1.3),MIN(MAX(J850/K850,0),1.3))),"") </f>
        <v/>
      </c>
      <c r="M850" s="28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306-2025-12-31</t>
        </is>
      </c>
    </row>
    <row r="851">
      <c r="A851" s="43" t="n">
        <v>307</v>
      </c>
      <c r="B851" s="5" t="inlineStr">
        <is>
          <t>Organización de escenarios de visibilidad nacional e internacional</t>
        </is>
      </c>
      <c r="C851" s="5" t="inlineStr">
        <is>
          <t>VISIBILIDAD NACIONAL E INTERNACIONAL</t>
        </is>
      </c>
      <c r="D851" s="5" t="inlineStr">
        <is>
          <t>Semestral</t>
        </is>
      </c>
      <c r="E851" s="5" t="inlineStr">
        <is>
          <t>Positivo</t>
        </is>
      </c>
      <c r="F851" s="144" t="n">
        <v>45107</v>
      </c>
      <c r="G851" s="5" t="n">
        <v>2023</v>
      </c>
      <c r="H851" s="5" t="inlineStr">
        <is>
          <t>Junio</t>
        </is>
      </c>
      <c r="I851" s="6" t="inlineStr">
        <is>
          <t>2023-1</t>
        </is>
      </c>
      <c r="J851" s="5" t="n">
        <v>20</v>
      </c>
      <c r="K851" s="5" t="n">
        <v>25</v>
      </c>
      <c r="L851" s="28">
        <f>IFERROR(IF(OR(J851=0,K851=""),"",IF(E851="Positivo",MIN(MAX(K851/J851,0),1.3),MIN(MAX(J851/K851,0),1.3))),"") </f>
        <v/>
      </c>
      <c r="M851" s="28">
        <f>IFERROR(IF(OR(J851=0,K851=""),"",IF(E851="Positivo",MAX(K851/J851,0),MAX(J851/K851,0))),"") </f>
        <v/>
      </c>
      <c r="N851" s="5" t="n"/>
      <c r="O851" s="5" t="n"/>
      <c r="P851" s="5" t="n">
        <v>0</v>
      </c>
      <c r="Q851" s="5" t="n">
        <v>0</v>
      </c>
      <c r="R851" s="5" t="inlineStr">
        <is>
          <t>307-2023-06-30</t>
        </is>
      </c>
    </row>
    <row r="852">
      <c r="A852" s="39" t="n">
        <v>307</v>
      </c>
      <c r="B852" s="5" t="inlineStr">
        <is>
          <t>Organización de escenarios de visibilidad nacional e internacional</t>
        </is>
      </c>
      <c r="C852" s="5" t="inlineStr">
        <is>
          <t>VISIBILIDAD NACIONAL E INTERNACIONAL</t>
        </is>
      </c>
      <c r="D852" s="5" t="inlineStr">
        <is>
          <t>Semestral</t>
        </is>
      </c>
      <c r="E852" s="5" t="inlineStr">
        <is>
          <t>Positivo</t>
        </is>
      </c>
      <c r="F852" s="144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26</v>
      </c>
      <c r="K852" s="5" t="n">
        <v>82</v>
      </c>
      <c r="L852" s="28">
        <f>IFERROR(IF(OR(J852=0,K852=""),"",IF(E852="Positivo",MIN(MAX(K852/J852,0),1.3),MIN(MAX(J852/K852,0),1.3))),"") </f>
        <v/>
      </c>
      <c r="M852" s="28">
        <f>IFERROR(IF(OR(J852=0,K852=""),"",IF(E852="Positivo",MAX(K852/J852,0),MAX(J852/K852,0))),"") </f>
        <v/>
      </c>
      <c r="N852" s="5" t="n"/>
      <c r="O852" s="5" t="n"/>
      <c r="P852" s="5" t="n">
        <v>0</v>
      </c>
      <c r="Q852" s="5" t="n">
        <v>0</v>
      </c>
      <c r="R852" s="5" t="inlineStr">
        <is>
          <t>307-2023-12-31</t>
        </is>
      </c>
    </row>
    <row r="853">
      <c r="A853" s="5" t="n">
        <v>307</v>
      </c>
      <c r="B853" s="5" t="inlineStr">
        <is>
          <t>Organización de escenarios de visibilidad nacional e internacional</t>
        </is>
      </c>
      <c r="C853" s="5" t="inlineStr">
        <is>
          <t>VISIBILIDAD NACIONAL E INTERNACIONAL</t>
        </is>
      </c>
      <c r="D853" s="5" t="inlineStr">
        <is>
          <t>Semestral</t>
        </is>
      </c>
      <c r="E853" s="5" t="inlineStr">
        <is>
          <t>Positivo</t>
        </is>
      </c>
      <c r="F853" s="144" t="n">
        <v>45473</v>
      </c>
      <c r="G853" s="5" t="n">
        <v>2024</v>
      </c>
      <c r="H853" s="5" t="inlineStr">
        <is>
          <t>Junio</t>
        </is>
      </c>
      <c r="I853" s="6" t="inlineStr">
        <is>
          <t>2024-1</t>
        </is>
      </c>
      <c r="J853" s="5" t="n">
        <v>100</v>
      </c>
      <c r="K853" s="5" t="n">
        <v>112</v>
      </c>
      <c r="L853" s="28">
        <f>IFERROR(IF(OR(J853=0,K853=""),"",IF(E853="Positivo",MIN(MAX(K853/J853,0),1.3),MIN(MAX(J853/K853,0),1.3))),"") </f>
        <v/>
      </c>
      <c r="M853" s="28">
        <f>IFERROR(IF(OR(J853=0,K853=""),"",IF(E853="Positivo",MAX(K853/J853,0),MAX(J853/K853,0))),"") </f>
        <v/>
      </c>
      <c r="N853" s="5" t="n"/>
      <c r="O853" s="5" t="n"/>
      <c r="P853" s="5" t="n">
        <v>0</v>
      </c>
      <c r="Q853" s="5" t="n">
        <v>0</v>
      </c>
      <c r="R853" s="5" t="inlineStr">
        <is>
          <t>307-2024-06-30</t>
        </is>
      </c>
    </row>
    <row r="854">
      <c r="A854" s="5" t="n">
        <v>307</v>
      </c>
      <c r="B854" s="5" t="inlineStr">
        <is>
          <t>Organización de escenarios de visibilidad nacional e internacional</t>
        </is>
      </c>
      <c r="C854" s="5" t="inlineStr">
        <is>
          <t>VISIBILIDAD NACIONAL E INTERNACIONAL</t>
        </is>
      </c>
      <c r="D854" s="5" t="inlineStr">
        <is>
          <t>Semestral</t>
        </is>
      </c>
      <c r="E854" s="5" t="inlineStr">
        <is>
          <t>Positivo</t>
        </is>
      </c>
      <c r="F854" s="144" t="n">
        <v>45657</v>
      </c>
      <c r="G854" s="5" t="n">
        <v>2024</v>
      </c>
      <c r="H854" s="5" t="inlineStr">
        <is>
          <t>Diciembre</t>
        </is>
      </c>
      <c r="I854" s="6" t="inlineStr">
        <is>
          <t>2024-2</t>
        </is>
      </c>
      <c r="J854" s="5" t="n">
        <v>100</v>
      </c>
      <c r="K854" s="10" t="n">
        <v>413.33</v>
      </c>
      <c r="L854" s="28">
        <f>IFERROR(IF(OR(J854=0,K854=""),"",IF(E854="Positivo",MIN(MAX(K854/J854,0),1.3),MIN(MAX(J854/K854,0),1.3))),"") </f>
        <v/>
      </c>
      <c r="M854" s="28">
        <f>IFERROR(IF(OR(J854=0,K854=""),"",IF(E854="Positivo",MAX(K854/J854,0),MAX(J854/K854,0))),"") </f>
        <v/>
      </c>
      <c r="N854" s="5" t="n"/>
      <c r="O854" s="5" t="n"/>
      <c r="P854" s="5" t="n">
        <v>0</v>
      </c>
      <c r="Q854" s="5" t="n">
        <v>0</v>
      </c>
      <c r="R854" s="5" t="inlineStr">
        <is>
          <t>307-2024-12-31</t>
        </is>
      </c>
    </row>
    <row r="855">
      <c r="A855" s="43" t="n">
        <v>308</v>
      </c>
      <c r="B855" s="5" t="inlineStr">
        <is>
          <t>Movilidad Física Entrantes Profesores</t>
        </is>
      </c>
      <c r="C855" s="5" t="inlineStr">
        <is>
          <t>VISIBILIDAD NACIONAL E INTERNACIONAL</t>
        </is>
      </c>
      <c r="D855" s="5" t="inlineStr">
        <is>
          <t>Semestral</t>
        </is>
      </c>
      <c r="E855" s="5" t="inlineStr">
        <is>
          <t>Positivo</t>
        </is>
      </c>
      <c r="F855" s="144" t="n">
        <v>45107</v>
      </c>
      <c r="G855" s="5" t="n">
        <v>2023</v>
      </c>
      <c r="H855" s="5" t="inlineStr">
        <is>
          <t>Junio</t>
        </is>
      </c>
      <c r="I855" s="6" t="inlineStr">
        <is>
          <t>2023-1</t>
        </is>
      </c>
      <c r="J855" s="5" t="n">
        <v>12</v>
      </c>
      <c r="K855" s="5" t="n">
        <v>27</v>
      </c>
      <c r="L855" s="28">
        <f>IFERROR(IF(OR(J855=0,K855=""),"",IF(E855="Positivo",MIN(MAX(K855/J855,0),1.3),MIN(MAX(J855/K855,0),1.3))),"") </f>
        <v/>
      </c>
      <c r="M855" s="28">
        <f>IFERROR(IF(OR(J855=0,K855=""),"",IF(E855="Positivo",MAX(K855/J855,0),MAX(J855/K855,0))),"") </f>
        <v/>
      </c>
      <c r="N855" s="5" t="n"/>
      <c r="O855" s="5" t="n"/>
      <c r="P855" s="5" t="n">
        <v>0</v>
      </c>
      <c r="Q855" s="5" t="n">
        <v>0</v>
      </c>
      <c r="R855" s="5" t="inlineStr">
        <is>
          <t>308-2023-06-30</t>
        </is>
      </c>
    </row>
    <row r="856">
      <c r="A856" s="39" t="n">
        <v>308</v>
      </c>
      <c r="B856" s="5" t="inlineStr">
        <is>
          <t>Movilidad Física Entrantes Profesores</t>
        </is>
      </c>
      <c r="C856" s="5" t="inlineStr">
        <is>
          <t>VISIBILIDAD NACIONAL E INTERNACIONAL</t>
        </is>
      </c>
      <c r="D856" s="5" t="inlineStr">
        <is>
          <t>Semestral</t>
        </is>
      </c>
      <c r="E856" s="5" t="inlineStr">
        <is>
          <t>Positivo</t>
        </is>
      </c>
      <c r="F856" s="144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20</v>
      </c>
      <c r="K856" s="5" t="n">
        <v>54</v>
      </c>
      <c r="L856" s="28">
        <f>IFERROR(IF(OR(J856=0,K856=""),"",IF(E856="Positivo",MIN(MAX(K856/J856,0),1.3),MIN(MAX(J856/K856,0),1.3))),"") </f>
        <v/>
      </c>
      <c r="M856" s="28">
        <f>IFERROR(IF(OR(J856=0,K856=""),"",IF(E856="Positivo",MAX(K856/J856,0),MAX(J856/K856,0))),"") </f>
        <v/>
      </c>
      <c r="N856" s="5" t="n"/>
      <c r="O856" s="5" t="n"/>
      <c r="P856" s="5" t="n">
        <v>0</v>
      </c>
      <c r="Q856" s="5" t="n">
        <v>0</v>
      </c>
      <c r="R856" s="5" t="inlineStr">
        <is>
          <t>308-2023-12-31</t>
        </is>
      </c>
    </row>
    <row r="857">
      <c r="A857" s="5" t="n">
        <v>308</v>
      </c>
      <c r="B857" s="5" t="inlineStr">
        <is>
          <t>Movilidad Física Entrantes Profesores</t>
        </is>
      </c>
      <c r="C857" s="5" t="inlineStr">
        <is>
          <t>VISIBILIDAD NACIONAL E INTERNACIONAL</t>
        </is>
      </c>
      <c r="D857" s="5" t="inlineStr">
        <is>
          <t>Semestral</t>
        </is>
      </c>
      <c r="E857" s="5" t="inlineStr">
        <is>
          <t>Positivo</t>
        </is>
      </c>
      <c r="F857" s="144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100</v>
      </c>
      <c r="L857" s="28">
        <f>IFERROR(IF(OR(J857=0,K857=""),"",IF(E857="Positivo",MIN(MAX(K857/J857,0),1.3),MIN(MAX(J857/K857,0),1.3))),"") </f>
        <v/>
      </c>
      <c r="M857" s="28">
        <f>IFERROR(IF(OR(J857=0,K857=""),"",IF(E857="Positivo",MAX(K857/J857,0),MAX(J857/K857,0))),"") </f>
        <v/>
      </c>
      <c r="N857" s="5" t="n"/>
      <c r="O857" s="5" t="n"/>
      <c r="P857" s="5" t="n">
        <v>0</v>
      </c>
      <c r="Q857" s="5" t="n">
        <v>0</v>
      </c>
      <c r="R857" s="5" t="inlineStr">
        <is>
          <t>308-2024-06-30</t>
        </is>
      </c>
    </row>
    <row r="858">
      <c r="A858" s="5" t="n">
        <v>308</v>
      </c>
      <c r="B858" s="5" t="inlineStr">
        <is>
          <t>Movilidad Física Entrantes Profesores</t>
        </is>
      </c>
      <c r="C858" s="5" t="inlineStr">
        <is>
          <t>VISIBILIDAD NACIONAL E INTERNACIONAL</t>
        </is>
      </c>
      <c r="D858" s="5" t="inlineStr">
        <is>
          <t>Semestral</t>
        </is>
      </c>
      <c r="E858" s="5" t="inlineStr">
        <is>
          <t>Positivo</t>
        </is>
      </c>
      <c r="F858" s="144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16" t="n">
        <v>100</v>
      </c>
      <c r="L858" s="28">
        <f>IFERROR(IF(OR(J858=0,K858=""),"",IF(E858="Positivo",MIN(MAX(K858/J858,0),1.3),MIN(MAX(J858/K858,0),1.3))),"") </f>
        <v/>
      </c>
      <c r="M858" s="28">
        <f>IFERROR(IF(OR(J858=0,K858=""),"",IF(E858="Positivo",MAX(K858/J858,0),MAX(J858/K858,0))),"") </f>
        <v/>
      </c>
      <c r="N858" s="5" t="n"/>
      <c r="O858" s="5" t="n"/>
      <c r="P858" s="5" t="n">
        <v>0</v>
      </c>
      <c r="Q858" s="5" t="n">
        <v>0</v>
      </c>
      <c r="R858" s="5" t="inlineStr">
        <is>
          <t>308-2024-12-31</t>
        </is>
      </c>
    </row>
    <row r="859">
      <c r="A859" s="39" t="n">
        <v>309</v>
      </c>
      <c r="B859" s="5" t="inlineStr">
        <is>
          <t>Movilidad Física Profesores Salientes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144" t="n">
        <v>45107</v>
      </c>
      <c r="G859" s="5" t="n">
        <v>2023</v>
      </c>
      <c r="H859" s="5" t="inlineStr">
        <is>
          <t>Junio</t>
        </is>
      </c>
      <c r="I859" s="6" t="inlineStr">
        <is>
          <t>2023-1</t>
        </is>
      </c>
      <c r="J859" s="5" t="n">
        <v>19</v>
      </c>
      <c r="K859" s="125" t="n">
        <v>27</v>
      </c>
      <c r="L859" s="120">
        <f>IFERROR(IF(OR(J859=0,K859=""),"",IF(E859="Positivo",MIN(MAX(K859/J859,0),1.3),MIN(MAX(J859/K859,0),1.3))),"") </f>
        <v/>
      </c>
      <c r="M859" s="28">
        <f>IFERROR(IF(OR(J859=0,K859=""),"",IF(E859="Positivo",MAX(K859/J859,0),MAX(J859/K859,0))),"") </f>
        <v/>
      </c>
      <c r="N859" s="5" t="n"/>
      <c r="O859" s="5" t="n"/>
      <c r="P859" s="5" t="n">
        <v>0</v>
      </c>
      <c r="Q859" s="5" t="n">
        <v>0</v>
      </c>
      <c r="R859" s="5" t="inlineStr">
        <is>
          <t>309-2023-06-30</t>
        </is>
      </c>
    </row>
    <row r="860">
      <c r="A860" s="43" t="n">
        <v>309</v>
      </c>
      <c r="B860" t="inlineStr">
        <is>
          <t>Movilidad Física Profesores Salientes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144" t="n">
        <v>45291</v>
      </c>
      <c r="G860" s="5" t="n">
        <v>2023</v>
      </c>
      <c r="H860" s="5" t="inlineStr">
        <is>
          <t>Diciembre</t>
        </is>
      </c>
      <c r="I860" s="6" t="inlineStr">
        <is>
          <t>2023-2</t>
        </is>
      </c>
      <c r="J860" s="5" t="n">
        <v>45</v>
      </c>
      <c r="K860" s="5" t="n">
        <v>76</v>
      </c>
      <c r="L860" s="120">
        <f>IFERROR(IF(OR(J860=0,K860=""),"",IF(E860="Positivo",MIN(MAX(K860/J860,0),1.3),MIN(MAX(J860/K860,0),1.3))),"") </f>
        <v/>
      </c>
      <c r="M860" s="28">
        <f>IFERROR(IF(OR(J860=0,K860=""),"",IF(E860="Positivo",MAX(K860/J860,0),MAX(J860/K860,0))),"") </f>
        <v/>
      </c>
      <c r="N860" s="5" t="n"/>
      <c r="O860" s="5" t="n"/>
      <c r="P860" s="5" t="n">
        <v>0</v>
      </c>
      <c r="Q860" s="5" t="n">
        <v>0</v>
      </c>
      <c r="R860" s="5" t="inlineStr">
        <is>
          <t>309-2023-12-31</t>
        </is>
      </c>
    </row>
    <row r="861">
      <c r="A861" s="39" t="n">
        <v>309</v>
      </c>
      <c r="B861" t="inlineStr">
        <is>
          <t>Movilidad Física Salientes Profesores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44" t="n">
        <v>45473</v>
      </c>
      <c r="G861" s="5" t="n">
        <v>2024</v>
      </c>
      <c r="H861" s="5" t="inlineStr">
        <is>
          <t>Junio</t>
        </is>
      </c>
      <c r="I861" s="6" t="inlineStr">
        <is>
          <t>2024-1</t>
        </is>
      </c>
      <c r="J861" s="5" t="n">
        <v>100</v>
      </c>
      <c r="K861" s="5" t="n">
        <v>216</v>
      </c>
      <c r="L861" s="120">
        <f>IFERROR(IF(OR(J861=0,K861=""),"",IF(E861="Positivo",MIN(MAX(K861/J861,0),1.3),MIN(MAX(J861/K861,0),1.3))),"") </f>
        <v/>
      </c>
      <c r="M861" s="28">
        <f>IFERROR(IF(OR(J861=0,K861=""),"",IF(E861="Positivo",MAX(K861/J861,0),MAX(J861/K861,0))),"") </f>
        <v/>
      </c>
      <c r="N861" s="5" t="n"/>
      <c r="O861" s="5" t="n"/>
      <c r="P861" s="5" t="n">
        <v>0</v>
      </c>
      <c r="Q861" s="5" t="n">
        <v>0</v>
      </c>
      <c r="R861" s="5" t="inlineStr">
        <is>
          <t>309-2024-06-30</t>
        </is>
      </c>
    </row>
    <row r="862">
      <c r="A862" s="5" t="n">
        <v>309</v>
      </c>
      <c r="B862" t="inlineStr">
        <is>
          <t>Movilidad Física Salientes Profesores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44" t="n">
        <v>45657</v>
      </c>
      <c r="G862" s="5" t="n">
        <v>2024</v>
      </c>
      <c r="H862" s="5" t="inlineStr">
        <is>
          <t>Diciembre</t>
        </is>
      </c>
      <c r="I862" s="6" t="inlineStr">
        <is>
          <t>2024-2</t>
        </is>
      </c>
      <c r="J862" s="5" t="n">
        <v>100</v>
      </c>
      <c r="K862" s="5" t="n">
        <v>154.67</v>
      </c>
      <c r="L862" s="28">
        <f>IFERROR(IF(OR(J862=0,K862=""),"",IF(E862="Positivo",MIN(MAX(K862/J862,0),1.3),MIN(MAX(J862/K862,0),1.3))),"") </f>
        <v/>
      </c>
      <c r="M862" s="28">
        <f>IFERROR(IF(OR(J862=0,K862=""),"",IF(E862="Positivo",MAX(K862/J862,0),MAX(J862/K862,0))),"") </f>
        <v/>
      </c>
      <c r="N862" s="5" t="n"/>
      <c r="O862" s="5" t="n"/>
      <c r="P862" s="5" t="n">
        <v>0</v>
      </c>
      <c r="Q862" s="5" t="n">
        <v>0</v>
      </c>
      <c r="R862" s="5" t="inlineStr">
        <is>
          <t>309-2024-12-31</t>
        </is>
      </c>
    </row>
    <row r="863">
      <c r="A863" s="5" t="n">
        <v>310</v>
      </c>
      <c r="B863" t="inlineStr">
        <is>
          <t>Movilidad Física Entrante Estudiantes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44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14</v>
      </c>
      <c r="K863" s="5" t="n">
        <v>48</v>
      </c>
      <c r="L863" s="28">
        <f>IFERROR(IF(OR(J863=0,K863=""),"",IF(E863="Positivo",MIN(MAX(K863/J863,0),1.3),MIN(MAX(J863/K863,0),1.3))),"") </f>
        <v/>
      </c>
      <c r="M863" s="28">
        <f>IFERROR(IF(OR(J863=0,K863=""),"",IF(E863="Positivo",MAX(K863/J863,0),MAX(J863/K863,0))),"") </f>
        <v/>
      </c>
      <c r="N863" s="5" t="n"/>
      <c r="O863" s="5" t="n"/>
      <c r="P863" s="5" t="n">
        <v>0</v>
      </c>
      <c r="Q863" s="5" t="n">
        <v>0</v>
      </c>
      <c r="R863" s="5" t="inlineStr">
        <is>
          <t>310-2023-06-30</t>
        </is>
      </c>
    </row>
    <row r="864">
      <c r="A864" s="43" t="n">
        <v>310</v>
      </c>
      <c r="B864" s="5" t="inlineStr">
        <is>
          <t>Movilidad Física Entrante Estudiantes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44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70</v>
      </c>
      <c r="K864" s="5" t="n">
        <v>118</v>
      </c>
      <c r="L864" s="28">
        <f>IFERROR(IF(OR(J864=0,K864=""),"",IF(E864="Positivo",MIN(MAX(K864/J864,0),1.3),MIN(MAX(J864/K864,0),1.3))),"") </f>
        <v/>
      </c>
      <c r="M864" s="28">
        <f>IFERROR(IF(OR(J864=0,K864=""),"",IF(E864="Positivo",MAX(K864/J864,0),MAX(J864/K864,0))),"") </f>
        <v/>
      </c>
      <c r="N864" s="5" t="n"/>
      <c r="O864" s="5" t="n"/>
      <c r="P864" s="5" t="n">
        <v>0</v>
      </c>
      <c r="Q864" s="5" t="n">
        <v>0</v>
      </c>
      <c r="R864" s="5" t="inlineStr">
        <is>
          <t>310-2023-12-31</t>
        </is>
      </c>
    </row>
    <row r="865">
      <c r="A865" s="39" t="n">
        <v>310</v>
      </c>
      <c r="B865" s="5" t="inlineStr">
        <is>
          <t>Movilidad Física Entrante Estudiantes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44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5" t="n">
        <v>95.56</v>
      </c>
      <c r="L865" s="28">
        <f>IFERROR(IF(OR(J865=0,K865=""),"",IF(E865="Positivo",MIN(MAX(K865/J865,0),1.3),MIN(MAX(J865/K865,0),1.3))),"") </f>
        <v/>
      </c>
      <c r="M865" s="28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310-2024-06-30</t>
        </is>
      </c>
    </row>
    <row r="866">
      <c r="A866" s="5" t="n">
        <v>310</v>
      </c>
      <c r="B866" s="5" t="inlineStr">
        <is>
          <t>Movilidad Física Entrante Estudiantes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44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79.13</v>
      </c>
      <c r="L866" s="28">
        <f>IFERROR(IF(OR(J866=0,K866=""),"",IF(E866="Positivo",MIN(MAX(K866/J866,0),1.3),MIN(MAX(J866/K866,0),1.3))),"") </f>
        <v/>
      </c>
      <c r="M866" s="28">
        <f>IFERROR(IF(OR(J866=0,K866=""),"",IF(E866="Positivo",MAX(K866/J866,0),MAX(J866/K866,0))),"") </f>
        <v/>
      </c>
      <c r="N866" s="5" t="n"/>
      <c r="O866" s="5" t="n"/>
      <c r="P866" s="5" t="n">
        <v>0</v>
      </c>
      <c r="Q866" s="5" t="n">
        <v>0</v>
      </c>
      <c r="R866" s="5" t="inlineStr">
        <is>
          <t>310-2024-12-31</t>
        </is>
      </c>
    </row>
    <row r="867">
      <c r="A867" s="5" t="n">
        <v>311</v>
      </c>
      <c r="B867" s="5" t="inlineStr">
        <is>
          <t>Movilidad Física Saliente Estudiantes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44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22</v>
      </c>
      <c r="K867" s="10" t="n">
        <v>85</v>
      </c>
      <c r="L867" s="28">
        <f>IFERROR(IF(OR(J867=0,K867=""),"",IF(E867="Positivo",MIN(MAX(K867/J867,0),1.3),MIN(MAX(J867/K867,0),1.3))),"") </f>
        <v/>
      </c>
      <c r="M867" s="28">
        <f>IFERROR(IF(OR(J867=0,K867=""),"",IF(E867="Positivo",MAX(K867/J867,0),MAX(J867/K867,0))),"") </f>
        <v/>
      </c>
      <c r="N867" s="5" t="n"/>
      <c r="O867" s="5" t="n"/>
      <c r="P867" s="5" t="n">
        <v>0</v>
      </c>
      <c r="Q867" s="5" t="n">
        <v>0</v>
      </c>
      <c r="R867" s="5" t="inlineStr">
        <is>
          <t>311-2023-06-30</t>
        </is>
      </c>
    </row>
    <row r="868">
      <c r="A868" s="5" t="n">
        <v>311</v>
      </c>
      <c r="B868" s="5" t="inlineStr">
        <is>
          <t>Movilidad Física Saliente Estudiantes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43" t="n">
        <v>45291</v>
      </c>
      <c r="G868" s="16" t="n">
        <v>2023</v>
      </c>
      <c r="H868" s="6" t="inlineStr">
        <is>
          <t>Diciembre</t>
        </is>
      </c>
      <c r="I868" s="41" t="inlineStr">
        <is>
          <t>2023-2</t>
        </is>
      </c>
      <c r="J868" s="5" t="n">
        <v>245</v>
      </c>
      <c r="K868" s="5" t="n">
        <v>247</v>
      </c>
      <c r="L868" s="28">
        <f>IFERROR(IF(OR(J868=0,K868=""),"",IF(E868="Positivo",MIN(MAX(K868/J868,0),1.3),MIN(MAX(J868/K868,0),1.3))),"") </f>
        <v/>
      </c>
      <c r="M868" s="28">
        <f>IFERROR(IF(OR(J868=0,K868=""),"",IF(E868="Positivo",MAX(K868/J868,0),MAX(J868/K868,0))),"") </f>
        <v/>
      </c>
      <c r="N868" s="5" t="n"/>
      <c r="O868" s="5" t="n"/>
      <c r="P868" s="5" t="n">
        <v>0</v>
      </c>
      <c r="Q868" s="5" t="n">
        <v>0</v>
      </c>
      <c r="R868" s="5" t="inlineStr">
        <is>
          <t>311-2023-12-31</t>
        </is>
      </c>
    </row>
    <row r="869">
      <c r="A869" s="39" t="n">
        <v>311</v>
      </c>
      <c r="B869" s="5" t="inlineStr">
        <is>
          <t>Movilidad Física Saliente Estudiantes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44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117.65</v>
      </c>
      <c r="L869" s="28">
        <f>IFERROR(IF(OR(J869=0,K869=""),"",IF(E869="Positivo",MIN(MAX(K869/J869,0),1.3),MIN(MAX(J869/K869,0),1.3))),"") </f>
        <v/>
      </c>
      <c r="M869" s="28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311-2024-06-30</t>
        </is>
      </c>
    </row>
    <row r="870">
      <c r="A870" s="5" t="n">
        <v>311</v>
      </c>
      <c r="B870" s="5" t="inlineStr">
        <is>
          <t>Movilidad Física Saliente Estudiantes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44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67.76000000000001</v>
      </c>
      <c r="L870" s="28">
        <f>IFERROR(IF(OR(J870=0,K870=""),"",IF(E870="Positivo",MIN(MAX(K870/J870,0),1.3),MIN(MAX(J870/K870,0),1.3))),"") </f>
        <v/>
      </c>
      <c r="M870" s="28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311-2024-12-31</t>
        </is>
      </c>
    </row>
    <row r="871">
      <c r="A871" s="5" t="n">
        <v>312</v>
      </c>
      <c r="B871" s="5" t="inlineStr">
        <is>
          <t>Clases espejo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44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113</v>
      </c>
      <c r="K871" s="5" t="n">
        <v>125</v>
      </c>
      <c r="L871" s="28">
        <f>IFERROR(IF(OR(J871=0,K871=""),"",IF(E871="Positivo",MIN(MAX(K871/J871,0),1.3),MIN(MAX(J871/K871,0),1.3))),"") </f>
        <v/>
      </c>
      <c r="M871" s="28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312-2023-06-30</t>
        </is>
      </c>
    </row>
    <row r="872">
      <c r="A872" s="43" t="n">
        <v>312</v>
      </c>
      <c r="B872" s="5" t="inlineStr">
        <is>
          <t>Clases espejo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44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108</v>
      </c>
      <c r="K872" s="5" t="n">
        <v>118</v>
      </c>
      <c r="L872" s="28">
        <f>IFERROR(IF(OR(J872=0,K872=""),"",IF(E872="Positivo",MIN(MAX(K872/J872,0),1.3),MIN(MAX(J872/K872,0),1.3))),"") </f>
        <v/>
      </c>
      <c r="M872" s="28">
        <f>IFERROR(IF(OR(J872=0,K872=""),"",IF(E872="Positivo",MAX(K872/J872,0),MAX(J872/K872,0))),"") </f>
        <v/>
      </c>
      <c r="N872" s="5" t="n"/>
      <c r="O872" s="5" t="n"/>
      <c r="P872" s="5" t="n">
        <v>0</v>
      </c>
      <c r="Q872" s="5" t="n">
        <v>0</v>
      </c>
      <c r="R872" s="5" t="inlineStr">
        <is>
          <t>312-2023-12-31</t>
        </is>
      </c>
    </row>
    <row r="873">
      <c r="A873" s="39" t="n">
        <v>312</v>
      </c>
      <c r="B873" s="5" t="inlineStr">
        <is>
          <t>Clases espejo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44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126</v>
      </c>
      <c r="L873" s="28">
        <f>IFERROR(IF(OR(J873=0,K873=""),"",IF(E873="Positivo",MIN(MAX(K873/J873,0),1.3),MIN(MAX(J873/K873,0),1.3))),"") </f>
        <v/>
      </c>
      <c r="M873" s="28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312-2024-06-30</t>
        </is>
      </c>
    </row>
    <row r="874">
      <c r="A874" s="5" t="n">
        <v>312</v>
      </c>
      <c r="B874" s="5" t="inlineStr">
        <is>
          <t>Clases espejo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44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137</v>
      </c>
      <c r="L874" s="28">
        <f>IFERROR(IF(OR(J874=0,K874=""),"",IF(E874="Positivo",MIN(MAX(K874/J874,0),1.3),MIN(MAX(J874/K874,0),1.3))),"") </f>
        <v/>
      </c>
      <c r="M874" s="28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312-2024-12-31</t>
        </is>
      </c>
    </row>
    <row r="875">
      <c r="A875" s="5" t="n">
        <v>313</v>
      </c>
      <c r="B875" s="5" t="inlineStr">
        <is>
          <t>Seminarios y cursos internacionales virtuales impartidos y certificados por entidades externas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44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13</v>
      </c>
      <c r="K875" s="10" t="n">
        <v>13</v>
      </c>
      <c r="L875" s="28">
        <f>IFERROR(IF(OR(J875=0,K875=""),"",IF(E875="Positivo",MIN(MAX(K875/J875,0),1.3),MIN(MAX(J875/K875,0),1.3))),"") </f>
        <v/>
      </c>
      <c r="M875" s="28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313-2023-06-30</t>
        </is>
      </c>
    </row>
    <row r="876">
      <c r="A876" s="43" t="n">
        <v>313</v>
      </c>
      <c r="B876" s="5" t="inlineStr">
        <is>
          <t>Seminarios y cursos internacionales virtuales impartidos y certificados por entidades externas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44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15</v>
      </c>
      <c r="K876" s="5" t="n">
        <v>12</v>
      </c>
      <c r="L876" s="28">
        <f>IFERROR(IF(OR(J876=0,K876=""),"",IF(E876="Positivo",MIN(MAX(K876/J876,0),1.3),MIN(MAX(J876/K876,0),1.3))),"") </f>
        <v/>
      </c>
      <c r="M876" s="28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313-2023-12-31</t>
        </is>
      </c>
    </row>
    <row r="877">
      <c r="A877" s="39" t="n">
        <v>313</v>
      </c>
      <c r="B877" s="5" t="inlineStr">
        <is>
          <t>Seminarios y cursos internacionales virtuales impartidos y certificados por entidades externas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44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100</v>
      </c>
      <c r="L877" s="28">
        <f>IFERROR(IF(OR(J877=0,K877=""),"",IF(E877="Positivo",MIN(MAX(K877/J877,0),1.3),MIN(MAX(J877/K877,0),1.3))),"") </f>
        <v/>
      </c>
      <c r="M877" s="28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313-2024-06-30</t>
        </is>
      </c>
    </row>
    <row r="878">
      <c r="A878" s="5" t="n">
        <v>313</v>
      </c>
      <c r="B878" s="5" t="inlineStr">
        <is>
          <t>Seminarios y cursos internacionales virtuales impartidos y certificados por entidades externas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44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100</v>
      </c>
      <c r="L878" s="28">
        <f>IFERROR(IF(OR(J878=0,K878=""),"",IF(E878="Positivo",MIN(MAX(K878/J878,0),1.3),MIN(MAX(J878/K878,0),1.3))),"") </f>
        <v/>
      </c>
      <c r="M878" s="28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313-2024-12-31</t>
        </is>
      </c>
    </row>
    <row r="879">
      <c r="A879" s="5" t="n">
        <v>314</v>
      </c>
      <c r="B879" s="5" t="inlineStr">
        <is>
          <t>N de asignaturas COIL - (Collaborative Online International Learning)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44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9</v>
      </c>
      <c r="K879" s="5" t="n">
        <v>13</v>
      </c>
      <c r="L879" s="28">
        <f>IFERROR(IF(OR(J879=0,K879=""),"",IF(E879="Positivo",MIN(MAX(K879/J879,0),1.3),MIN(MAX(J879/K879,0),1.3))),"") </f>
        <v/>
      </c>
      <c r="M879" s="28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314-2023-06-30</t>
        </is>
      </c>
    </row>
    <row r="880">
      <c r="A880" s="39" t="n">
        <v>314</v>
      </c>
      <c r="B880" s="5" t="inlineStr">
        <is>
          <t>N de asignaturas COIL - (Collaborative Online International Learning)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44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14</v>
      </c>
      <c r="K880" s="5" t="n">
        <v>16</v>
      </c>
      <c r="L880" s="120">
        <f>IFERROR(IF(OR(J880=0,K880=""),"",IF(E880="Positivo",MIN(MAX(K880/J880,0),1.3),MIN(MAX(J880/K880,0),1.3))),"") </f>
        <v/>
      </c>
      <c r="M880" s="28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314-2023-12-31</t>
        </is>
      </c>
    </row>
    <row r="881">
      <c r="A881" s="5" t="n">
        <v>314</v>
      </c>
      <c r="B881" s="5" t="inlineStr">
        <is>
          <t>N de asignaturas COIL - (Collaborative Online International Learning)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44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140</v>
      </c>
      <c r="L881" s="28">
        <f>IFERROR(IF(OR(J881=0,K881=""),"",IF(E881="Positivo",MIN(MAX(K881/J881,0),1.3),MIN(MAX(J881/K881,0),1.3))),"") </f>
        <v/>
      </c>
      <c r="M881" s="28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314-2024-06-30</t>
        </is>
      </c>
    </row>
    <row r="882">
      <c r="A882" s="43" t="n">
        <v>314</v>
      </c>
      <c r="B882" s="5" t="inlineStr">
        <is>
          <t>N de asignaturas COIL - (Collaborative Online International Learning)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44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145</v>
      </c>
      <c r="L882" s="120">
        <f>IFERROR(IF(OR(J882=0,K882=""),"",IF(E882="Positivo",MIN(MAX(K882/J882,0),1.3),MIN(MAX(J882/K882,0),1.3))),"") </f>
        <v/>
      </c>
      <c r="M882" s="28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314-2024-12-31</t>
        </is>
      </c>
    </row>
    <row r="883">
      <c r="A883" s="39" t="n">
        <v>315</v>
      </c>
      <c r="B883" s="5" t="inlineStr">
        <is>
          <t>Convenios con doble titulación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44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5</v>
      </c>
      <c r="K883" s="5" t="n">
        <v>7</v>
      </c>
      <c r="L883" s="120">
        <f>IFERROR(IF(OR(J883=0,K883=""),"",IF(E883="Positivo",MIN(MAX(K883/J883,0),1.3),MIN(MAX(J883/K883,0),1.3))),"") </f>
        <v/>
      </c>
      <c r="M883" s="28">
        <f>IFERROR(IF(OR(J883=0,K883=""),"",IF(E883="Positivo",MAX(K883/J883,0),MAX(J883/K883,0))),"") </f>
        <v/>
      </c>
      <c r="N883" s="5" t="n"/>
      <c r="O883" s="5" t="n"/>
      <c r="P883" s="5" t="n">
        <v>0</v>
      </c>
      <c r="Q883" s="5" t="n">
        <v>0</v>
      </c>
      <c r="R883" s="5" t="inlineStr">
        <is>
          <t>315-2023-06-30</t>
        </is>
      </c>
    </row>
    <row r="884">
      <c r="A884" s="5" t="n">
        <v>315</v>
      </c>
      <c r="B884" s="5" t="inlineStr">
        <is>
          <t>Convenios con doble titulación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44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0</v>
      </c>
      <c r="K884" s="5" t="n">
        <v>0</v>
      </c>
      <c r="L884" s="28">
        <f>IFERROR(IF(OR(J884=0,K884=""),"",IF(E884="Positivo",MIN(MAX(K884/J884,0),1.3),MIN(MAX(J884/K884,0),1.3))),"") </f>
        <v/>
      </c>
      <c r="M884" s="28">
        <f>IFERROR(IF(OR(J884=0,K884=""),"",IF(E884="Positivo",MAX(K884/J884,0),MAX(J884/K884,0))),"") </f>
        <v/>
      </c>
      <c r="N884" s="5" t="n"/>
      <c r="O884" s="5" t="n"/>
      <c r="P884" s="5" t="n">
        <v>0</v>
      </c>
      <c r="Q884" s="5" t="n">
        <v>0</v>
      </c>
      <c r="R884" s="5" t="inlineStr">
        <is>
          <t>315-2023-12-31</t>
        </is>
      </c>
    </row>
    <row r="885">
      <c r="A885" s="5" t="n">
        <v>315</v>
      </c>
      <c r="B885" s="5" t="inlineStr">
        <is>
          <t>Num de programas con convenios de doble titulación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44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/>
      <c r="K885" s="5" t="n"/>
      <c r="L885" s="28" t="n"/>
      <c r="M885" s="28" t="n"/>
      <c r="N885" s="5" t="n"/>
      <c r="O885" s="5" t="n"/>
      <c r="P885" s="5" t="n">
        <v>0</v>
      </c>
      <c r="Q885" s="5" t="n">
        <v>0</v>
      </c>
      <c r="R885" s="5" t="inlineStr">
        <is>
          <t>315-2024-06-30</t>
        </is>
      </c>
    </row>
    <row r="886">
      <c r="A886" s="43" t="n">
        <v>315</v>
      </c>
      <c r="B886" s="5" t="inlineStr">
        <is>
          <t>Num de programas con convenios de doble titulación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44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/>
      <c r="K886" s="5" t="n"/>
      <c r="L886" s="28" t="n"/>
      <c r="M886" s="28" t="n"/>
      <c r="N886" s="5" t="n"/>
      <c r="O886" s="5" t="n"/>
      <c r="P886" s="5" t="n">
        <v>0</v>
      </c>
      <c r="Q886" s="5" t="n">
        <v>0</v>
      </c>
      <c r="R886" s="5" t="inlineStr">
        <is>
          <t>315-2024-12-31</t>
        </is>
      </c>
    </row>
    <row r="887">
      <c r="A887" s="39" t="n">
        <v>316</v>
      </c>
      <c r="B887" s="5" t="inlineStr">
        <is>
          <t>Asignaturas con sesiones en segundo idioma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44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9</v>
      </c>
      <c r="K887" s="5" t="n">
        <v>11</v>
      </c>
      <c r="L887" s="28">
        <f>IFERROR(IF(OR(J887=0,K887=""),"",IF(E887="Positivo",MIN(MAX(K887/J887,0),1.3),MIN(MAX(J887/K887,0),1.3))),"") </f>
        <v/>
      </c>
      <c r="M887" s="28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316-2023-06-30</t>
        </is>
      </c>
    </row>
    <row r="888">
      <c r="A888" s="5" t="n">
        <v>316</v>
      </c>
      <c r="B888" s="5" t="inlineStr">
        <is>
          <t>Asignaturas con sesiones en segundo idioma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44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12</v>
      </c>
      <c r="K888" s="5" t="n">
        <v>11</v>
      </c>
      <c r="L888" s="28">
        <f>IFERROR(IF(OR(J888=0,K888=""),"",IF(E888="Positivo",MIN(MAX(K888/J888,0),1.3),MIN(MAX(J888/K888,0),1.3))),"") </f>
        <v/>
      </c>
      <c r="M888" s="28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316-2023-12-31</t>
        </is>
      </c>
    </row>
    <row r="889">
      <c r="A889" s="5" t="n">
        <v>317</v>
      </c>
      <c r="B889" s="5" t="inlineStr">
        <is>
          <t>Plan De Internacionalización A 7 Años</t>
        </is>
      </c>
      <c r="C889" s="5" t="inlineStr">
        <is>
          <t>VISIBILIDAD NACIONAL E INTERNACIONAL</t>
        </is>
      </c>
      <c r="D889" s="5" t="inlineStr">
        <is>
          <t>Anual</t>
        </is>
      </c>
      <c r="E889" s="5" t="inlineStr">
        <is>
          <t>Positivo</t>
        </is>
      </c>
      <c r="F889" s="144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12</v>
      </c>
      <c r="K889" s="5" t="n">
        <v>12</v>
      </c>
      <c r="L889" s="28">
        <f>IFERROR(IF(OR(J889=0,K889=""),"",IF(E889="Positivo",MIN(MAX(K889/J889,0),1.3),MIN(MAX(J889/K889,0),1.3))),"") </f>
        <v/>
      </c>
      <c r="M889" s="28">
        <f>IFERROR(IF(OR(J889=0,K889=""),"",IF(E889="Positivo",MAX(K889/J889,0),MAX(J889/K889,0))),"") </f>
        <v/>
      </c>
      <c r="N889" s="5" t="n"/>
      <c r="O889" s="5" t="n"/>
      <c r="P889" s="5" t="n">
        <v>0</v>
      </c>
      <c r="Q889" s="5" t="n">
        <v>0</v>
      </c>
      <c r="R889" s="5" t="inlineStr">
        <is>
          <t>317-2023-12-31</t>
        </is>
      </c>
    </row>
    <row r="890">
      <c r="A890" s="43" t="n">
        <v>317</v>
      </c>
      <c r="B890" s="5" t="inlineStr">
        <is>
          <t>Plan De Internacionalización A 7 Años</t>
        </is>
      </c>
      <c r="C890" s="5" t="inlineStr">
        <is>
          <t>VISIBILIDAD NACIONAL E INTERNACIONAL</t>
        </is>
      </c>
      <c r="D890" s="5" t="inlineStr">
        <is>
          <t>Anual</t>
        </is>
      </c>
      <c r="E890" s="5" t="inlineStr">
        <is>
          <t>Positivo</t>
        </is>
      </c>
      <c r="F890" s="144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100</v>
      </c>
      <c r="L890" s="120">
        <f>IFERROR(IF(OR(J890=0,K890=""),"",IF(E890="Positivo",MIN(MAX(K890/J890,0),1.3),MIN(MAX(J890/K890,0),1.3))),"") </f>
        <v/>
      </c>
      <c r="M890" s="28">
        <f>IFERROR(IF(OR(J890=0,K890=""),"",IF(E890="Positivo",MAX(K890/J890,0),MAX(J890/K890,0))),"") </f>
        <v/>
      </c>
      <c r="N890" s="5" t="n"/>
      <c r="O890" s="5" t="n"/>
      <c r="P890" s="5" t="n">
        <v>0</v>
      </c>
      <c r="Q890" s="5" t="n">
        <v>0</v>
      </c>
      <c r="R890" s="5" t="inlineStr">
        <is>
          <t>317-2024-12-31</t>
        </is>
      </c>
    </row>
    <row r="891">
      <c r="A891" s="39" t="n">
        <v>318</v>
      </c>
      <c r="B891" s="5" t="inlineStr">
        <is>
          <t>Convenios, alianzas activas con actividades desde 2018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44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80</v>
      </c>
      <c r="K891" s="5" t="n">
        <v>85.981308411215</v>
      </c>
      <c r="L891" s="120">
        <f>IFERROR(IF(OR(J891=0,K891=""),"",IF(E891="Positivo",MIN(MAX(K891/J891,0),1.3),MIN(MAX(J891/K891,0),1.3))),"") </f>
        <v/>
      </c>
      <c r="M891" s="28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318-2023-06-30</t>
        </is>
      </c>
    </row>
    <row r="892">
      <c r="A892" s="5" t="n">
        <v>318</v>
      </c>
      <c r="B892" s="5" t="inlineStr">
        <is>
          <t>Convenios, alianzas activas con actividades desde 2018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44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80</v>
      </c>
      <c r="K892" s="5" t="n">
        <v>90.90909090909091</v>
      </c>
      <c r="L892" s="28">
        <f>IFERROR(IF(OR(J892=0,K892=""),"",IF(E892="Positivo",MIN(MAX(K892/J892,0),1.3),MIN(MAX(J892/K892,0),1.3))),"") </f>
        <v/>
      </c>
      <c r="M892" s="28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 t="inlineStr">
        <is>
          <t>318-2023-12-31</t>
        </is>
      </c>
    </row>
    <row r="893">
      <c r="A893" s="5" t="n">
        <v>318</v>
      </c>
      <c r="B893" s="5" t="inlineStr">
        <is>
          <t>Convenios, alianzas activas con actividades en los últimos 5 años</t>
        </is>
      </c>
      <c r="C893" s="5" t="inlineStr">
        <is>
          <t>VISIBILIDAD NACIONAL E INTERNACIONAL</t>
        </is>
      </c>
      <c r="D893" s="5" t="inlineStr">
        <is>
          <t>Anual</t>
        </is>
      </c>
      <c r="E893" s="5" t="inlineStr">
        <is>
          <t>Positivo</t>
        </is>
      </c>
      <c r="F893" s="144" t="n">
        <v>45657</v>
      </c>
      <c r="G893" s="5" t="n">
        <v>2024</v>
      </c>
      <c r="H893" s="5" t="inlineStr">
        <is>
          <t>Diciembre</t>
        </is>
      </c>
      <c r="I893" s="6" t="inlineStr">
        <is>
          <t>2024-2</t>
        </is>
      </c>
      <c r="J893" s="5" t="n">
        <v>80</v>
      </c>
      <c r="K893" s="5" t="n">
        <v>90.28</v>
      </c>
      <c r="L893" s="28">
        <f>IFERROR(IF(OR(J893=0,K893=""),"",IF(E893="Positivo",MIN(MAX(K893/J893,0),1.3),MIN(MAX(J893/K893,0),1.3))),"") </f>
        <v/>
      </c>
      <c r="M893" s="28">
        <f>IFERROR(IF(OR(J893=0,K893=""),"",IF(E893="Positivo",MAX(K893/J893,0),MAX(J893/K893,0))),"") </f>
        <v/>
      </c>
      <c r="N893" s="5" t="n"/>
      <c r="O893" s="5" t="n"/>
      <c r="P893" s="5" t="n">
        <v>0</v>
      </c>
      <c r="Q893" s="5" t="n">
        <v>0</v>
      </c>
      <c r="R893" s="5" t="inlineStr">
        <is>
          <t>318-2024-12-31</t>
        </is>
      </c>
    </row>
    <row r="894">
      <c r="A894" s="39" t="n">
        <v>318</v>
      </c>
      <c r="B894" s="5" t="inlineStr">
        <is>
          <t>Convenios, alianzas activas con actividades en los últimos 5 años</t>
        </is>
      </c>
      <c r="C894" s="5" t="inlineStr">
        <is>
          <t>VISIBILIDAD NACIONAL E INTERNACIONAL</t>
        </is>
      </c>
      <c r="D894" s="5" t="inlineStr">
        <is>
          <t>Anual</t>
        </is>
      </c>
      <c r="E894" s="5" t="inlineStr">
        <is>
          <t>Positivo</t>
        </is>
      </c>
      <c r="F894" s="144" t="n">
        <v>46022</v>
      </c>
      <c r="G894" s="5" t="n">
        <v>2025</v>
      </c>
      <c r="H894" s="5" t="inlineStr">
        <is>
          <t>Diciembre</t>
        </is>
      </c>
      <c r="I894" s="6" t="inlineStr">
        <is>
          <t>2025-2</t>
        </is>
      </c>
      <c r="J894" s="5" t="n">
        <v>85</v>
      </c>
      <c r="K894" s="5" t="n">
        <v>86.16</v>
      </c>
      <c r="L894" s="120">
        <f>IFERROR(IF(OR(J894=0,K894=""),"",IF(E894="Positivo",MIN(MAX(K894/J894,0),1.3),MIN(MAX(J894/K894,0),1.3))),"") </f>
        <v/>
      </c>
      <c r="M894" s="28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 t="inlineStr">
        <is>
          <t>318-2025-12-31</t>
        </is>
      </c>
    </row>
    <row r="895">
      <c r="A895" s="5" t="n">
        <v>319</v>
      </c>
      <c r="B895" s="5" t="inlineStr">
        <is>
          <t>Nivel de cumplimiento de la gestión de internacionalización descrito en el plan de trabajo de la ORNI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44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100</v>
      </c>
      <c r="K895" s="5" t="n">
        <v>80</v>
      </c>
      <c r="L895" s="28">
        <f>IFERROR(IF(OR(J895=0,K895=""),"",IF(E895="Positivo",MIN(MAX(K895/J895,0),1.3),MIN(MAX(J895/K895,0),1.3))),"") </f>
        <v/>
      </c>
      <c r="M895" s="28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 t="inlineStr">
        <is>
          <t>319-2023-06-30</t>
        </is>
      </c>
    </row>
    <row r="896">
      <c r="A896" s="5" t="n">
        <v>319</v>
      </c>
      <c r="B896" s="5" t="inlineStr">
        <is>
          <t>Nivel de cumplimiento de la gestión de internacionalización descrito en el plan de trabajo de la ORNI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44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100</v>
      </c>
      <c r="K896" s="5" t="n">
        <v>100</v>
      </c>
      <c r="L896" s="28">
        <f>IFERROR(IF(OR(J896=0,K896=""),"",IF(E896="Positivo",MIN(MAX(K896/J896,0),1.3),MIN(MAX(J896/K896,0),1.3))),"") </f>
        <v/>
      </c>
      <c r="M896" s="28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 t="inlineStr">
        <is>
          <t>319-2023-12-31</t>
        </is>
      </c>
    </row>
    <row r="897">
      <c r="A897" s="39" t="n">
        <v>319</v>
      </c>
      <c r="B897" s="5" t="inlineStr">
        <is>
          <t>Nivel de cumplimiento de la gestión de internacionalización descrito en el plan de trabajo de la ORNI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44" t="n">
        <v>45473</v>
      </c>
      <c r="G897" s="5" t="n">
        <v>2024</v>
      </c>
      <c r="H897" s="5" t="inlineStr">
        <is>
          <t>Junio</t>
        </is>
      </c>
      <c r="I897" s="6" t="inlineStr">
        <is>
          <t>2024-1</t>
        </is>
      </c>
      <c r="J897" s="5" t="n">
        <v>100</v>
      </c>
      <c r="K897" s="5" t="n">
        <v>100</v>
      </c>
      <c r="L897" s="120">
        <f>IFERROR(IF(OR(J897=0,K897=""),"",IF(E897="Positivo",MIN(MAX(K897/J897,0),1.3),MIN(MAX(J897/K897,0),1.3))),"") </f>
        <v/>
      </c>
      <c r="M897" s="28">
        <f>IFERROR(IF(OR(J897=0,K897=""),"",IF(E897="Positivo",MAX(K897/J897,0),MAX(J897/K897,0))),"") </f>
        <v/>
      </c>
      <c r="N897" s="5" t="n"/>
      <c r="O897" s="5" t="n"/>
      <c r="P897" s="5" t="n">
        <v>0</v>
      </c>
      <c r="Q897" s="5" t="n">
        <v>0</v>
      </c>
      <c r="R897" s="5" t="inlineStr">
        <is>
          <t>319-2024-06-30</t>
        </is>
      </c>
    </row>
    <row r="898">
      <c r="A898" s="5" t="n">
        <v>319</v>
      </c>
      <c r="B898" s="5" t="inlineStr">
        <is>
          <t>Nivel de cumplimiento de la gestión de internacionalización descrito en el plan de trabajo de la ORNI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44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28">
        <f>IFERROR(IF(OR(J898=0,K898=""),"",IF(E898="Positivo",MIN(MAX(K898/J898,0),1.3),MIN(MAX(J898/K898,0),1.3))),"") </f>
        <v/>
      </c>
      <c r="M898" s="28">
        <f>IFERROR(IF(OR(J898=0,K898=""),"",IF(E898="Positivo",MAX(K898/J898,0),MAX(J898/K898,0))),"") </f>
        <v/>
      </c>
      <c r="N898" s="5" t="n"/>
      <c r="O898" s="5" t="n"/>
      <c r="P898" s="5" t="n">
        <v>0</v>
      </c>
      <c r="Q898" s="5" t="n">
        <v>0</v>
      </c>
      <c r="R898" s="5" t="inlineStr">
        <is>
          <t>319-2024-12-31</t>
        </is>
      </c>
    </row>
    <row r="899">
      <c r="A899" s="5" t="n">
        <v>320</v>
      </c>
      <c r="B899" s="5" t="inlineStr">
        <is>
          <t>Participación docentes eventos académicos internacionales virtuales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44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26</v>
      </c>
      <c r="K899" s="5" t="n">
        <v>12</v>
      </c>
      <c r="L899" s="28">
        <f>IFERROR(IF(OR(J899=0,K899=""),"",IF(E899="Positivo",MIN(MAX(K899/J899,0),1.3),MIN(MAX(J899/K899,0),1.3))),"") </f>
        <v/>
      </c>
      <c r="M899" s="28">
        <f>IFERROR(IF(OR(J899=0,K899=""),"",IF(E899="Positivo",MAX(K899/J899,0),MAX(J899/K899,0))),"") </f>
        <v/>
      </c>
      <c r="N899" s="5" t="n"/>
      <c r="O899" s="5" t="n"/>
      <c r="P899" s="5" t="n">
        <v>0</v>
      </c>
      <c r="Q899" s="5" t="n">
        <v>0</v>
      </c>
      <c r="R899" s="5" t="inlineStr">
        <is>
          <t>320-2023-06-30</t>
        </is>
      </c>
    </row>
    <row r="900">
      <c r="A900" s="39" t="n">
        <v>320</v>
      </c>
      <c r="B900" s="5" t="inlineStr">
        <is>
          <t>Participación docentes eventos académicos internacionales virtuales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44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15</v>
      </c>
      <c r="K900" s="5" t="n">
        <v>17</v>
      </c>
      <c r="L900" s="120">
        <f>IFERROR(IF(OR(J900=0,K900=""),"",IF(E900="Positivo",MIN(MAX(K900/J900,0),1.3),MIN(MAX(J900/K900,0),1.3))),"") </f>
        <v/>
      </c>
      <c r="M900" s="28">
        <f>IFERROR(IF(OR(J900=0,K900=""),"",IF(E900="Positivo",MAX(K900/J900,0),MAX(J900/K900,0))),"") </f>
        <v/>
      </c>
      <c r="N900" s="5" t="n"/>
      <c r="O900" s="5" t="n"/>
      <c r="P900" s="5" t="n">
        <v>0</v>
      </c>
      <c r="Q900" s="5" t="n">
        <v>0</v>
      </c>
      <c r="R900" s="5" t="inlineStr">
        <is>
          <t>320-2023-12-31</t>
        </is>
      </c>
    </row>
    <row r="901">
      <c r="A901" s="5" t="n">
        <v>320</v>
      </c>
      <c r="B901" s="5" t="inlineStr">
        <is>
          <t>Participación docentes Poli en eventos académicos internacionales virtuales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44" t="n">
        <v>45473</v>
      </c>
      <c r="G901" s="5" t="n">
        <v>2024</v>
      </c>
      <c r="H901" s="5" t="inlineStr">
        <is>
          <t>Junio</t>
        </is>
      </c>
      <c r="I901" s="6" t="inlineStr">
        <is>
          <t>2024-1</t>
        </is>
      </c>
      <c r="J901" s="5" t="n">
        <v>100</v>
      </c>
      <c r="K901" s="5" t="n">
        <v>140</v>
      </c>
      <c r="L901" s="28">
        <f>IFERROR(IF(OR(J901=0,K901=""),"",IF(E901="Positivo",MIN(MAX(K901/J901,0),1.3),MIN(MAX(J901/K901,0),1.3))),"") </f>
        <v/>
      </c>
      <c r="M901" s="28">
        <f>IFERROR(IF(OR(J901=0,K901=""),"",IF(E901="Positivo",MAX(K901/J901,0),MAX(J901/K901,0))),"") </f>
        <v/>
      </c>
      <c r="N901" s="5" t="n"/>
      <c r="O901" s="5" t="n"/>
      <c r="P901" s="5" t="n">
        <v>0</v>
      </c>
      <c r="Q901" s="5" t="n">
        <v>0</v>
      </c>
      <c r="R901" s="5" t="inlineStr">
        <is>
          <t>320-2024-06-30</t>
        </is>
      </c>
    </row>
    <row r="902">
      <c r="A902" s="5" t="n">
        <v>320</v>
      </c>
      <c r="B902" s="5" t="inlineStr">
        <is>
          <t>Participación docentes Poli en eventos académicos internacionales virtuales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44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100</v>
      </c>
      <c r="K902" s="5" t="n">
        <v>115</v>
      </c>
      <c r="L902" s="28">
        <f>IFERROR(IF(OR(J902=0,K902=""),"",IF(E902="Positivo",MIN(MAX(K902/J902,0),1.3),MIN(MAX(J902/K902,0),1.3))),"") </f>
        <v/>
      </c>
      <c r="M902" s="28">
        <f>IFERROR(IF(OR(J902=0,K902=""),"",IF(E902="Positivo",MAX(K902/J902,0),MAX(J902/K902,0))),"") </f>
        <v/>
      </c>
      <c r="N902" s="5" t="n"/>
      <c r="O902" s="5" t="n"/>
      <c r="P902" s="5" t="n">
        <v>0</v>
      </c>
      <c r="Q902" s="5" t="n">
        <v>0</v>
      </c>
      <c r="R902" s="5" t="inlineStr">
        <is>
          <t>320-2024-12-31</t>
        </is>
      </c>
    </row>
    <row r="903">
      <c r="A903" s="39" t="n">
        <v>321</v>
      </c>
      <c r="B903" s="5" t="inlineStr">
        <is>
          <t>Participación estudiantes eventos académicos internacionales virtuales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44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180</v>
      </c>
      <c r="K903" s="5" t="n">
        <v>236</v>
      </c>
      <c r="L903" s="120">
        <f>IFERROR(IF(OR(J903=0,K903=""),"",IF(E903="Positivo",MIN(MAX(K903/J903,0),1.3),MIN(MAX(J903/K903,0),1.3))),"") </f>
        <v/>
      </c>
      <c r="M903" s="28">
        <f>IFERROR(IF(OR(J903=0,K903=""),"",IF(E903="Positivo",MAX(K903/J903,0),MAX(J903/K903,0))),"") </f>
        <v/>
      </c>
      <c r="N903" s="5" t="n"/>
      <c r="O903" s="5" t="n"/>
      <c r="P903" s="5" t="n">
        <v>0</v>
      </c>
      <c r="Q903" s="5" t="n">
        <v>0</v>
      </c>
      <c r="R903" s="5" t="inlineStr">
        <is>
          <t>321-2023-06-30</t>
        </is>
      </c>
    </row>
    <row r="904">
      <c r="A904" s="39" t="n">
        <v>321</v>
      </c>
      <c r="B904" s="5" t="inlineStr">
        <is>
          <t>Participación estudiantes eventos académicos internacionales virtuales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44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180</v>
      </c>
      <c r="K904" s="5" t="n">
        <v>231</v>
      </c>
      <c r="L904" s="120">
        <f>IFERROR(IF(OR(J904=0,K904=""),"",IF(E904="Positivo",MIN(MAX(K904/J904,0),1.3),MIN(MAX(J904/K904,0),1.3))),"") </f>
        <v/>
      </c>
      <c r="M904" s="28">
        <f>IFERROR(IF(OR(J904=0,K904=""),"",IF(E904="Positivo",MAX(K904/J904,0),MAX(J904/K904,0))),"") </f>
        <v/>
      </c>
      <c r="N904" s="5" t="n"/>
      <c r="O904" s="5" t="n"/>
      <c r="P904" s="5" t="n">
        <v>0</v>
      </c>
      <c r="Q904" s="5" t="n">
        <v>0</v>
      </c>
      <c r="R904" s="5" t="inlineStr">
        <is>
          <t>321-2023-12-31</t>
        </is>
      </c>
    </row>
    <row r="905">
      <c r="A905" s="5" t="n">
        <v>321</v>
      </c>
      <c r="B905" s="5" t="inlineStr">
        <is>
          <t>Participación estudiantes Poli en eventos académicos internacionales virtuales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44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>
        <v>100</v>
      </c>
      <c r="K905" s="5" t="n">
        <v>106.52</v>
      </c>
      <c r="L905" s="28">
        <f>IFERROR(IF(OR(J905=0,K905=""),"",IF(E905="Positivo",MIN(MAX(K905/J905,0),1.3),MIN(MAX(J905/K905,0),1.3))),"") </f>
        <v/>
      </c>
      <c r="M905" s="28">
        <f>IFERROR(IF(OR(J905=0,K905=""),"",IF(E905="Positivo",MAX(K905/J905,0),MAX(J905/K905,0))),"") </f>
        <v/>
      </c>
      <c r="N905" s="5" t="n"/>
      <c r="O905" s="5" t="n"/>
      <c r="P905" s="5" t="n">
        <v>0</v>
      </c>
      <c r="Q905" s="5" t="n">
        <v>0</v>
      </c>
      <c r="R905" s="5" t="inlineStr">
        <is>
          <t>321-2024-06-30</t>
        </is>
      </c>
    </row>
    <row r="906">
      <c r="A906" s="5" t="n">
        <v>321</v>
      </c>
      <c r="B906" s="5" t="inlineStr">
        <is>
          <t>Participación estudiantes Poli en eventos académicos internacionales virtuales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44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>
        <v>100</v>
      </c>
      <c r="K906" s="5" t="n">
        <v>502.17</v>
      </c>
      <c r="L906" s="28">
        <f>IFERROR(IF(OR(J906=0,K906=""),"",IF(E906="Positivo",MIN(MAX(K906/J906,0),1.3),MIN(MAX(J906/K906,0),1.3))),"") </f>
        <v/>
      </c>
      <c r="M906" s="28">
        <f>IFERROR(IF(OR(J906=0,K906=""),"",IF(E906="Positivo",MAX(K906/J906,0),MAX(J906/K906,0))),"") </f>
        <v/>
      </c>
      <c r="N906" s="5" t="n"/>
      <c r="O906" s="5" t="n"/>
      <c r="P906" s="5" t="n">
        <v>0</v>
      </c>
      <c r="Q906" s="5" t="n">
        <v>0</v>
      </c>
      <c r="R906" s="5" t="inlineStr">
        <is>
          <t>321-2024-12-31</t>
        </is>
      </c>
    </row>
    <row r="907">
      <c r="A907" s="39" t="n">
        <v>323</v>
      </c>
      <c r="B907" s="5" t="inlineStr">
        <is>
          <t>Número de renovaciones de registro calificado</t>
        </is>
      </c>
      <c r="C907" s="5" t="inlineStr">
        <is>
          <t>Creación, modificación y cierre de programas académicos</t>
        </is>
      </c>
      <c r="D907" s="5" t="inlineStr">
        <is>
          <t>Semestral</t>
        </is>
      </c>
      <c r="E907" s="5" t="inlineStr">
        <is>
          <t>Positivo</t>
        </is>
      </c>
      <c r="F907" s="144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100</v>
      </c>
      <c r="K907" s="5" t="n">
        <v>100</v>
      </c>
      <c r="L907" s="120">
        <f>IFERROR(IF(OR(J907=0,K907=""),"",IF(E907="Positivo",MIN(MAX(K907/J907,0),1.3),MIN(MAX(J907/K907,0),1.3))),"") </f>
        <v/>
      </c>
      <c r="M907" s="28">
        <f>IFERROR(IF(OR(J907=0,K907=""),"",IF(E907="Positivo",MAX(K907/J907,0),MAX(J907/K907,0))),"") </f>
        <v/>
      </c>
      <c r="N907" s="5" t="n"/>
      <c r="O907" s="5" t="n"/>
      <c r="P907" s="5" t="n">
        <v>0</v>
      </c>
      <c r="Q907" s="5" t="n">
        <v>0</v>
      </c>
      <c r="R907" s="5" t="inlineStr">
        <is>
          <t>323-2023-06-30</t>
        </is>
      </c>
    </row>
    <row r="908">
      <c r="A908" s="43" t="n">
        <v>323</v>
      </c>
      <c r="B908" s="5" t="inlineStr">
        <is>
          <t>Número de renovaciones de registro calificado</t>
        </is>
      </c>
      <c r="C908" s="5" t="inlineStr">
        <is>
          <t>Creación, modificación y cierre de programas académicos</t>
        </is>
      </c>
      <c r="D908" s="5" t="inlineStr">
        <is>
          <t>Semestral</t>
        </is>
      </c>
      <c r="E908" s="5" t="inlineStr">
        <is>
          <t>Positivo</t>
        </is>
      </c>
      <c r="F908" s="144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100</v>
      </c>
      <c r="K908" s="5" t="n">
        <v>100</v>
      </c>
      <c r="L908" s="120">
        <f>IFERROR(IF(OR(J908=0,K908=""),"",IF(E908="Positivo",MIN(MAX(K908/J908,0),1.3),MIN(MAX(J908/K908,0),1.3))),"") </f>
        <v/>
      </c>
      <c r="M908" s="28">
        <f>IFERROR(IF(OR(J908=0,K908=""),"",IF(E908="Positivo",MAX(K908/J908,0),MAX(J908/K908,0))),"") </f>
        <v/>
      </c>
      <c r="N908" s="5" t="n"/>
      <c r="O908" s="5" t="n"/>
      <c r="P908" s="5" t="n">
        <v>0</v>
      </c>
      <c r="Q908" s="5" t="n">
        <v>0</v>
      </c>
      <c r="R908" s="5" t="inlineStr">
        <is>
          <t>323-2023-12-31</t>
        </is>
      </c>
    </row>
    <row r="909">
      <c r="A909" s="39" t="n">
        <v>323</v>
      </c>
      <c r="B909" s="5" t="inlineStr">
        <is>
          <t>Número de renovaciones de registro calificado</t>
        </is>
      </c>
      <c r="C909" s="5" t="inlineStr">
        <is>
          <t>Creación, modificación y cierre de programas académicos</t>
        </is>
      </c>
      <c r="D909" s="5" t="inlineStr">
        <is>
          <t>Semestral</t>
        </is>
      </c>
      <c r="E909" s="5" t="inlineStr">
        <is>
          <t>Positivo</t>
        </is>
      </c>
      <c r="F909" s="144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100</v>
      </c>
      <c r="L909" s="120">
        <f>IFERROR(IF(OR(J909=0,K909=""),"",IF(E909="Positivo",MIN(MAX(K909/J909,0),1.3),MIN(MAX(J909/K909,0),1.3))),"") </f>
        <v/>
      </c>
      <c r="M909" s="28">
        <f>IFERROR(IF(OR(J909=0,K909=""),"",IF(E909="Positivo",MAX(K909/J909,0),MAX(J909/K909,0))),"") </f>
        <v/>
      </c>
      <c r="N909" s="5" t="n"/>
      <c r="O909" s="5" t="n"/>
      <c r="P909" s="5" t="n">
        <v>0</v>
      </c>
      <c r="Q909" s="5" t="n">
        <v>0</v>
      </c>
      <c r="R909" s="5" t="inlineStr">
        <is>
          <t>323-2024-06-30</t>
        </is>
      </c>
    </row>
    <row r="910">
      <c r="A910" s="39" t="n">
        <v>323</v>
      </c>
      <c r="B910" s="5" t="inlineStr">
        <is>
          <t>Número de renovaciones de registro calificado</t>
        </is>
      </c>
      <c r="C910" s="5" t="inlineStr">
        <is>
          <t>Creación, modificación y cierre de programas académicos</t>
        </is>
      </c>
      <c r="D910" s="5" t="inlineStr">
        <is>
          <t>Semestral</t>
        </is>
      </c>
      <c r="E910" s="5" t="inlineStr">
        <is>
          <t>Positivo</t>
        </is>
      </c>
      <c r="F910" s="144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0</v>
      </c>
      <c r="L910" s="120">
        <f>IFERROR(IF(OR(J910=0,K910=""),"",IF(E910="Positivo",MIN(MAX(K910/J910,0),1.3),MIN(MAX(J910/K910,0),1.3))),"") </f>
        <v/>
      </c>
      <c r="M910" s="28">
        <f>IFERROR(IF(OR(J910=0,K910=""),"",IF(E910="Positivo",MAX(K910/J910,0),MAX(J910/K910,0))),"") </f>
        <v/>
      </c>
      <c r="N910" s="5" t="n"/>
      <c r="O910" s="5" t="n"/>
      <c r="P910" s="5" t="n">
        <v>0</v>
      </c>
      <c r="Q910" s="5" t="n">
        <v>0</v>
      </c>
      <c r="R910" s="5" t="inlineStr">
        <is>
          <t>323-2024-12-31</t>
        </is>
      </c>
    </row>
    <row r="911">
      <c r="A911" s="5" t="n">
        <v>323</v>
      </c>
      <c r="B911" s="5" t="inlineStr">
        <is>
          <t>Número de renovaciones de registro calificado</t>
        </is>
      </c>
      <c r="C911" s="5" t="inlineStr">
        <is>
          <t>Creación, modificación y cierre de programas académicos</t>
        </is>
      </c>
      <c r="D911" s="5" t="inlineStr">
        <is>
          <t>Semestral</t>
        </is>
      </c>
      <c r="E911" s="5" t="inlineStr">
        <is>
          <t>Positivo</t>
        </is>
      </c>
      <c r="F911" s="144" t="n">
        <v>45838</v>
      </c>
      <c r="G911" s="5" t="n">
        <v>2025</v>
      </c>
      <c r="H911" s="5" t="inlineStr">
        <is>
          <t>Junio</t>
        </is>
      </c>
      <c r="I911" s="6" t="inlineStr">
        <is>
          <t>2025-1</t>
        </is>
      </c>
      <c r="J911" s="5" t="n">
        <v>100</v>
      </c>
      <c r="K911" s="5" t="n">
        <v>100</v>
      </c>
      <c r="L911" s="28">
        <f>IFERROR(IF(OR(J911=0,K911=""),"",IF(E911="Positivo",MIN(MAX(K911/J911,0),1.3),MIN(MAX(J911/K911,0),1.3))),"") </f>
        <v/>
      </c>
      <c r="M911" s="28">
        <f>IFERROR(IF(OR(J911=0,K911=""),"",IF(E911="Positivo",MAX(K911/J911,0),MAX(J911/K911,0))),"") </f>
        <v/>
      </c>
      <c r="N911" s="5" t="inlineStr">
        <is>
          <t>ENT</t>
        </is>
      </c>
      <c r="O911" s="5" t="inlineStr">
        <is>
          <t>ENT</t>
        </is>
      </c>
      <c r="P911" s="5" t="n">
        <v>0</v>
      </c>
      <c r="Q911" s="5" t="n">
        <v>0</v>
      </c>
      <c r="R911" s="5" t="inlineStr">
        <is>
          <t>323-2025-06-30</t>
        </is>
      </c>
    </row>
    <row r="912">
      <c r="A912" s="39" t="n">
        <v>323</v>
      </c>
      <c r="B912" s="5" t="inlineStr">
        <is>
          <t>Número de renovaciones de registro calificado</t>
        </is>
      </c>
      <c r="C912" s="5" t="inlineStr">
        <is>
          <t>Creación, modificación y cierre de programas académicos</t>
        </is>
      </c>
      <c r="D912" s="5" t="inlineStr">
        <is>
          <t>Trimestral</t>
        </is>
      </c>
      <c r="E912" s="5" t="inlineStr">
        <is>
          <t>Positivo</t>
        </is>
      </c>
      <c r="F912" s="144" t="n">
        <v>46022</v>
      </c>
      <c r="G912" s="5" t="n">
        <v>2025</v>
      </c>
      <c r="H912" s="5" t="inlineStr">
        <is>
          <t>Diciembre</t>
        </is>
      </c>
      <c r="I912" s="6" t="inlineStr">
        <is>
          <t>2025-2</t>
        </is>
      </c>
      <c r="J912" s="5" t="n">
        <v>100</v>
      </c>
      <c r="K912" s="5" t="n">
        <v>100</v>
      </c>
      <c r="L912" s="120">
        <f>IFERROR(IF(OR(J912=0,K912=""),"",IF(E912="Positivo",MIN(MAX(K912/J912,0),1.3),MIN(MAX(J912/K912,0),1.3))),"") </f>
        <v/>
      </c>
      <c r="M912" s="28">
        <f>IFERROR(IF(OR(J912=0,K912=""),"",IF(E912="Positivo",MAX(K912/J912,0),MAX(J912/K912,0))),"") </f>
        <v/>
      </c>
      <c r="N912" s="5" t="inlineStr">
        <is>
          <t>ENT</t>
        </is>
      </c>
      <c r="O912" s="5" t="inlineStr">
        <is>
          <t>ENT</t>
        </is>
      </c>
      <c r="P912" s="5" t="n">
        <v>0</v>
      </c>
      <c r="Q912" s="5" t="n">
        <v>0</v>
      </c>
      <c r="R912" s="5" t="inlineStr">
        <is>
          <t>323-2025-12-31</t>
        </is>
      </c>
    </row>
    <row r="913">
      <c r="A913" s="5" t="n">
        <v>324</v>
      </c>
      <c r="B913" s="5" t="inlineStr">
        <is>
          <t>Número de programas nuevos radicados en el Ministerio de Educación</t>
        </is>
      </c>
      <c r="C913" s="5" t="inlineStr">
        <is>
          <t>Creación, modificación y cierre de programas académicos</t>
        </is>
      </c>
      <c r="D913" s="5" t="inlineStr">
        <is>
          <t>Semestral</t>
        </is>
      </c>
      <c r="E913" s="5" t="inlineStr">
        <is>
          <t>Positivo</t>
        </is>
      </c>
      <c r="F913" s="144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100</v>
      </c>
      <c r="K913" s="5" t="n">
        <v>0</v>
      </c>
      <c r="L913" s="28">
        <f>IFERROR(IF(OR(J913=0,K913=""),"",IF(E913="Positivo",MIN(MAX(K913/J913,0),1.3),MIN(MAX(J913/K913,0),1.3))),"") </f>
        <v/>
      </c>
      <c r="M913" s="28">
        <f>IFERROR(IF(OR(J913=0,K913=""),"",IF(E913="Positivo",MAX(K913/J913,0),MAX(J913/K913,0))),"") </f>
        <v/>
      </c>
      <c r="N913" s="5" t="n"/>
      <c r="O913" s="5" t="n"/>
      <c r="P913" s="5" t="n">
        <v>0</v>
      </c>
      <c r="Q913" s="5" t="n">
        <v>0</v>
      </c>
      <c r="R913" s="5" t="inlineStr">
        <is>
          <t>324-2023-06-30</t>
        </is>
      </c>
    </row>
    <row r="914">
      <c r="A914" s="54" t="n">
        <v>324</v>
      </c>
      <c r="B914" s="5" t="inlineStr">
        <is>
          <t>Número de programas nuevos radicados en el Ministerio de Educación</t>
        </is>
      </c>
      <c r="C914" s="5" t="inlineStr">
        <is>
          <t>Creación, modificación y cierre de programas académicos</t>
        </is>
      </c>
      <c r="D914" s="5" t="inlineStr">
        <is>
          <t>Semestral</t>
        </is>
      </c>
      <c r="E914" s="5" t="inlineStr">
        <is>
          <t>Positivo</t>
        </is>
      </c>
      <c r="F914" s="144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100</v>
      </c>
      <c r="K914" s="5" t="n">
        <v>100</v>
      </c>
      <c r="L914" s="120">
        <f>IFERROR(IF(OR(J914=0,K914=""),"",IF(E914="Positivo",MIN(MAX(K914/J914,0),1.3),MIN(MAX(J914/K914,0),1.3))),"") </f>
        <v/>
      </c>
      <c r="M914" s="28">
        <f>IFERROR(IF(OR(J914=0,K914=""),"",IF(E914="Positivo",MAX(K914/J914,0),MAX(J914/K914,0))),"") 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 t="inlineStr">
        <is>
          <t>324-2023-12-31</t>
        </is>
      </c>
    </row>
    <row r="915">
      <c r="A915" s="39" t="n">
        <v>324</v>
      </c>
      <c r="B915" s="5" t="inlineStr">
        <is>
          <t>Número de programas nuevos radicados en el Ministerio de Educación</t>
        </is>
      </c>
      <c r="C915" s="5" t="inlineStr">
        <is>
          <t>Creación, modificación y cierre de programas académicos</t>
        </is>
      </c>
      <c r="D915" s="5" t="inlineStr">
        <is>
          <t>Semestral</t>
        </is>
      </c>
      <c r="E915" s="5" t="inlineStr">
        <is>
          <t>Positivo</t>
        </is>
      </c>
      <c r="F915" s="144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/>
      <c r="L915" s="136" t="n"/>
      <c r="M915" s="28" t="n"/>
      <c r="N915" s="5" t="n"/>
      <c r="O915" s="5" t="n"/>
      <c r="P915" s="5" t="n">
        <v>0</v>
      </c>
      <c r="Q915" s="5" t="n">
        <v>0</v>
      </c>
      <c r="R915" s="5" t="inlineStr">
        <is>
          <t>324-2024-06-30</t>
        </is>
      </c>
    </row>
    <row r="916">
      <c r="A916" s="43" t="n">
        <v>324</v>
      </c>
      <c r="B916" s="5" t="inlineStr">
        <is>
          <t>Número de programas nuevos radicados en el Ministerio de Educación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144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100</v>
      </c>
      <c r="L916" s="120">
        <f>IFERROR(IF(OR(J916=0,K916=""),"",IF(E916="Positivo",MIN(MAX(K916/J916,0),1.3),MIN(MAX(J916/K916,0),1.3))),"") </f>
        <v/>
      </c>
      <c r="M916" s="28">
        <f>IFERROR(IF(OR(J916=0,K916=""),"",IF(E916="Positivo",MAX(K916/J916,0),MAX(J916/K916,0))),"") 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 t="inlineStr">
        <is>
          <t>324-2024-12-31</t>
        </is>
      </c>
    </row>
    <row r="917">
      <c r="A917" s="39" t="n">
        <v>324</v>
      </c>
      <c r="B917" s="5" t="inlineStr">
        <is>
          <t>Número de programas nuevos radicados en el Ministerio de Educación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44" t="n">
        <v>45838</v>
      </c>
      <c r="G917" s="5" t="n">
        <v>2025</v>
      </c>
      <c r="H917" s="5" t="inlineStr">
        <is>
          <t>Junio</t>
        </is>
      </c>
      <c r="I917" s="6" t="inlineStr">
        <is>
          <t>2025-1</t>
        </is>
      </c>
      <c r="J917" s="5" t="n">
        <v>100</v>
      </c>
      <c r="K917" s="5" t="n">
        <v>100</v>
      </c>
      <c r="L917" s="120">
        <f>IFERROR(IF(OR(J917=0,K917=""),"",IF(E917="Positivo",MIN(MAX(K917/J917,0),1.3),MIN(MAX(J917/K917,0),1.3))),"") </f>
        <v/>
      </c>
      <c r="M917" s="28">
        <f>IFERROR(IF(OR(J917=0,K917=""),"",IF(E917="Positivo",MAX(K917/J917,0),MAX(J917/K917,0))),"") </f>
        <v/>
      </c>
      <c r="N917" s="5" t="inlineStr">
        <is>
          <t>ENT</t>
        </is>
      </c>
      <c r="O917" s="5" t="inlineStr">
        <is>
          <t>ENT</t>
        </is>
      </c>
      <c r="P917" s="5" t="n">
        <v>0</v>
      </c>
      <c r="Q917" s="5" t="n">
        <v>0</v>
      </c>
      <c r="R917" s="5" t="inlineStr">
        <is>
          <t>324-2025-06-30</t>
        </is>
      </c>
    </row>
    <row r="918">
      <c r="A918" s="5" t="n">
        <v>324</v>
      </c>
      <c r="B918" s="5" t="inlineStr">
        <is>
          <t>Número de programas nuevos radicados en el Ministerio de Educación</t>
        </is>
      </c>
      <c r="C918" s="5" t="inlineStr">
        <is>
          <t>Creación, modificación y cierre de programas académicos</t>
        </is>
      </c>
      <c r="D918" s="5" t="inlineStr">
        <is>
          <t>Trimestral</t>
        </is>
      </c>
      <c r="E918" s="5" t="inlineStr">
        <is>
          <t>Positivo</t>
        </is>
      </c>
      <c r="F918" s="144" t="n">
        <v>46022</v>
      </c>
      <c r="G918" s="5" t="n">
        <v>2025</v>
      </c>
      <c r="H918" s="5" t="inlineStr">
        <is>
          <t>Diciembre</t>
        </is>
      </c>
      <c r="I918" s="6" t="inlineStr">
        <is>
          <t>2025-2</t>
        </is>
      </c>
      <c r="J918" s="5" t="n">
        <v>100</v>
      </c>
      <c r="K918" s="5" t="n">
        <v>200</v>
      </c>
      <c r="L918" s="28">
        <f>IFERROR(IF(OR(J918=0,K918=""),"",IF(E918="Positivo",MIN(MAX(K918/J918,0),1.3),MIN(MAX(J918/K918,0),1.3))),"") </f>
        <v/>
      </c>
      <c r="M918" s="28">
        <f>IFERROR(IF(OR(J918=0,K918=""),"",IF(E918="Positivo",MAX(K918/J918,0),MAX(J918/K918,0))),"") </f>
        <v/>
      </c>
      <c r="N918" s="5" t="inlineStr">
        <is>
          <t>ENT</t>
        </is>
      </c>
      <c r="O918" s="5" t="inlineStr">
        <is>
          <t>ENT</t>
        </is>
      </c>
      <c r="P918" s="5" t="n">
        <v>0</v>
      </c>
      <c r="Q918" s="5" t="n">
        <v>0</v>
      </c>
      <c r="R918" s="5" t="inlineStr">
        <is>
          <t>324-2025-12-31</t>
        </is>
      </c>
    </row>
    <row r="919">
      <c r="A919" s="5" t="n">
        <v>325</v>
      </c>
      <c r="B919" s="5" t="inlineStr">
        <is>
          <t>Número de programas nuevos con registro calificado aprobado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44" t="n">
        <v>45107</v>
      </c>
      <c r="G919" s="5" t="n">
        <v>2023</v>
      </c>
      <c r="H919" s="5" t="inlineStr">
        <is>
          <t>Junio</t>
        </is>
      </c>
      <c r="I919" s="6" t="inlineStr">
        <is>
          <t>2023-1</t>
        </is>
      </c>
      <c r="J919" s="5" t="n">
        <v>100</v>
      </c>
      <c r="K919" s="5" t="n">
        <v>100</v>
      </c>
      <c r="L919" s="28">
        <f>IFERROR(IF(OR(J919=0,K919=""),"",IF(E919="Positivo",MIN(MAX(K919/J919,0),1.3),MIN(MAX(J919/K919,0),1.3))),"") </f>
        <v/>
      </c>
      <c r="M919" s="28">
        <f>IFERROR(IF(OR(J919=0,K919=""),"",IF(E919="Positivo",MAX(K919/J919,0),MAX(J919/K919,0))),"") </f>
        <v/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325-2023-06-30</t>
        </is>
      </c>
    </row>
    <row r="920">
      <c r="A920" s="54" t="n">
        <v>325</v>
      </c>
      <c r="B920" s="5" t="inlineStr">
        <is>
          <t>Número de programas nuevos con registro calificado aprobado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44" t="n">
        <v>45291</v>
      </c>
      <c r="G920" s="5" t="n">
        <v>2023</v>
      </c>
      <c r="H920" s="5" t="inlineStr">
        <is>
          <t>Diciembre</t>
        </is>
      </c>
      <c r="I920" s="6" t="inlineStr">
        <is>
          <t>2023-2</t>
        </is>
      </c>
      <c r="J920" s="5" t="n">
        <v>100</v>
      </c>
      <c r="K920" s="5" t="n">
        <v>0</v>
      </c>
      <c r="L920" s="120">
        <f>IFERROR(IF(OR(J920=0,K920=""),"",IF(E920="Positivo",MIN(MAX(K920/J920,0),1.3),MIN(MAX(J920/K920,0),1.3))),"") </f>
        <v/>
      </c>
      <c r="M920" s="28">
        <f>IFERROR(IF(OR(J920=0,K920=""),"",IF(E920="Positivo",MAX(K920/J920,0),MAX(J920/K920,0))),"") </f>
        <v/>
      </c>
      <c r="N920" s="5" t="n"/>
      <c r="O920" s="5" t="n"/>
      <c r="P920" s="5" t="n">
        <v>0</v>
      </c>
      <c r="Q920" s="5" t="n">
        <v>0</v>
      </c>
      <c r="R920" s="5" t="inlineStr">
        <is>
          <t>325-2023-12-31</t>
        </is>
      </c>
    </row>
    <row r="921">
      <c r="A921" s="39" t="n">
        <v>325</v>
      </c>
      <c r="B921" s="5" t="inlineStr">
        <is>
          <t>Número de programas nuevos con registro calificado aprobado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44" t="n">
        <v>45473</v>
      </c>
      <c r="G921" s="5" t="n">
        <v>2024</v>
      </c>
      <c r="H921" s="5" t="inlineStr">
        <is>
          <t>Junio</t>
        </is>
      </c>
      <c r="I921" s="6" t="inlineStr">
        <is>
          <t>2024-1</t>
        </is>
      </c>
      <c r="J921" s="5" t="n">
        <v>100</v>
      </c>
      <c r="K921" s="5" t="n">
        <v>100</v>
      </c>
      <c r="L921" s="120">
        <f>IFERROR(IF(OR(J921=0,K921=""),"",IF(E921="Positivo",MIN(MAX(K921/J921,0),1.3),MIN(MAX(J921/K921,0),1.3))),"") </f>
        <v/>
      </c>
      <c r="M921" s="28">
        <f>IFERROR(IF(OR(J921=0,K921=""),"",IF(E921="Positivo",MAX(K921/J921,0),MAX(J921/K921,0))),"") </f>
        <v/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325-2024-06-30</t>
        </is>
      </c>
    </row>
    <row r="922">
      <c r="A922" s="43" t="n">
        <v>325</v>
      </c>
      <c r="B922" s="5" t="inlineStr">
        <is>
          <t>Número de programas nuevos con registro calificado aprobado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144" t="n">
        <v>45657</v>
      </c>
      <c r="G922" s="5" t="n">
        <v>2024</v>
      </c>
      <c r="H922" s="5" t="inlineStr">
        <is>
          <t>Diciembre</t>
        </is>
      </c>
      <c r="I922" s="6" t="inlineStr">
        <is>
          <t>2024-2</t>
        </is>
      </c>
      <c r="J922" s="5" t="n">
        <v>100</v>
      </c>
      <c r="K922" s="5" t="n">
        <v>100</v>
      </c>
      <c r="L922" s="120">
        <f>IFERROR(IF(OR(J922=0,K922=""),"",IF(E922="Positivo",MIN(MAX(K922/J922,0),1.3),MIN(MAX(J922/K922,0),1.3))),"") </f>
        <v/>
      </c>
      <c r="M922" s="28">
        <f>IFERROR(IF(OR(J922=0,K922=""),"",IF(E922="Positivo",MAX(K922/J922,0),MAX(J922/K922,0))),"") </f>
        <v/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325-2024-12-31</t>
        </is>
      </c>
    </row>
    <row r="923">
      <c r="A923" s="39" t="n">
        <v>325</v>
      </c>
      <c r="B923" s="5" t="inlineStr">
        <is>
          <t>Número de programas nuevos con registro calificado aprobado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44" t="n">
        <v>45838</v>
      </c>
      <c r="G923" s="5" t="n">
        <v>2025</v>
      </c>
      <c r="H923" s="5" t="inlineStr">
        <is>
          <t>Junio</t>
        </is>
      </c>
      <c r="I923" s="6" t="inlineStr">
        <is>
          <t>2025-1</t>
        </is>
      </c>
      <c r="J923" s="5" t="n">
        <v>8</v>
      </c>
      <c r="K923" s="5" t="n">
        <v>100</v>
      </c>
      <c r="L923" s="120">
        <f>IFERROR(IF(OR(J923=0,K923=""),"",IF(E923="Positivo",MIN(MAX(K923/J923,0),1.3),MIN(MAX(J923/K923,0),1.3))),"") </f>
        <v/>
      </c>
      <c r="M923" s="28">
        <f>IFERROR(IF(OR(J923=0,K923=""),"",IF(E923="Positivo",MAX(K923/J923,0),MAX(J923/K923,0))),"") </f>
        <v/>
      </c>
      <c r="N923" s="5" t="inlineStr">
        <is>
          <t>ENT</t>
        </is>
      </c>
      <c r="O923" s="5" t="inlineStr">
        <is>
          <t>ENT</t>
        </is>
      </c>
      <c r="P923" s="5" t="n">
        <v>0</v>
      </c>
      <c r="Q923" s="5" t="n">
        <v>0</v>
      </c>
      <c r="R923" s="5" t="inlineStr">
        <is>
          <t>325-2025-06-30</t>
        </is>
      </c>
    </row>
    <row r="924">
      <c r="A924" s="5" t="n">
        <v>325</v>
      </c>
      <c r="B924" s="5" t="inlineStr">
        <is>
          <t>Número de programas nuevos con registro calificado aprobado - Metrica</t>
        </is>
      </c>
      <c r="C924" s="5" t="inlineStr">
        <is>
          <t>Creación, modificación y cierre de programas académicos</t>
        </is>
      </c>
      <c r="D924" s="5" t="inlineStr">
        <is>
          <t>Trimestral</t>
        </is>
      </c>
      <c r="E924" s="5" t="inlineStr">
        <is>
          <t>Positivo</t>
        </is>
      </c>
      <c r="F924" s="144" t="n">
        <v>46022</v>
      </c>
      <c r="G924" s="5" t="n">
        <v>2025</v>
      </c>
      <c r="H924" s="5" t="inlineStr">
        <is>
          <t>Diciembre</t>
        </is>
      </c>
      <c r="I924" s="6" t="inlineStr">
        <is>
          <t>2025-2</t>
        </is>
      </c>
      <c r="J924" s="5" t="n"/>
      <c r="K924" s="5" t="n">
        <v>100</v>
      </c>
      <c r="L924" s="28" t="n"/>
      <c r="M924" s="28" t="n"/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325-2025-12-31</t>
        </is>
      </c>
      <c r="S924" t="inlineStr">
        <is>
          <t>Metrica</t>
        </is>
      </c>
    </row>
    <row r="925">
      <c r="A925" s="5" t="n">
        <v>326</v>
      </c>
      <c r="B925" s="5" t="inlineStr">
        <is>
          <t>Número de informes de autoevaluación con fines de acreditación en alta calidad radicados</t>
        </is>
      </c>
      <c r="C925" s="5" t="inlineStr">
        <is>
          <t>Autoevaluación de programas académicos</t>
        </is>
      </c>
      <c r="D925" s="5" t="inlineStr">
        <is>
          <t>Anual</t>
        </is>
      </c>
      <c r="E925" s="5" t="inlineStr">
        <is>
          <t>Positivo</t>
        </is>
      </c>
      <c r="F925" s="144" t="n">
        <v>45291</v>
      </c>
      <c r="G925" s="5" t="n">
        <v>2023</v>
      </c>
      <c r="H925" s="5" t="inlineStr">
        <is>
          <t>Diciembre</t>
        </is>
      </c>
      <c r="I925" s="6" t="inlineStr">
        <is>
          <t>2023-2</t>
        </is>
      </c>
      <c r="J925" s="5" t="n">
        <v>100</v>
      </c>
      <c r="K925" s="5" t="n">
        <v>100</v>
      </c>
      <c r="L925" s="28">
        <f>IFERROR(IF(OR(J925=0,K925=""),"",IF(E925="Positivo",MIN(MAX(K925/J925,0),1.3),MIN(MAX(J925/K925,0),1.3))),"") </f>
        <v/>
      </c>
      <c r="M925" s="28">
        <f>IFERROR(IF(OR(J925=0,K925=""),"",IF(E925="Positivo",MAX(K925/J925,0),MAX(J925/K925,0))),"") </f>
        <v/>
      </c>
      <c r="N925" s="5" t="n"/>
      <c r="O925" s="5" t="n"/>
      <c r="P925" s="5" t="n">
        <v>0</v>
      </c>
      <c r="Q925" s="5" t="n">
        <v>0</v>
      </c>
      <c r="R925" s="5" t="inlineStr">
        <is>
          <t>326-2023-12-31</t>
        </is>
      </c>
    </row>
    <row r="926">
      <c r="A926" s="54" t="n">
        <v>326</v>
      </c>
      <c r="B926" s="5" t="inlineStr">
        <is>
          <t>Número de informes de autoevaluación con fines de acreditación en alta calidad radicados</t>
        </is>
      </c>
      <c r="C926" s="5" t="inlineStr">
        <is>
          <t>Autoevaluación de programas académicos</t>
        </is>
      </c>
      <c r="D926" s="5" t="inlineStr">
        <is>
          <t>Anual</t>
        </is>
      </c>
      <c r="E926" s="5" t="inlineStr">
        <is>
          <t>Positivo</t>
        </is>
      </c>
      <c r="F926" s="144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0</v>
      </c>
      <c r="K926" s="5" t="n"/>
      <c r="L926" s="136" t="n"/>
      <c r="M926" s="28" t="n"/>
      <c r="N926" s="5" t="inlineStr">
        <is>
          <t>ENT</t>
        </is>
      </c>
      <c r="O926" s="5" t="inlineStr">
        <is>
          <t>N/A</t>
        </is>
      </c>
      <c r="P926" s="5" t="n">
        <v>0</v>
      </c>
      <c r="Q926" s="5" t="n">
        <v>0</v>
      </c>
      <c r="R926" s="5" t="inlineStr">
        <is>
          <t>326-2024-12-31</t>
        </is>
      </c>
    </row>
    <row r="927">
      <c r="A927" s="39" t="n">
        <v>326</v>
      </c>
      <c r="B927" s="5" t="inlineStr">
        <is>
          <t>Número de informes de autoevaluación con fines de acreditación en alta calidad radicados- Metrica</t>
        </is>
      </c>
      <c r="C927" s="5" t="inlineStr">
        <is>
          <t>Autoevaluación de programas académicos</t>
        </is>
      </c>
      <c r="D927" s="5" t="inlineStr">
        <is>
          <t>Anual</t>
        </is>
      </c>
      <c r="E927" s="5" t="inlineStr">
        <is>
          <t>Positivo</t>
        </is>
      </c>
      <c r="F927" s="144" t="n">
        <v>46022</v>
      </c>
      <c r="G927" s="5" t="n">
        <v>2025</v>
      </c>
      <c r="H927" s="5" t="inlineStr">
        <is>
          <t>Diciembre</t>
        </is>
      </c>
      <c r="I927" s="6" t="inlineStr">
        <is>
          <t>2025-2</t>
        </is>
      </c>
      <c r="J927" s="5" t="n">
        <v>3</v>
      </c>
      <c r="K927" s="5" t="n">
        <v>100</v>
      </c>
      <c r="L927" s="136" t="n"/>
      <c r="M927" s="28" t="n"/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326-2025-12-31</t>
        </is>
      </c>
      <c r="S927" t="inlineStr">
        <is>
          <t>Metrica</t>
        </is>
      </c>
    </row>
    <row r="928">
      <c r="A928" s="43" t="n">
        <v>327</v>
      </c>
      <c r="B928" s="5" t="inlineStr">
        <is>
          <t>Número de programas con obtención de acreditación por primera vez</t>
        </is>
      </c>
      <c r="C928" s="5" t="inlineStr">
        <is>
          <t>Autoevaluación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44" t="n">
        <v>45107</v>
      </c>
      <c r="G928" s="5" t="n">
        <v>2023</v>
      </c>
      <c r="H928" s="5" t="inlineStr">
        <is>
          <t>Junio</t>
        </is>
      </c>
      <c r="I928" s="6" t="inlineStr">
        <is>
          <t>2023-1</t>
        </is>
      </c>
      <c r="J928" s="5" t="n">
        <v>100</v>
      </c>
      <c r="K928" s="5" t="n">
        <v>0</v>
      </c>
      <c r="L928" s="120">
        <f>IFERROR(IF(OR(J928=0,K928=""),"",IF(E928="Positivo",MIN(MAX(K928/J928,0),1.3),MIN(MAX(J928/K928,0),1.3))),"") </f>
        <v/>
      </c>
      <c r="M928" s="28">
        <f>IFERROR(IF(OR(J928=0,K928=""),"",IF(E928="Positivo",MAX(K928/J928,0),MAX(J928/K928,0))),"") </f>
        <v/>
      </c>
      <c r="N928" s="5" t="n"/>
      <c r="O928" s="5" t="n"/>
      <c r="P928" s="5" t="n">
        <v>0</v>
      </c>
      <c r="Q928" s="5" t="n">
        <v>0</v>
      </c>
      <c r="R928" s="5" t="inlineStr">
        <is>
          <t>327-2023-06-30</t>
        </is>
      </c>
    </row>
    <row r="929">
      <c r="A929" s="39" t="n">
        <v>327</v>
      </c>
      <c r="B929" s="5" t="inlineStr">
        <is>
          <t>Número de programas con obtención de acreditación por primera vez</t>
        </is>
      </c>
      <c r="C929" s="5" t="inlineStr">
        <is>
          <t>Autoevaluación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44" t="n">
        <v>45291</v>
      </c>
      <c r="G929" s="5" t="n">
        <v>2023</v>
      </c>
      <c r="H929" s="5" t="inlineStr">
        <is>
          <t>Diciembre</t>
        </is>
      </c>
      <c r="I929" s="6" t="inlineStr">
        <is>
          <t>2023-2</t>
        </is>
      </c>
      <c r="J929" s="5" t="n">
        <v>100</v>
      </c>
      <c r="K929" s="5" t="n">
        <v>100</v>
      </c>
      <c r="L929" s="120">
        <f>IFERROR(IF(OR(J929=0,K929=""),"",IF(E929="Positivo",MIN(MAX(K929/J929,0),1.3),MIN(MAX(J929/K929,0),1.3))),"") </f>
        <v/>
      </c>
      <c r="M929" s="28">
        <f>IFERROR(IF(OR(J929=0,K929=""),"",IF(E929="Positivo",MAX(K929/J929,0),MAX(J929/K929,0))),"") </f>
        <v/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327-2023-12-31</t>
        </is>
      </c>
    </row>
    <row r="930">
      <c r="A930" s="5" t="n">
        <v>327</v>
      </c>
      <c r="B930" s="5" t="inlineStr">
        <is>
          <t>Número de programas con obtención de acreditación por primera vez</t>
        </is>
      </c>
      <c r="C930" s="5" t="inlineStr">
        <is>
          <t>Autoevaluación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44" t="n">
        <v>45473</v>
      </c>
      <c r="G930" s="5" t="n">
        <v>2024</v>
      </c>
      <c r="H930" s="5" t="inlineStr">
        <is>
          <t>Junio</t>
        </is>
      </c>
      <c r="I930" s="6" t="inlineStr">
        <is>
          <t>2024-1</t>
        </is>
      </c>
      <c r="J930" s="5" t="n">
        <v>100</v>
      </c>
      <c r="K930" s="5" t="n">
        <v>0</v>
      </c>
      <c r="L930" s="28">
        <f>IFERROR(IF(OR(J930=0,K930=""),"",IF(E930="Positivo",MIN(MAX(K930/J930,0),1.3),MIN(MAX(J930/K930,0),1.3))),"") </f>
        <v/>
      </c>
      <c r="M930" s="28">
        <f>IFERROR(IF(OR(J930=0,K930=""),"",IF(E930="Positivo",MAX(K930/J930,0),MAX(J930/K930,0))),"") </f>
        <v/>
      </c>
      <c r="N930" s="5" t="n"/>
      <c r="O930" s="5" t="n"/>
      <c r="P930" s="5" t="n">
        <v>0</v>
      </c>
      <c r="Q930" s="5" t="n">
        <v>0</v>
      </c>
      <c r="R930" s="5" t="inlineStr">
        <is>
          <t>327-2024-06-30</t>
        </is>
      </c>
    </row>
    <row r="931">
      <c r="A931" s="5" t="n">
        <v>327</v>
      </c>
      <c r="B931" s="5" t="inlineStr">
        <is>
          <t>Número de programas con obtención de acreditación por primera vez</t>
        </is>
      </c>
      <c r="C931" s="5" t="inlineStr">
        <is>
          <t>Autoevaluación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44" t="n">
        <v>45657</v>
      </c>
      <c r="G931" s="5" t="n">
        <v>2024</v>
      </c>
      <c r="H931" s="5" t="inlineStr">
        <is>
          <t>Diciembre</t>
        </is>
      </c>
      <c r="I931" s="6" t="inlineStr">
        <is>
          <t>2024-2</t>
        </is>
      </c>
      <c r="J931" s="5" t="n">
        <v>100</v>
      </c>
      <c r="K931" s="5" t="n">
        <v>0</v>
      </c>
      <c r="L931" s="28">
        <f>IFERROR(IF(OR(J931=0,K931=""),"",IF(E931="Positivo",MIN(MAX(K931/J931,0),1.3),MIN(MAX(J931/K931,0),1.3))),"") </f>
        <v/>
      </c>
      <c r="M931" s="28">
        <f>IFERROR(IF(OR(J931=0,K931=""),"",IF(E931="Positivo",MAX(K931/J931,0),MAX(J931/K931,0))),"") </f>
        <v/>
      </c>
      <c r="N931" s="5" t="n"/>
      <c r="O931" s="5" t="n"/>
      <c r="P931" s="5" t="n">
        <v>0</v>
      </c>
      <c r="Q931" s="5" t="n">
        <v>0</v>
      </c>
      <c r="R931" s="5" t="inlineStr">
        <is>
          <t>327-2024-12-31</t>
        </is>
      </c>
    </row>
    <row r="932">
      <c r="A932" s="54" t="n">
        <v>327</v>
      </c>
      <c r="B932" s="5" t="inlineStr">
        <is>
          <t>Número de programas con obtención de acreditación por primera vez</t>
        </is>
      </c>
      <c r="C932" s="5" t="inlineStr">
        <is>
          <t>Autoevaluación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44" t="n">
        <v>45838</v>
      </c>
      <c r="G932" s="5" t="n">
        <v>2025</v>
      </c>
      <c r="H932" s="5" t="inlineStr">
        <is>
          <t>Junio</t>
        </is>
      </c>
      <c r="I932" s="6" t="inlineStr">
        <is>
          <t>2025-1</t>
        </is>
      </c>
      <c r="J932" s="5" t="n">
        <v>100</v>
      </c>
      <c r="K932" s="5" t="n">
        <v>100</v>
      </c>
      <c r="L932" s="120">
        <f>IFERROR(IF(OR(J932=0,K932=""),"",IF(E932="Positivo",MIN(MAX(K932/J932,0),1.3),MIN(MAX(J932/K932,0),1.3))),"") </f>
        <v/>
      </c>
      <c r="M932" s="28">
        <f>IFERROR(IF(OR(J932=0,K932=""),"",IF(E932="Positivo",MAX(K932/J932,0),MAX(J932/K932,0))),"") </f>
        <v/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327-2025-06-30</t>
        </is>
      </c>
    </row>
    <row r="933">
      <c r="A933" s="39" t="n">
        <v>327</v>
      </c>
      <c r="B933" s="5" t="inlineStr">
        <is>
          <t>Número de programas con obtención de acreditación por primera vez- Metrica</t>
        </is>
      </c>
      <c r="C933" s="5" t="inlineStr">
        <is>
          <t>Autoevaluación de programas académicos</t>
        </is>
      </c>
      <c r="D933" s="5" t="inlineStr">
        <is>
          <t>Trimestral</t>
        </is>
      </c>
      <c r="E933" s="5" t="inlineStr">
        <is>
          <t>Positivo</t>
        </is>
      </c>
      <c r="F933" s="144" t="n">
        <v>46022</v>
      </c>
      <c r="G933" s="5" t="n">
        <v>2025</v>
      </c>
      <c r="H933" s="5" t="inlineStr">
        <is>
          <t>Diciembre</t>
        </is>
      </c>
      <c r="I933" s="6" t="inlineStr">
        <is>
          <t>2025-2</t>
        </is>
      </c>
      <c r="J933" s="5" t="n">
        <v>100</v>
      </c>
      <c r="K933" s="5" t="n">
        <v>100</v>
      </c>
      <c r="L933" s="136" t="n"/>
      <c r="M933" s="28" t="n"/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327-2025-12-31</t>
        </is>
      </c>
      <c r="S933" t="inlineStr">
        <is>
          <t>Metrica</t>
        </is>
      </c>
    </row>
    <row r="934">
      <c r="A934" s="43" t="n">
        <v>328</v>
      </c>
      <c r="B934" s="5" t="inlineStr">
        <is>
          <t>Nivel de encuestas obtenidas en el encuentro institucional de graduados</t>
        </is>
      </c>
      <c r="C934" s="5" t="inlineStr">
        <is>
          <t>Gestión de Graduados</t>
        </is>
      </c>
      <c r="D934" s="5" t="inlineStr">
        <is>
          <t>Anual</t>
        </is>
      </c>
      <c r="E934" s="5" t="inlineStr">
        <is>
          <t>Positivo</t>
        </is>
      </c>
      <c r="F934" s="144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800</v>
      </c>
      <c r="K934" s="5" t="n">
        <v>1035</v>
      </c>
      <c r="L934" s="120">
        <f>IFERROR(IF(OR(J934=0,K934=""),"",IF(E934="Positivo",MIN(MAX(K934/J934,0),1.3),MIN(MAX(J934/K934,0),1.3))),"") </f>
        <v/>
      </c>
      <c r="M934" s="28">
        <f>IFERROR(IF(OR(J934=0,K934=""),"",IF(E934="Positivo",MAX(K934/J934,0),MAX(J934/K934,0))),"") </f>
        <v/>
      </c>
      <c r="N934" s="5" t="n"/>
      <c r="O934" s="5" t="n"/>
      <c r="P934" s="5" t="n">
        <v>0</v>
      </c>
      <c r="Q934" s="5" t="n">
        <v>0</v>
      </c>
      <c r="R934" s="5" t="inlineStr">
        <is>
          <t>328-2023-12-31</t>
        </is>
      </c>
    </row>
    <row r="935">
      <c r="A935" s="39" t="n">
        <v>328</v>
      </c>
      <c r="B935" s="5" t="inlineStr">
        <is>
          <t>Nivel de encuestas obtenidas en el encuentro institucional de graduados</t>
        </is>
      </c>
      <c r="C935" s="5" t="inlineStr">
        <is>
          <t>Gestión de Graduados</t>
        </is>
      </c>
      <c r="D935" s="5" t="inlineStr">
        <is>
          <t>Anual</t>
        </is>
      </c>
      <c r="E935" s="5" t="inlineStr">
        <is>
          <t>Positivo</t>
        </is>
      </c>
      <c r="F935" s="144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100</v>
      </c>
      <c r="K935" s="5" t="n">
        <v>157</v>
      </c>
      <c r="L935" s="120">
        <f>IFERROR(IF(OR(J935=0,K935=""),"",IF(E935="Positivo",MIN(MAX(K935/J935,0),1.3),MIN(MAX(J935/K935,0),1.3))),"") </f>
        <v/>
      </c>
      <c r="M935" s="28">
        <f>IFERROR(IF(OR(J935=0,K935=""),"",IF(E935="Positivo",MAX(K935/J935,0),MAX(J935/K935,0))),"") </f>
        <v/>
      </c>
      <c r="N935" s="5" t="n"/>
      <c r="O935" s="5" t="n"/>
      <c r="P935" s="5" t="n">
        <v>0</v>
      </c>
      <c r="Q935" s="5" t="n">
        <v>0</v>
      </c>
      <c r="R935" s="5" t="inlineStr">
        <is>
          <t>328-2024-12-31</t>
        </is>
      </c>
    </row>
    <row r="936">
      <c r="A936" s="5" t="n">
        <v>329</v>
      </c>
      <c r="B936" s="5" t="inlineStr">
        <is>
          <t>Participación en actividades diseñadas para graduados</t>
        </is>
      </c>
      <c r="C936" s="5" t="inlineStr">
        <is>
          <t>Gestión de Graduados</t>
        </is>
      </c>
      <c r="D936" s="5" t="inlineStr">
        <is>
          <t>Anual</t>
        </is>
      </c>
      <c r="E936" s="5" t="inlineStr">
        <is>
          <t>Positivo</t>
        </is>
      </c>
      <c r="F936" s="144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3000</v>
      </c>
      <c r="K936" s="5" t="n">
        <v>3315</v>
      </c>
      <c r="L936" s="28">
        <f>IFERROR(IF(OR(J936=0,K936=""),"",IF(E936="Positivo",MIN(MAX(K936/J936,0),1.3),MIN(MAX(J936/K936,0),1.3))),"") </f>
        <v/>
      </c>
      <c r="M936" s="28">
        <f>IFERROR(IF(OR(J936=0,K936=""),"",IF(E936="Positivo",MAX(K936/J936,0),MAX(J936/K936,0))),"") </f>
        <v/>
      </c>
      <c r="N936" s="5" t="n"/>
      <c r="O936" s="5" t="n"/>
      <c r="P936" s="5" t="n">
        <v>0</v>
      </c>
      <c r="Q936" s="5" t="n">
        <v>0</v>
      </c>
      <c r="R936" s="5" t="inlineStr">
        <is>
          <t>329-2023-12-31</t>
        </is>
      </c>
    </row>
    <row r="937">
      <c r="A937" s="5" t="n">
        <v>329</v>
      </c>
      <c r="B937" s="5" t="inlineStr">
        <is>
          <t>Participación en actividades diseñadas para graduados</t>
        </is>
      </c>
      <c r="C937" s="5" t="inlineStr">
        <is>
          <t>Gestión de Graduados</t>
        </is>
      </c>
      <c r="D937" s="5" t="inlineStr">
        <is>
          <t>Anual</t>
        </is>
      </c>
      <c r="E937" s="5" t="inlineStr">
        <is>
          <t>Positivo</t>
        </is>
      </c>
      <c r="F937" s="144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100</v>
      </c>
      <c r="K937" s="5" t="n">
        <v>106.63</v>
      </c>
      <c r="L937" s="28">
        <f>IFERROR(IF(OR(J937=0,K937=""),"",IF(E937="Positivo",MIN(MAX(K937/J937,0),1.3),MIN(MAX(J937/K937,0),1.3))),"") </f>
        <v/>
      </c>
      <c r="M937" s="28">
        <f>IFERROR(IF(OR(J937=0,K937=""),"",IF(E937="Positivo",MAX(K937/J937,0),MAX(J937/K937,0))),"") </f>
        <v/>
      </c>
      <c r="N937" s="5" t="n"/>
      <c r="O937" s="5" t="n"/>
      <c r="P937" s="5" t="n">
        <v>0</v>
      </c>
      <c r="Q937" s="5" t="n">
        <v>0</v>
      </c>
      <c r="R937" s="5" t="inlineStr">
        <is>
          <t>329-2024-12-31</t>
        </is>
      </c>
    </row>
    <row r="938">
      <c r="A938" s="54" t="n">
        <v>331</v>
      </c>
      <c r="B938" s="5" t="inlineStr">
        <is>
          <t>Nivel de empleabilidad del graduado</t>
        </is>
      </c>
      <c r="C938" s="5" t="inlineStr">
        <is>
          <t>Gestión de Graduados</t>
        </is>
      </c>
      <c r="D938" s="5" t="inlineStr">
        <is>
          <t>Anual</t>
        </is>
      </c>
      <c r="E938" s="5" t="inlineStr">
        <is>
          <t>Positivo</t>
        </is>
      </c>
      <c r="F938" s="144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0</v>
      </c>
      <c r="K938" s="5" t="n">
        <v>81</v>
      </c>
      <c r="L938" s="120">
        <f>IFERROR(IF(OR(J938=0,K938=""),"",IF(E938="Positivo",MIN(MAX(K938/J938,0),1.3),MIN(MAX(J938/K938,0),1.3))),"") </f>
        <v/>
      </c>
      <c r="M938" s="28">
        <f>IFERROR(IF(OR(J938=0,K938=""),"",IF(E938="Positivo",MAX(K938/J938,0),MAX(J938/K938,0))),"") </f>
        <v/>
      </c>
      <c r="N938" s="5" t="inlineStr">
        <is>
          <t>Metrica</t>
        </is>
      </c>
      <c r="O938" s="5" t="inlineStr">
        <is>
          <t>%</t>
        </is>
      </c>
      <c r="P938" s="5" t="n">
        <v>0</v>
      </c>
      <c r="Q938" s="5" t="n">
        <v>0</v>
      </c>
      <c r="R938" s="5" t="inlineStr">
        <is>
          <t>331-2023-12-31</t>
        </is>
      </c>
    </row>
    <row r="939">
      <c r="A939" s="39" t="n">
        <v>331</v>
      </c>
      <c r="B939" s="5" t="inlineStr">
        <is>
          <t>Nivel de empleabilidad del graduado</t>
        </is>
      </c>
      <c r="C939" s="5" t="inlineStr">
        <is>
          <t>Gestión de Graduados</t>
        </is>
      </c>
      <c r="D939" s="5" t="inlineStr">
        <is>
          <t>Anual</t>
        </is>
      </c>
      <c r="E939" s="5" t="inlineStr">
        <is>
          <t>Positivo</t>
        </is>
      </c>
      <c r="F939" s="144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5" t="n">
        <v>0</v>
      </c>
      <c r="K939" s="5" t="n">
        <v>82</v>
      </c>
      <c r="L939" s="120">
        <f>IFERROR(IF(OR(J939=0,K939=""),"",IF(E939="Positivo",MIN(MAX(K939/J939,0),1.3),MIN(MAX(J939/K939,0),1.3))),"") </f>
        <v/>
      </c>
      <c r="M939" s="28">
        <f>IFERROR(IF(OR(J939=0,K939=""),"",IF(E939="Positivo",MAX(K939/J939,0),MAX(J939/K939,0))),"") </f>
        <v/>
      </c>
      <c r="N939" s="5" t="inlineStr">
        <is>
          <t>Metrica</t>
        </is>
      </c>
      <c r="O939" s="5" t="inlineStr">
        <is>
          <t>%</t>
        </is>
      </c>
      <c r="P939" s="5" t="n">
        <v>0</v>
      </c>
      <c r="Q939" s="5" t="n">
        <v>0</v>
      </c>
      <c r="R939" s="5" t="inlineStr">
        <is>
          <t>331-2024-12-31</t>
        </is>
      </c>
    </row>
    <row r="940">
      <c r="A940" s="43" t="n">
        <v>332</v>
      </c>
      <c r="B940" s="5" t="inlineStr">
        <is>
          <t>Índice de rotación</t>
        </is>
      </c>
      <c r="C940" s="5" t="inlineStr">
        <is>
          <t>GESTIÓN Y DESARROLLO DEL TALENTO HUMANO</t>
        </is>
      </c>
      <c r="D940" s="5" t="inlineStr">
        <is>
          <t>Semestral</t>
        </is>
      </c>
      <c r="E940" s="5" t="inlineStr">
        <is>
          <t>Negativo</t>
        </is>
      </c>
      <c r="F940" s="144" t="n">
        <v>45107</v>
      </c>
      <c r="G940" s="5" t="n">
        <v>2023</v>
      </c>
      <c r="H940" s="5" t="inlineStr">
        <is>
          <t>Junio</t>
        </is>
      </c>
      <c r="I940" s="6" t="inlineStr">
        <is>
          <t>2023-1</t>
        </is>
      </c>
      <c r="J940" s="5" t="n">
        <v>1.8</v>
      </c>
      <c r="K940" s="5" t="n">
        <v>1.57</v>
      </c>
      <c r="L940" s="120">
        <f>IFERROR(IF(OR(J940=0,K940=""),"",IF(E940="Positivo",MIN(MAX(K940/J940,0),1.3),MIN(MAX(J940/K940,0),1.3))),"") </f>
        <v/>
      </c>
      <c r="M940" s="28">
        <f>IFERROR(IF(OR(J940=0,K940=""),"",IF(E940="Positivo",MAX(K940/J940,0),MAX(J940/K940,0))),"") </f>
        <v/>
      </c>
      <c r="N940" s="5" t="inlineStr">
        <is>
          <t>DEC</t>
        </is>
      </c>
      <c r="O940" s="5" t="inlineStr">
        <is>
          <t>DEC</t>
        </is>
      </c>
      <c r="P940" s="5" t="n">
        <v>1</v>
      </c>
      <c r="Q940" s="5" t="n">
        <v>2</v>
      </c>
      <c r="R940" s="5" t="inlineStr">
        <is>
          <t>332-2023-06-30</t>
        </is>
      </c>
    </row>
    <row r="941">
      <c r="A941" s="39" t="n">
        <v>332</v>
      </c>
      <c r="B941" s="5" t="inlineStr">
        <is>
          <t>Índice de rotación</t>
        </is>
      </c>
      <c r="C941" s="5" t="inlineStr">
        <is>
          <t>GESTIÓN Y DESARROLLO DEL TALENTO HUMANO</t>
        </is>
      </c>
      <c r="D941" s="5" t="inlineStr">
        <is>
          <t>Semestral</t>
        </is>
      </c>
      <c r="E941" s="5" t="inlineStr">
        <is>
          <t>Negativo</t>
        </is>
      </c>
      <c r="F941" s="144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1.8</v>
      </c>
      <c r="K941" s="5" t="n">
        <v>1.3</v>
      </c>
      <c r="L941" s="120">
        <f>IFERROR(IF(OR(J941=0,K941=""),"",IF(E941="Positivo",MIN(MAX(K941/J941,0),1.3),MIN(MAX(J941/K941,0),1.3))),"") </f>
        <v/>
      </c>
      <c r="M941" s="28">
        <f>IFERROR(IF(OR(J941=0,K941=""),"",IF(E941="Positivo",MAX(K941/J941,0),MAX(J941/K941,0))),"") </f>
        <v/>
      </c>
      <c r="N941" s="5" t="inlineStr">
        <is>
          <t>DEC</t>
        </is>
      </c>
      <c r="O941" s="5" t="inlineStr">
        <is>
          <t>DEC</t>
        </is>
      </c>
      <c r="P941" s="5" t="n">
        <v>1</v>
      </c>
      <c r="Q941" s="5" t="n">
        <v>1</v>
      </c>
      <c r="R941" s="5" t="inlineStr">
        <is>
          <t>332-2023-12-31</t>
        </is>
      </c>
    </row>
    <row r="942">
      <c r="A942" s="5" t="n">
        <v>332</v>
      </c>
      <c r="B942" s="5" t="inlineStr">
        <is>
          <t>Índice de rotación</t>
        </is>
      </c>
      <c r="C942" s="5" t="inlineStr">
        <is>
          <t>GESTIÓN Y DESARROLLO DEL TALENTO HUMANO</t>
        </is>
      </c>
      <c r="D942" s="5" t="inlineStr">
        <is>
          <t>Semestral</t>
        </is>
      </c>
      <c r="E942" s="5" t="inlineStr">
        <is>
          <t>Negativo</t>
        </is>
      </c>
      <c r="F942" s="144" t="n">
        <v>45473</v>
      </c>
      <c r="G942" s="5" t="n">
        <v>2024</v>
      </c>
      <c r="H942" s="5" t="inlineStr">
        <is>
          <t>Junio</t>
        </is>
      </c>
      <c r="I942" s="6" t="inlineStr">
        <is>
          <t>2024-1</t>
        </is>
      </c>
      <c r="J942" s="5" t="n">
        <v>1.5</v>
      </c>
      <c r="K942" s="5" t="n">
        <v>1.48</v>
      </c>
      <c r="L942" s="28">
        <f>IFERROR(IF(OR(J942=0,K942=""),"",IF(E942="Positivo",MIN(MAX(K942/J942,0),1.3),MIN(MAX(J942/K942,0),1.3))),"") </f>
        <v/>
      </c>
      <c r="M942" s="28">
        <f>IFERROR(IF(OR(J942=0,K942=""),"",IF(E942="Positivo",MAX(K942/J942,0),MAX(J942/K942,0))),"") </f>
        <v/>
      </c>
      <c r="N942" s="5" t="inlineStr">
        <is>
          <t>DEC</t>
        </is>
      </c>
      <c r="O942" s="5" t="inlineStr">
        <is>
          <t>DEC</t>
        </is>
      </c>
      <c r="P942" s="5" t="n">
        <v>1</v>
      </c>
      <c r="Q942" s="5" t="n">
        <v>2</v>
      </c>
      <c r="R942" s="5" t="inlineStr">
        <is>
          <t>332-2024-06-30</t>
        </is>
      </c>
    </row>
    <row r="943">
      <c r="A943" s="5" t="n">
        <v>332</v>
      </c>
      <c r="B943" s="5" t="inlineStr">
        <is>
          <t>Índice de rotación</t>
        </is>
      </c>
      <c r="C943" s="5" t="inlineStr">
        <is>
          <t>GESTIÓN Y DESARROLLO DEL TALENTO HUMANO</t>
        </is>
      </c>
      <c r="D943" s="5" t="inlineStr">
        <is>
          <t>Semestral</t>
        </is>
      </c>
      <c r="E943" s="5" t="inlineStr">
        <is>
          <t>Negativo</t>
        </is>
      </c>
      <c r="F943" s="144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1.8</v>
      </c>
      <c r="K943" s="5" t="n">
        <v>0.82</v>
      </c>
      <c r="L943" s="28">
        <f>IFERROR(IF(OR(J943=0,K943=""),"",IF(E943="Positivo",MIN(MAX(K943/J943,0),1.3),MIN(MAX(J943/K943,0),1.3))),"") </f>
        <v/>
      </c>
      <c r="M943" s="28">
        <f>IFERROR(IF(OR(J943=0,K943=""),"",IF(E943="Positivo",MAX(K943/J943,0),MAX(J943/K943,0))),"") </f>
        <v/>
      </c>
      <c r="N943" s="5" t="inlineStr">
        <is>
          <t>DEC</t>
        </is>
      </c>
      <c r="O943" s="5" t="inlineStr">
        <is>
          <t>DEC</t>
        </is>
      </c>
      <c r="P943" s="5" t="n">
        <v>1</v>
      </c>
      <c r="Q943" s="5" t="n">
        <v>2</v>
      </c>
      <c r="R943" s="5" t="inlineStr">
        <is>
          <t>332-2024-12-31</t>
        </is>
      </c>
    </row>
    <row r="944">
      <c r="A944" s="54" t="n">
        <v>332</v>
      </c>
      <c r="B944" s="5" t="inlineStr">
        <is>
          <t>Índice de rotación</t>
        </is>
      </c>
      <c r="C944" s="5" t="inlineStr">
        <is>
          <t>GESTIÓN Y DESARROLLO DEL TALENTO HUMANO</t>
        </is>
      </c>
      <c r="D944" s="5" t="inlineStr">
        <is>
          <t>Semestral</t>
        </is>
      </c>
      <c r="E944" s="5" t="inlineStr">
        <is>
          <t>Negativo</t>
        </is>
      </c>
      <c r="F944" s="144" t="n">
        <v>45838</v>
      </c>
      <c r="G944" s="5" t="n">
        <v>2025</v>
      </c>
      <c r="H944" s="5" t="inlineStr">
        <is>
          <t>Junio</t>
        </is>
      </c>
      <c r="I944" s="6" t="inlineStr">
        <is>
          <t>2025-1</t>
        </is>
      </c>
      <c r="J944" s="5" t="n">
        <v>1.18</v>
      </c>
      <c r="K944" s="5" t="n">
        <v>0.85</v>
      </c>
      <c r="L944" s="120">
        <f>IFERROR(IF(OR(J944=0,K944=""),"",IF(E944="Positivo",MIN(MAX(K944/J944,0),1.3),MIN(MAX(J944/K944,0),1.3))),"") </f>
        <v/>
      </c>
      <c r="M944" s="28">
        <f>IFERROR(IF(OR(J944=0,K944=""),"",IF(E944="Positivo",MAX(K944/J944,0),MAX(J944/K944,0))),"") </f>
        <v/>
      </c>
      <c r="N944" s="5" t="inlineStr">
        <is>
          <t>DEC</t>
        </is>
      </c>
      <c r="O944" s="5" t="inlineStr">
        <is>
          <t>DEC</t>
        </is>
      </c>
      <c r="P944" s="5" t="n">
        <v>2</v>
      </c>
      <c r="Q944" s="5" t="n">
        <v>2</v>
      </c>
      <c r="R944" s="5" t="inlineStr">
        <is>
          <t>332-2025-06-30</t>
        </is>
      </c>
    </row>
    <row r="945">
      <c r="A945" s="39" t="n">
        <v>332</v>
      </c>
      <c r="B945" s="5" t="inlineStr">
        <is>
          <t>Índice de rotación</t>
        </is>
      </c>
      <c r="C945" s="5" t="inlineStr">
        <is>
          <t>GESTIÓN Y DESARROLLO DEL TALENTO HUMANO</t>
        </is>
      </c>
      <c r="D945" s="5" t="inlineStr">
        <is>
          <t>Trimestral</t>
        </is>
      </c>
      <c r="E945" s="5" t="inlineStr">
        <is>
          <t>Negativo</t>
        </is>
      </c>
      <c r="F945" s="144" t="n">
        <v>46022</v>
      </c>
      <c r="G945" s="5" t="n">
        <v>2025</v>
      </c>
      <c r="H945" s="5" t="inlineStr">
        <is>
          <t>Diciembre</t>
        </is>
      </c>
      <c r="I945" s="6" t="inlineStr">
        <is>
          <t>2025-2</t>
        </is>
      </c>
      <c r="J945" s="5" t="n">
        <v>1.18</v>
      </c>
      <c r="K945" s="5" t="n">
        <v>0.93</v>
      </c>
      <c r="L945" s="120">
        <f>IFERROR(IF(OR(J945=0,K945=""),"",IF(E945="Positivo",MIN(MAX(K945/J945,0),1.3),MIN(MAX(J945/K945,0),1.3))),"") </f>
        <v/>
      </c>
      <c r="M945" s="28">
        <f>IFERROR(IF(OR(J945=0,K945=""),"",IF(E945="Positivo",MAX(K945/J945,0),MAX(J945/K945,0))),"") </f>
        <v/>
      </c>
      <c r="N945" s="5" t="inlineStr">
        <is>
          <t>DEC</t>
        </is>
      </c>
      <c r="O945" s="5" t="inlineStr">
        <is>
          <t>DEC</t>
        </is>
      </c>
      <c r="P945" s="5" t="n">
        <v>2</v>
      </c>
      <c r="Q945" s="5" t="n">
        <v>2</v>
      </c>
      <c r="R945" s="5" t="inlineStr">
        <is>
          <t>332-2025-12-31</t>
        </is>
      </c>
    </row>
    <row r="946">
      <c r="A946" s="43" t="n">
        <v>334</v>
      </c>
      <c r="B946" s="5" t="inlineStr">
        <is>
          <t>Resultado de la evaluación 360 (evaluación por competencias)</t>
        </is>
      </c>
      <c r="C946" s="5" t="inlineStr">
        <is>
          <t>GESTIÓN Y DESARROLLO DEL TALENTO HUMANO</t>
        </is>
      </c>
      <c r="D946" s="5" t="inlineStr">
        <is>
          <t>Anual</t>
        </is>
      </c>
      <c r="E946" s="5" t="inlineStr">
        <is>
          <t>Positivo</t>
        </is>
      </c>
      <c r="F946" s="144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88</v>
      </c>
      <c r="K946" s="5" t="n">
        <v>88.39</v>
      </c>
      <c r="L946" s="120">
        <f>IFERROR(IF(OR(J946=0,K946=""),"",IF(E946="Positivo",MIN(MAX(K946/J946,0),1.3),MIN(MAX(J946/K946,0),1.3))),"") </f>
        <v/>
      </c>
      <c r="M946" s="28">
        <f>IFERROR(IF(OR(J946=0,K946=""),"",IF(E946="Positivo",MAX(K946/J946,0),MAX(J946/K946,0))),"") </f>
        <v/>
      </c>
      <c r="N946" s="5" t="n"/>
      <c r="O946" s="5" t="n"/>
      <c r="P946" s="5" t="n">
        <v>0</v>
      </c>
      <c r="Q946" s="5" t="n">
        <v>0</v>
      </c>
      <c r="R946" s="5" t="inlineStr">
        <is>
          <t>334-2023-12-31</t>
        </is>
      </c>
    </row>
    <row r="947">
      <c r="A947" s="39" t="n">
        <v>334</v>
      </c>
      <c r="B947" s="5" t="inlineStr">
        <is>
          <t>Resultado de la evaluación 360 (evaluación por competencias)</t>
        </is>
      </c>
      <c r="C947" s="5" t="inlineStr">
        <is>
          <t>GESTIÓN Y DESARROLLO DEL TALENTO HUMANO</t>
        </is>
      </c>
      <c r="D947" s="5" t="inlineStr">
        <is>
          <t>Anual</t>
        </is>
      </c>
      <c r="E947" s="5" t="inlineStr">
        <is>
          <t>Positivo</t>
        </is>
      </c>
      <c r="F947" s="144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88</v>
      </c>
      <c r="K947" s="5" t="n">
        <v>88.84</v>
      </c>
      <c r="L947" s="120">
        <f>IFERROR(IF(OR(J947=0,K947=""),"",IF(E947="Positivo",MIN(MAX(K947/J947,0),1.3),MIN(MAX(J947/K947,0),1.3))),"") </f>
        <v/>
      </c>
      <c r="M947" s="28">
        <f>IFERROR(IF(OR(J947=0,K947=""),"",IF(E947="Positivo",MAX(K947/J947,0),MAX(J947/K947,0))),"") </f>
        <v/>
      </c>
      <c r="N947" s="5" t="n"/>
      <c r="O947" s="5" t="n"/>
      <c r="P947" s="5" t="n">
        <v>0</v>
      </c>
      <c r="Q947" s="5" t="n">
        <v>0</v>
      </c>
      <c r="R947" s="5" t="inlineStr">
        <is>
          <t>334-2024-12-31</t>
        </is>
      </c>
    </row>
    <row r="948">
      <c r="A948" s="54" t="n">
        <v>334</v>
      </c>
      <c r="B948" s="5" t="inlineStr">
        <is>
          <t>Resultado de la evaluación 360 (evaluación por competencias)</t>
        </is>
      </c>
      <c r="C948" s="5" t="inlineStr">
        <is>
          <t>GESTIÓN Y DESARROLLO DEL TALENTO HUMANO</t>
        </is>
      </c>
      <c r="D948" s="5" t="inlineStr">
        <is>
          <t>Anual</t>
        </is>
      </c>
      <c r="E948" s="5" t="inlineStr">
        <is>
          <t>Positivo</t>
        </is>
      </c>
      <c r="F948" s="144" t="n">
        <v>46022</v>
      </c>
      <c r="G948" s="5" t="n">
        <v>2025</v>
      </c>
      <c r="H948" s="5" t="inlineStr">
        <is>
          <t>Diciembre</t>
        </is>
      </c>
      <c r="I948" s="6" t="inlineStr">
        <is>
          <t>2025-2</t>
        </is>
      </c>
      <c r="J948" s="5" t="n">
        <v>89</v>
      </c>
      <c r="K948" s="5" t="n">
        <v>90.09999999999999</v>
      </c>
      <c r="L948" s="120">
        <f>IFERROR(IF(OR(J948=0,K948=""),"",IF(E948="Positivo",MIN(MAX(K948/J948,0),1.3),MIN(MAX(J948/K948,0),1.3))),"") </f>
        <v/>
      </c>
      <c r="M948" s="28">
        <f>IFERROR(IF(OR(J948=0,K948=""),"",IF(E948="Positivo",MAX(K948/J948,0),MAX(J948/K948,0))),"") </f>
        <v/>
      </c>
      <c r="N948" s="5" t="inlineStr">
        <is>
          <t>ENT</t>
        </is>
      </c>
      <c r="O948" s="5" t="inlineStr">
        <is>
          <t>DEC</t>
        </is>
      </c>
      <c r="P948" s="5" t="n">
        <v>0</v>
      </c>
      <c r="Q948" s="5" t="n">
        <v>1</v>
      </c>
      <c r="R948" s="5" t="inlineStr">
        <is>
          <t>334-2025-12-31</t>
        </is>
      </c>
    </row>
    <row r="949">
      <c r="A949" s="39" t="n">
        <v>335</v>
      </c>
      <c r="B949" s="5" t="inlineStr">
        <is>
          <t>Cumplimiento de diagnóstico necesidades de capacitación por área</t>
        </is>
      </c>
      <c r="C949" s="5" t="inlineStr">
        <is>
          <t>GESTIÓN Y DESARROLLO DEL TALENTO HUMANO</t>
        </is>
      </c>
      <c r="D949" s="5" t="inlineStr">
        <is>
          <t>Anual</t>
        </is>
      </c>
      <c r="E949" s="5" t="inlineStr">
        <is>
          <t>Positivo</t>
        </is>
      </c>
      <c r="F949" s="144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80</v>
      </c>
      <c r="K949" s="5" t="n">
        <v>93.84999999999999</v>
      </c>
      <c r="L949" s="120">
        <f>IFERROR(IF(OR(J949=0,K949=""),"",IF(E949="Positivo",MIN(MAX(K949/J949,0),1.3),MIN(MAX(J949/K949,0),1.3))),"") </f>
        <v/>
      </c>
      <c r="M949" s="28">
        <f>IFERROR(IF(OR(J949=0,K949=""),"",IF(E949="Positivo",MAX(K949/J949,0),MAX(J949/K949,0))),"") </f>
        <v/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335-2023-12-31</t>
        </is>
      </c>
    </row>
    <row r="950">
      <c r="A950" s="43" t="n">
        <v>335</v>
      </c>
      <c r="B950" s="5" t="inlineStr">
        <is>
          <t>Cumplimiento de diagnóstico necesidades de capacitación por área</t>
        </is>
      </c>
      <c r="C950" s="5" t="inlineStr">
        <is>
          <t>GESTIÓN Y DESARROLLO DEL TALENTO HUMANO</t>
        </is>
      </c>
      <c r="D950" s="5" t="inlineStr">
        <is>
          <t>Anual</t>
        </is>
      </c>
      <c r="E950" s="5" t="inlineStr">
        <is>
          <t>Positivo</t>
        </is>
      </c>
      <c r="F950" s="144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82</v>
      </c>
      <c r="K950" s="5" t="n">
        <v>80.95</v>
      </c>
      <c r="L950" s="120">
        <f>IFERROR(IF(OR(J950=0,K950=""),"",IF(E950="Positivo",MIN(MAX(K950/J950,0),1.3),MIN(MAX(J950/K950,0),1.3))),"") </f>
        <v/>
      </c>
      <c r="M950" s="28">
        <f>IFERROR(IF(OR(J950=0,K950=""),"",IF(E950="Positivo",MAX(K950/J950,0),MAX(J950/K950,0))),"") </f>
        <v/>
      </c>
      <c r="N950" s="5" t="n"/>
      <c r="O950" s="5" t="n"/>
      <c r="P950" s="5" t="n">
        <v>0</v>
      </c>
      <c r="Q950" s="5" t="n">
        <v>0</v>
      </c>
      <c r="R950" s="5" t="inlineStr">
        <is>
          <t>335-2024-12-31</t>
        </is>
      </c>
    </row>
    <row r="951">
      <c r="A951" s="39" t="n">
        <v>336</v>
      </c>
      <c r="B951" s="5" t="inlineStr">
        <is>
          <t>Materiales bibliográficos en formato físico con estado de perdida</t>
        </is>
      </c>
      <c r="C951" s="5" t="inlineStr">
        <is>
          <t>Biblioteca Institucional</t>
        </is>
      </c>
      <c r="D951" s="5" t="inlineStr">
        <is>
          <t>Anual</t>
        </is>
      </c>
      <c r="E951" s="5" t="inlineStr">
        <is>
          <t>Negativo</t>
        </is>
      </c>
      <c r="F951" s="144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2</v>
      </c>
      <c r="K951" s="5" t="n">
        <v>1.742198218602321</v>
      </c>
      <c r="L951" s="120">
        <f>IFERROR(IF(OR(J951=0,K951=""),"",IF(E951="Positivo",MIN(MAX(K951/J951,0),1.3),MIN(MAX(J951/K951,0),1.3))),"") </f>
        <v/>
      </c>
      <c r="M951" s="28">
        <f>IFERROR(IF(OR(J951=0,K951=""),"",IF(E951="Positivo",MAX(K951/J951,0),MAX(J951/K951,0))),"") </f>
        <v/>
      </c>
      <c r="N951" s="5" t="n"/>
      <c r="O951" s="5" t="n"/>
      <c r="P951" s="5" t="n">
        <v>0</v>
      </c>
      <c r="Q951" s="5" t="n">
        <v>0</v>
      </c>
      <c r="R951" s="5" t="inlineStr">
        <is>
          <t>336-2023-12-31</t>
        </is>
      </c>
    </row>
    <row r="952">
      <c r="A952" s="5" t="n">
        <v>336</v>
      </c>
      <c r="B952" s="5" t="inlineStr">
        <is>
          <t>Materiales bibliográficos en formato físico con estado de perdida</t>
        </is>
      </c>
      <c r="C952" s="5" t="inlineStr">
        <is>
          <t>Biblioteca Institucional</t>
        </is>
      </c>
      <c r="D952" s="5" t="inlineStr">
        <is>
          <t>Anual</t>
        </is>
      </c>
      <c r="E952" s="5" t="inlineStr">
        <is>
          <t>Negativo</t>
        </is>
      </c>
      <c r="F952" s="144" t="n">
        <v>45657</v>
      </c>
      <c r="G952" s="5" t="n">
        <v>2024</v>
      </c>
      <c r="H952" s="5" t="inlineStr">
        <is>
          <t>Diciembre</t>
        </is>
      </c>
      <c r="I952" s="6" t="inlineStr">
        <is>
          <t>2024-2</t>
        </is>
      </c>
      <c r="J952" s="5" t="n">
        <v>2</v>
      </c>
      <c r="K952" s="5" t="n">
        <v>0.79</v>
      </c>
      <c r="L952" s="28">
        <f>IFERROR(IF(OR(J952=0,K952=""),"",IF(E952="Positivo",MIN(MAX(K952/J952,0),1.3),MIN(MAX(J952/K952,0),1.3))),"") </f>
        <v/>
      </c>
      <c r="M952" s="28">
        <f>IFERROR(IF(OR(J952=0,K952=""),"",IF(E952="Positivo",MAX(K952/J952,0),MAX(J952/K952,0))),"") </f>
        <v/>
      </c>
      <c r="N952" s="5" t="n"/>
      <c r="O952" s="5" t="n"/>
      <c r="P952" s="5" t="n">
        <v>0</v>
      </c>
      <c r="Q952" s="5" t="n">
        <v>0</v>
      </c>
      <c r="R952" s="5" t="inlineStr">
        <is>
          <t>336-2024-12-31</t>
        </is>
      </c>
    </row>
    <row r="953">
      <c r="A953" s="5" t="n">
        <v>336</v>
      </c>
      <c r="B953" s="5" t="inlineStr">
        <is>
          <t>Materiales bibliográficos en formato físico con estado de perdida</t>
        </is>
      </c>
      <c r="C953" s="5" t="inlineStr">
        <is>
          <t>Biblioteca Institucional</t>
        </is>
      </c>
      <c r="D953" s="5" t="inlineStr">
        <is>
          <t>Anual</t>
        </is>
      </c>
      <c r="E953" s="5" t="inlineStr">
        <is>
          <t>Negativo</t>
        </is>
      </c>
      <c r="F953" s="144" t="n">
        <v>46022</v>
      </c>
      <c r="G953" s="5" t="n">
        <v>2025</v>
      </c>
      <c r="H953" s="5" t="inlineStr">
        <is>
          <t>Diciembre</t>
        </is>
      </c>
      <c r="I953" s="6" t="inlineStr">
        <is>
          <t>2025-2</t>
        </is>
      </c>
      <c r="J953" s="5" t="n">
        <v>2</v>
      </c>
      <c r="K953" s="5" t="n">
        <v>0.36</v>
      </c>
      <c r="L953" s="28">
        <f>IFERROR(IF(OR(J953=0,K953=""),"",IF(E953="Positivo",MIN(MAX(K953/J953,0),1.3),MIN(MAX(J953/K953,0),1.3))),"") </f>
        <v/>
      </c>
      <c r="M953" s="28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336-2025-12-31</t>
        </is>
      </c>
    </row>
    <row r="954">
      <c r="A954" s="43" t="n">
        <v>337</v>
      </c>
      <c r="B954" s="5" t="inlineStr">
        <is>
          <t>Número de programas con renovación de acreditación en alta calidad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44" t="n">
        <v>45107</v>
      </c>
      <c r="G954" s="5" t="n">
        <v>2023</v>
      </c>
      <c r="H954" s="5" t="inlineStr">
        <is>
          <t>Junio</t>
        </is>
      </c>
      <c r="I954" s="6" t="inlineStr">
        <is>
          <t>2023-1</t>
        </is>
      </c>
      <c r="J954" s="5" t="n">
        <v>100</v>
      </c>
      <c r="K954" s="5" t="n"/>
      <c r="L954" s="127" t="n"/>
      <c r="M954" s="28" t="n"/>
      <c r="N954" s="5" t="n"/>
      <c r="O954" s="5" t="n"/>
      <c r="P954" s="5" t="n">
        <v>0</v>
      </c>
      <c r="Q954" s="5" t="n">
        <v>0</v>
      </c>
      <c r="R954" s="5" t="inlineStr">
        <is>
          <t>337-2023-06-30</t>
        </is>
      </c>
    </row>
    <row r="955">
      <c r="A955" s="39" t="n">
        <v>337</v>
      </c>
      <c r="B955" s="5" t="inlineStr">
        <is>
          <t>Número de programas con renovación de acreditación en alta calidad</t>
        </is>
      </c>
      <c r="C955" s="5" t="inlineStr">
        <is>
          <t>Autoevaluación de programas académicos</t>
        </is>
      </c>
      <c r="D955" s="5" t="inlineStr">
        <is>
          <t>Semestral</t>
        </is>
      </c>
      <c r="E955" s="5" t="inlineStr">
        <is>
          <t>Positivo</t>
        </is>
      </c>
      <c r="F955" s="144" t="n">
        <v>45291</v>
      </c>
      <c r="G955" s="5" t="n">
        <v>2023</v>
      </c>
      <c r="H955" s="5" t="inlineStr">
        <is>
          <t>Diciembre</t>
        </is>
      </c>
      <c r="I955" s="6" t="inlineStr">
        <is>
          <t>2023-2</t>
        </is>
      </c>
      <c r="J955" s="5" t="n">
        <v>100</v>
      </c>
      <c r="K955" s="5" t="n">
        <v>100</v>
      </c>
      <c r="L955" s="28">
        <f>IFERROR(IF(OR(J955=0,K955=""),"",IF(E955="Positivo",MIN(MAX(K955/J955,0),1.3),MIN(MAX(J955/K955,0),1.3))),"") </f>
        <v/>
      </c>
      <c r="M955" s="28">
        <f>IFERROR(IF(OR(J955=0,K955=""),"",IF(E955="Positivo",MAX(K955/J955,0),MAX(J955/K955,0))),"") </f>
        <v/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 t="inlineStr">
        <is>
          <t>337-2023-12-31</t>
        </is>
      </c>
    </row>
    <row r="956">
      <c r="A956" s="39" t="n">
        <v>337</v>
      </c>
      <c r="B956" s="5" t="inlineStr">
        <is>
          <t>Número de programas con renovación de acreditación en alta calidad</t>
        </is>
      </c>
      <c r="C956" s="5" t="inlineStr">
        <is>
          <t>Autoevaluación de programas académicos</t>
        </is>
      </c>
      <c r="D956" s="5" t="inlineStr">
        <is>
          <t>Semestral</t>
        </is>
      </c>
      <c r="E956" s="5" t="inlineStr">
        <is>
          <t>Positivo</t>
        </is>
      </c>
      <c r="F956" s="144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28">
        <f>IFERROR(IF(OR(J956=0,K956=""),"",IF(E956="Positivo",MIN(MAX(K956/J956,0),1.3),MIN(MAX(J956/K956,0),1.3))),"") </f>
        <v/>
      </c>
      <c r="M956" s="28">
        <f>IFERROR(IF(OR(J956=0,K956=""),"",IF(E956="Positivo",MAX(K956/J956,0),MAX(J956/K956,0))),"") </f>
        <v/>
      </c>
      <c r="N956" s="5" t="inlineStr">
        <is>
          <t>ENT</t>
        </is>
      </c>
      <c r="O956" s="5" t="inlineStr">
        <is>
          <t>ENT</t>
        </is>
      </c>
      <c r="P956" s="5" t="n">
        <v>0</v>
      </c>
      <c r="Q956" s="5" t="n">
        <v>0</v>
      </c>
      <c r="R956" s="5" t="inlineStr">
        <is>
          <t>337-2024-06-30</t>
        </is>
      </c>
    </row>
    <row r="957">
      <c r="A957" s="5" t="n">
        <v>337</v>
      </c>
      <c r="B957" s="5" t="inlineStr">
        <is>
          <t>Número de programas con renovación de acreditación en alta calidad</t>
        </is>
      </c>
      <c r="C957" s="5" t="inlineStr">
        <is>
          <t>Autoevaluación de programas académicos</t>
        </is>
      </c>
      <c r="D957" s="5" t="inlineStr">
        <is>
          <t>Semestral</t>
        </is>
      </c>
      <c r="E957" s="5" t="inlineStr">
        <is>
          <t>Positivo</t>
        </is>
      </c>
      <c r="F957" s="144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/>
      <c r="L957" s="28" t="n"/>
      <c r="M957" s="28" t="n"/>
      <c r="N957" s="5" t="n"/>
      <c r="O957" s="5" t="n"/>
      <c r="P957" s="5" t="n">
        <v>0</v>
      </c>
      <c r="Q957" s="5" t="n">
        <v>0</v>
      </c>
      <c r="R957" s="5" t="inlineStr">
        <is>
          <t>337-2024-12-31</t>
        </is>
      </c>
    </row>
    <row r="958">
      <c r="A958" s="43" t="n">
        <v>338</v>
      </c>
      <c r="B958" s="5" t="inlineStr">
        <is>
          <t>Número de programas con condiciones iniciales aprobadas (indicador externo)</t>
        </is>
      </c>
      <c r="C958" s="5" t="inlineStr">
        <is>
          <t>Autoevaluación de programas académicos</t>
        </is>
      </c>
      <c r="D958" s="5" t="inlineStr">
        <is>
          <t>Semestral</t>
        </is>
      </c>
      <c r="E958" s="5" t="inlineStr">
        <is>
          <t>Positivo</t>
        </is>
      </c>
      <c r="F958" s="144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11" t="n">
        <v>100</v>
      </c>
      <c r="K958" s="11" t="n">
        <v>100</v>
      </c>
      <c r="L958" s="120">
        <f>IFERROR(IF(OR(J958=0,K958=""),"",IF(E958="Positivo",MIN(MAX(K958/J958,0),1.3),MIN(MAX(J958/K958,0),1.3))),"") </f>
        <v/>
      </c>
      <c r="M958" s="28">
        <f>IFERROR(IF(OR(J958=0,K958=""),"",IF(E958="Positivo",MAX(K958/J958,0),MAX(J958/K958,0))),"") </f>
        <v/>
      </c>
      <c r="N958" s="5" t="inlineStr">
        <is>
          <t>ENT</t>
        </is>
      </c>
      <c r="O958" s="5" t="inlineStr">
        <is>
          <t>ENT</t>
        </is>
      </c>
      <c r="P958" s="5" t="n">
        <v>0</v>
      </c>
      <c r="Q958" s="5" t="n">
        <v>0</v>
      </c>
      <c r="R958" s="5" t="inlineStr">
        <is>
          <t>338-2023-06-30</t>
        </is>
      </c>
    </row>
    <row r="959">
      <c r="A959" s="39" t="n">
        <v>338</v>
      </c>
      <c r="B959" s="5" t="inlineStr">
        <is>
          <t>Número de programas con condiciones iniciales aprobadas (indicador externo)</t>
        </is>
      </c>
      <c r="C959" s="5" t="inlineStr">
        <is>
          <t>Autoevaluación de programas académicos</t>
        </is>
      </c>
      <c r="D959" s="5" t="inlineStr">
        <is>
          <t>Semestral</t>
        </is>
      </c>
      <c r="E959" s="5" t="inlineStr">
        <is>
          <t>Positivo</t>
        </is>
      </c>
      <c r="F959" s="144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100</v>
      </c>
      <c r="K959" s="5" t="n">
        <v>0</v>
      </c>
      <c r="L959" s="120">
        <f>IFERROR(IF(OR(J959=0,K959=""),"",IF(E959="Positivo",MIN(MAX(K959/J959,0),1.3),MIN(MAX(J959/K959,0),1.3))),"") </f>
        <v/>
      </c>
      <c r="M959" s="28">
        <f>IFERROR(IF(OR(J959=0,K959=""),"",IF(E959="Positivo",MAX(K959/J959,0),MAX(J959/K959,0))),"") </f>
        <v/>
      </c>
      <c r="N959" s="5" t="n"/>
      <c r="O959" s="5" t="n"/>
      <c r="P959" s="5" t="n">
        <v>0</v>
      </c>
      <c r="Q959" s="5" t="n">
        <v>0</v>
      </c>
      <c r="R959" s="5" t="inlineStr">
        <is>
          <t>338-2023-12-31</t>
        </is>
      </c>
    </row>
    <row r="960">
      <c r="A960" s="5" t="n">
        <v>338</v>
      </c>
      <c r="B960" s="5" t="inlineStr">
        <is>
          <t>Número de programas con condiciones iniciales aprobadas (indicador externo)</t>
        </is>
      </c>
      <c r="C960" s="5" t="inlineStr">
        <is>
          <t>Autoevaluación de programas académicos</t>
        </is>
      </c>
      <c r="D960" s="5" t="inlineStr">
        <is>
          <t>Semestral</t>
        </is>
      </c>
      <c r="E960" s="5" t="inlineStr">
        <is>
          <t>Positivo</t>
        </is>
      </c>
      <c r="F960" s="144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100</v>
      </c>
      <c r="K960" s="5" t="n">
        <v>100</v>
      </c>
      <c r="L960" s="28">
        <f>IFERROR(IF(OR(J960=0,K960=""),"",IF(E960="Positivo",MIN(MAX(K960/J960,0),1.3),MIN(MAX(J960/K960,0),1.3))),"") </f>
        <v/>
      </c>
      <c r="M960" s="28">
        <f>IFERROR(IF(OR(J960=0,K960=""),"",IF(E960="Positivo",MAX(K960/J960,0),MAX(J960/K960,0))),"") </f>
        <v/>
      </c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338-2024-06-30</t>
        </is>
      </c>
    </row>
    <row r="961">
      <c r="A961" s="5" t="n">
        <v>338</v>
      </c>
      <c r="B961" s="5" t="inlineStr">
        <is>
          <t>Número de programas con condiciones iniciales aprobadas (indicador externo)</t>
        </is>
      </c>
      <c r="C961" s="5" t="inlineStr">
        <is>
          <t>Autoevaluación de programas académicos</t>
        </is>
      </c>
      <c r="D961" s="5" t="inlineStr">
        <is>
          <t>Semestral</t>
        </is>
      </c>
      <c r="E961" s="5" t="inlineStr">
        <is>
          <t>Positivo</t>
        </is>
      </c>
      <c r="F961" s="144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100</v>
      </c>
      <c r="K961" s="5" t="n">
        <v>0</v>
      </c>
      <c r="L961" s="28">
        <f>IFERROR(IF(OR(J961=0,K961=""),"",IF(E961="Positivo",MIN(MAX(K961/J961,0),1.3),MIN(MAX(J961/K961,0),1.3))),"") </f>
        <v/>
      </c>
      <c r="M961" s="28">
        <f>IFERROR(IF(OR(J961=0,K961=""),"",IF(E961="Positivo",MAX(K961/J961,0),MAX(J961/K961,0))),"") </f>
        <v/>
      </c>
      <c r="N961" s="5" t="n"/>
      <c r="O961" s="5" t="n"/>
      <c r="P961" s="5" t="n">
        <v>0</v>
      </c>
      <c r="Q961" s="5" t="n">
        <v>0</v>
      </c>
      <c r="R961" s="5" t="inlineStr">
        <is>
          <t>338-2024-12-31</t>
        </is>
      </c>
    </row>
    <row r="962">
      <c r="A962" s="39" t="n">
        <v>338</v>
      </c>
      <c r="B962" s="5" t="inlineStr">
        <is>
          <t>Número de programas con condiciones iniciales aprobadas (indicador externo)</t>
        </is>
      </c>
      <c r="C962" s="5" t="inlineStr">
        <is>
          <t>Autoevaluación de programas académicos</t>
        </is>
      </c>
      <c r="D962" s="5" t="inlineStr">
        <is>
          <t>Semestral</t>
        </is>
      </c>
      <c r="E962" s="5" t="inlineStr">
        <is>
          <t>Positivo</t>
        </is>
      </c>
      <c r="F962" s="144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100</v>
      </c>
      <c r="K962" s="5" t="n">
        <v>100</v>
      </c>
      <c r="L962" s="28">
        <f>IFERROR(IF(OR(J962=0,K962=""),"",IF(E962="Positivo",MIN(MAX(K962/J962,0),1.3),MIN(MAX(J962/K962,0),1.3))),"") </f>
        <v/>
      </c>
      <c r="M962" s="28">
        <f>IFERROR(IF(OR(J962=0,K962=""),"",IF(E962="Positivo",MAX(K962/J962,0),MAX(J962/K962,0))),"") </f>
        <v/>
      </c>
      <c r="N962" s="5" t="inlineStr">
        <is>
          <t>ENT</t>
        </is>
      </c>
      <c r="O962" s="5" t="inlineStr">
        <is>
          <t>ENT</t>
        </is>
      </c>
      <c r="P962" s="5" t="n">
        <v>0</v>
      </c>
      <c r="Q962" s="5" t="n">
        <v>0</v>
      </c>
      <c r="R962" s="5" t="inlineStr">
        <is>
          <t>338-2025-06-30</t>
        </is>
      </c>
    </row>
    <row r="963">
      <c r="A963" s="5" t="n">
        <v>338</v>
      </c>
      <c r="B963" s="5" t="inlineStr">
        <is>
          <t>Número de programas con condiciones iniciales aprobadas (indicador externo)- Metrica</t>
        </is>
      </c>
      <c r="C963" s="5" t="inlineStr">
        <is>
          <t>Autoevaluación de programas académicos</t>
        </is>
      </c>
      <c r="D963" s="5" t="inlineStr">
        <is>
          <t>Trimestral</t>
        </is>
      </c>
      <c r="E963" s="5" t="inlineStr">
        <is>
          <t>Positivo</t>
        </is>
      </c>
      <c r="F963" s="144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100</v>
      </c>
      <c r="K963" s="5" t="n">
        <v>100</v>
      </c>
      <c r="L963" s="28" t="n"/>
      <c r="M963" s="28" t="n"/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338-2025-12-31</t>
        </is>
      </c>
      <c r="S963" t="inlineStr">
        <is>
          <t>Metrica</t>
        </is>
      </c>
    </row>
    <row r="964">
      <c r="A964" s="39" t="n">
        <v>339</v>
      </c>
      <c r="B964" s="5" t="inlineStr">
        <is>
          <t>Programas acreditables acreditados Sede Bogotá</t>
        </is>
      </c>
      <c r="C964" s="5" t="inlineStr">
        <is>
          <t>Autoevaluación institucional</t>
        </is>
      </c>
      <c r="D964" s="5" t="inlineStr">
        <is>
          <t>Anual</t>
        </is>
      </c>
      <c r="E964" s="5" t="inlineStr">
        <is>
          <t>Positivo</t>
        </is>
      </c>
      <c r="F964" s="144" t="n">
        <v>45291</v>
      </c>
      <c r="G964" s="5" t="n">
        <v>2023</v>
      </c>
      <c r="H964" s="5" t="inlineStr">
        <is>
          <t>Diciembre</t>
        </is>
      </c>
      <c r="I964" s="6" t="inlineStr">
        <is>
          <t>2023-2</t>
        </is>
      </c>
      <c r="J964" s="5" t="n">
        <v>30</v>
      </c>
      <c r="K964" s="5" t="n">
        <v>28.57142857142857</v>
      </c>
      <c r="L964" s="28">
        <f>IFERROR(IF(OR(J964=0,K964=""),"",IF(E964="Positivo",MIN(MAX(K964/J964,0),1.3),MIN(MAX(J964/K964,0),1.3))),"") </f>
        <v/>
      </c>
      <c r="M964" s="28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1</v>
      </c>
      <c r="R964" s="5" t="inlineStr">
        <is>
          <t>339-2023-12-31</t>
        </is>
      </c>
    </row>
    <row r="965">
      <c r="A965" s="5" t="n">
        <v>339</v>
      </c>
      <c r="B965" s="5" t="inlineStr">
        <is>
          <t>Programas acreditables acreditados Sede Bogotá</t>
        </is>
      </c>
      <c r="C965" s="5" t="inlineStr">
        <is>
          <t>Autoevaluación institucional</t>
        </is>
      </c>
      <c r="D965" s="5" t="inlineStr">
        <is>
          <t>Anual</t>
        </is>
      </c>
      <c r="E965" s="5" t="inlineStr">
        <is>
          <t>Positivo</t>
        </is>
      </c>
      <c r="F965" s="144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30</v>
      </c>
      <c r="K965" s="5" t="n">
        <v>30.3</v>
      </c>
      <c r="L965" s="28">
        <f>IFERROR(IF(OR(J965=0,K965=""),"",IF(E965="Positivo",MIN(MAX(K965/J965,0),1.3),MIN(MAX(J965/K965,0),1.3))),"") </f>
        <v/>
      </c>
      <c r="M965" s="28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1</v>
      </c>
      <c r="R965" s="5" t="inlineStr">
        <is>
          <t>339-2024-12-31</t>
        </is>
      </c>
    </row>
    <row r="966">
      <c r="A966" s="39" t="n">
        <v>339</v>
      </c>
      <c r="B966" s="5" t="inlineStr">
        <is>
          <t>Programas acreditables acreditados Sede Bogotá</t>
        </is>
      </c>
      <c r="C966" s="5" t="inlineStr">
        <is>
          <t>Autoevaluación institucional</t>
        </is>
      </c>
      <c r="D966" s="5" t="inlineStr">
        <is>
          <t>Anual</t>
        </is>
      </c>
      <c r="E966" s="5" t="inlineStr">
        <is>
          <t>Positivo</t>
        </is>
      </c>
      <c r="F966" s="144" t="n">
        <v>46022</v>
      </c>
      <c r="G966" s="5" t="n">
        <v>2025</v>
      </c>
      <c r="H966" s="5" t="inlineStr">
        <is>
          <t>Diciembre</t>
        </is>
      </c>
      <c r="I966" s="6" t="inlineStr">
        <is>
          <t>2025-2</t>
        </is>
      </c>
      <c r="J966" s="5" t="n">
        <v>30</v>
      </c>
      <c r="K966" s="5" t="n">
        <v>35.29</v>
      </c>
      <c r="L966" s="120">
        <f>IFERROR(IF(OR(J966=0,K966=""),"",IF(E966="Positivo",MIN(MAX(K966/J966,0),1.3),MIN(MAX(J966/K966,0),1.3))),"") </f>
        <v/>
      </c>
      <c r="M966" s="28">
        <f>IFERROR(IF(OR(J966=0,K966=""),"",IF(E966="Positivo",MAX(K966/J966,0),MAX(J966/K966,0))),"") </f>
        <v/>
      </c>
      <c r="N966" s="5" t="inlineStr">
        <is>
          <t>%</t>
        </is>
      </c>
      <c r="O966" s="5" t="inlineStr">
        <is>
          <t>%</t>
        </is>
      </c>
      <c r="P966" s="5" t="n">
        <v>0</v>
      </c>
      <c r="Q966" s="5" t="n">
        <v>1</v>
      </c>
      <c r="R966" s="5" t="inlineStr">
        <is>
          <t>339-2025-12-31</t>
        </is>
      </c>
    </row>
    <row r="967">
      <c r="A967" s="5" t="n">
        <v>340</v>
      </c>
      <c r="B967" s="5" t="inlineStr">
        <is>
          <t>Cumplimiento cronograma revisiones locativas</t>
        </is>
      </c>
      <c r="C967" s="5" t="inlineStr">
        <is>
          <t>Gestión Infraestructura Física</t>
        </is>
      </c>
      <c r="D967" s="5" t="inlineStr">
        <is>
          <t>Trimestral</t>
        </is>
      </c>
      <c r="E967" s="5" t="inlineStr">
        <is>
          <t>Positivo</t>
        </is>
      </c>
      <c r="F967" s="144" t="n">
        <v>45107</v>
      </c>
      <c r="G967" s="5" t="n">
        <v>2023</v>
      </c>
      <c r="H967" s="5" t="inlineStr">
        <is>
          <t>Junio</t>
        </is>
      </c>
      <c r="I967" s="6" t="inlineStr">
        <is>
          <t>2023-1</t>
        </is>
      </c>
      <c r="J967" s="5" t="n">
        <v>90</v>
      </c>
      <c r="K967" s="5" t="n">
        <v>100</v>
      </c>
      <c r="L967" s="28">
        <f>IFERROR(IF(OR(J967=0,K967=""),"",IF(E967="Positivo",MIN(MAX(K967/J967,0),1.3),MIN(MAX(J967/K967,0),1.3))),"") </f>
        <v/>
      </c>
      <c r="M967" s="28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 t="inlineStr">
        <is>
          <t>340-2023-06-30</t>
        </is>
      </c>
    </row>
    <row r="968">
      <c r="A968" s="5" t="n">
        <v>340</v>
      </c>
      <c r="B968" s="5" t="inlineStr">
        <is>
          <t>Cumplimiento cronograma revisiones locativas</t>
        </is>
      </c>
      <c r="C968" s="5" t="inlineStr">
        <is>
          <t>Gestión Infraestructura Física</t>
        </is>
      </c>
      <c r="D968" s="5" t="inlineStr">
        <is>
          <t>Trimestral</t>
        </is>
      </c>
      <c r="E968" s="5" t="inlineStr">
        <is>
          <t>Positivo</t>
        </is>
      </c>
      <c r="F968" s="144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90</v>
      </c>
      <c r="K968" s="5" t="n">
        <v>100</v>
      </c>
      <c r="L968" s="28">
        <f>IFERROR(IF(OR(J968=0,K968=""),"",IF(E968="Positivo",MIN(MAX(K968/J968,0),1.3),MIN(MAX(J968/K968,0),1.3))),"") </f>
        <v/>
      </c>
      <c r="M968" s="28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 t="inlineStr">
        <is>
          <t>340-2023-12-31</t>
        </is>
      </c>
    </row>
    <row r="969">
      <c r="A969" s="43" t="n">
        <v>340</v>
      </c>
      <c r="B969" s="5" t="inlineStr">
        <is>
          <t>Cumplimiento cronograma revisiones locativas</t>
        </is>
      </c>
      <c r="C969" s="5" t="inlineStr">
        <is>
          <t>Gestión Infraestructura Física</t>
        </is>
      </c>
      <c r="D969" s="5" t="inlineStr">
        <is>
          <t>Trimestral</t>
        </is>
      </c>
      <c r="E969" s="5" t="inlineStr">
        <is>
          <t>Positivo</t>
        </is>
      </c>
      <c r="F969" s="144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95</v>
      </c>
      <c r="K969" s="5" t="n">
        <v>100</v>
      </c>
      <c r="L969" s="120">
        <f>IFERROR(IF(OR(J969=0,K969=""),"",IF(E969="Positivo",MIN(MAX(K969/J969,0),1.3),MIN(MAX(J969/K969,0),1.3))),"") </f>
        <v/>
      </c>
      <c r="M969" s="28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340-2024-06-30</t>
        </is>
      </c>
    </row>
    <row r="970">
      <c r="A970" s="39" t="n">
        <v>340</v>
      </c>
      <c r="B970" s="5" t="inlineStr">
        <is>
          <t>Cumplimiento cronograma revisiones locativas</t>
        </is>
      </c>
      <c r="C970" s="5" t="inlineStr">
        <is>
          <t>Gestión Infraestructura Física</t>
        </is>
      </c>
      <c r="D970" s="5" t="inlineStr">
        <is>
          <t>Trimestral</t>
        </is>
      </c>
      <c r="E970" s="5" t="inlineStr">
        <is>
          <t>Positivo</t>
        </is>
      </c>
      <c r="F970" s="144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95</v>
      </c>
      <c r="K970" s="5" t="n">
        <v>100</v>
      </c>
      <c r="L970" s="120">
        <f>IFERROR(IF(OR(J970=0,K970=""),"",IF(E970="Positivo",MIN(MAX(K970/J970,0),1.3),MIN(MAX(J970/K970,0),1.3))),"") </f>
        <v/>
      </c>
      <c r="M970" s="28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 t="inlineStr">
        <is>
          <t>340-2024-12-31</t>
        </is>
      </c>
    </row>
    <row r="971">
      <c r="A971" s="5" t="n">
        <v>341</v>
      </c>
      <c r="B971" s="5" t="inlineStr">
        <is>
          <t>Monto total de ahorro en gestión de abastecimiento</t>
        </is>
      </c>
      <c r="C971" s="5" t="inlineStr">
        <is>
          <t>GESTIÓN DE ABASTECIMIENTO</t>
        </is>
      </c>
      <c r="D971" s="5" t="inlineStr">
        <is>
          <t>Semestral</t>
        </is>
      </c>
      <c r="E971" s="5" t="inlineStr">
        <is>
          <t>Positivo</t>
        </is>
      </c>
      <c r="F971" s="144" t="n">
        <v>45107</v>
      </c>
      <c r="G971" s="5" t="n">
        <v>2023</v>
      </c>
      <c r="H971" s="5" t="inlineStr">
        <is>
          <t>Junio</t>
        </is>
      </c>
      <c r="I971" s="6" t="inlineStr">
        <is>
          <t>2023-1</t>
        </is>
      </c>
      <c r="J971" s="5" t="n">
        <v>100</v>
      </c>
      <c r="K971" s="5" t="n">
        <v>123.86966666667</v>
      </c>
      <c r="L971" s="28">
        <f>IFERROR(IF(OR(J971=0,K971=""),"",IF(E971="Positivo",MIN(MAX(K971/J971,0),1.3),MIN(MAX(J971/K971,0),1.3))),"") </f>
        <v/>
      </c>
      <c r="M971" s="28">
        <f>IFERROR(IF(OR(J971=0,K971=""),"",IF(E971="Positivo",MAX(K971/J971,0),MAX(J971/K971,0))),"") </f>
        <v/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 t="inlineStr">
        <is>
          <t>341-2023-06-30</t>
        </is>
      </c>
    </row>
    <row r="972">
      <c r="A972" s="5" t="n">
        <v>341</v>
      </c>
      <c r="B972" s="5" t="inlineStr">
        <is>
          <t>Monto total de ahorro en gestión de abastecimiento</t>
        </is>
      </c>
      <c r="C972" s="5" t="inlineStr">
        <is>
          <t>GESTIÓN DE ABASTECIMIENTO</t>
        </is>
      </c>
      <c r="D972" s="5" t="inlineStr">
        <is>
          <t>Semestral</t>
        </is>
      </c>
      <c r="E972" s="5" t="inlineStr">
        <is>
          <t>Positivo</t>
        </is>
      </c>
      <c r="F972" s="144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100</v>
      </c>
      <c r="K972" s="5" t="n">
        <v>130.57</v>
      </c>
      <c r="L972" s="28">
        <f>IFERROR(IF(OR(J972=0,K972=""),"",IF(E972="Positivo",MIN(MAX(K972/J972,0),1.3),MIN(MAX(J972/K972,0),1.3))),"") </f>
        <v/>
      </c>
      <c r="M972" s="28">
        <f>IFERROR(IF(OR(J972=0,K972=""),"",IF(E972="Positivo",MAX(K972/J972,0),MAX(J972/K972,0))),"") </f>
        <v/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 t="inlineStr">
        <is>
          <t>341-2023-12-31</t>
        </is>
      </c>
    </row>
    <row r="973">
      <c r="A973" s="43" t="n">
        <v>341</v>
      </c>
      <c r="B973" s="5" t="inlineStr">
        <is>
          <t>Reducción de costos en gestión de abastecimiento</t>
        </is>
      </c>
      <c r="C973" s="5" t="inlineStr">
        <is>
          <t>GESTIÓN DE ABASTECIMIENTO</t>
        </is>
      </c>
      <c r="D973" s="5" t="inlineStr">
        <is>
          <t>Semestral</t>
        </is>
      </c>
      <c r="E973" s="5" t="inlineStr">
        <is>
          <t>Positivo</t>
        </is>
      </c>
      <c r="F973" s="144" t="n">
        <v>45473</v>
      </c>
      <c r="G973" s="5" t="n">
        <v>2024</v>
      </c>
      <c r="H973" s="5" t="inlineStr">
        <is>
          <t>Junio</t>
        </is>
      </c>
      <c r="I973" s="6" t="inlineStr">
        <is>
          <t>2024-1</t>
        </is>
      </c>
      <c r="J973" s="5" t="n">
        <v>100</v>
      </c>
      <c r="K973" s="5" t="n">
        <v>125</v>
      </c>
      <c r="L973" s="28">
        <f>IFERROR(IF(OR(J973=0,K973=""),"",IF(E973="Positivo",MIN(MAX(K973/J973,0),1.3),MIN(MAX(J973/K973,0),1.3))),"") </f>
        <v/>
      </c>
      <c r="M973" s="28">
        <f>IFERROR(IF(OR(J973=0,K973=""),"",IF(E973="Positivo",MAX(K973/J973,0),MAX(J973/K973,0))),"") </f>
        <v/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 t="inlineStr">
        <is>
          <t>341-2024-06-30</t>
        </is>
      </c>
    </row>
    <row r="974">
      <c r="A974" s="39" t="n">
        <v>341</v>
      </c>
      <c r="B974" s="5" t="inlineStr">
        <is>
          <t>Reducción de costos en gestión de abastecimiento</t>
        </is>
      </c>
      <c r="C974" s="5" t="inlineStr">
        <is>
          <t>GESTIÓN DE ABASTECIMIENTO</t>
        </is>
      </c>
      <c r="D974" s="5" t="inlineStr">
        <is>
          <t>Semestral</t>
        </is>
      </c>
      <c r="E974" s="5" t="inlineStr">
        <is>
          <t>Positivo</t>
        </is>
      </c>
      <c r="F974" s="144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5" t="n">
        <v>102.44</v>
      </c>
      <c r="L974" s="28">
        <f>IFERROR(IF(OR(J974=0,K974=""),"",IF(E974="Positivo",MIN(MAX(K974/J974,0),1.3),MIN(MAX(J974/K974,0),1.3))),"") </f>
        <v/>
      </c>
      <c r="M974" s="28">
        <f>IFERROR(IF(OR(J974=0,K974=""),"",IF(E974="Positivo",MAX(K974/J974,0),MAX(J974/K974,0))),"") </f>
        <v/>
      </c>
      <c r="N974" s="5" t="inlineStr">
        <is>
          <t>$</t>
        </is>
      </c>
      <c r="O974" s="5" t="inlineStr">
        <is>
          <t>$</t>
        </is>
      </c>
      <c r="P974" s="5" t="n">
        <v>0</v>
      </c>
      <c r="Q974" s="5" t="n">
        <v>0</v>
      </c>
      <c r="R974" s="5" t="inlineStr">
        <is>
          <t>341-2024-12-31</t>
        </is>
      </c>
    </row>
    <row r="975">
      <c r="A975" s="5" t="n">
        <v>341</v>
      </c>
      <c r="B975" s="5" t="inlineStr">
        <is>
          <t>Reducción de costos en gestión de abastecimiento</t>
        </is>
      </c>
      <c r="C975" s="5" t="inlineStr">
        <is>
          <t>GESTIÓN DE ABASTECIMIENTO</t>
        </is>
      </c>
      <c r="D975" s="5" t="inlineStr">
        <is>
          <t>Semestral</t>
        </is>
      </c>
      <c r="E975" s="5" t="inlineStr">
        <is>
          <t>Positivo</t>
        </is>
      </c>
      <c r="F975" s="144" t="n">
        <v>45838</v>
      </c>
      <c r="G975" s="5" t="n">
        <v>2025</v>
      </c>
      <c r="H975" s="5" t="inlineStr">
        <is>
          <t>Junio</t>
        </is>
      </c>
      <c r="I975" s="6" t="inlineStr">
        <is>
          <t>2025-1</t>
        </is>
      </c>
      <c r="J975" s="5" t="n">
        <v>100</v>
      </c>
      <c r="K975" s="5" t="n">
        <v>102.25</v>
      </c>
      <c r="L975" s="28">
        <f>IFERROR(IF(OR(J975=0,K975=""),"",IF(E975="Positivo",MIN(MAX(K975/J975,0),1.3),MIN(MAX(J975/K975,0),1.3))),"") </f>
        <v/>
      </c>
      <c r="M975" s="28">
        <f>IFERROR(IF(OR(J975=0,K975=""),"",IF(E975="Positivo",MAX(K975/J975,0),MAX(J975/K975,0))),"") </f>
        <v/>
      </c>
      <c r="N975" s="5" t="inlineStr">
        <is>
          <t>$</t>
        </is>
      </c>
      <c r="O975" s="5" t="inlineStr">
        <is>
          <t>$</t>
        </is>
      </c>
      <c r="P975" s="5" t="n">
        <v>0</v>
      </c>
      <c r="Q975" s="5" t="n">
        <v>0</v>
      </c>
      <c r="R975" s="5" t="inlineStr">
        <is>
          <t>341-2025-06-30</t>
        </is>
      </c>
    </row>
    <row r="976">
      <c r="A976" s="5" t="n">
        <v>341</v>
      </c>
      <c r="B976" s="5" t="inlineStr">
        <is>
          <t>Eficiencia en la reducción de costos en la gestión del abastecimiento</t>
        </is>
      </c>
      <c r="C976" s="5" t="inlineStr">
        <is>
          <t>GESTIÓN DE ABASTECIMIENTO</t>
        </is>
      </c>
      <c r="D976" s="5" t="inlineStr">
        <is>
          <t>Trimestral</t>
        </is>
      </c>
      <c r="E976" s="5" t="inlineStr">
        <is>
          <t>Positivo</t>
        </is>
      </c>
      <c r="F976" s="144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100</v>
      </c>
      <c r="K976" s="5" t="n">
        <v>102.65</v>
      </c>
      <c r="L976" s="28">
        <f>IFERROR(IF(OR(J976=0,K976=""),"",IF(E976="Positivo",MIN(MAX(K976/J976,0),1.3),MIN(MAX(J976/K976,0),1.3))),"") </f>
        <v/>
      </c>
      <c r="M976" s="28">
        <f>IFERROR(IF(OR(J976=0,K976=""),"",IF(E976="Positivo",MAX(K976/J976,0),MAX(J976/K976,0))),"") </f>
        <v/>
      </c>
      <c r="N976" s="5" t="inlineStr">
        <is>
          <t>$</t>
        </is>
      </c>
      <c r="O976" s="5" t="inlineStr">
        <is>
          <t>$</t>
        </is>
      </c>
      <c r="P976" s="5" t="n">
        <v>0</v>
      </c>
      <c r="Q976" s="5" t="n">
        <v>0</v>
      </c>
      <c r="R976" s="5" t="inlineStr">
        <is>
          <t>341-2025-12-31</t>
        </is>
      </c>
    </row>
    <row r="977">
      <c r="A977" s="43" t="n">
        <v>344</v>
      </c>
      <c r="B977" s="5" t="inlineStr">
        <is>
          <t>Cumplimiento del plan de Inducción institucional</t>
        </is>
      </c>
      <c r="C977" s="5" t="inlineStr">
        <is>
          <t>GESTIÓN Y DESARROLLO DEL TALENTO HUMANO</t>
        </is>
      </c>
      <c r="D977" s="5" t="inlineStr">
        <is>
          <t>Semestral</t>
        </is>
      </c>
      <c r="E977" s="5" t="inlineStr">
        <is>
          <t>Positivo</t>
        </is>
      </c>
      <c r="F977" s="144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97.74436090225601</v>
      </c>
      <c r="L977" s="28">
        <f>IFERROR(IF(OR(J977=0,K977=""),"",IF(E977="Positivo",MIN(MAX(K977/J977,0),1.3),MIN(MAX(J977/K977,0),1.3))),"") </f>
        <v/>
      </c>
      <c r="M977" s="28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344-2023-06-30</t>
        </is>
      </c>
    </row>
    <row r="978">
      <c r="A978" s="39" t="n">
        <v>344</v>
      </c>
      <c r="B978" s="5" t="inlineStr">
        <is>
          <t>Cumplimiento del plan de Inducción institucional</t>
        </is>
      </c>
      <c r="C978" s="5" t="inlineStr">
        <is>
          <t>GESTIÓN Y DESARROLLO DEL TALENTO HUMANO</t>
        </is>
      </c>
      <c r="D978" s="5" t="inlineStr">
        <is>
          <t>Semestral</t>
        </is>
      </c>
      <c r="E978" s="5" t="inlineStr">
        <is>
          <t>Positivo</t>
        </is>
      </c>
      <c r="F978" s="144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97.76000000000001</v>
      </c>
      <c r="L978" s="28">
        <f>IFERROR(IF(OR(J978=0,K978=""),"",IF(E978="Positivo",MIN(MAX(K978/J978,0),1.3),MIN(MAX(J978/K978,0),1.3))),"") </f>
        <v/>
      </c>
      <c r="M978" s="28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344-2023-12-31</t>
        </is>
      </c>
    </row>
    <row r="979">
      <c r="A979" s="5" t="n">
        <v>344</v>
      </c>
      <c r="B979" s="5" t="inlineStr">
        <is>
          <t>Cumplimiento del plan de Inducción institucional</t>
        </is>
      </c>
      <c r="C979" s="5" t="inlineStr">
        <is>
          <t>GESTIÓN Y DESARROLLO DEL TALENTO HUMANO</t>
        </is>
      </c>
      <c r="D979" s="5" t="inlineStr">
        <is>
          <t>Semestral</t>
        </is>
      </c>
      <c r="E979" s="5" t="inlineStr">
        <is>
          <t>Positivo</t>
        </is>
      </c>
      <c r="F979" s="144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93</v>
      </c>
      <c r="K979" s="5" t="n">
        <v>97.34</v>
      </c>
      <c r="L979" s="28">
        <f>IFERROR(IF(OR(J979=0,K979=""),"",IF(E979="Positivo",MIN(MAX(K979/J979,0),1.3),MIN(MAX(J979/K979,0),1.3))),"") </f>
        <v/>
      </c>
      <c r="M979" s="28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344-2024-06-30</t>
        </is>
      </c>
    </row>
    <row r="980">
      <c r="A980" s="5" t="n">
        <v>344</v>
      </c>
      <c r="B980" s="5" t="inlineStr">
        <is>
          <t>Cumplimiento del plan de Inducción institucional</t>
        </is>
      </c>
      <c r="C980" s="5" t="inlineStr">
        <is>
          <t>GESTIÓN Y DESARROLLO DEL TALENTO HUMANO</t>
        </is>
      </c>
      <c r="D980" s="5" t="inlineStr">
        <is>
          <t>Semestral</t>
        </is>
      </c>
      <c r="E980" s="5" t="inlineStr">
        <is>
          <t>Positivo</t>
        </is>
      </c>
      <c r="F980" s="144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5" t="n">
        <v>93</v>
      </c>
      <c r="K980" s="5" t="n">
        <v>99.19</v>
      </c>
      <c r="L980" s="28">
        <f>IFERROR(IF(OR(J980=0,K980=""),"",IF(E980="Positivo",MIN(MAX(K980/J980,0),1.3),MIN(MAX(J980/K980,0),1.3))),"") </f>
        <v/>
      </c>
      <c r="M980" s="28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344-2024-12-31</t>
        </is>
      </c>
    </row>
    <row r="981">
      <c r="A981" s="43" t="n">
        <v>344</v>
      </c>
      <c r="B981" s="5" t="inlineStr">
        <is>
          <t>Cumplimiento del plan de Inducción institucional</t>
        </is>
      </c>
      <c r="C981" s="5" t="inlineStr">
        <is>
          <t>GESTIÓN Y DESARROLLO DEL TALENTO HUMANO</t>
        </is>
      </c>
      <c r="D981" s="5" t="inlineStr">
        <is>
          <t>Trimestral</t>
        </is>
      </c>
      <c r="E981" s="5" t="inlineStr">
        <is>
          <t>Positivo</t>
        </is>
      </c>
      <c r="F981" s="144" t="n">
        <v>45838</v>
      </c>
      <c r="G981" s="5" t="n">
        <v>2025</v>
      </c>
      <c r="H981" s="5" t="inlineStr">
        <is>
          <t>Junio</t>
        </is>
      </c>
      <c r="I981" s="6" t="inlineStr">
        <is>
          <t>2025-1</t>
        </is>
      </c>
      <c r="J981" s="5" t="n">
        <v>93</v>
      </c>
      <c r="K981" s="5" t="n">
        <v>99.43000000000001</v>
      </c>
      <c r="L981" s="28">
        <f>IFERROR(IF(OR(J981=0,K981=""),"",IF(E981="Positivo",MIN(MAX(K981/J981,0),1.3),MIN(MAX(J981/K981,0),1.3))),"") </f>
        <v/>
      </c>
      <c r="M981" s="28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344-2025-06-30</t>
        </is>
      </c>
    </row>
    <row r="982">
      <c r="A982" s="39" t="n">
        <v>344</v>
      </c>
      <c r="B982" s="5" t="inlineStr">
        <is>
          <t>Cumplimiento del plan de Inducción institucional</t>
        </is>
      </c>
      <c r="C982" s="5" t="inlineStr">
        <is>
          <t>GESTIÓN Y DESARROLLO DEL TALENTO HUMANO</t>
        </is>
      </c>
      <c r="D982" s="5" t="inlineStr">
        <is>
          <t>Trimestral</t>
        </is>
      </c>
      <c r="E982" s="5" t="inlineStr">
        <is>
          <t>Positivo</t>
        </is>
      </c>
      <c r="F982" s="144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93</v>
      </c>
      <c r="K982" s="5" t="n">
        <v>100</v>
      </c>
      <c r="L982" s="28">
        <f>IFERROR(IF(OR(J982=0,K982=""),"",IF(E982="Positivo",MIN(MAX(K982/J982,0),1.3),MIN(MAX(J982/K982,0),1.3))),"") </f>
        <v/>
      </c>
      <c r="M982" s="28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344-2025-12-31</t>
        </is>
      </c>
    </row>
    <row r="983">
      <c r="A983" s="5" t="n">
        <v>345</v>
      </c>
      <c r="B983" s="5" t="inlineStr">
        <is>
          <t>% de profesores impactados plan de desarrollo docente</t>
        </is>
      </c>
      <c r="C983" s="5" t="inlineStr">
        <is>
          <t>GESTIÓN Y DESARROLLO DEL TALENTO HUMANO</t>
        </is>
      </c>
      <c r="D983" s="5" t="inlineStr">
        <is>
          <t>Anual</t>
        </is>
      </c>
      <c r="E983" s="5" t="inlineStr">
        <is>
          <t>Positivo</t>
        </is>
      </c>
      <c r="F983" s="144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/>
      <c r="K983" s="5" t="n">
        <v>94.84999999999999</v>
      </c>
      <c r="L983" s="28" t="n"/>
      <c r="M983" s="28" t="n"/>
      <c r="N983" s="5" t="inlineStr">
        <is>
          <t>Linea base</t>
        </is>
      </c>
      <c r="O983" s="5" t="inlineStr">
        <is>
          <t>%</t>
        </is>
      </c>
      <c r="P983" s="5" t="n">
        <v>0</v>
      </c>
      <c r="Q983" s="5" t="n">
        <v>0</v>
      </c>
      <c r="R983" s="5" t="inlineStr">
        <is>
          <t>345-2023-12-31</t>
        </is>
      </c>
    </row>
    <row r="984">
      <c r="A984" s="5" t="n">
        <v>346</v>
      </c>
      <c r="B984" s="5" t="inlineStr">
        <is>
          <t>% de profesores impactados en actividades de Bienestar</t>
        </is>
      </c>
      <c r="C984" s="5" t="inlineStr">
        <is>
          <t>GESTIÓN Y DESARROLLO DEL TALENTO HUMANO</t>
        </is>
      </c>
      <c r="D984" s="5" t="inlineStr">
        <is>
          <t>Anual</t>
        </is>
      </c>
      <c r="E984" s="5" t="inlineStr">
        <is>
          <t>Positivo</t>
        </is>
      </c>
      <c r="F984" s="144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/>
      <c r="K984" s="5" t="n">
        <v>83.91608391608392</v>
      </c>
      <c r="L984" s="28" t="n"/>
      <c r="M984" s="28" t="n"/>
      <c r="N984" s="5" t="inlineStr">
        <is>
          <t>Linea base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346-2023-12-31</t>
        </is>
      </c>
    </row>
    <row r="985">
      <c r="A985" s="39" t="n">
        <v>346</v>
      </c>
      <c r="B985" s="5" t="inlineStr">
        <is>
          <t>% de profesores impactados en actividades de Bienestar</t>
        </is>
      </c>
      <c r="C985" s="5" t="inlineStr">
        <is>
          <t>GESTIÓN Y DESARROLLO DEL TALENTO HUMANO</t>
        </is>
      </c>
      <c r="D985" s="5" t="inlineStr">
        <is>
          <t>Anual</t>
        </is>
      </c>
      <c r="E985" s="5" t="inlineStr">
        <is>
          <t>Positivo</t>
        </is>
      </c>
      <c r="F985" s="144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119" t="n">
        <v>85</v>
      </c>
      <c r="K985" s="124" t="n">
        <v>91.88</v>
      </c>
      <c r="L985" s="120">
        <f>IFERROR(IF(OR(J985=0,K985=""),"",IF(E985="Positivo",MIN(MAX(K985/J985,0),1.3),MIN(MAX(J985/K985,0),1.3))),"") </f>
        <v/>
      </c>
      <c r="M985" s="28">
        <f>IFERROR(IF(OR(J985=0,K985=""),"",IF(E985="Positivo",MAX(K985/J985,0),MAX(J985/K985,0))),"") </f>
        <v/>
      </c>
      <c r="N985" s="5" t="n"/>
      <c r="O985" s="5" t="n"/>
      <c r="P985" s="5" t="n">
        <v>0</v>
      </c>
      <c r="Q985" s="5" t="n">
        <v>0</v>
      </c>
      <c r="R985" s="5" t="inlineStr">
        <is>
          <t>346-2024-12-31</t>
        </is>
      </c>
    </row>
    <row r="986">
      <c r="A986" s="39" t="n">
        <v>346</v>
      </c>
      <c r="B986" s="5" t="inlineStr">
        <is>
          <t>% de profesores impactados en actividades de Bienestar</t>
        </is>
      </c>
      <c r="C986" s="5" t="inlineStr">
        <is>
          <t>GESTIÓN Y DESARROLLO DEL TALENTO HUMANO</t>
        </is>
      </c>
      <c r="D986" s="5" t="inlineStr">
        <is>
          <t>Anual</t>
        </is>
      </c>
      <c r="E986" s="5" t="inlineStr">
        <is>
          <t>Positivo</t>
        </is>
      </c>
      <c r="F986" s="144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119" t="n">
        <v>85</v>
      </c>
      <c r="K986" s="124" t="n">
        <v>97.28</v>
      </c>
      <c r="L986" s="120">
        <f>IFERROR(IF(OR(J986=0,K986=""),"",IF(E986="Positivo",MIN(MAX(K986/J986,0),1.3),MIN(MAX(J986/K986,0),1.3))),"") </f>
        <v/>
      </c>
      <c r="M986" s="28">
        <f>IFERROR(IF(OR(J986=0,K986=""),"",IF(E986="Positivo",MAX(K986/J986,0),MAX(J986/K986,0))),"") </f>
        <v/>
      </c>
      <c r="N986" s="5" t="inlineStr">
        <is>
          <t>Linea Base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346-2025-12-31</t>
        </is>
      </c>
    </row>
    <row r="987">
      <c r="A987" s="39" t="n">
        <v>347</v>
      </c>
      <c r="B987" s="5" t="inlineStr">
        <is>
          <t>Legalizaciones y anticipos</t>
        </is>
      </c>
      <c r="C987" s="5" t="inlineStr">
        <is>
          <t>Contabilidad</t>
        </is>
      </c>
      <c r="D987" s="5" t="inlineStr">
        <is>
          <t>Trimestral</t>
        </is>
      </c>
      <c r="E987" s="5" t="inlineStr">
        <is>
          <t>Negativo</t>
        </is>
      </c>
      <c r="F987" s="144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119" t="n">
        <v>0</v>
      </c>
      <c r="K987" s="124" t="n">
        <v>6.5</v>
      </c>
      <c r="L987" s="120">
        <f>IFERROR(IF(OR(J987=0,K987=""),"",IF(E987="Positivo",MIN(MAX(K987/J987,0),1.3),MIN(MAX(J987/K987,0),1.3))),"") </f>
        <v/>
      </c>
      <c r="M987" s="28">
        <f>IFERROR(IF(OR(J987=0,K987=""),"",IF(E987="Positivo",MAX(K987/J987,0),MAX(J987/K987,0))),"") </f>
        <v/>
      </c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347-2023-06-30</t>
        </is>
      </c>
    </row>
    <row r="988">
      <c r="A988" s="5" t="n">
        <v>347</v>
      </c>
      <c r="B988" s="5" t="inlineStr">
        <is>
          <t>Legalizaciones y anticipos</t>
        </is>
      </c>
      <c r="C988" s="5" t="inlineStr">
        <is>
          <t>Contabilidad</t>
        </is>
      </c>
      <c r="D988" s="5" t="inlineStr">
        <is>
          <t>Trimestral</t>
        </is>
      </c>
      <c r="E988" s="5" t="inlineStr">
        <is>
          <t>Negativo</t>
        </is>
      </c>
      <c r="F988" s="144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0</v>
      </c>
      <c r="K988" s="5" t="n">
        <v>7</v>
      </c>
      <c r="L988" s="28">
        <f>IFERROR(IF(OR(J988=0,K988=""),"",IF(E988="Positivo",MIN(MAX(K988/J988,0),1.3),MIN(MAX(J988/K988,0),1.3))),"") </f>
        <v/>
      </c>
      <c r="M988" s="28">
        <f>IFERROR(IF(OR(J988=0,K988=""),"",IF(E988="Positivo",MAX(K988/J988,0),MAX(J988/K988,0))),"") </f>
        <v/>
      </c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 t="inlineStr">
        <is>
          <t>347-2023-12-31</t>
        </is>
      </c>
    </row>
    <row r="989">
      <c r="A989" s="5" t="n">
        <v>347</v>
      </c>
      <c r="B989" s="5" t="inlineStr">
        <is>
          <t>Legalizaciones y anticipos</t>
        </is>
      </c>
      <c r="C989" s="5" t="inlineStr">
        <is>
          <t>Contabilidad</t>
        </is>
      </c>
      <c r="D989" s="5" t="inlineStr">
        <is>
          <t>Trimestral</t>
        </is>
      </c>
      <c r="E989" s="5" t="inlineStr">
        <is>
          <t>Negativo</t>
        </is>
      </c>
      <c r="F989" s="144" t="n">
        <v>45473</v>
      </c>
      <c r="G989" s="16" t="n">
        <v>2024</v>
      </c>
      <c r="H989" s="6" t="inlineStr">
        <is>
          <t>Junio</t>
        </is>
      </c>
      <c r="I989" s="6" t="inlineStr">
        <is>
          <t>2024-1</t>
        </is>
      </c>
      <c r="J989" s="5" t="n">
        <v>5</v>
      </c>
      <c r="K989" s="5" t="n">
        <v>1.5</v>
      </c>
      <c r="L989" s="120">
        <f>IFERROR(IF(OR(J989=0,K989=""),"",IF(E989="Positivo",MIN(MAX(K989/J989,0),1.3),MIN(MAX(J989/K989,0),1.3))),"") </f>
        <v/>
      </c>
      <c r="M989" s="28">
        <f>IFERROR(IF(OR(J989=0,K989=""),"",IF(E989="Positivo",MAX(K989/J989,0),MAX(J989/K989,0))),"") </f>
        <v/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 t="inlineStr">
        <is>
          <t>347-2024-06-30</t>
        </is>
      </c>
    </row>
    <row r="990">
      <c r="A990" s="39" t="n">
        <v>347</v>
      </c>
      <c r="B990" s="5" t="inlineStr">
        <is>
          <t>Legalizaciones y anticipos</t>
        </is>
      </c>
      <c r="C990" s="5" t="inlineStr">
        <is>
          <t>Contabilidad</t>
        </is>
      </c>
      <c r="D990" s="5" t="inlineStr">
        <is>
          <t>Trimestral</t>
        </is>
      </c>
      <c r="E990" s="5" t="inlineStr">
        <is>
          <t>Negativo</t>
        </is>
      </c>
      <c r="F990" s="144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5</v>
      </c>
      <c r="K990" s="5" t="n">
        <v>0</v>
      </c>
      <c r="L990" s="120">
        <f>IFERROR(IF(OR(J990=0,K990=""),"",IF(E990="Positivo",MIN(MAX(K990/J990,0),1.3),MIN(MAX(J990/K990,0),1.3))),"") </f>
        <v/>
      </c>
      <c r="M990" s="28">
        <f>IFERROR(IF(OR(J990=0,K990=""),"",IF(E990="Positivo",MAX(K990/J990,0),MAX(J990/K990,0))),"") </f>
        <v/>
      </c>
      <c r="N990" s="5" t="inlineStr">
        <is>
          <t>ENT</t>
        </is>
      </c>
      <c r="O990" s="5" t="inlineStr">
        <is>
          <t>ENT</t>
        </is>
      </c>
      <c r="P990" s="5" t="n">
        <v>0</v>
      </c>
      <c r="Q990" s="5" t="n">
        <v>0</v>
      </c>
      <c r="R990" s="5" t="inlineStr">
        <is>
          <t>347-2024-12-31</t>
        </is>
      </c>
    </row>
    <row r="991">
      <c r="A991" s="5" t="n">
        <v>347</v>
      </c>
      <c r="B991" s="5" t="inlineStr">
        <is>
          <t>Legalizaciones y anticipos</t>
        </is>
      </c>
      <c r="C991" s="5" t="inlineStr">
        <is>
          <t>Contabilidad</t>
        </is>
      </c>
      <c r="D991" s="5" t="inlineStr">
        <is>
          <t>Trimestral</t>
        </is>
      </c>
      <c r="E991" s="5" t="inlineStr">
        <is>
          <t>Negativo</t>
        </is>
      </c>
      <c r="F991" s="144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5</v>
      </c>
      <c r="K991" s="5" t="n">
        <v>1</v>
      </c>
      <c r="L991" s="28">
        <f>IFERROR(IF(OR(J991=0,K991=""),"",IF(E991="Positivo",MIN(MAX(K991/J991,0),1.3),MIN(MAX(J991/K991,0),1.3))),"") </f>
        <v/>
      </c>
      <c r="M991" s="28">
        <f>IFERROR(IF(OR(J991=0,K991=""),"",IF(E991="Positivo",MAX(K991/J991,0),MAX(J991/K991,0))),"") </f>
        <v/>
      </c>
      <c r="N991" s="5" t="inlineStr">
        <is>
          <t>ENT</t>
        </is>
      </c>
      <c r="O991" s="5" t="inlineStr">
        <is>
          <t>ENT</t>
        </is>
      </c>
      <c r="P991" s="5" t="n">
        <v>0</v>
      </c>
      <c r="Q991" s="5" t="n">
        <v>0</v>
      </c>
      <c r="R991" s="5" t="inlineStr">
        <is>
          <t>347-2025-06-30</t>
        </is>
      </c>
    </row>
    <row r="992">
      <c r="A992" s="5" t="n">
        <v>347</v>
      </c>
      <c r="B992" s="5" t="inlineStr">
        <is>
          <t>Legalizaciones y anticipos</t>
        </is>
      </c>
      <c r="C992" s="5" t="inlineStr">
        <is>
          <t>Contabilidad</t>
        </is>
      </c>
      <c r="D992" s="5" t="inlineStr">
        <is>
          <t>Semestral</t>
        </is>
      </c>
      <c r="E992" s="5" t="inlineStr">
        <is>
          <t>Negativo</t>
        </is>
      </c>
      <c r="F992" s="144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5</v>
      </c>
      <c r="K992" s="5" t="n">
        <v>3.5</v>
      </c>
      <c r="L992" s="28">
        <f>IFERROR(IF(OR(J992=0,K992=""),"",IF(E992="Positivo",MIN(MAX(K992/J992,0),1.3),MIN(MAX(J992/K992,0),1.3))),"") </f>
        <v/>
      </c>
      <c r="M992" s="28">
        <f>IFERROR(IF(OR(J992=0,K992=""),"",IF(E992="Positivo",MAX(K992/J992,0),MAX(J992/K992,0))),"") </f>
        <v/>
      </c>
      <c r="N992" s="5" t="inlineStr">
        <is>
          <t>ENT</t>
        </is>
      </c>
      <c r="O992" s="5" t="inlineStr">
        <is>
          <t>ENT</t>
        </is>
      </c>
      <c r="P992" s="5" t="n">
        <v>0</v>
      </c>
      <c r="Q992" s="5" t="n">
        <v>0</v>
      </c>
      <c r="R992" s="5" t="inlineStr">
        <is>
          <t>347-2025-12-31</t>
        </is>
      </c>
    </row>
    <row r="993">
      <c r="A993" s="39" t="n">
        <v>348</v>
      </c>
      <c r="B993" s="5" t="inlineStr">
        <is>
          <t>Cuentas por pagar</t>
        </is>
      </c>
      <c r="C993" s="5" t="inlineStr">
        <is>
          <t>Contabilidad</t>
        </is>
      </c>
      <c r="D993" s="5" t="inlineStr">
        <is>
          <t>Trimestral</t>
        </is>
      </c>
      <c r="E993" s="5" t="inlineStr">
        <is>
          <t>Positivo</t>
        </is>
      </c>
      <c r="F993" s="144" t="n">
        <v>45016</v>
      </c>
      <c r="G993" s="5" t="n">
        <v>2023</v>
      </c>
      <c r="H993" s="5" t="inlineStr">
        <is>
          <t>Marzo</t>
        </is>
      </c>
      <c r="I993" s="6" t="inlineStr">
        <is>
          <t>2023-1</t>
        </is>
      </c>
      <c r="J993" s="5" t="n">
        <v>99</v>
      </c>
      <c r="K993" s="5" t="n">
        <v>99.81769557994599</v>
      </c>
      <c r="L993" s="120">
        <f>IFERROR(IF(OR(J993=0,K993=""),"",IF(E993="Positivo",MIN(MAX(K993/J993,0),1.3),MIN(MAX(J993/K993,0),1.3))),"") </f>
        <v/>
      </c>
      <c r="M993" s="28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1</v>
      </c>
      <c r="R993" s="5" t="inlineStr">
        <is>
          <t>348-2023-03-31</t>
        </is>
      </c>
    </row>
    <row r="994">
      <c r="A994" s="5" t="n">
        <v>348</v>
      </c>
      <c r="B994" s="5" t="inlineStr">
        <is>
          <t>Cuentas por pagar</t>
        </is>
      </c>
      <c r="C994" s="5" t="inlineStr">
        <is>
          <t>Contabilidad</t>
        </is>
      </c>
      <c r="D994" s="5" t="inlineStr">
        <is>
          <t>Trimestral</t>
        </is>
      </c>
      <c r="E994" s="5" t="inlineStr">
        <is>
          <t>Positivo</t>
        </is>
      </c>
      <c r="F994" s="144" t="n">
        <v>45107</v>
      </c>
      <c r="G994" s="5" t="n">
        <v>2023</v>
      </c>
      <c r="H994" s="5" t="inlineStr">
        <is>
          <t>Junio</t>
        </is>
      </c>
      <c r="I994" s="6" t="inlineStr">
        <is>
          <t>2023-1</t>
        </is>
      </c>
      <c r="J994" s="5" t="n">
        <v>99</v>
      </c>
      <c r="K994" s="5" t="n">
        <v>99.81769557994599</v>
      </c>
      <c r="L994" s="28">
        <f>IFERROR(IF(OR(J994=0,K994=""),"",IF(E994="Positivo",MIN(MAX(K994/J994,0),1.3),MIN(MAX(J994/K994,0),1.3))),"") </f>
        <v/>
      </c>
      <c r="M994" s="28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1</v>
      </c>
      <c r="R994" s="5" t="inlineStr">
        <is>
          <t>348-2023-06-30</t>
        </is>
      </c>
    </row>
    <row r="995">
      <c r="A995" s="5" t="n">
        <v>348</v>
      </c>
      <c r="B995" s="5" t="inlineStr">
        <is>
          <t>Cuentas por pagar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Positivo</t>
        </is>
      </c>
      <c r="F995" s="144" t="n">
        <v>45199</v>
      </c>
      <c r="G995" s="5" t="n">
        <v>2023</v>
      </c>
      <c r="H995" s="5" t="inlineStr">
        <is>
          <t>Septiembre</t>
        </is>
      </c>
      <c r="I995" s="6" t="inlineStr">
        <is>
          <t>2023-2</t>
        </is>
      </c>
      <c r="J995" s="5" t="n">
        <v>99</v>
      </c>
      <c r="K995" s="5" t="n">
        <v>100</v>
      </c>
      <c r="L995" s="28">
        <f>IFERROR(IF(OR(J995=0,K995=""),"",IF(E995="Positivo",MIN(MAX(K995/J995,0),1.3),MIN(MAX(J995/K995,0),1.3))),"") </f>
        <v/>
      </c>
      <c r="M995" s="28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1</v>
      </c>
      <c r="R995" s="5" t="inlineStr">
        <is>
          <t>348-2023-09-30</t>
        </is>
      </c>
    </row>
    <row r="996">
      <c r="A996" s="43" t="n">
        <v>348</v>
      </c>
      <c r="B996" s="5" t="inlineStr">
        <is>
          <t>Cuentas por pagar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Positivo</t>
        </is>
      </c>
      <c r="F996" s="144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99</v>
      </c>
      <c r="K996" s="5" t="n">
        <v>100</v>
      </c>
      <c r="L996" s="28">
        <f>IFERROR(IF(OR(J996=0,K996=""),"",IF(E996="Positivo",MIN(MAX(K996/J996,0),1.3),MIN(MAX(J996/K996,0),1.3))),"") </f>
        <v/>
      </c>
      <c r="M996" s="28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1</v>
      </c>
      <c r="R996" s="5" t="inlineStr">
        <is>
          <t>348-2023-12-31</t>
        </is>
      </c>
    </row>
    <row r="997">
      <c r="A997" s="39" t="n">
        <v>348</v>
      </c>
      <c r="B997" s="5" t="inlineStr">
        <is>
          <t>Cuentas por pagar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Positivo</t>
        </is>
      </c>
      <c r="F997" s="144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99</v>
      </c>
      <c r="K997" s="5" t="n">
        <v>99.92500000000001</v>
      </c>
      <c r="L997" s="28">
        <f>IFERROR(IF(OR(J997=0,K997=""),"",IF(E997="Positivo",MIN(MAX(K997/J997,0),1.3),MIN(MAX(J997/K997,0),1.3))),"") </f>
        <v/>
      </c>
      <c r="M997" s="28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348-2024-06-30</t>
        </is>
      </c>
    </row>
    <row r="998">
      <c r="A998" s="5" t="n">
        <v>348</v>
      </c>
      <c r="B998" s="5" t="inlineStr">
        <is>
          <t>Cuentas por pagar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Positivo</t>
        </is>
      </c>
      <c r="F998" s="144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99</v>
      </c>
      <c r="K998" s="5" t="n">
        <v>100</v>
      </c>
      <c r="L998" s="28">
        <f>IFERROR(IF(OR(J998=0,K998=""),"",IF(E998="Positivo",MIN(MAX(K998/J998,0),1.3),MIN(MAX(J998/K998,0),1.3))),"") </f>
        <v/>
      </c>
      <c r="M998" s="28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 t="inlineStr">
        <is>
          <t>348-2024-12-31</t>
        </is>
      </c>
    </row>
    <row r="999">
      <c r="A999" s="5" t="n">
        <v>348</v>
      </c>
      <c r="B999" s="5" t="inlineStr">
        <is>
          <t>Cuentas por pagar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Positivo</t>
        </is>
      </c>
      <c r="F999" s="144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99</v>
      </c>
      <c r="K999" s="5" t="n">
        <v>100</v>
      </c>
      <c r="L999" s="28">
        <f>IFERROR(IF(OR(J999=0,K999=""),"",IF(E999="Positivo",MIN(MAX(K999/J999,0),1.3),MIN(MAX(J999/K999,0),1.3))),"") </f>
        <v/>
      </c>
      <c r="M999" s="28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 t="inlineStr">
        <is>
          <t>348-2025-06-30</t>
        </is>
      </c>
    </row>
    <row r="1000">
      <c r="A1000" s="39" t="n">
        <v>348</v>
      </c>
      <c r="B1000" s="5" t="inlineStr">
        <is>
          <t>Cuentas por pagar</t>
        </is>
      </c>
      <c r="C1000" s="5" t="inlineStr">
        <is>
          <t>Contabilidad</t>
        </is>
      </c>
      <c r="D1000" s="5" t="inlineStr">
        <is>
          <t>Semestral</t>
        </is>
      </c>
      <c r="E1000" s="5" t="inlineStr">
        <is>
          <t>Positivo</t>
        </is>
      </c>
      <c r="F1000" s="144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99</v>
      </c>
      <c r="K1000" s="5" t="n">
        <v>100</v>
      </c>
      <c r="L1000" s="28">
        <f>IFERROR(IF(OR(J1000=0,K1000=""),"",IF(E1000="Positivo",MIN(MAX(K1000/J1000,0),1.3),MIN(MAX(J1000/K1000,0),1.3))),"") </f>
        <v/>
      </c>
      <c r="M1000" s="28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348-2025-12-31</t>
        </is>
      </c>
    </row>
    <row r="1001">
      <c r="A1001" s="39" t="n">
        <v>349</v>
      </c>
      <c r="B1001" s="5" t="inlineStr">
        <is>
          <t>Número de redes de investigación</t>
        </is>
      </c>
      <c r="C1001" s="5" t="inlineStr">
        <is>
          <t>Investigación, desarrollo tecnológico, innovación y creación</t>
        </is>
      </c>
      <c r="D1001" s="5" t="inlineStr">
        <is>
          <t>Anual</t>
        </is>
      </c>
      <c r="E1001" s="5" t="inlineStr">
        <is>
          <t>Positivo</t>
        </is>
      </c>
      <c r="F1001" s="144" t="n">
        <v>45291</v>
      </c>
      <c r="G1001" s="5" t="n">
        <v>2023</v>
      </c>
      <c r="H1001" s="5" t="inlineStr">
        <is>
          <t>Diciembre</t>
        </is>
      </c>
      <c r="I1001" s="6" t="inlineStr">
        <is>
          <t>2023-2</t>
        </is>
      </c>
      <c r="J1001" s="5" t="n"/>
      <c r="K1001" s="5" t="n">
        <v>0</v>
      </c>
      <c r="L1001" s="28" t="n"/>
      <c r="M1001" s="28" t="n"/>
      <c r="N1001" s="5" t="n"/>
      <c r="O1001" s="5" t="n"/>
      <c r="P1001" s="5" t="n">
        <v>0</v>
      </c>
      <c r="Q1001" s="5" t="n">
        <v>0</v>
      </c>
      <c r="R1001" s="5" t="inlineStr">
        <is>
          <t>349-2023-12-31</t>
        </is>
      </c>
    </row>
    <row r="1002">
      <c r="A1002" s="39" t="n">
        <v>350</v>
      </c>
      <c r="B1002" s="5" t="inlineStr">
        <is>
          <t>Centros de investigación, ciencia y de apoyo a CTI en consolidación</t>
        </is>
      </c>
      <c r="C1002" s="5" t="inlineStr">
        <is>
          <t>Investigación, desarrollo tecnológico, innovación y creación</t>
        </is>
      </c>
      <c r="D1002" s="5" t="inlineStr">
        <is>
          <t>Anual</t>
        </is>
      </c>
      <c r="E1002" s="5" t="inlineStr">
        <is>
          <t>Positivo</t>
        </is>
      </c>
      <c r="F1002" s="144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/>
      <c r="K1002" s="5" t="n">
        <v>0</v>
      </c>
      <c r="L1002" s="28" t="n"/>
      <c r="M1002" s="28" t="n"/>
      <c r="N1002" s="5" t="n"/>
      <c r="O1002" s="5" t="n"/>
      <c r="P1002" s="5" t="n">
        <v>0</v>
      </c>
      <c r="Q1002" s="5" t="n">
        <v>0</v>
      </c>
      <c r="R1002" s="5" t="inlineStr">
        <is>
          <t>350-2023-12-31</t>
        </is>
      </c>
    </row>
    <row r="1003">
      <c r="A1003" s="39" t="n">
        <v>351</v>
      </c>
      <c r="B1003" s="5" t="inlineStr">
        <is>
          <t>Partidas conciliatorias de bancos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144" t="n">
        <v>45107</v>
      </c>
      <c r="G1003" s="5" t="n">
        <v>2023</v>
      </c>
      <c r="H1003" s="5" t="inlineStr">
        <is>
          <t>Junio</t>
        </is>
      </c>
      <c r="I1003" s="6" t="inlineStr">
        <is>
          <t>2023-1</t>
        </is>
      </c>
      <c r="J1003" s="5" t="n">
        <v>0</v>
      </c>
      <c r="K1003" s="5" t="n">
        <v>9.826042041491526</v>
      </c>
      <c r="L1003" s="28">
        <f>IFERROR(IF(OR(J1003=0,K1003=""),"",IF(E1003="Positivo",MIN(MAX(K1003/J1003,0),1.3),MIN(MAX(J1003/K1003,0),1.3))),"") </f>
        <v/>
      </c>
      <c r="M1003" s="28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1</v>
      </c>
      <c r="R1003" s="5" t="inlineStr">
        <is>
          <t>351-2023-06-30</t>
        </is>
      </c>
    </row>
    <row r="1004">
      <c r="A1004" s="5" t="n">
        <v>351</v>
      </c>
      <c r="B1004" s="5" t="inlineStr">
        <is>
          <t>Partidas conciliatorias de bancos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144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0</v>
      </c>
      <c r="K1004" s="5" t="n">
        <v>6.921122099497337</v>
      </c>
      <c r="L1004" s="28">
        <f>IFERROR(IF(OR(J1004=0,K1004=""),"",IF(E1004="Positivo",MIN(MAX(K1004/J1004,0),1.3),MIN(MAX(J1004/K1004,0),1.3))),"") </f>
        <v/>
      </c>
      <c r="M1004" s="28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1</v>
      </c>
      <c r="R1004" s="5" t="inlineStr">
        <is>
          <t>351-2023-12-31</t>
        </is>
      </c>
    </row>
    <row r="1005">
      <c r="A1005" s="5" t="n">
        <v>351</v>
      </c>
      <c r="B1005" s="5" t="inlineStr">
        <is>
          <t>Partidas conciliatorias de bancos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Negativo</t>
        </is>
      </c>
      <c r="F1005" s="144" t="n">
        <v>45473</v>
      </c>
      <c r="G1005" s="5" t="n">
        <v>2024</v>
      </c>
      <c r="H1005" s="5" t="inlineStr">
        <is>
          <t>Junio</t>
        </is>
      </c>
      <c r="I1005" s="6" t="inlineStr">
        <is>
          <t>2024-1</t>
        </is>
      </c>
      <c r="J1005" s="5" t="n">
        <v>0</v>
      </c>
      <c r="K1005" s="5" t="n">
        <v>8.764600983830958</v>
      </c>
      <c r="L1005" s="28">
        <f>IFERROR(IF(OR(J1005=0,K1005=""),"",IF(E1005="Positivo",MIN(MAX(K1005/J1005,0),1.3),MIN(MAX(J1005/K1005,0),1.3))),"") </f>
        <v/>
      </c>
      <c r="M1005" s="28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1</v>
      </c>
      <c r="R1005" s="5" t="inlineStr">
        <is>
          <t>351-2024-06-30</t>
        </is>
      </c>
    </row>
    <row r="1006">
      <c r="A1006" s="43" t="n">
        <v>351</v>
      </c>
      <c r="B1006" s="5" t="inlineStr">
        <is>
          <t>Partidas conciliatorias de bancos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Negativo</t>
        </is>
      </c>
      <c r="F1006" s="144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0</v>
      </c>
      <c r="K1006" s="5" t="n">
        <v>2.338777826654054</v>
      </c>
      <c r="L1006" s="120">
        <f>IFERROR(IF(OR(J1006=0,K1006=""),"",IF(E1006="Positivo",MIN(MAX(K1006/J1006,0),1.3),MIN(MAX(J1006/K1006,0),1.3))),"") </f>
        <v/>
      </c>
      <c r="M1006" s="28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1</v>
      </c>
      <c r="R1006" s="5" t="inlineStr">
        <is>
          <t>351-2024-12-31</t>
        </is>
      </c>
    </row>
    <row r="1007">
      <c r="A1007" s="39" t="n">
        <v>351</v>
      </c>
      <c r="B1007" s="5" t="inlineStr">
        <is>
          <t>Partidas conciliatorias de bancos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144" t="n">
        <v>45838</v>
      </c>
      <c r="G1007" s="5" t="n">
        <v>2025</v>
      </c>
      <c r="H1007" s="5" t="inlineStr">
        <is>
          <t>Junio</t>
        </is>
      </c>
      <c r="I1007" s="6" t="inlineStr">
        <is>
          <t>2025-1</t>
        </is>
      </c>
      <c r="J1007" s="5" t="n">
        <v>0</v>
      </c>
      <c r="K1007" s="5" t="n">
        <v>0.5600000000000001</v>
      </c>
      <c r="L1007" s="120">
        <f>IFERROR(IF(OR(J1007=0,K1007=""),"",IF(E1007="Positivo",MIN(MAX(K1007/J1007,0),1.3),MIN(MAX(J1007/K1007,0),1.3))),"") </f>
        <v/>
      </c>
      <c r="M1007" s="28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1</v>
      </c>
      <c r="R1007" s="5" t="inlineStr">
        <is>
          <t>351-2025-06-30</t>
        </is>
      </c>
    </row>
    <row r="1008">
      <c r="A1008" s="5" t="n">
        <v>351</v>
      </c>
      <c r="B1008" s="5" t="inlineStr">
        <is>
          <t>Partidas conciliatorias de bancos</t>
        </is>
      </c>
      <c r="C1008" s="5" t="inlineStr">
        <is>
          <t>Contabilidad</t>
        </is>
      </c>
      <c r="D1008" s="5" t="inlineStr">
        <is>
          <t>Semestral</t>
        </is>
      </c>
      <c r="E1008" s="5" t="inlineStr">
        <is>
          <t>Negativo</t>
        </is>
      </c>
      <c r="F1008" s="144" t="n">
        <v>46022</v>
      </c>
      <c r="G1008" s="5" t="n">
        <v>2025</v>
      </c>
      <c r="H1008" s="5" t="inlineStr">
        <is>
          <t>Diciembre</t>
        </is>
      </c>
      <c r="I1008" s="6" t="inlineStr">
        <is>
          <t>2025-2</t>
        </is>
      </c>
      <c r="J1008" s="5" t="n">
        <v>0</v>
      </c>
      <c r="K1008" s="5" t="n">
        <v>0.26</v>
      </c>
      <c r="L1008" s="28">
        <f>IFERROR(IF(OR(J1008=0,K1008=""),"",IF(E1008="Positivo",MIN(MAX(K1008/J1008,0),1.3),MIN(MAX(J1008/K1008,0),1.3))),"") </f>
        <v/>
      </c>
      <c r="M1008" s="28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DEC</t>
        </is>
      </c>
      <c r="P1008" s="5" t="n">
        <v>0</v>
      </c>
      <c r="Q1008" s="5" t="n">
        <v>1</v>
      </c>
      <c r="R1008" s="5" t="inlineStr">
        <is>
          <t>351-2025-12-31</t>
        </is>
      </c>
    </row>
    <row r="1009">
      <c r="A1009" s="5" t="n">
        <v>352</v>
      </c>
      <c r="B1009" s="5" t="inlineStr">
        <is>
          <t>Nivel de facturas generadas con error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144" t="n">
        <v>45107</v>
      </c>
      <c r="G1009" s="5" t="n">
        <v>2023</v>
      </c>
      <c r="H1009" s="5" t="inlineStr">
        <is>
          <t>Junio</t>
        </is>
      </c>
      <c r="I1009" s="6" t="inlineStr">
        <is>
          <t>2023-1</t>
        </is>
      </c>
      <c r="J1009" s="5" t="n">
        <v>0</v>
      </c>
      <c r="K1009" s="5" t="n">
        <v>0.01904339979070545</v>
      </c>
      <c r="L1009" s="28">
        <f>IFERROR(IF(OR(J1009=0,K1009=""),"",IF(E1009="Positivo",MIN(MAX(K1009/J1009,0),1.3),MIN(MAX(J1009/K1009,0),1.3))),"") </f>
        <v/>
      </c>
      <c r="M1009" s="28">
        <f>IFERROR(IF(OR(J1009=0,K1009=""),"",IF(E1009="Positivo",MAX(K1009/J1009,0),MAX(J1009/K1009,0))),"") </f>
        <v/>
      </c>
      <c r="N1009" s="5" t="inlineStr">
        <is>
          <t>%</t>
        </is>
      </c>
      <c r="O1009" s="5" t="inlineStr">
        <is>
          <t>%</t>
        </is>
      </c>
      <c r="P1009" s="5" t="n">
        <v>2</v>
      </c>
      <c r="Q1009" s="5" t="n">
        <v>2</v>
      </c>
      <c r="R1009" s="5" t="inlineStr">
        <is>
          <t>352-2023-06-30</t>
        </is>
      </c>
    </row>
    <row r="1010">
      <c r="A1010" s="39" t="n">
        <v>352</v>
      </c>
      <c r="B1010" s="5" t="inlineStr">
        <is>
          <t>Nivel de facturas generadas con error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144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>
        <v>0</v>
      </c>
      <c r="K1010" s="5" t="n">
        <v>0.1541960807832302</v>
      </c>
      <c r="L1010" s="28">
        <f>IFERROR(IF(OR(J1010=0,K1010=""),"",IF(E1010="Positivo",MIN(MAX(K1010/J1010,0),1.3),MIN(MAX(J1010/K1010,0),1.3))),"") </f>
        <v/>
      </c>
      <c r="M1010" s="28">
        <f>IFERROR(IF(OR(J1010=0,K1010=""),"",IF(E1010="Positivo",MAX(K1010/J1010,0),MAX(J1010/K1010,0))),"") </f>
        <v/>
      </c>
      <c r="N1010" s="5" t="inlineStr">
        <is>
          <t>%</t>
        </is>
      </c>
      <c r="O1010" s="5" t="inlineStr">
        <is>
          <t>%</t>
        </is>
      </c>
      <c r="P1010" s="5" t="n">
        <v>2</v>
      </c>
      <c r="Q1010" s="5" t="n">
        <v>2</v>
      </c>
      <c r="R1010" s="5" t="inlineStr">
        <is>
          <t>352-2023-12-31</t>
        </is>
      </c>
    </row>
    <row r="1011">
      <c r="A1011" s="5" t="n">
        <v>352</v>
      </c>
      <c r="B1011" s="5" t="inlineStr">
        <is>
          <t>Nivel de facturas generadas con error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144" t="n">
        <v>45473</v>
      </c>
      <c r="G1011" s="5" t="n">
        <v>2024</v>
      </c>
      <c r="H1011" s="5" t="inlineStr">
        <is>
          <t>Junio</t>
        </is>
      </c>
      <c r="I1011" s="6" t="inlineStr">
        <is>
          <t>2024-1</t>
        </is>
      </c>
      <c r="J1011" s="5" t="n">
        <v>0</v>
      </c>
      <c r="K1011" s="5" t="n">
        <v>0.0866016801252273</v>
      </c>
      <c r="L1011" s="28">
        <f>IFERROR(IF(OR(J1011=0,K1011=""),"",IF(E1011="Positivo",MIN(MAX(K1011/J1011,0),1.3),MIN(MAX(J1011/K1011,0),1.3))),"") </f>
        <v/>
      </c>
      <c r="M1011" s="28">
        <f>IFERROR(IF(OR(J1011=0,K1011=""),"",IF(E1011="Positivo",MAX(K1011/J1011,0),MAX(J1011/K1011,0))),"") </f>
        <v/>
      </c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0</v>
      </c>
      <c r="R1011" s="5" t="inlineStr">
        <is>
          <t>352-2024-06-30</t>
        </is>
      </c>
    </row>
    <row r="1012">
      <c r="A1012" s="5" t="n">
        <v>352</v>
      </c>
      <c r="B1012" s="5" t="inlineStr">
        <is>
          <t>Nivel de facturas generadas con error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144" t="n">
        <v>45657</v>
      </c>
      <c r="G1012" s="5" t="n">
        <v>2024</v>
      </c>
      <c r="H1012" s="5" t="inlineStr">
        <is>
          <t>Diciembre</t>
        </is>
      </c>
      <c r="I1012" s="6" t="inlineStr">
        <is>
          <t>2024-2</t>
        </is>
      </c>
      <c r="J1012" s="5" t="n">
        <v>0</v>
      </c>
      <c r="K1012" s="5" t="n">
        <v>0.00048259287499875</v>
      </c>
      <c r="L1012" s="28">
        <f>IFERROR(IF(OR(J1012=0,K1012=""),"",IF(E1012="Positivo",MIN(MAX(K1012/J1012,0),1.3),MIN(MAX(J1012/K1012,0),1.3))),"") </f>
        <v/>
      </c>
      <c r="M1012" s="28">
        <f>IFERROR(IF(OR(J1012=0,K1012=""),"",IF(E1012="Positivo",MAX(K1012/J1012,0),MAX(J1012/K1012,0))),"") </f>
        <v/>
      </c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0</v>
      </c>
      <c r="R1012" s="5" t="inlineStr">
        <is>
          <t>352-2024-12-31</t>
        </is>
      </c>
    </row>
    <row r="1013">
      <c r="A1013" s="39" t="n">
        <v>352</v>
      </c>
      <c r="B1013" s="5" t="inlineStr">
        <is>
          <t>Nivel de facturas generadas con error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44" t="n">
        <v>45838</v>
      </c>
      <c r="G1013" s="5" t="n">
        <v>2025</v>
      </c>
      <c r="H1013" s="5" t="inlineStr">
        <is>
          <t>Junio</t>
        </is>
      </c>
      <c r="I1013" s="6" t="inlineStr">
        <is>
          <t>2025-1</t>
        </is>
      </c>
      <c r="J1013" s="5" t="n">
        <v>0</v>
      </c>
      <c r="K1013" s="5" t="n">
        <v>0.005</v>
      </c>
      <c r="L1013" s="120">
        <f>IFERROR(IF(OR(J1013=0,K1013=""),"",IF(E1013="Positivo",MIN(MAX(K1013/J1013,0),1.3),MIN(MAX(J1013/K1013,0),1.3))),"") </f>
        <v/>
      </c>
      <c r="M1013" s="28">
        <f>IFERROR(IF(OR(J1013=0,K1013=""),"",IF(E1013="Positivo",MAX(K1013/J1013,0),MAX(J1013/K1013,0))),"") </f>
        <v/>
      </c>
      <c r="N1013" s="5" t="inlineStr">
        <is>
          <t>%</t>
        </is>
      </c>
      <c r="O1013" s="5" t="inlineStr">
        <is>
          <t>%</t>
        </is>
      </c>
      <c r="P1013" s="5" t="n">
        <v>0</v>
      </c>
      <c r="Q1013" s="5" t="n">
        <v>0</v>
      </c>
      <c r="R1013" s="5" t="inlineStr">
        <is>
          <t>352-2025-06-30</t>
        </is>
      </c>
    </row>
    <row r="1014">
      <c r="A1014" s="5" t="n">
        <v>352</v>
      </c>
      <c r="B1014" s="5" t="inlineStr">
        <is>
          <t>Nivel de facturas generadas con error</t>
        </is>
      </c>
      <c r="C1014" s="5" t="inlineStr">
        <is>
          <t>Contabilidad</t>
        </is>
      </c>
      <c r="D1014" s="5" t="inlineStr">
        <is>
          <t>Semestral</t>
        </is>
      </c>
      <c r="E1014" s="5" t="inlineStr">
        <is>
          <t>Negativo</t>
        </is>
      </c>
      <c r="F1014" s="144" t="n">
        <v>46022</v>
      </c>
      <c r="G1014" s="5" t="n">
        <v>2025</v>
      </c>
      <c r="H1014" s="5" t="inlineStr">
        <is>
          <t>Diciembre</t>
        </is>
      </c>
      <c r="I1014" s="6" t="inlineStr">
        <is>
          <t>2025-2</t>
        </is>
      </c>
      <c r="J1014" s="5" t="n">
        <v>0</v>
      </c>
      <c r="K1014" s="5" t="n">
        <v>0.01</v>
      </c>
      <c r="L1014" s="28">
        <f>IFERROR(IF(OR(J1014=0,K1014=""),"",IF(E1014="Positivo",MIN(MAX(K1014/J1014,0),1.3),MIN(MAX(J1014/K1014,0),1.3))),"") </f>
        <v/>
      </c>
      <c r="M1014" s="28">
        <f>IFERROR(IF(OR(J1014=0,K1014=""),"",IF(E1014="Positivo",MAX(K1014/J1014,0),MAX(J1014/K1014,0))),"") </f>
        <v/>
      </c>
      <c r="N1014" s="5" t="inlineStr">
        <is>
          <t>%</t>
        </is>
      </c>
      <c r="O1014" s="5" t="inlineStr">
        <is>
          <t>%</t>
        </is>
      </c>
      <c r="P1014" s="5" t="n">
        <v>0</v>
      </c>
      <c r="Q1014" s="5" t="n">
        <v>2</v>
      </c>
      <c r="R1014" s="5" t="inlineStr">
        <is>
          <t>352-2025-12-31</t>
        </is>
      </c>
    </row>
    <row r="1015">
      <c r="A1015" s="39" t="n">
        <v>353</v>
      </c>
      <c r="B1015" s="5" t="inlineStr">
        <is>
          <t>Cobertura de tableros BI en procesos</t>
        </is>
      </c>
      <c r="C1015" s="5" t="inlineStr">
        <is>
          <t>DATOS Y ANALÍTICA</t>
        </is>
      </c>
      <c r="D1015" s="5" t="inlineStr">
        <is>
          <t>Semestral</t>
        </is>
      </c>
      <c r="E1015" s="5" t="inlineStr">
        <is>
          <t>Positivo</t>
        </is>
      </c>
      <c r="F1015" s="144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25</v>
      </c>
      <c r="K1015" s="5" t="n">
        <v>40.3846153846154</v>
      </c>
      <c r="L1015" s="120">
        <f>IFERROR(IF(OR(J1015=0,K1015=""),"",IF(E1015="Positivo",MIN(MAX(K1015/J1015,0),1.3),MIN(MAX(J1015/K1015,0),1.3))),"") </f>
        <v/>
      </c>
      <c r="M1015" s="28">
        <f>IFERROR(IF(OR(J1015=0,K1015=""),"",IF(E1015="Positivo",MAX(K1015/J1015,0),MAX(J1015/K1015,0))),"") </f>
        <v/>
      </c>
      <c r="N1015" s="5" t="n"/>
      <c r="O1015" s="5" t="n"/>
      <c r="P1015" s="5" t="n">
        <v>1</v>
      </c>
      <c r="Q1015" s="5" t="n">
        <v>1</v>
      </c>
      <c r="R1015" s="5" t="inlineStr">
        <is>
          <t>353-2023-06-30</t>
        </is>
      </c>
    </row>
    <row r="1016">
      <c r="A1016" s="39" t="n">
        <v>353</v>
      </c>
      <c r="B1016" s="5" t="inlineStr">
        <is>
          <t>Cobertura de tableros BI en procesos</t>
        </is>
      </c>
      <c r="C1016" s="5" t="inlineStr">
        <is>
          <t>DATOS Y ANALÍTICA</t>
        </is>
      </c>
      <c r="D1016" s="5" t="inlineStr">
        <is>
          <t>Semestral</t>
        </is>
      </c>
      <c r="E1016" s="5" t="inlineStr">
        <is>
          <t>Positivo</t>
        </is>
      </c>
      <c r="F1016" s="144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>
        <v>35</v>
      </c>
      <c r="K1016" s="5" t="n">
        <v>40.3846153846154</v>
      </c>
      <c r="L1016" s="120">
        <f>IFERROR(IF(OR(J1016=0,K1016=""),"",IF(E1016="Positivo",MIN(MAX(K1016/J1016,0),1.3),MIN(MAX(J1016/K1016,0),1.3))),"") </f>
        <v/>
      </c>
      <c r="M1016" s="28">
        <f>IFERROR(IF(OR(J1016=0,K1016=""),"",IF(E1016="Positivo",MAX(K1016/J1016,0),MAX(J1016/K1016,0))),"") </f>
        <v/>
      </c>
      <c r="N1016" s="5" t="n"/>
      <c r="O1016" s="5" t="n"/>
      <c r="P1016" s="5" t="n">
        <v>1</v>
      </c>
      <c r="Q1016" s="5" t="n">
        <v>1</v>
      </c>
      <c r="R1016" s="5" t="inlineStr">
        <is>
          <t>353-2023-12-31</t>
        </is>
      </c>
    </row>
    <row r="1017">
      <c r="A1017" s="5" t="n">
        <v>354</v>
      </c>
      <c r="B1017" s="5" t="inlineStr">
        <is>
          <t>Plan de formación en analitica</t>
        </is>
      </c>
      <c r="C1017" s="5" t="inlineStr">
        <is>
          <t>DATOS Y ANALÍTICA</t>
        </is>
      </c>
      <c r="D1017" s="5" t="inlineStr">
        <is>
          <t>Semestral</t>
        </is>
      </c>
      <c r="E1017" s="5" t="inlineStr">
        <is>
          <t>Positivo</t>
        </is>
      </c>
      <c r="F1017" s="144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10</v>
      </c>
      <c r="K1017" s="5" t="n">
        <v>5.07</v>
      </c>
      <c r="L1017" s="28">
        <f>IFERROR(IF(OR(J1017=0,K1017=""),"",IF(E1017="Positivo",MIN(MAX(K1017/J1017,0),1.3),MIN(MAX(J1017/K1017,0),1.3))),"") </f>
        <v/>
      </c>
      <c r="M1017" s="28">
        <f>IFERROR(IF(OR(J1017=0,K1017=""),"",IF(E1017="Positivo",MAX(K1017/J1017,0),MAX(J1017/K1017,0))),"") </f>
        <v/>
      </c>
      <c r="N1017" s="5" t="n"/>
      <c r="O1017" s="5" t="n"/>
      <c r="P1017" s="5" t="n">
        <v>1</v>
      </c>
      <c r="Q1017" s="5" t="n">
        <v>1</v>
      </c>
      <c r="R1017" s="5" t="inlineStr">
        <is>
          <t>354-2023-06-30</t>
        </is>
      </c>
    </row>
    <row r="1018">
      <c r="A1018" s="5" t="n">
        <v>354</v>
      </c>
      <c r="B1018" s="5" t="inlineStr">
        <is>
          <t>Plan de formación en analitica</t>
        </is>
      </c>
      <c r="C1018" s="5" t="inlineStr">
        <is>
          <t>DATOS Y ANALÍTICA</t>
        </is>
      </c>
      <c r="D1018" s="5" t="inlineStr">
        <is>
          <t>Semestral</t>
        </is>
      </c>
      <c r="E1018" s="5" t="inlineStr">
        <is>
          <t>Positivo</t>
        </is>
      </c>
      <c r="F1018" s="144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10</v>
      </c>
      <c r="K1018" s="5" t="n">
        <v>31.77</v>
      </c>
      <c r="L1018" s="28">
        <f>IFERROR(IF(OR(J1018=0,K1018=""),"",IF(E1018="Positivo",MIN(MAX(K1018/J1018,0),1.3),MIN(MAX(J1018/K1018,0),1.3))),"") </f>
        <v/>
      </c>
      <c r="M1018" s="28">
        <f>IFERROR(IF(OR(J1018=0,K1018=""),"",IF(E1018="Positivo",MAX(K1018/J1018,0),MAX(J1018/K1018,0))),"") </f>
        <v/>
      </c>
      <c r="N1018" s="5" t="n"/>
      <c r="O1018" s="5" t="n"/>
      <c r="P1018" s="5" t="n">
        <v>1</v>
      </c>
      <c r="Q1018" s="5" t="n">
        <v>1</v>
      </c>
      <c r="R1018" s="5" t="inlineStr">
        <is>
          <t>354-2023-12-31</t>
        </is>
      </c>
    </row>
    <row r="1019">
      <c r="A1019" s="39" t="n">
        <v>355</v>
      </c>
      <c r="B1019" s="5" t="inlineStr">
        <is>
          <t>Indice de liquidez</t>
        </is>
      </c>
      <c r="C1019" s="5" t="inlineStr">
        <is>
          <t>Tesorería</t>
        </is>
      </c>
      <c r="D1019" s="5" t="inlineStr">
        <is>
          <t>Anual</t>
        </is>
      </c>
      <c r="E1019" s="5" t="inlineStr">
        <is>
          <t>Positivo</t>
        </is>
      </c>
      <c r="F1019" s="144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1</v>
      </c>
      <c r="K1019" s="5" t="n">
        <v>0.31754780991781</v>
      </c>
      <c r="L1019" s="120">
        <f>IFERROR(IF(OR(J1019=0,K1019=""),"",IF(E1019="Positivo",MIN(MAX(K1019/J1019,0),1.3),MIN(MAX(J1019/K1019,0),1.3))),"") </f>
        <v/>
      </c>
      <c r="M1019" s="28">
        <f>IFERROR(IF(OR(J1019=0,K1019=""),"",IF(E1019="Positivo",MAX(K1019/J1019,0),MAX(J1019/K1019,0))),"") </f>
        <v/>
      </c>
      <c r="N1019" s="5" t="inlineStr">
        <is>
          <t>ENT</t>
        </is>
      </c>
      <c r="O1019" s="5" t="inlineStr">
        <is>
          <t>DEC</t>
        </is>
      </c>
      <c r="P1019" s="5" t="n">
        <v>1</v>
      </c>
      <c r="Q1019" s="5" t="n">
        <v>1</v>
      </c>
      <c r="R1019" s="5" t="inlineStr">
        <is>
          <t>355-2023-06-30</t>
        </is>
      </c>
    </row>
    <row r="1020">
      <c r="A1020" s="5" t="n">
        <v>355</v>
      </c>
      <c r="B1020" s="5" t="inlineStr">
        <is>
          <t>Indice de liquidez</t>
        </is>
      </c>
      <c r="C1020" s="5" t="inlineStr">
        <is>
          <t>Tesorería</t>
        </is>
      </c>
      <c r="D1020" s="5" t="inlineStr">
        <is>
          <t>Anual</t>
        </is>
      </c>
      <c r="E1020" s="5" t="inlineStr">
        <is>
          <t>Positivo</t>
        </is>
      </c>
      <c r="F1020" s="144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1</v>
      </c>
      <c r="K1020" s="5" t="n">
        <v>1.64916004403234</v>
      </c>
      <c r="L1020" s="28">
        <f>IFERROR(IF(OR(J1020=0,K1020=""),"",IF(E1020="Positivo",MIN(MAX(K1020/J1020,0),1.3),MIN(MAX(J1020/K1020,0),1.3))),"") </f>
        <v/>
      </c>
      <c r="M1020" s="28">
        <f>IFERROR(IF(OR(J1020=0,K1020=""),"",IF(E1020="Positivo",MAX(K1020/J1020,0),MAX(J1020/K1020,0))),"") </f>
        <v/>
      </c>
      <c r="N1020" s="5" t="n"/>
      <c r="O1020" s="5" t="n"/>
      <c r="P1020" s="5" t="n">
        <v>1</v>
      </c>
      <c r="Q1020" s="5" t="n">
        <v>1</v>
      </c>
      <c r="R1020" s="5" t="inlineStr">
        <is>
          <t>355-2023-12-31</t>
        </is>
      </c>
    </row>
    <row r="1021">
      <c r="A1021" s="5" t="n">
        <v>355</v>
      </c>
      <c r="B1021" s="5" t="inlineStr">
        <is>
          <t>Indice de liquidez</t>
        </is>
      </c>
      <c r="C1021" s="5" t="inlineStr">
        <is>
          <t>Tesorería</t>
        </is>
      </c>
      <c r="D1021" s="5" t="inlineStr">
        <is>
          <t>Anual</t>
        </is>
      </c>
      <c r="E1021" s="5" t="inlineStr">
        <is>
          <t>Positivo</t>
        </is>
      </c>
      <c r="F1021" s="144" t="n">
        <v>45657</v>
      </c>
      <c r="G1021" s="5" t="n">
        <v>2024</v>
      </c>
      <c r="H1021" s="5" t="inlineStr">
        <is>
          <t>Diciembre</t>
        </is>
      </c>
      <c r="I1021" s="6" t="inlineStr">
        <is>
          <t>2024-2</t>
        </is>
      </c>
      <c r="J1021" s="5" t="n">
        <v>1.7</v>
      </c>
      <c r="K1021" s="5" t="n">
        <v>1.69</v>
      </c>
      <c r="L1021" s="28">
        <f>IFERROR(IF(OR(J1021=0,K1021=""),"",IF(E1021="Positivo",MIN(MAX(K1021/J1021,0),1.3),MIN(MAX(J1021/K1021,0),1.3))),"") </f>
        <v/>
      </c>
      <c r="M1021" s="28">
        <f>IFERROR(IF(OR(J1021=0,K1021=""),"",IF(E1021="Positivo",MAX(K1021/J1021,0),MAX(J1021/K1021,0))),"") </f>
        <v/>
      </c>
      <c r="N1021" s="5" t="n"/>
      <c r="O1021" s="5" t="n"/>
      <c r="P1021" s="5" t="n">
        <v>0</v>
      </c>
      <c r="Q1021" s="5" t="n">
        <v>0</v>
      </c>
      <c r="R1021" s="5" t="inlineStr">
        <is>
          <t>355-2024-12-31</t>
        </is>
      </c>
    </row>
    <row r="1022">
      <c r="A1022" s="5" t="n">
        <v>355</v>
      </c>
      <c r="B1022" s="5" t="inlineStr">
        <is>
          <t>Indice de liquidez</t>
        </is>
      </c>
      <c r="C1022" s="5" t="inlineStr">
        <is>
          <t>Tesorería</t>
        </is>
      </c>
      <c r="D1022" s="5" t="inlineStr">
        <is>
          <t>Anual</t>
        </is>
      </c>
      <c r="E1022" s="5" t="inlineStr">
        <is>
          <t>Positivo</t>
        </is>
      </c>
      <c r="F1022" s="144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1.4</v>
      </c>
      <c r="K1022" s="5" t="n">
        <v>1.56</v>
      </c>
      <c r="L1022" s="28">
        <f>IFERROR(IF(OR(J1022=0,K1022=""),"",IF(E1022="Positivo",MIN(MAX(K1022/J1022,0),1.3),MIN(MAX(J1022/K1022,0),1.3))),"") </f>
        <v/>
      </c>
      <c r="M1022" s="28">
        <f>IFERROR(IF(OR(J1022=0,K1022=""),"",IF(E1022="Positivo",MAX(K1022/J1022,0),MAX(J1022/K1022,0))),"") </f>
        <v/>
      </c>
      <c r="N1022" s="5" t="inlineStr">
        <is>
          <t>ENT</t>
        </is>
      </c>
      <c r="O1022" s="5" t="inlineStr">
        <is>
          <t>DEC</t>
        </is>
      </c>
      <c r="P1022" s="5" t="n">
        <v>1</v>
      </c>
      <c r="Q1022" s="5" t="n">
        <v>1</v>
      </c>
      <c r="R1022" s="5" t="inlineStr">
        <is>
          <t>355-2025-12-31</t>
        </is>
      </c>
    </row>
    <row r="1023">
      <c r="A1023" s="5" t="n">
        <v>356</v>
      </c>
      <c r="B1023" s="5" t="inlineStr">
        <is>
          <t>Indice de Endeudamiento</t>
        </is>
      </c>
      <c r="C1023" s="5" t="inlineStr">
        <is>
          <t>Tesorería</t>
        </is>
      </c>
      <c r="D1023" s="5" t="inlineStr">
        <is>
          <t>Semestral</t>
        </is>
      </c>
      <c r="E1023" s="5" t="inlineStr">
        <is>
          <t>Negativo</t>
        </is>
      </c>
      <c r="F1023" s="144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60</v>
      </c>
      <c r="K1023" s="5" t="n">
        <v>49.213961407602</v>
      </c>
      <c r="L1023" s="28">
        <f>IFERROR(IF(OR(J1023=0,K1023=""),"",IF(E1023="Positivo",MIN(MAX(K1023/J1023,0),1.3),MIN(MAX(J1023/K1023,0),1.3))),"") </f>
        <v/>
      </c>
      <c r="M1023" s="28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5" t="n">
        <v>1</v>
      </c>
      <c r="Q1023" s="5" t="n">
        <v>1</v>
      </c>
      <c r="R1023" s="5" t="inlineStr">
        <is>
          <t>356-2023-06-30</t>
        </is>
      </c>
    </row>
    <row r="1024">
      <c r="A1024" s="5" t="n">
        <v>356</v>
      </c>
      <c r="B1024" s="5" t="inlineStr">
        <is>
          <t>Indice de Endeudamiento</t>
        </is>
      </c>
      <c r="C1024" s="5" t="inlineStr">
        <is>
          <t>Tesorería</t>
        </is>
      </c>
      <c r="D1024" s="5" t="inlineStr">
        <is>
          <t>Semestral</t>
        </is>
      </c>
      <c r="E1024" s="5" t="inlineStr">
        <is>
          <t>Negativo</t>
        </is>
      </c>
      <c r="F1024" s="144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60</v>
      </c>
      <c r="K1024" s="5" t="n">
        <v>61.54</v>
      </c>
      <c r="L1024" s="28">
        <f>IFERROR(IF(OR(J1024=0,K1024=""),"",IF(E1024="Positivo",MIN(MAX(K1024/J1024,0),1.3),MIN(MAX(J1024/K1024,0),1.3))),"") </f>
        <v/>
      </c>
      <c r="M1024" s="28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1</v>
      </c>
      <c r="Q1024" s="5" t="n">
        <v>1</v>
      </c>
      <c r="R1024" s="5" t="inlineStr">
        <is>
          <t>356-2023-12-31</t>
        </is>
      </c>
    </row>
    <row r="1025">
      <c r="A1025" s="5" t="n">
        <v>356</v>
      </c>
      <c r="B1025" s="5" t="inlineStr">
        <is>
          <t>Indice de Endeudamiento</t>
        </is>
      </c>
      <c r="C1025" s="5" t="inlineStr">
        <is>
          <t>Tesorería</t>
        </is>
      </c>
      <c r="D1025" s="5" t="inlineStr">
        <is>
          <t>Semestral</t>
        </is>
      </c>
      <c r="E1025" s="5" t="inlineStr">
        <is>
          <t>Negativo</t>
        </is>
      </c>
      <c r="F1025" s="144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60</v>
      </c>
      <c r="K1025" s="5" t="n">
        <v>54.08</v>
      </c>
      <c r="L1025" s="28">
        <f>IFERROR(IF(OR(J1025=0,K1025=""),"",IF(E1025="Positivo",MIN(MAX(K1025/J1025,0),1.3),MIN(MAX(J1025/K1025,0),1.3))),"") </f>
        <v/>
      </c>
      <c r="M1025" s="28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0</v>
      </c>
      <c r="R1025" s="5" t="inlineStr">
        <is>
          <t>356-2024-06-30</t>
        </is>
      </c>
    </row>
    <row r="1026">
      <c r="A1026" s="5" t="n">
        <v>356</v>
      </c>
      <c r="B1026" s="5" t="inlineStr">
        <is>
          <t>Indice de Endeudamiento</t>
        </is>
      </c>
      <c r="C1026" s="5" t="inlineStr">
        <is>
          <t>Tesorería</t>
        </is>
      </c>
      <c r="D1026" s="5" t="inlineStr">
        <is>
          <t>Semestral</t>
        </is>
      </c>
      <c r="E1026" s="5" t="inlineStr">
        <is>
          <t>Negativo</t>
        </is>
      </c>
      <c r="F1026" s="144" t="n">
        <v>45657</v>
      </c>
      <c r="G1026" s="5" t="n">
        <v>2024</v>
      </c>
      <c r="H1026" s="5" t="inlineStr">
        <is>
          <t>Diciembre</t>
        </is>
      </c>
      <c r="I1026" s="6" t="inlineStr">
        <is>
          <t>2024-2</t>
        </is>
      </c>
      <c r="J1026" s="5" t="n">
        <v>60</v>
      </c>
      <c r="K1026" s="5" t="n">
        <v>65.55</v>
      </c>
      <c r="L1026" s="28">
        <f>IFERROR(IF(OR(J1026=0,K1026=""),"",IF(E1026="Positivo",MIN(MAX(K1026/J1026,0),1.3),MIN(MAX(J1026/K1026,0),1.3))),"") </f>
        <v/>
      </c>
      <c r="M1026" s="28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356-2024-12-31</t>
        </is>
      </c>
    </row>
    <row r="1027">
      <c r="A1027" s="5" t="n">
        <v>356</v>
      </c>
      <c r="B1027" s="5" t="inlineStr">
        <is>
          <t>Indice de Endeudamiento</t>
        </is>
      </c>
      <c r="C1027" s="5" t="inlineStr">
        <is>
          <t>Tesorería</t>
        </is>
      </c>
      <c r="D1027" s="5" t="inlineStr">
        <is>
          <t>Semestral</t>
        </is>
      </c>
      <c r="E1027" s="5" t="inlineStr">
        <is>
          <t>Negativo</t>
        </is>
      </c>
      <c r="F1027" s="144" t="n">
        <v>45838</v>
      </c>
      <c r="G1027" s="5" t="n">
        <v>2025</v>
      </c>
      <c r="H1027" s="5" t="inlineStr">
        <is>
          <t>Junio</t>
        </is>
      </c>
      <c r="I1027" s="6" t="inlineStr">
        <is>
          <t>2025-1</t>
        </is>
      </c>
      <c r="J1027" s="5" t="n">
        <v>60</v>
      </c>
      <c r="K1027" s="5" t="n">
        <v>49.14</v>
      </c>
      <c r="L1027" s="28">
        <f>IFERROR(IF(OR(J1027=0,K1027=""),"",IF(E1027="Positivo",MIN(MAX(K1027/J1027,0),1.3),MIN(MAX(J1027/K1027,0),1.3))),"") </f>
        <v/>
      </c>
      <c r="M1027" s="28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5" t="n">
        <v>0</v>
      </c>
      <c r="Q1027" s="5" t="n">
        <v>0</v>
      </c>
      <c r="R1027" s="5" t="inlineStr">
        <is>
          <t>356-2025-06-30</t>
        </is>
      </c>
    </row>
    <row r="1028">
      <c r="A1028" s="5" t="n">
        <v>356</v>
      </c>
      <c r="B1028" s="5" t="inlineStr">
        <is>
          <t>Indice de Endeudamiento</t>
        </is>
      </c>
      <c r="C1028" s="5" t="inlineStr">
        <is>
          <t>Tesorería</t>
        </is>
      </c>
      <c r="D1028" s="5" t="inlineStr">
        <is>
          <t>Trimestral</t>
        </is>
      </c>
      <c r="E1028" s="5" t="inlineStr">
        <is>
          <t>Negativo</t>
        </is>
      </c>
      <c r="F1028" s="144" t="n">
        <v>46022</v>
      </c>
      <c r="G1028" s="5" t="n">
        <v>2025</v>
      </c>
      <c r="H1028" s="5" t="inlineStr">
        <is>
          <t>Diciembre</t>
        </is>
      </c>
      <c r="I1028" s="6" t="inlineStr">
        <is>
          <t>2025-2</t>
        </is>
      </c>
      <c r="J1028" s="5" t="n">
        <v>60</v>
      </c>
      <c r="K1028" s="5" t="n">
        <v>64.77</v>
      </c>
      <c r="L1028" s="28">
        <f>IFERROR(IF(OR(J1028=0,K1028=""),"",IF(E1028="Positivo",MIN(MAX(K1028/J1028,0),1.3),MIN(MAX(J1028/K1028,0),1.3))),"") </f>
        <v/>
      </c>
      <c r="M1028" s="28">
        <f>IFERROR(IF(OR(J1028=0,K1028=""),"",IF(E1028="Positivo",MAX(K1028/J1028,0),MAX(J1028/K1028,0))),"") </f>
        <v/>
      </c>
      <c r="N1028" s="5" t="inlineStr">
        <is>
          <t>%</t>
        </is>
      </c>
      <c r="O1028" s="5" t="inlineStr">
        <is>
          <t>%</t>
        </is>
      </c>
      <c r="P1028" s="5" t="n">
        <v>0</v>
      </c>
      <c r="Q1028" s="5" t="n">
        <v>1</v>
      </c>
      <c r="R1028" s="5" t="inlineStr">
        <is>
          <t>356-2025-12-31</t>
        </is>
      </c>
    </row>
    <row r="1029">
      <c r="A1029" s="5" t="n">
        <v>357</v>
      </c>
      <c r="B1029" s="5" t="inlineStr">
        <is>
          <t>Cartera</t>
        </is>
      </c>
      <c r="C1029" s="5" t="inlineStr">
        <is>
          <t>Tesorería</t>
        </is>
      </c>
      <c r="D1029" s="5" t="inlineStr">
        <is>
          <t>Semestral</t>
        </is>
      </c>
      <c r="E1029" s="5" t="inlineStr">
        <is>
          <t>Positivo</t>
        </is>
      </c>
      <c r="F1029" s="144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/>
      <c r="K1029" s="5" t="n">
        <v>3.0055354363176</v>
      </c>
      <c r="L1029" s="28" t="n"/>
      <c r="M1029" s="28" t="n"/>
      <c r="N1029" s="5" t="inlineStr">
        <is>
          <t>Metrica</t>
        </is>
      </c>
      <c r="O1029" s="5" t="n"/>
      <c r="P1029" s="5" t="n">
        <v>0</v>
      </c>
      <c r="Q1029" s="5" t="n">
        <v>2</v>
      </c>
      <c r="R1029" s="5" t="inlineStr">
        <is>
          <t>357-2023-06-30</t>
        </is>
      </c>
    </row>
    <row r="1030">
      <c r="A1030" s="5" t="n">
        <v>357</v>
      </c>
      <c r="B1030" s="5" t="inlineStr">
        <is>
          <t>Cartera</t>
        </is>
      </c>
      <c r="C1030" s="5" t="inlineStr">
        <is>
          <t>Tesorería</t>
        </is>
      </c>
      <c r="D1030" s="5" t="inlineStr">
        <is>
          <t>Semestral</t>
        </is>
      </c>
      <c r="E1030" s="5" t="inlineStr">
        <is>
          <t>Positivo</t>
        </is>
      </c>
      <c r="F1030" s="144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/>
      <c r="K1030" s="5" t="n">
        <v>4.45</v>
      </c>
      <c r="L1030" s="28" t="n"/>
      <c r="M1030" s="28" t="n"/>
      <c r="N1030" s="5" t="inlineStr">
        <is>
          <t>Metrica</t>
        </is>
      </c>
      <c r="O1030" s="5" t="n"/>
      <c r="P1030" s="5" t="n">
        <v>0</v>
      </c>
      <c r="Q1030" s="5" t="n">
        <v>2</v>
      </c>
      <c r="R1030" s="5" t="inlineStr">
        <is>
          <t>357-2023-12-31</t>
        </is>
      </c>
    </row>
    <row r="1031">
      <c r="A1031" s="5" t="n">
        <v>357</v>
      </c>
      <c r="B1031" s="5" t="inlineStr">
        <is>
          <t>Cartera</t>
        </is>
      </c>
      <c r="C1031" s="5" t="inlineStr">
        <is>
          <t>Tesorería</t>
        </is>
      </c>
      <c r="D1031" s="5" t="inlineStr">
        <is>
          <t>Semestral</t>
        </is>
      </c>
      <c r="E1031" s="5" t="inlineStr">
        <is>
          <t>Positivo</t>
        </is>
      </c>
      <c r="F1031" s="144" t="n">
        <v>45473</v>
      </c>
      <c r="G1031" s="5" t="n">
        <v>2024</v>
      </c>
      <c r="H1031" s="5" t="inlineStr">
        <is>
          <t>Junio</t>
        </is>
      </c>
      <c r="I1031" s="6" t="inlineStr">
        <is>
          <t>2024-1</t>
        </is>
      </c>
      <c r="J1031" s="5" t="n"/>
      <c r="K1031" s="5" t="n">
        <v>3.87</v>
      </c>
      <c r="L1031" s="28" t="n"/>
      <c r="M1031" s="28" t="n"/>
      <c r="N1031" s="5" t="inlineStr">
        <is>
          <t>Metrica</t>
        </is>
      </c>
      <c r="O1031" s="5" t="n"/>
      <c r="P1031" s="5" t="n">
        <v>0</v>
      </c>
      <c r="Q1031" s="5" t="n">
        <v>2</v>
      </c>
      <c r="R1031" s="5" t="inlineStr">
        <is>
          <t>357-2024-06-30</t>
        </is>
      </c>
    </row>
    <row r="1032">
      <c r="A1032" s="5" t="n">
        <v>357</v>
      </c>
      <c r="B1032" s="5" t="inlineStr">
        <is>
          <t>Cartera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Positivo</t>
        </is>
      </c>
      <c r="F1032" s="144" t="n">
        <v>45657</v>
      </c>
      <c r="G1032" s="5" t="n">
        <v>2024</v>
      </c>
      <c r="H1032" s="5" t="inlineStr">
        <is>
          <t>Diciembre</t>
        </is>
      </c>
      <c r="I1032" s="6" t="inlineStr">
        <is>
          <t>2024-2</t>
        </is>
      </c>
      <c r="J1032" s="5" t="n"/>
      <c r="K1032" s="5" t="n">
        <v>0.51</v>
      </c>
      <c r="L1032" s="28" t="n"/>
      <c r="M1032" s="28" t="n"/>
      <c r="N1032" s="5" t="inlineStr">
        <is>
          <t>Metrica</t>
        </is>
      </c>
      <c r="O1032" s="5" t="n"/>
      <c r="P1032" s="5" t="n">
        <v>0</v>
      </c>
      <c r="Q1032" s="5" t="n">
        <v>2</v>
      </c>
      <c r="R1032" s="5" t="inlineStr">
        <is>
          <t>357-2024-12-31</t>
        </is>
      </c>
    </row>
    <row r="1033">
      <c r="A1033" s="5" t="n">
        <v>357</v>
      </c>
      <c r="B1033" s="5" t="inlineStr">
        <is>
          <t>Cartera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Positivo</t>
        </is>
      </c>
      <c r="F1033" s="144" t="n">
        <v>45838</v>
      </c>
      <c r="G1033" s="5" t="n">
        <v>2025</v>
      </c>
      <c r="H1033" s="5" t="inlineStr">
        <is>
          <t>Junio</t>
        </is>
      </c>
      <c r="I1033" s="6" t="inlineStr">
        <is>
          <t>2025-1</t>
        </is>
      </c>
      <c r="J1033" s="5" t="n"/>
      <c r="K1033" s="5" t="n">
        <v>0.85</v>
      </c>
      <c r="L1033" s="28" t="n"/>
      <c r="M1033" s="28" t="n"/>
      <c r="N1033" s="5" t="inlineStr">
        <is>
          <t>Metrica</t>
        </is>
      </c>
      <c r="O1033" s="5" t="n"/>
      <c r="P1033" s="5" t="n">
        <v>0</v>
      </c>
      <c r="Q1033" s="5" t="n">
        <v>2</v>
      </c>
      <c r="R1033" s="5" t="inlineStr">
        <is>
          <t>357-2025-06-30</t>
        </is>
      </c>
    </row>
    <row r="1034">
      <c r="A1034" s="5" t="n">
        <v>357</v>
      </c>
      <c r="B1034" s="5" t="inlineStr">
        <is>
          <t>Cartera - Metrica</t>
        </is>
      </c>
      <c r="C1034" s="5" t="inlineStr">
        <is>
          <t>Tesorería</t>
        </is>
      </c>
      <c r="D1034" s="5" t="inlineStr">
        <is>
          <t>Trimestral</t>
        </is>
      </c>
      <c r="E1034" s="5" t="inlineStr">
        <is>
          <t>Positivo</t>
        </is>
      </c>
      <c r="F1034" s="144" t="n">
        <v>46022</v>
      </c>
      <c r="G1034" s="5" t="n">
        <v>2025</v>
      </c>
      <c r="H1034" s="5" t="inlineStr">
        <is>
          <t>Diciembre</t>
        </is>
      </c>
      <c r="I1034" s="6" t="inlineStr">
        <is>
          <t>2025-2</t>
        </is>
      </c>
      <c r="J1034" s="5" t="n">
        <v>10049277970</v>
      </c>
      <c r="K1034" s="5" t="n">
        <v>0.44</v>
      </c>
      <c r="L1034" s="28" t="n"/>
      <c r="M1034" s="28" t="n"/>
      <c r="N1034" s="5" t="inlineStr">
        <is>
          <t>Metrica</t>
        </is>
      </c>
      <c r="O1034" s="5" t="n"/>
      <c r="P1034" s="5" t="n">
        <v>0</v>
      </c>
      <c r="Q1034" s="5" t="n">
        <v>2</v>
      </c>
      <c r="R1034" s="5" t="inlineStr">
        <is>
          <t>357-2025-12-31</t>
        </is>
      </c>
      <c r="S1034" t="inlineStr">
        <is>
          <t>Metrica</t>
        </is>
      </c>
    </row>
    <row r="1035">
      <c r="A1035" s="5" t="n">
        <v>358</v>
      </c>
      <c r="B1035" s="5" t="inlineStr">
        <is>
          <t>Acompañamiento a estudiantes en practicas</t>
        </is>
      </c>
      <c r="C1035" s="5" t="inlineStr">
        <is>
          <t>Prácticas</t>
        </is>
      </c>
      <c r="D1035" s="5" t="inlineStr">
        <is>
          <t>Semestral</t>
        </is>
      </c>
      <c r="E1035" s="5" t="inlineStr">
        <is>
          <t>Positivo</t>
        </is>
      </c>
      <c r="F1035" s="144" t="n">
        <v>45107</v>
      </c>
      <c r="G1035" s="5" t="n">
        <v>2023</v>
      </c>
      <c r="H1035" s="5" t="inlineStr">
        <is>
          <t>Junio</t>
        </is>
      </c>
      <c r="I1035" s="6" t="inlineStr">
        <is>
          <t>2023-1</t>
        </is>
      </c>
      <c r="J1035" s="5" t="n">
        <v>87</v>
      </c>
      <c r="K1035" s="5" t="n">
        <v>86.98453608247399</v>
      </c>
      <c r="L1035" s="28">
        <f>IFERROR(IF(OR(J1035=0,K1035=""),"",IF(E1035="Positivo",MIN(MAX(K1035/J1035,0),1.3),MIN(MAX(J1035/K1035,0),1.3))),"") </f>
        <v/>
      </c>
      <c r="M1035" s="28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358-2023-06-30</t>
        </is>
      </c>
    </row>
    <row r="1036">
      <c r="A1036" s="5" t="n">
        <v>358</v>
      </c>
      <c r="B1036" s="5" t="inlineStr">
        <is>
          <t>Acompañamiento a estudiantes en practicas</t>
        </is>
      </c>
      <c r="C1036" s="5" t="inlineStr">
        <is>
          <t>Prácticas</t>
        </is>
      </c>
      <c r="D1036" s="5" t="inlineStr">
        <is>
          <t>Semestral</t>
        </is>
      </c>
      <c r="E1036" s="5" t="inlineStr">
        <is>
          <t>Positivo</t>
        </is>
      </c>
      <c r="F1036" s="144" t="n">
        <v>45291</v>
      </c>
      <c r="G1036" s="5" t="n">
        <v>2023</v>
      </c>
      <c r="H1036" s="5" t="inlineStr">
        <is>
          <t>Diciembre</t>
        </is>
      </c>
      <c r="I1036" s="6" t="inlineStr">
        <is>
          <t>2023-2</t>
        </is>
      </c>
      <c r="J1036" s="5" t="n">
        <v>87</v>
      </c>
      <c r="K1036" s="5" t="n">
        <v>95</v>
      </c>
      <c r="L1036" s="28">
        <f>IFERROR(IF(OR(J1036=0,K1036=""),"",IF(E1036="Positivo",MIN(MAX(K1036/J1036,0),1.3),MIN(MAX(J1036/K1036,0),1.3))),"") </f>
        <v/>
      </c>
      <c r="M1036" s="28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358-2023-12-31</t>
        </is>
      </c>
    </row>
    <row r="1037">
      <c r="A1037" s="5" t="n">
        <v>358</v>
      </c>
      <c r="B1037" s="5" t="inlineStr">
        <is>
          <t>Acompañamiento a estudiantes en practicas</t>
        </is>
      </c>
      <c r="C1037" s="5" t="inlineStr">
        <is>
          <t>Prácticas</t>
        </is>
      </c>
      <c r="D1037" s="5" t="inlineStr">
        <is>
          <t>Semestral</t>
        </is>
      </c>
      <c r="E1037" s="5" t="inlineStr">
        <is>
          <t>Positivo</t>
        </is>
      </c>
      <c r="F1037" s="144" t="n">
        <v>45473</v>
      </c>
      <c r="G1037" s="5" t="n">
        <v>2024</v>
      </c>
      <c r="H1037" s="5" t="inlineStr">
        <is>
          <t>Junio</t>
        </is>
      </c>
      <c r="I1037" s="6" t="inlineStr">
        <is>
          <t>2024-1</t>
        </is>
      </c>
      <c r="J1037" s="5" t="n">
        <v>87</v>
      </c>
      <c r="K1037" s="5" t="n">
        <v>97.98999999999999</v>
      </c>
      <c r="L1037" s="28">
        <f>IFERROR(IF(OR(J1037=0,K1037=""),"",IF(E1037="Positivo",MIN(MAX(K1037/J1037,0),1.3),MIN(MAX(J1037/K1037,0),1.3))),"") </f>
        <v/>
      </c>
      <c r="M1037" s="28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358-2024-06-30</t>
        </is>
      </c>
    </row>
    <row r="1038">
      <c r="A1038" s="5" t="n">
        <v>358</v>
      </c>
      <c r="B1038" s="5" t="inlineStr">
        <is>
          <t>Acompañamiento a estudiantes en practicas</t>
        </is>
      </c>
      <c r="C1038" s="5" t="inlineStr">
        <is>
          <t>Prácticas</t>
        </is>
      </c>
      <c r="D1038" s="5" t="inlineStr">
        <is>
          <t>Semestral</t>
        </is>
      </c>
      <c r="E1038" s="5" t="inlineStr">
        <is>
          <t>Positivo</t>
        </is>
      </c>
      <c r="F1038" s="144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87</v>
      </c>
      <c r="K1038" s="5" t="n">
        <v>100</v>
      </c>
      <c r="L1038" s="28">
        <f>IFERROR(IF(OR(J1038=0,K1038=""),"",IF(E1038="Positivo",MIN(MAX(K1038/J1038,0),1.3),MIN(MAX(J1038/K1038,0),1.3))),"") </f>
        <v/>
      </c>
      <c r="M1038" s="28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358-2024-12-31</t>
        </is>
      </c>
    </row>
    <row r="1039">
      <c r="A1039" s="5" t="n">
        <v>358</v>
      </c>
      <c r="B1039" s="5" t="inlineStr">
        <is>
          <t>Acompañamiento a estudiantes en practicas</t>
        </is>
      </c>
      <c r="C1039" s="5" t="inlineStr">
        <is>
          <t>Prácticas</t>
        </is>
      </c>
      <c r="D1039" s="5" t="inlineStr">
        <is>
          <t>Semestral</t>
        </is>
      </c>
      <c r="E1039" s="5" t="inlineStr">
        <is>
          <t>Positivo</t>
        </is>
      </c>
      <c r="F1039" s="144" t="n">
        <v>45838</v>
      </c>
      <c r="G1039" s="5" t="n">
        <v>2025</v>
      </c>
      <c r="H1039" s="5" t="inlineStr">
        <is>
          <t>Junio</t>
        </is>
      </c>
      <c r="I1039" s="6" t="inlineStr">
        <is>
          <t>2025-1</t>
        </is>
      </c>
      <c r="J1039" s="5" t="n">
        <v>100</v>
      </c>
      <c r="K1039" s="5" t="n">
        <v>100</v>
      </c>
      <c r="L1039" s="28">
        <f>IFERROR(IF(OR(J1039=0,K1039=""),"",IF(E1039="Positivo",MIN(MAX(K1039/J1039,0),1.3),MIN(MAX(J1039/K1039,0),1.3))),"") </f>
        <v/>
      </c>
      <c r="M1039" s="28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358-2025-06-30</t>
        </is>
      </c>
    </row>
    <row r="1040">
      <c r="A1040" s="5" t="n">
        <v>358</v>
      </c>
      <c r="B1040" s="5" t="inlineStr">
        <is>
          <t>Nivel de acompañamiento a estudiantes en práctica</t>
        </is>
      </c>
      <c r="C1040" s="5" t="inlineStr">
        <is>
          <t>Prácticas</t>
        </is>
      </c>
      <c r="D1040" s="5" t="inlineStr">
        <is>
          <t>Trimestral</t>
        </is>
      </c>
      <c r="E1040" s="5" t="inlineStr">
        <is>
          <t>Positivo</t>
        </is>
      </c>
      <c r="F1040" s="144" t="n">
        <v>46022</v>
      </c>
      <c r="G1040" s="5" t="n">
        <v>2025</v>
      </c>
      <c r="H1040" s="5" t="inlineStr">
        <is>
          <t>Diciembre</t>
        </is>
      </c>
      <c r="I1040" s="6" t="inlineStr">
        <is>
          <t>2025-2</t>
        </is>
      </c>
      <c r="J1040" s="5" t="n">
        <v>100</v>
      </c>
      <c r="K1040" s="5" t="n">
        <v>100</v>
      </c>
      <c r="L1040" s="28">
        <f>IFERROR(IF(OR(J1040=0,K1040=""),"",IF(E1040="Positivo",MIN(MAX(K1040/J1040,0),1.3),MIN(MAX(J1040/K1040,0),1.3))),"") </f>
        <v/>
      </c>
      <c r="M1040" s="28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358-2025-12-31</t>
        </is>
      </c>
    </row>
    <row r="1041">
      <c r="A1041" s="5" t="n">
        <v>359</v>
      </c>
      <c r="B1041" s="5" t="inlineStr">
        <is>
          <t>Porcentaje Iniciativas aprobadas</t>
        </is>
      </c>
      <c r="C1041" s="5" t="inlineStr">
        <is>
          <t>EXPERIENCIA INSTITUCIONAL</t>
        </is>
      </c>
      <c r="D1041" s="5" t="inlineStr">
        <is>
          <t>Anual</t>
        </is>
      </c>
      <c r="E1041" s="5" t="inlineStr">
        <is>
          <t>Positivo</t>
        </is>
      </c>
      <c r="F1041" s="144" t="n">
        <v>45291</v>
      </c>
      <c r="G1041" s="5" t="n">
        <v>2023</v>
      </c>
      <c r="H1041" s="5" t="inlineStr">
        <is>
          <t>Diciembre</t>
        </is>
      </c>
      <c r="I1041" s="6" t="inlineStr">
        <is>
          <t>2023-2</t>
        </is>
      </c>
      <c r="J1041" s="5" t="n"/>
      <c r="K1041" s="5" t="n">
        <v>0</v>
      </c>
      <c r="L1041" s="28" t="n"/>
      <c r="M1041" s="28" t="n"/>
      <c r="N1041" s="5" t="n"/>
      <c r="O1041" s="5" t="n"/>
      <c r="P1041" s="5" t="n">
        <v>0</v>
      </c>
      <c r="Q1041" s="5" t="n">
        <v>0</v>
      </c>
      <c r="R1041" s="5" t="inlineStr">
        <is>
          <t>359-2023-12-31</t>
        </is>
      </c>
    </row>
    <row r="1042">
      <c r="A1042" s="5" t="n">
        <v>359</v>
      </c>
      <c r="B1042" s="5" t="inlineStr">
        <is>
          <t>Satisfacción Institucional CSAT</t>
        </is>
      </c>
      <c r="C1042" s="5" t="inlineStr">
        <is>
          <t>EXPERIENCIA INSTITUCIONAL</t>
        </is>
      </c>
      <c r="D1042" s="5" t="inlineStr">
        <is>
          <t>Trimestral</t>
        </is>
      </c>
      <c r="E1042" s="5" t="inlineStr">
        <is>
          <t>Positivo</t>
        </is>
      </c>
      <c r="F1042" s="144" t="n">
        <v>45473</v>
      </c>
      <c r="G1042" s="5" t="n">
        <v>2024</v>
      </c>
      <c r="H1042" s="5" t="inlineStr">
        <is>
          <t>Junio</t>
        </is>
      </c>
      <c r="I1042" s="6" t="inlineStr">
        <is>
          <t>2024-1</t>
        </is>
      </c>
      <c r="J1042" s="5" t="n">
        <v>80</v>
      </c>
      <c r="K1042" s="5" t="n">
        <v>0</v>
      </c>
      <c r="L1042" s="28">
        <f>IFERROR(IF(OR(J1042=0,K1042=""),"",IF(E1042="Positivo",MIN(MAX(K1042/J1042,0),1.3),MIN(MAX(J1042/K1042,0),1.3))),"") </f>
        <v/>
      </c>
      <c r="M1042" s="28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359-2024-06-30</t>
        </is>
      </c>
    </row>
    <row r="1043">
      <c r="A1043" s="5" t="n">
        <v>359</v>
      </c>
      <c r="B1043" s="5" t="inlineStr">
        <is>
          <t>Satisfacción Institucional</t>
        </is>
      </c>
      <c r="C1043" s="5" t="inlineStr">
        <is>
          <t>EXPERIENCIA INSTITUCIONAL</t>
        </is>
      </c>
      <c r="D1043" s="5" t="inlineStr">
        <is>
          <t>Semestral</t>
        </is>
      </c>
      <c r="E1043" s="5" t="inlineStr">
        <is>
          <t>Positivo</t>
        </is>
      </c>
      <c r="F1043" s="144" t="n">
        <v>45657</v>
      </c>
      <c r="G1043" s="5" t="n">
        <v>2024</v>
      </c>
      <c r="H1043" s="5" t="inlineStr">
        <is>
          <t>Diciembre</t>
        </is>
      </c>
      <c r="I1043" s="6" t="inlineStr">
        <is>
          <t>2024-2</t>
        </is>
      </c>
      <c r="J1043" s="5" t="n">
        <v>80</v>
      </c>
      <c r="K1043" s="5" t="n">
        <v>86</v>
      </c>
      <c r="L1043" s="28">
        <f>IFERROR(IF(OR(J1043=0,K1043=""),"",IF(E1043="Positivo",MIN(MAX(K1043/J1043,0),1.3),MIN(MAX(J1043/K1043,0),1.3))),"") </f>
        <v/>
      </c>
      <c r="M1043" s="28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359-2024-12-31</t>
        </is>
      </c>
    </row>
    <row r="1044">
      <c r="A1044" s="5" t="n">
        <v>359</v>
      </c>
      <c r="B1044" s="5" t="inlineStr">
        <is>
          <t>Satisfacción Institucional</t>
        </is>
      </c>
      <c r="C1044" s="5" t="inlineStr">
        <is>
          <t>EXPERIENCIA INSTITUCIONAL</t>
        </is>
      </c>
      <c r="D1044" s="5" t="inlineStr">
        <is>
          <t>Semestral</t>
        </is>
      </c>
      <c r="E1044" s="5" t="inlineStr">
        <is>
          <t>Positivo</t>
        </is>
      </c>
      <c r="F1044" s="144" t="n">
        <v>45838</v>
      </c>
      <c r="G1044" s="5" t="n">
        <v>2025</v>
      </c>
      <c r="H1044" s="5" t="inlineStr">
        <is>
          <t>Junio</t>
        </is>
      </c>
      <c r="I1044" s="6" t="inlineStr">
        <is>
          <t>2025-1</t>
        </is>
      </c>
      <c r="J1044" s="5" t="n">
        <v>80</v>
      </c>
      <c r="K1044" s="5" t="n">
        <v>90</v>
      </c>
      <c r="L1044" s="28">
        <f>IFERROR(IF(OR(J1044=0,K1044=""),"",IF(E1044="Positivo",MIN(MAX(K1044/J1044,0),1.3),MIN(MAX(J1044/K1044,0),1.3))),"") </f>
        <v/>
      </c>
      <c r="M1044" s="28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359-2025-06-30</t>
        </is>
      </c>
    </row>
    <row r="1045">
      <c r="A1045" s="5" t="n">
        <v>359</v>
      </c>
      <c r="B1045" s="5" t="inlineStr">
        <is>
          <t>Satisfacción Institucional CSAT</t>
        </is>
      </c>
      <c r="C1045" s="5" t="inlineStr">
        <is>
          <t>EXPERIENCIA INSTITUCIONAL</t>
        </is>
      </c>
      <c r="D1045" s="5" t="inlineStr">
        <is>
          <t>Trimestral</t>
        </is>
      </c>
      <c r="E1045" s="5" t="inlineStr">
        <is>
          <t>Positivo</t>
        </is>
      </c>
      <c r="F1045" s="144" t="n">
        <v>46022</v>
      </c>
      <c r="G1045" s="5" t="n">
        <v>2025</v>
      </c>
      <c r="H1045" s="5" t="inlineStr">
        <is>
          <t>Diciembre</t>
        </is>
      </c>
      <c r="I1045" s="6" t="inlineStr">
        <is>
          <t>2025-2</t>
        </is>
      </c>
      <c r="J1045" s="5" t="n">
        <v>85</v>
      </c>
      <c r="K1045" s="5" t="n">
        <v>89.90000000000001</v>
      </c>
      <c r="L1045" s="28">
        <f>IFERROR(IF(OR(J1045=0,K1045=""),"",IF(E1045="Positivo",MIN(MAX(K1045/J1045,0),1.3),MIN(MAX(J1045/K1045,0),1.3))),"") </f>
        <v/>
      </c>
      <c r="M1045" s="28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359-2025-12-31</t>
        </is>
      </c>
    </row>
    <row r="1046">
      <c r="A1046" s="5" t="n">
        <v>360</v>
      </c>
      <c r="B1046" s="5" t="inlineStr">
        <is>
          <t>Cumplimiento de cronogramas</t>
        </is>
      </c>
      <c r="C1046" s="5" t="inlineStr">
        <is>
          <t>EXPERIENCIA INSTITUCIONAL</t>
        </is>
      </c>
      <c r="D1046" s="5" t="inlineStr">
        <is>
          <t>Semestral</t>
        </is>
      </c>
      <c r="E1046" s="5" t="inlineStr">
        <is>
          <t>Positivo</t>
        </is>
      </c>
      <c r="F1046" s="144" t="n">
        <v>45107</v>
      </c>
      <c r="G1046" s="5" t="n">
        <v>2023</v>
      </c>
      <c r="H1046" s="5" t="inlineStr">
        <is>
          <t>Junio</t>
        </is>
      </c>
      <c r="I1046" s="6" t="inlineStr">
        <is>
          <t>2023-1</t>
        </is>
      </c>
      <c r="J1046" s="5" t="n">
        <v>0</v>
      </c>
      <c r="K1046" s="5" t="n">
        <v>0</v>
      </c>
      <c r="L1046" s="28">
        <f>IFERROR(IF(OR(J1046=0,K1046=""),"",IF(E1046="Positivo",MIN(MAX(K1046/J1046,0),1.3),MIN(MAX(J1046/K1046,0),1.3))),"") </f>
        <v/>
      </c>
      <c r="M1046" s="28">
        <f>IFERROR(IF(OR(J1046=0,K1046=""),"",IF(E1046="Positivo",MAX(K1046/J1046,0),MAX(J1046/K1046,0))),"") </f>
        <v/>
      </c>
      <c r="N1046" s="5" t="n"/>
      <c r="O1046" s="5" t="n"/>
      <c r="P1046" s="5" t="n">
        <v>0</v>
      </c>
      <c r="Q1046" s="5" t="n">
        <v>0</v>
      </c>
      <c r="R1046" s="5" t="inlineStr">
        <is>
          <t>360-2023-06-30</t>
        </is>
      </c>
    </row>
    <row r="1047">
      <c r="A1047" s="5" t="n">
        <v>360</v>
      </c>
      <c r="B1047" s="5" t="inlineStr">
        <is>
          <t>Cumplimiento de cronogramas</t>
        </is>
      </c>
      <c r="C1047" s="5" t="inlineStr">
        <is>
          <t>EXPERIENCIA INSTITUCIONAL</t>
        </is>
      </c>
      <c r="D1047" s="5" t="inlineStr">
        <is>
          <t>Semestral</t>
        </is>
      </c>
      <c r="E1047" s="5" t="inlineStr">
        <is>
          <t>Positivo</t>
        </is>
      </c>
      <c r="F1047" s="144" t="n">
        <v>45291</v>
      </c>
      <c r="G1047" s="5" t="n">
        <v>2023</v>
      </c>
      <c r="H1047" s="5" t="inlineStr">
        <is>
          <t>Diciembre</t>
        </is>
      </c>
      <c r="I1047" s="6" t="inlineStr">
        <is>
          <t>2023-2</t>
        </is>
      </c>
      <c r="J1047" s="5" t="n">
        <v>0</v>
      </c>
      <c r="K1047" s="5" t="n">
        <v>0</v>
      </c>
      <c r="L1047" s="28">
        <f>IFERROR(IF(OR(J1047=0,K1047=""),"",IF(E1047="Positivo",MIN(MAX(K1047/J1047,0),1.3),MIN(MAX(J1047/K1047,0),1.3))),"") </f>
        <v/>
      </c>
      <c r="M1047" s="28">
        <f>IFERROR(IF(OR(J1047=0,K1047=""),"",IF(E1047="Positivo",MAX(K1047/J1047,0),MAX(J1047/K1047,0))),"") </f>
        <v/>
      </c>
      <c r="N1047" s="5" t="n"/>
      <c r="O1047" s="5" t="n"/>
      <c r="P1047" s="5" t="n">
        <v>0</v>
      </c>
      <c r="Q1047" s="5" t="n">
        <v>0</v>
      </c>
      <c r="R1047" s="5" t="inlineStr">
        <is>
          <t>360-2023-12-31</t>
        </is>
      </c>
    </row>
    <row r="1048">
      <c r="A1048" s="5" t="n">
        <v>361</v>
      </c>
      <c r="B1048" s="5" t="inlineStr">
        <is>
          <t>Inclusión</t>
        </is>
      </c>
      <c r="C1048" s="5" t="inlineStr">
        <is>
          <t>Gestión de la Responsabilidad Social</t>
        </is>
      </c>
      <c r="D1048" s="5" t="inlineStr">
        <is>
          <t>Anual</t>
        </is>
      </c>
      <c r="E1048" s="5" t="inlineStr">
        <is>
          <t>Positivo</t>
        </is>
      </c>
      <c r="F1048" s="144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4.5</v>
      </c>
      <c r="K1048" s="5" t="n">
        <v>4.56</v>
      </c>
      <c r="L1048" s="28">
        <f>IFERROR(IF(OR(J1048=0,K1048=""),"",IF(E1048="Positivo",MIN(MAX(K1048/J1048,0),1.3),MIN(MAX(J1048/K1048,0),1.3))),"") </f>
        <v/>
      </c>
      <c r="M1048" s="28">
        <f>IFERROR(IF(OR(J1048=0,K1048=""),"",IF(E1048="Positivo",MAX(K1048/J1048,0),MAX(J1048/K1048,0))),"") </f>
        <v/>
      </c>
      <c r="N1048" s="5" t="n"/>
      <c r="O1048" s="5" t="n"/>
      <c r="P1048" s="5" t="n">
        <v>2</v>
      </c>
      <c r="Q1048" s="5" t="n">
        <v>2</v>
      </c>
      <c r="R1048" s="5" t="inlineStr">
        <is>
          <t>361-2023-12-31</t>
        </is>
      </c>
    </row>
    <row r="1049">
      <c r="A1049" s="5" t="n">
        <v>361</v>
      </c>
      <c r="B1049" s="5" t="inlineStr">
        <is>
          <t>Inclusión</t>
        </is>
      </c>
      <c r="C1049" s="5" t="inlineStr">
        <is>
          <t>Gestión de la Responsabilidad Social</t>
        </is>
      </c>
      <c r="D1049" s="5" t="inlineStr">
        <is>
          <t>Anual</t>
        </is>
      </c>
      <c r="E1049" s="5" t="inlineStr">
        <is>
          <t>Positivo</t>
        </is>
      </c>
      <c r="F1049" s="144" t="n">
        <v>45657</v>
      </c>
      <c r="G1049" s="5" t="n">
        <v>2024</v>
      </c>
      <c r="H1049" s="5" t="inlineStr">
        <is>
          <t>Diciembre</t>
        </is>
      </c>
      <c r="I1049" s="6" t="inlineStr">
        <is>
          <t>2024-2</t>
        </is>
      </c>
      <c r="J1049" s="5" t="n">
        <v>0</v>
      </c>
      <c r="K1049" s="5" t="n"/>
      <c r="L1049" s="28" t="n"/>
      <c r="M1049" s="28" t="n"/>
      <c r="N1049" s="5" t="inlineStr">
        <is>
          <t>ENT</t>
        </is>
      </c>
      <c r="O1049" s="5" t="inlineStr">
        <is>
          <t>N/A</t>
        </is>
      </c>
      <c r="P1049" s="5" t="n">
        <v>0</v>
      </c>
      <c r="Q1049" s="5" t="n">
        <v>0</v>
      </c>
      <c r="R1049" s="5" t="inlineStr">
        <is>
          <t>361-2024-12-31</t>
        </is>
      </c>
    </row>
    <row r="1050">
      <c r="A1050" s="5" t="n">
        <v>361</v>
      </c>
      <c r="B1050" s="5" t="inlineStr">
        <is>
          <t>Índice de Inclusión</t>
        </is>
      </c>
      <c r="C1050" s="5" t="inlineStr">
        <is>
          <t>Gestión de la Responsabilidad Social</t>
        </is>
      </c>
      <c r="D1050" s="5" t="inlineStr">
        <is>
          <t>Anual</t>
        </is>
      </c>
      <c r="E1050" s="5" t="inlineStr">
        <is>
          <t>Positivo</t>
        </is>
      </c>
      <c r="F1050" s="144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4.6</v>
      </c>
      <c r="K1050" s="5" t="n">
        <v>4.78</v>
      </c>
      <c r="L1050" s="28">
        <f>IFERROR(IF(OR(J1050=0,K1050=""),"",IF(E1050="Positivo",MIN(MAX(K1050/J1050,0),1.3),MIN(MAX(J1050/K1050,0),1.3))),"") </f>
        <v/>
      </c>
      <c r="M1050" s="28">
        <f>IFERROR(IF(OR(J1050=0,K1050=""),"",IF(E1050="Positivo",MAX(K1050/J1050,0),MAX(J1050/K1050,0))),"") </f>
        <v/>
      </c>
      <c r="N1050" s="5" t="inlineStr">
        <is>
          <t>DEC</t>
        </is>
      </c>
      <c r="O1050" s="5" t="inlineStr">
        <is>
          <t>DEC</t>
        </is>
      </c>
      <c r="P1050" s="5" t="n">
        <v>1</v>
      </c>
      <c r="Q1050" s="5" t="n">
        <v>2</v>
      </c>
      <c r="R1050" s="5" t="inlineStr">
        <is>
          <t>361-2025-12-31</t>
        </is>
      </c>
    </row>
    <row r="1051">
      <c r="A1051" s="5" t="n">
        <v>362</v>
      </c>
      <c r="B1051" s="5" t="inlineStr">
        <is>
          <t>Aseguramiento de matricula académica presencial</t>
        </is>
      </c>
      <c r="C1051" s="5" t="inlineStr">
        <is>
          <t>Operaciones Académica pregrado y posgrado presencial.</t>
        </is>
      </c>
      <c r="D1051" s="5" t="inlineStr">
        <is>
          <t>Semestral</t>
        </is>
      </c>
      <c r="E1051" s="5" t="inlineStr">
        <is>
          <t>Positivo</t>
        </is>
      </c>
      <c r="F1051" s="144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>
        <v>100</v>
      </c>
      <c r="K1051" s="5" t="n">
        <v>99.156641448592</v>
      </c>
      <c r="L1051" s="28">
        <f>IFERROR(IF(OR(J1051=0,K1051=""),"",IF(E1051="Positivo",MIN(MAX(K1051/J1051,0),1.3),MIN(MAX(J1051/K1051,0),1.3))),"") </f>
        <v/>
      </c>
      <c r="M1051" s="28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362-2023-12-31</t>
        </is>
      </c>
    </row>
    <row r="1052">
      <c r="A1052" s="5" t="n">
        <v>362</v>
      </c>
      <c r="B1052" s="5" t="inlineStr">
        <is>
          <t>Aseguramiento de matricula académica presencial</t>
        </is>
      </c>
      <c r="C1052" s="5" t="inlineStr">
        <is>
          <t>Operaciones Académicas</t>
        </is>
      </c>
      <c r="D1052" s="5" t="inlineStr">
        <is>
          <t>Semestral</t>
        </is>
      </c>
      <c r="E1052" s="5" t="inlineStr">
        <is>
          <t>Positivo</t>
        </is>
      </c>
      <c r="F1052" s="144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98</v>
      </c>
      <c r="K1052" s="5" t="n">
        <v>99.58432304038006</v>
      </c>
      <c r="L1052" s="28">
        <f>IFERROR(IF(OR(J1052=0,K1052=""),"",IF(E1052="Positivo",MIN(MAX(K1052/J1052,0),1.3),MIN(MAX(J1052/K1052,0),1.3))),"") </f>
        <v/>
      </c>
      <c r="M1052" s="28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362-2024-06-30</t>
        </is>
      </c>
    </row>
    <row r="1053">
      <c r="A1053" s="5" t="n">
        <v>362</v>
      </c>
      <c r="B1053" s="5" t="inlineStr">
        <is>
          <t>Aseguramiento de matricula académica presencial</t>
        </is>
      </c>
      <c r="C1053" s="5" t="inlineStr">
        <is>
          <t>Operaciones Académicas</t>
        </is>
      </c>
      <c r="D1053" s="5" t="inlineStr">
        <is>
          <t>Semestral</t>
        </is>
      </c>
      <c r="E1053" s="5" t="inlineStr">
        <is>
          <t>Positivo</t>
        </is>
      </c>
      <c r="F1053" s="144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98</v>
      </c>
      <c r="K1053" s="5" t="n">
        <v>99.48999999999999</v>
      </c>
      <c r="L1053" s="28">
        <f>IFERROR(IF(OR(J1053=0,K1053=""),"",IF(E1053="Positivo",MIN(MAX(K1053/J1053,0),1.3),MIN(MAX(J1053/K1053,0),1.3))),"") </f>
        <v/>
      </c>
      <c r="M1053" s="28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362-2024-12-31</t>
        </is>
      </c>
    </row>
    <row r="1054">
      <c r="A1054" s="5" t="n">
        <v>362</v>
      </c>
      <c r="B1054" s="5" t="inlineStr">
        <is>
          <t>Aseguramiento de matricula académica presencial</t>
        </is>
      </c>
      <c r="C1054" s="5" t="inlineStr">
        <is>
          <t>Operaciones Académicas</t>
        </is>
      </c>
      <c r="D1054" s="5" t="inlineStr">
        <is>
          <t>Semestral</t>
        </is>
      </c>
      <c r="E1054" s="5" t="inlineStr">
        <is>
          <t>Positivo</t>
        </is>
      </c>
      <c r="F1054" s="144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98</v>
      </c>
      <c r="K1054" s="5" t="n">
        <v>99.63</v>
      </c>
      <c r="L1054" s="28">
        <f>IFERROR(IF(OR(J1054=0,K1054=""),"",IF(E1054="Positivo",MIN(MAX(K1054/J1054,0),1.3),MIN(MAX(J1054/K1054,0),1.3))),"") </f>
        <v/>
      </c>
      <c r="M1054" s="28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362-2025-06-30</t>
        </is>
      </c>
    </row>
    <row r="1055">
      <c r="A1055" s="5" t="n">
        <v>362</v>
      </c>
      <c r="B1055" s="5" t="inlineStr">
        <is>
          <t>Aseguramiento de matricula académica presencial</t>
        </is>
      </c>
      <c r="C1055" s="5" t="inlineStr">
        <is>
          <t>Operaciones Académicas</t>
        </is>
      </c>
      <c r="D1055" s="5" t="inlineStr">
        <is>
          <t>Trimestral</t>
        </is>
      </c>
      <c r="E1055" s="5" t="inlineStr">
        <is>
          <t>Positivo</t>
        </is>
      </c>
      <c r="F1055" s="144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98</v>
      </c>
      <c r="K1055" s="5" t="n">
        <v>99.7</v>
      </c>
      <c r="L1055" s="28">
        <f>IFERROR(IF(OR(J1055=0,K1055=""),"",IF(E1055="Positivo",MIN(MAX(K1055/J1055,0),1.3),MIN(MAX(J1055/K1055,0),1.3))),"") </f>
        <v/>
      </c>
      <c r="M1055" s="28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362-2025-12-31</t>
        </is>
      </c>
    </row>
    <row r="1056">
      <c r="A1056" s="5" t="n">
        <v>363</v>
      </c>
      <c r="B1056" s="5" t="inlineStr">
        <is>
          <t>Seguimiento a la parametrización de aulas master y secciones de asignaturas</t>
        </is>
      </c>
      <c r="C1056" s="5" t="inlineStr">
        <is>
          <t>Operaciones Académica pregrado y posgrado virtual</t>
        </is>
      </c>
      <c r="D1056" s="5" t="inlineStr">
        <is>
          <t>Semestral</t>
        </is>
      </c>
      <c r="E1056" s="5" t="inlineStr">
        <is>
          <t>Positivo</t>
        </is>
      </c>
      <c r="F1056" s="144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28">
        <f>IFERROR(IF(OR(J1056=0,K1056=""),"",IF(E1056="Positivo",MIN(MAX(K1056/J1056,0),1.3),MIN(MAX(J1056/K1056,0),1.3))),"") </f>
        <v/>
      </c>
      <c r="M1056" s="28">
        <f>IFERROR(IF(OR(J1056=0,K1056=""),"",IF(E1056="Positivo",MAX(K1056/J1056,0),MAX(J1056/K1056,0))),"") </f>
        <v/>
      </c>
      <c r="N1056" s="5" t="n"/>
      <c r="O1056" s="5" t="n"/>
      <c r="P1056" s="5" t="n">
        <v>0</v>
      </c>
      <c r="Q1056" s="5" t="n">
        <v>0</v>
      </c>
      <c r="R1056" s="5" t="inlineStr">
        <is>
          <t>363-2023-06-30</t>
        </is>
      </c>
    </row>
    <row r="1057">
      <c r="A1057" s="5" t="n">
        <v>363</v>
      </c>
      <c r="B1057" s="5" t="inlineStr">
        <is>
          <t>Seguimiento a la parametrización de aulas master y secciones de asignaturas</t>
        </is>
      </c>
      <c r="C1057" s="5" t="inlineStr">
        <is>
          <t>Operaciones Académica pregrado y posgrado virtual</t>
        </is>
      </c>
      <c r="D1057" s="5" t="inlineStr">
        <is>
          <t>Semestral</t>
        </is>
      </c>
      <c r="E1057" s="5" t="inlineStr">
        <is>
          <t>Positivo</t>
        </is>
      </c>
      <c r="F1057" s="144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100</v>
      </c>
      <c r="K1057" s="5" t="n">
        <v>100</v>
      </c>
      <c r="L1057" s="28">
        <f>IFERROR(IF(OR(J1057=0,K1057=""),"",IF(E1057="Positivo",MIN(MAX(K1057/J1057,0),1.3),MIN(MAX(J1057/K1057,0),1.3))),"") </f>
        <v/>
      </c>
      <c r="M1057" s="28">
        <f>IFERROR(IF(OR(J1057=0,K1057=""),"",IF(E1057="Positivo",MAX(K1057/J1057,0),MAX(J1057/K1057,0))),"") </f>
        <v/>
      </c>
      <c r="N1057" s="5" t="n"/>
      <c r="O1057" s="5" t="n"/>
      <c r="P1057" s="5" t="n">
        <v>0</v>
      </c>
      <c r="Q1057" s="5" t="n">
        <v>0</v>
      </c>
      <c r="R1057" s="5" t="inlineStr">
        <is>
          <t>363-2023-12-31</t>
        </is>
      </c>
    </row>
    <row r="1058">
      <c r="A1058" s="5" t="n">
        <v>363</v>
      </c>
      <c r="B1058" s="5" t="inlineStr">
        <is>
          <t>Seguimiento a la parametrización de aulas master y secciones de asignaturas</t>
        </is>
      </c>
      <c r="C1058" s="5" t="inlineStr">
        <is>
          <t>Operaciones Académicas</t>
        </is>
      </c>
      <c r="D1058" s="5" t="inlineStr">
        <is>
          <t>Semestral</t>
        </is>
      </c>
      <c r="E1058" s="5" t="inlineStr">
        <is>
          <t>Positivo</t>
        </is>
      </c>
      <c r="F1058" s="144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100</v>
      </c>
      <c r="K1058" s="5" t="n">
        <v>100</v>
      </c>
      <c r="L1058" s="28">
        <f>IFERROR(IF(OR(J1058=0,K1058=""),"",IF(E1058="Positivo",MIN(MAX(K1058/J1058,0),1.3),MIN(MAX(J1058/K1058,0),1.3))),"") </f>
        <v/>
      </c>
      <c r="M1058" s="28">
        <f>IFERROR(IF(OR(J1058=0,K1058=""),"",IF(E1058="Positivo",MAX(K1058/J1058,0),MAX(J1058/K1058,0))),"") </f>
        <v/>
      </c>
      <c r="N1058" s="5" t="n"/>
      <c r="O1058" s="5" t="n"/>
      <c r="P1058" s="5" t="n">
        <v>0</v>
      </c>
      <c r="Q1058" s="5" t="n">
        <v>0</v>
      </c>
      <c r="R1058" s="5" t="inlineStr">
        <is>
          <t>363-2024-06-30</t>
        </is>
      </c>
    </row>
    <row r="1059">
      <c r="A1059" s="5" t="n">
        <v>363</v>
      </c>
      <c r="B1059" s="5" t="inlineStr">
        <is>
          <t>Seguimiento a la parametrización de aulas master y secciones de asignaturas</t>
        </is>
      </c>
      <c r="C1059" s="5" t="inlineStr">
        <is>
          <t>Operaciones Académicas</t>
        </is>
      </c>
      <c r="D1059" s="5" t="inlineStr">
        <is>
          <t>Semestral</t>
        </is>
      </c>
      <c r="E1059" s="5" t="inlineStr">
        <is>
          <t>Positivo</t>
        </is>
      </c>
      <c r="F1059" s="144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100</v>
      </c>
      <c r="K1059" s="5" t="n">
        <v>100</v>
      </c>
      <c r="L1059" s="28">
        <f>IFERROR(IF(OR(J1059=0,K1059=""),"",IF(E1059="Positivo",MIN(MAX(K1059/J1059,0),1.3),MIN(MAX(J1059/K1059,0),1.3))),"") </f>
        <v/>
      </c>
      <c r="M1059" s="28">
        <f>IFERROR(IF(OR(J1059=0,K1059=""),"",IF(E1059="Positivo",MAX(K1059/J1059,0),MAX(J1059/K1059,0))),"") </f>
        <v/>
      </c>
      <c r="N1059" s="5" t="n"/>
      <c r="O1059" s="5" t="n"/>
      <c r="P1059" s="5" t="n">
        <v>0</v>
      </c>
      <c r="Q1059" s="5" t="n">
        <v>0</v>
      </c>
      <c r="R1059" s="5" t="inlineStr">
        <is>
          <t>363-2024-12-31</t>
        </is>
      </c>
    </row>
    <row r="1060">
      <c r="A1060" s="5" t="n">
        <v>363</v>
      </c>
      <c r="B1060" s="5" t="inlineStr">
        <is>
          <t>Seguimiento a la parametrización de aulas master y secciones de asignaturas</t>
        </is>
      </c>
      <c r="C1060" s="5" t="inlineStr">
        <is>
          <t>Operaciones Académicas</t>
        </is>
      </c>
      <c r="D1060" s="5" t="inlineStr">
        <is>
          <t>Semestral</t>
        </is>
      </c>
      <c r="E1060" s="5" t="inlineStr">
        <is>
          <t>Positivo</t>
        </is>
      </c>
      <c r="F1060" s="144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100</v>
      </c>
      <c r="K1060" s="5" t="n">
        <v>100</v>
      </c>
      <c r="L1060" s="28">
        <f>IFERROR(IF(OR(J1060=0,K1060=""),"",IF(E1060="Positivo",MIN(MAX(K1060/J1060,0),1.3),MIN(MAX(J1060/K1060,0),1.3))),"") </f>
        <v/>
      </c>
      <c r="M1060" s="28">
        <f>IFERROR(IF(OR(J1060=0,K1060=""),"",IF(E1060="Positivo",MAX(K1060/J1060,0),MAX(J1060/K1060,0))),"") </f>
        <v/>
      </c>
      <c r="N1060" s="5" t="n"/>
      <c r="O1060" s="5" t="n"/>
      <c r="P1060" s="5" t="n">
        <v>0</v>
      </c>
      <c r="Q1060" s="5" t="n">
        <v>0</v>
      </c>
      <c r="R1060" s="5" t="inlineStr">
        <is>
          <t>363-2025-06-30</t>
        </is>
      </c>
    </row>
    <row r="1061">
      <c r="A1061" s="5" t="n">
        <v>363</v>
      </c>
      <c r="B1061" s="5" t="inlineStr">
        <is>
          <t>Seguimiento a la parametrización de aulas master y secciones de asignaturas</t>
        </is>
      </c>
      <c r="C1061" s="5" t="inlineStr">
        <is>
          <t>Operaciones Académicas</t>
        </is>
      </c>
      <c r="D1061" s="5" t="inlineStr">
        <is>
          <t>Trimestral</t>
        </is>
      </c>
      <c r="E1061" s="5" t="inlineStr">
        <is>
          <t>Positivo</t>
        </is>
      </c>
      <c r="F1061" s="144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100</v>
      </c>
      <c r="K1061" s="5" t="n">
        <v>100</v>
      </c>
      <c r="L1061" s="28">
        <f>IFERROR(IF(OR(J1061=0,K1061=""),"",IF(E1061="Positivo",MIN(MAX(K1061/J1061,0),1.3),MIN(MAX(J1061/K1061,0),1.3))),"") </f>
        <v/>
      </c>
      <c r="M1061" s="28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363-2025-12-31</t>
        </is>
      </c>
    </row>
    <row r="1062">
      <c r="A1062" s="5" t="n">
        <v>364</v>
      </c>
      <c r="B1062" s="5" t="inlineStr">
        <is>
          <t>Impacto de actividades de Responsabilidad y proyección</t>
        </is>
      </c>
      <c r="C1062" s="5" t="inlineStr">
        <is>
          <t>Gestión de la Responsabilidad Social</t>
        </is>
      </c>
      <c r="D1062" s="5" t="inlineStr">
        <is>
          <t>Semestral</t>
        </is>
      </c>
      <c r="E1062" s="5" t="inlineStr">
        <is>
          <t>Negativo</t>
        </is>
      </c>
      <c r="F1062" s="144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0</v>
      </c>
      <c r="K1062" s="5" t="n">
        <v>30244</v>
      </c>
      <c r="L1062" s="28">
        <f>IFERROR(IF(OR(J1062=0,K1062=""),"",IF(E1062="Positivo",MIN(MAX(K1062/J1062,0),1.3),MIN(MAX(J1062/K1062,0),1.3))),"") </f>
        <v/>
      </c>
      <c r="M1062" s="28">
        <f>IFERROR(IF(OR(J1062=0,K1062=""),"",IF(E1062="Positivo",MAX(K1062/J1062,0),MAX(J1062/K1062,0))),"") </f>
        <v/>
      </c>
      <c r="N1062" s="5" t="inlineStr">
        <is>
          <t>Linea base</t>
        </is>
      </c>
      <c r="O1062" s="5" t="inlineStr">
        <is>
          <t>ENT</t>
        </is>
      </c>
      <c r="P1062" s="5" t="n">
        <v>0</v>
      </c>
      <c r="Q1062" s="5" t="n">
        <v>0</v>
      </c>
      <c r="R1062" s="5" t="inlineStr">
        <is>
          <t>364-2023-06-30</t>
        </is>
      </c>
    </row>
    <row r="1063">
      <c r="A1063" s="5" t="n">
        <v>364</v>
      </c>
      <c r="B1063" s="5" t="inlineStr">
        <is>
          <t>Impacto de actividades de Responsabilidad y proyección</t>
        </is>
      </c>
      <c r="C1063" s="5" t="inlineStr">
        <is>
          <t>Gestión de la Responsabilidad Social</t>
        </is>
      </c>
      <c r="D1063" s="5" t="inlineStr">
        <is>
          <t>Semestral</t>
        </is>
      </c>
      <c r="E1063" s="5" t="inlineStr">
        <is>
          <t>Negativo</t>
        </is>
      </c>
      <c r="F1063" s="144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0</v>
      </c>
      <c r="K1063" s="5" t="n">
        <v>78450</v>
      </c>
      <c r="L1063" s="28">
        <f>IFERROR(IF(OR(J1063=0,K1063=""),"",IF(E1063="Positivo",MIN(MAX(K1063/J1063,0),1.3),MIN(MAX(J1063/K1063,0),1.3))),"") </f>
        <v/>
      </c>
      <c r="M1063" s="28">
        <f>IFERROR(IF(OR(J1063=0,K1063=""),"",IF(E1063="Positivo",MAX(K1063/J1063,0),MAX(J1063/K1063,0))),"") </f>
        <v/>
      </c>
      <c r="N1063" s="5" t="inlineStr">
        <is>
          <t>Linea base</t>
        </is>
      </c>
      <c r="O1063" s="5" t="inlineStr">
        <is>
          <t>ENT</t>
        </is>
      </c>
      <c r="P1063" s="5" t="n">
        <v>0</v>
      </c>
      <c r="Q1063" s="5" t="n">
        <v>0</v>
      </c>
      <c r="R1063" s="5" t="inlineStr">
        <is>
          <t>364-2023-12-31</t>
        </is>
      </c>
    </row>
    <row r="1064">
      <c r="A1064" s="5" t="n">
        <v>364</v>
      </c>
      <c r="B1064" s="5" t="inlineStr">
        <is>
          <t>Impacto de actividades de Responsabilidad y proyección</t>
        </is>
      </c>
      <c r="C1064" s="5" t="inlineStr">
        <is>
          <t>Gestión de la Responsabilidad Social</t>
        </is>
      </c>
      <c r="D1064" s="5" t="inlineStr">
        <is>
          <t>Semestral</t>
        </is>
      </c>
      <c r="E1064" s="5" t="inlineStr">
        <is>
          <t>Positivo</t>
        </is>
      </c>
      <c r="F1064" s="144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100</v>
      </c>
      <c r="K1064" s="5" t="n">
        <v>132.73</v>
      </c>
      <c r="L1064" s="28">
        <f>IFERROR(IF(OR(J1064=0,K1064=""),"",IF(E1064="Positivo",MIN(MAX(K1064/J1064,0),1.3),MIN(MAX(J1064/K1064,0),1.3))),"") </f>
        <v/>
      </c>
      <c r="M1064" s="28">
        <f>IFERROR(IF(OR(J1064=0,K1064=""),"",IF(E1064="Positivo",MAX(K1064/J1064,0),MAX(J1064/K1064,0))),"") </f>
        <v/>
      </c>
      <c r="N1064" s="5" t="inlineStr">
        <is>
          <t>ENT</t>
        </is>
      </c>
      <c r="O1064" s="5" t="inlineStr">
        <is>
          <t>ENT</t>
        </is>
      </c>
      <c r="P1064" s="5" t="n">
        <v>0</v>
      </c>
      <c r="Q1064" s="5" t="n">
        <v>0</v>
      </c>
      <c r="R1064" s="5" t="inlineStr">
        <is>
          <t>364-2024-06-30</t>
        </is>
      </c>
    </row>
    <row r="1065">
      <c r="A1065" s="5" t="n">
        <v>364</v>
      </c>
      <c r="B1065" s="5" t="inlineStr">
        <is>
          <t>Impacto de actividades de Responsabilidad y proyección</t>
        </is>
      </c>
      <c r="C1065" s="5" t="inlineStr">
        <is>
          <t>Gestión de la Responsabilidad Social</t>
        </is>
      </c>
      <c r="D1065" s="5" t="inlineStr">
        <is>
          <t>Semestral</t>
        </is>
      </c>
      <c r="E1065" s="5" t="inlineStr">
        <is>
          <t>Positivo</t>
        </is>
      </c>
      <c r="F1065" s="144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100</v>
      </c>
      <c r="K1065" s="5" t="n">
        <v>98.09</v>
      </c>
      <c r="L1065" s="28">
        <f>IFERROR(IF(OR(J1065=0,K1065=""),"",IF(E1065="Positivo",MIN(MAX(K1065/J1065,0),1.3),MIN(MAX(J1065/K1065,0),1.3))),"") </f>
        <v/>
      </c>
      <c r="M1065" s="28">
        <f>IFERROR(IF(OR(J1065=0,K1065=""),"",IF(E1065="Positivo",MAX(K1065/J1065,0),MAX(J1065/K1065,0))),"") </f>
        <v/>
      </c>
      <c r="N1065" s="5" t="inlineStr">
        <is>
          <t>ENT</t>
        </is>
      </c>
      <c r="O1065" s="5" t="inlineStr">
        <is>
          <t>ENT</t>
        </is>
      </c>
      <c r="P1065" s="5" t="n">
        <v>0</v>
      </c>
      <c r="Q1065" s="5" t="n">
        <v>0</v>
      </c>
      <c r="R1065" s="5" t="inlineStr">
        <is>
          <t>364-2024-12-31</t>
        </is>
      </c>
    </row>
    <row r="1066">
      <c r="A1066" s="5" t="n">
        <v>364</v>
      </c>
      <c r="B1066" s="5" t="inlineStr">
        <is>
          <t>Impacto de actividades de Responsabilidad y proyección</t>
        </is>
      </c>
      <c r="C1066" s="5" t="inlineStr">
        <is>
          <t>Gestión de la Responsabilidad Social</t>
        </is>
      </c>
      <c r="D1066" s="5" t="inlineStr">
        <is>
          <t>Trimestral</t>
        </is>
      </c>
      <c r="E1066" s="5" t="inlineStr">
        <is>
          <t>Positivo</t>
        </is>
      </c>
      <c r="F1066" s="144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100</v>
      </c>
      <c r="K1066" s="5" t="n">
        <v>93.89</v>
      </c>
      <c r="L1066" s="28">
        <f>IFERROR(IF(OR(J1066=0,K1066=""),"",IF(E1066="Positivo",MIN(MAX(K1066/J1066,0),1.3),MIN(MAX(J1066/K1066,0),1.3))),"") </f>
        <v/>
      </c>
      <c r="M1066" s="28">
        <f>IFERROR(IF(OR(J1066=0,K1066=""),"",IF(E1066="Positivo",MAX(K1066/J1066,0),MAX(J1066/K1066,0))),"") </f>
        <v/>
      </c>
      <c r="N1066" s="5" t="inlineStr">
        <is>
          <t>ENT</t>
        </is>
      </c>
      <c r="O1066" s="5" t="inlineStr">
        <is>
          <t>ENT</t>
        </is>
      </c>
      <c r="P1066" s="5" t="n">
        <v>0</v>
      </c>
      <c r="Q1066" s="5" t="n">
        <v>0</v>
      </c>
      <c r="R1066" s="5" t="inlineStr">
        <is>
          <t>364-2025-06-30</t>
        </is>
      </c>
    </row>
    <row r="1067">
      <c r="A1067" s="5" t="n">
        <v>364</v>
      </c>
      <c r="B1067" s="5" t="inlineStr">
        <is>
          <t>Impacto de actividades de Responsabilidad y proyección</t>
        </is>
      </c>
      <c r="C1067" s="5" t="inlineStr">
        <is>
          <t>Gestión de la Responsabilidad Social</t>
        </is>
      </c>
      <c r="D1067" s="5" t="inlineStr">
        <is>
          <t>Trimestral</t>
        </is>
      </c>
      <c r="E1067" s="5" t="inlineStr">
        <is>
          <t>Positivo</t>
        </is>
      </c>
      <c r="F1067" s="144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100</v>
      </c>
      <c r="K1067" s="5" t="n">
        <v>78.11</v>
      </c>
      <c r="L1067" s="28">
        <f>IFERROR(IF(OR(J1067=0,K1067=""),"",IF(E1067="Positivo",MIN(MAX(K1067/J1067,0),1.3),MIN(MAX(J1067/K1067,0),1.3))),"") </f>
        <v/>
      </c>
      <c r="M1067" s="28">
        <f>IFERROR(IF(OR(J1067=0,K1067=""),"",IF(E1067="Positivo",MAX(K1067/J1067,0),MAX(J1067/K1067,0))),"") </f>
        <v/>
      </c>
      <c r="N1067" s="5" t="inlineStr">
        <is>
          <t>ENT</t>
        </is>
      </c>
      <c r="O1067" s="5" t="inlineStr">
        <is>
          <t>ENT</t>
        </is>
      </c>
      <c r="P1067" s="5" t="n">
        <v>0</v>
      </c>
      <c r="Q1067" s="5" t="n">
        <v>0</v>
      </c>
      <c r="R1067" s="5" t="inlineStr">
        <is>
          <t>364-2025-12-31</t>
        </is>
      </c>
    </row>
    <row r="1068">
      <c r="A1068" s="5" t="n">
        <v>365</v>
      </c>
      <c r="B1068" s="5" t="inlineStr">
        <is>
          <t>Seguimiento de asignación docente a NRC Pregrado-Posgrado Presencial</t>
        </is>
      </c>
      <c r="C1068" s="5" t="inlineStr">
        <is>
          <t>Operaciones Académica pregrado y posgrado presencial.</t>
        </is>
      </c>
      <c r="D1068" s="5" t="inlineStr">
        <is>
          <t>Semestral</t>
        </is>
      </c>
      <c r="E1068" s="5" t="inlineStr">
        <is>
          <t>Positivo</t>
        </is>
      </c>
      <c r="F1068" s="144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5" t="n">
        <v>100</v>
      </c>
      <c r="K1068" s="5" t="n">
        <v>100</v>
      </c>
      <c r="L1068" s="28">
        <f>IFERROR(IF(OR(J1068=0,K1068=""),"",IF(E1068="Positivo",MIN(MAX(K1068/J1068,0),1.3),MIN(MAX(J1068/K1068,0),1.3))),"") </f>
        <v/>
      </c>
      <c r="M1068" s="28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365-2023-12-31</t>
        </is>
      </c>
    </row>
    <row r="1069">
      <c r="A1069" s="5" t="n">
        <v>366</v>
      </c>
      <c r="B1069" s="5" t="inlineStr">
        <is>
          <t>Normalización de cobros pecuniarios</t>
        </is>
      </c>
      <c r="C1069" s="5" t="inlineStr">
        <is>
          <t>Operaciones Académica pregrado y posgrado presencial.</t>
        </is>
      </c>
      <c r="D1069" s="5" t="inlineStr">
        <is>
          <t>Anual</t>
        </is>
      </c>
      <c r="E1069" s="5" t="inlineStr">
        <is>
          <t>Positivo</t>
        </is>
      </c>
      <c r="F1069" s="144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100</v>
      </c>
      <c r="K1069" s="5" t="n">
        <v>100</v>
      </c>
      <c r="L1069" s="28">
        <f>IFERROR(IF(OR(J1069=0,K1069=""),"",IF(E1069="Positivo",MIN(MAX(K1069/J1069,0),1.3),MIN(MAX(J1069/K1069,0),1.3))),"") </f>
        <v/>
      </c>
      <c r="M1069" s="28">
        <f>IFERROR(IF(OR(J1069=0,K1069=""),"",IF(E1069="Positivo",MAX(K1069/J1069,0),MAX(J1069/K1069,0))),"") </f>
        <v/>
      </c>
      <c r="N1069" s="5" t="n"/>
      <c r="O1069" s="5" t="n"/>
      <c r="P1069" s="5" t="n">
        <v>0</v>
      </c>
      <c r="Q1069" s="5" t="n">
        <v>0</v>
      </c>
      <c r="R1069" s="5" t="inlineStr">
        <is>
          <t>366-2023-12-31</t>
        </is>
      </c>
    </row>
    <row r="1070">
      <c r="A1070" s="5" t="n">
        <v>366</v>
      </c>
      <c r="B1070" s="5" t="inlineStr">
        <is>
          <t>Normalización de cobros pecuniarios</t>
        </is>
      </c>
      <c r="C1070" s="5" t="inlineStr">
        <is>
          <t>Operaciones Académicas</t>
        </is>
      </c>
      <c r="D1070" s="5" t="inlineStr">
        <is>
          <t>Anual</t>
        </is>
      </c>
      <c r="E1070" s="5" t="inlineStr">
        <is>
          <t>Positivo</t>
        </is>
      </c>
      <c r="F1070" s="144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100</v>
      </c>
      <c r="K1070" s="5" t="n">
        <v>100</v>
      </c>
      <c r="L1070" s="28">
        <f>IFERROR(IF(OR(J1070=0,K1070=""),"",IF(E1070="Positivo",MIN(MAX(K1070/J1070,0),1.3),MIN(MAX(J1070/K1070,0),1.3))),"") </f>
        <v/>
      </c>
      <c r="M1070" s="28">
        <f>IFERROR(IF(OR(J1070=0,K1070=""),"",IF(E1070="Positivo",MAX(K1070/J1070,0),MAX(J1070/K1070,0))),"") </f>
        <v/>
      </c>
      <c r="N1070" s="5" t="n"/>
      <c r="O1070" s="5" t="n"/>
      <c r="P1070" s="5" t="n">
        <v>0</v>
      </c>
      <c r="Q1070" s="5" t="n">
        <v>0</v>
      </c>
      <c r="R1070" s="5" t="inlineStr">
        <is>
          <t>366-2024-12-31</t>
        </is>
      </c>
    </row>
    <row r="1071">
      <c r="A1071" s="5" t="n">
        <v>366</v>
      </c>
      <c r="B1071" s="5" t="inlineStr">
        <is>
          <t>Normalización de cobros pecuniarios</t>
        </is>
      </c>
      <c r="C1071" s="5" t="inlineStr">
        <is>
          <t>Operaciones Académicas</t>
        </is>
      </c>
      <c r="D1071" s="5" t="inlineStr">
        <is>
          <t>Anual</t>
        </is>
      </c>
      <c r="E1071" s="5" t="inlineStr">
        <is>
          <t>Positivo</t>
        </is>
      </c>
      <c r="F1071" s="144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28">
        <f>IFERROR(IF(OR(J1071=0,K1071=""),"",IF(E1071="Positivo",MIN(MAX(K1071/J1071,0),1.3),MIN(MAX(J1071/K1071,0),1.3))),"") </f>
        <v/>
      </c>
      <c r="M1071" s="28">
        <f>IFERROR(IF(OR(J1071=0,K1071=""),"",IF(E1071="Positivo",MAX(K1071/J1071,0),MAX(J1071/K1071,0))),"") </f>
        <v/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366-2025-12-31</t>
        </is>
      </c>
    </row>
    <row r="1072">
      <c r="A1072" s="5" t="n">
        <v>367</v>
      </c>
      <c r="B1072" s="5" t="inlineStr">
        <is>
          <t>Estudiantes con Becas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44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5</v>
      </c>
      <c r="K1072" s="5" t="n">
        <v>6.249756705204562</v>
      </c>
      <c r="L1072" s="28">
        <f>IFERROR(IF(OR(J1072=0,K1072=""),"",IF(E1072="Positivo",MIN(MAX(K1072/J1072,0),1.3),MIN(MAX(J1072/K1072,0),1.3))),"") </f>
        <v/>
      </c>
      <c r="M1072" s="28">
        <f>IFERROR(IF(OR(J1072=0,K1072=""),"",IF(E1072="Positivo",MAX(K1072/J1072,0),MAX(J1072/K1072,0))),"") </f>
        <v/>
      </c>
      <c r="N1072" s="5" t="inlineStr">
        <is>
          <t>%</t>
        </is>
      </c>
      <c r="O1072" s="5" t="inlineStr">
        <is>
          <t>%</t>
        </is>
      </c>
      <c r="P1072" s="5" t="n">
        <v>2</v>
      </c>
      <c r="Q1072" s="5" t="n">
        <v>2</v>
      </c>
      <c r="R1072" s="5" t="inlineStr">
        <is>
          <t>367-2023-12-31</t>
        </is>
      </c>
    </row>
    <row r="1073">
      <c r="A1073" s="5" t="n">
        <v>367</v>
      </c>
      <c r="B1073" s="5" t="inlineStr">
        <is>
          <t>Estudiantes con Becas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144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5</v>
      </c>
      <c r="K1073" s="5" t="n">
        <v>4.96</v>
      </c>
      <c r="L1073" s="28">
        <f>IFERROR(IF(OR(J1073=0,K1073=""),"",IF(E1073="Positivo",MIN(MAX(K1073/J1073,0),1.3),MIN(MAX(J1073/K1073,0),1.3))),"") </f>
        <v/>
      </c>
      <c r="M1073" s="28">
        <f>IFERROR(IF(OR(J1073=0,K1073=""),"",IF(E1073="Positivo",MAX(K1073/J1073,0),MAX(J1073/K1073,0))),"") </f>
        <v/>
      </c>
      <c r="N1073" s="5" t="inlineStr">
        <is>
          <t>%</t>
        </is>
      </c>
      <c r="O1073" s="5" t="inlineStr">
        <is>
          <t>%</t>
        </is>
      </c>
      <c r="P1073" s="5" t="n">
        <v>2</v>
      </c>
      <c r="Q1073" s="5" t="n">
        <v>2</v>
      </c>
      <c r="R1073" s="5" t="inlineStr">
        <is>
          <t>367-2024-12-31</t>
        </is>
      </c>
    </row>
    <row r="1074">
      <c r="A1074" s="26" t="n">
        <v>367</v>
      </c>
      <c r="B1074" s="23" t="inlineStr">
        <is>
          <t>Estudiantes con Becas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144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5</v>
      </c>
      <c r="K1074" s="86" t="n">
        <v>3.82</v>
      </c>
      <c r="L1074" s="28">
        <f>IFERROR(IF(OR(J1074=0,K1074=""),"",IF(E1074="Positivo",MIN(MAX(K1074/J1074,0),1.3),MIN(MAX(J1074/K1074,0),1.3))),"") </f>
        <v/>
      </c>
      <c r="M1074" s="28">
        <f>IFERROR(IF(OR(J1074=0,K1074=""),"",IF(E1074="Positivo",MAX(K1074/J1074,0),MAX(J1074/K1074,0))),"") </f>
        <v/>
      </c>
      <c r="N1074" s="5" t="inlineStr">
        <is>
          <t>%</t>
        </is>
      </c>
      <c r="O1074" s="5" t="inlineStr">
        <is>
          <t>%</t>
        </is>
      </c>
      <c r="P1074" s="5" t="n">
        <v>0</v>
      </c>
      <c r="Q1074" s="5" t="n">
        <v>2</v>
      </c>
      <c r="R1074" s="5" t="inlineStr">
        <is>
          <t>367-2025-12-31</t>
        </is>
      </c>
    </row>
    <row r="1075">
      <c r="A1075" s="5" t="n">
        <v>368</v>
      </c>
      <c r="B1075" s="5" t="inlineStr">
        <is>
          <t>Satisfacción de los estudiantes de Educación para toda la vida</t>
        </is>
      </c>
      <c r="C1075" s="5" t="inlineStr">
        <is>
          <t>Operación de Educación no Formal</t>
        </is>
      </c>
      <c r="D1075" s="5" t="inlineStr">
        <is>
          <t>Trimestral</t>
        </is>
      </c>
      <c r="E1075" s="5" t="inlineStr">
        <is>
          <t>Positivo</t>
        </is>
      </c>
      <c r="F1075" s="144" t="n">
        <v>45291</v>
      </c>
      <c r="G1075" s="5" t="n">
        <v>2023</v>
      </c>
      <c r="H1075" s="5" t="inlineStr">
        <is>
          <t>Diciembre</t>
        </is>
      </c>
      <c r="I1075" s="6" t="inlineStr">
        <is>
          <t>2023-2</t>
        </is>
      </c>
      <c r="J1075" s="5" t="n">
        <v>90</v>
      </c>
      <c r="K1075" s="16" t="n">
        <v>94.5</v>
      </c>
      <c r="L1075" s="28">
        <f>IFERROR(IF(OR(J1075=0,K1075=""),"",IF(E1075="Positivo",MIN(MAX(K1075/J1075,0),1.3),MIN(MAX(J1075/K1075,0),1.3))),"") </f>
        <v/>
      </c>
      <c r="M1075" s="28">
        <f>IFERROR(IF(OR(J1075=0,K1075=""),"",IF(E1075="Positivo",MAX(K1075/J1075,0),MAX(J1075/K1075,0))),"") </f>
        <v/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368-2023-12-31</t>
        </is>
      </c>
    </row>
    <row r="1076">
      <c r="A1076" s="5" t="n">
        <v>368</v>
      </c>
      <c r="B1076" s="5" t="inlineStr">
        <is>
          <t>Satisfacción de los estudiantes de Educación para toda la vida</t>
        </is>
      </c>
      <c r="C1076" s="5" t="inlineStr">
        <is>
          <t>Operación de Educación no Formal</t>
        </is>
      </c>
      <c r="D1076" s="5" t="inlineStr">
        <is>
          <t>Trimestral</t>
        </is>
      </c>
      <c r="E1076" s="5" t="inlineStr">
        <is>
          <t>Positivo</t>
        </is>
      </c>
      <c r="F1076" s="144" t="n">
        <v>45473</v>
      </c>
      <c r="G1076" s="5" t="n">
        <v>2024</v>
      </c>
      <c r="H1076" s="5" t="inlineStr">
        <is>
          <t>Junio</t>
        </is>
      </c>
      <c r="I1076" s="6" t="inlineStr">
        <is>
          <t>2024-1</t>
        </is>
      </c>
      <c r="J1076" s="5" t="n">
        <v>90</v>
      </c>
      <c r="K1076" s="5" t="n">
        <v>94.5</v>
      </c>
      <c r="L1076" s="28">
        <f>IFERROR(IF(OR(J1076=0,K1076=""),"",IF(E1076="Positivo",MIN(MAX(K1076/J1076,0),1.3),MIN(MAX(J1076/K1076,0),1.3))),"") </f>
        <v/>
      </c>
      <c r="M1076" s="28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368-2024-06-30</t>
        </is>
      </c>
    </row>
    <row r="1077">
      <c r="A1077" s="5" t="n">
        <v>368</v>
      </c>
      <c r="B1077" s="5" t="inlineStr">
        <is>
          <t>Satisfacción de los estudiantes de Educación para toda la vida</t>
        </is>
      </c>
      <c r="C1077" s="5" t="inlineStr">
        <is>
          <t>Operación de Educación no Formal</t>
        </is>
      </c>
      <c r="D1077" s="5" t="inlineStr">
        <is>
          <t>Trimestral</t>
        </is>
      </c>
      <c r="E1077" s="5" t="inlineStr">
        <is>
          <t>Positivo</t>
        </is>
      </c>
      <c r="F1077" s="144" t="n">
        <v>45657</v>
      </c>
      <c r="G1077" s="5" t="n">
        <v>2024</v>
      </c>
      <c r="H1077" s="5" t="inlineStr">
        <is>
          <t>Diciembre</t>
        </is>
      </c>
      <c r="I1077" s="6" t="inlineStr">
        <is>
          <t>2024-2</t>
        </is>
      </c>
      <c r="J1077" s="5" t="n">
        <v>90</v>
      </c>
      <c r="K1077" s="5" t="n">
        <v>94</v>
      </c>
      <c r="L1077" s="28">
        <f>IFERROR(IF(OR(J1077=0,K1077=""),"",IF(E1077="Positivo",MIN(MAX(K1077/J1077,0),1.3),MIN(MAX(J1077/K1077,0),1.3))),"") </f>
        <v/>
      </c>
      <c r="M1077" s="28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368-2024-12-31</t>
        </is>
      </c>
    </row>
    <row r="1078">
      <c r="A1078" s="5" t="n">
        <v>368</v>
      </c>
      <c r="B1078" s="5" t="inlineStr">
        <is>
          <t>Satisfacción de los estudiantes de Educación para toda la vida</t>
        </is>
      </c>
      <c r="C1078" s="5" t="inlineStr">
        <is>
          <t>Operación de Educación no Formal</t>
        </is>
      </c>
      <c r="D1078" s="5" t="inlineStr">
        <is>
          <t>Trimestral</t>
        </is>
      </c>
      <c r="E1078" s="5" t="inlineStr">
        <is>
          <t>Positivo</t>
        </is>
      </c>
      <c r="F1078" s="144" t="n">
        <v>45838</v>
      </c>
      <c r="G1078" s="5" t="n">
        <v>2025</v>
      </c>
      <c r="H1078" s="5" t="inlineStr">
        <is>
          <t>Junio</t>
        </is>
      </c>
      <c r="I1078" s="6" t="inlineStr">
        <is>
          <t>2025-1</t>
        </is>
      </c>
      <c r="J1078" s="5" t="n">
        <v>93</v>
      </c>
      <c r="K1078" s="5" t="n">
        <v>95</v>
      </c>
      <c r="L1078" s="28">
        <f>IFERROR(IF(OR(J1078=0,K1078=""),"",IF(E1078="Positivo",MIN(MAX(K1078/J1078,0),1.3),MIN(MAX(J1078/K1078,0),1.3))),"") </f>
        <v/>
      </c>
      <c r="M1078" s="28">
        <f>IFERROR(IF(OR(J1078=0,K1078=""),"",IF(E1078="Positivo",MAX(K1078/J1078,0),MAX(J1078/K1078,0))),"") </f>
        <v/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368-2025-06-30</t>
        </is>
      </c>
    </row>
    <row r="1079">
      <c r="A1079" s="5" t="n">
        <v>368</v>
      </c>
      <c r="B1079" s="5" t="inlineStr">
        <is>
          <t>Satisfacción de los estudiantes de Educación para toda la vida</t>
        </is>
      </c>
      <c r="C1079" s="5" t="inlineStr">
        <is>
          <t>Operación de nuevos negocios y CI</t>
        </is>
      </c>
      <c r="D1079" s="5" t="inlineStr">
        <is>
          <t>Semestral</t>
        </is>
      </c>
      <c r="E1079" s="5" t="inlineStr">
        <is>
          <t>Positivo</t>
        </is>
      </c>
      <c r="F1079" s="144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93</v>
      </c>
      <c r="K1079" s="5" t="n">
        <v>95</v>
      </c>
      <c r="L1079" s="28">
        <f>IFERROR(IF(OR(J1079=0,K1079=""),"",IF(E1079="Positivo",MIN(MAX(K1079/J1079,0),1.3),MIN(MAX(J1079/K1079,0),1.3))),"") </f>
        <v/>
      </c>
      <c r="M1079" s="28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368-2025-12-31</t>
        </is>
      </c>
    </row>
    <row r="1080">
      <c r="A1080" s="5" t="n">
        <v>369</v>
      </c>
      <c r="B1080" s="5" t="inlineStr">
        <is>
          <t>Participación de POLI- voluntariados (Estudiantes- Colaboradores)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144" t="n">
        <v>45107</v>
      </c>
      <c r="G1080" s="5" t="n">
        <v>2023</v>
      </c>
      <c r="H1080" s="5" t="inlineStr">
        <is>
          <t>Junio</t>
        </is>
      </c>
      <c r="I1080" s="6" t="inlineStr">
        <is>
          <t>2023-1</t>
        </is>
      </c>
      <c r="J1080" s="5" t="n">
        <v>0</v>
      </c>
      <c r="K1080" s="5" t="n">
        <v>78</v>
      </c>
      <c r="L1080" s="28">
        <f>IFERROR(IF(OR(J1080=0,K1080=""),"",IF(E1080="Positivo",MIN(MAX(K1080/J1080,0),1.3),MIN(MAX(J1080/K1080,0),1.3))),"") </f>
        <v/>
      </c>
      <c r="M1080" s="28">
        <f>IFERROR(IF(OR(J1080=0,K1080=""),"",IF(E1080="Positivo",MAX(K1080/J1080,0),MAX(J1080/K1080,0))),"") </f>
        <v/>
      </c>
      <c r="N1080" s="5" t="inlineStr">
        <is>
          <t>Linea Base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369-2023-06-30</t>
        </is>
      </c>
    </row>
    <row r="1081">
      <c r="A1081" s="5" t="n">
        <v>369</v>
      </c>
      <c r="B1081" s="5" t="inlineStr">
        <is>
          <t>Participación de POLI- voluntariados (Estudiantes- Colaboradores)</t>
        </is>
      </c>
      <c r="C1081" s="5" t="inlineStr">
        <is>
          <t>Gestión de la Responsabilidad Social</t>
        </is>
      </c>
      <c r="D1081" s="5" t="inlineStr">
        <is>
          <t>Semestral</t>
        </is>
      </c>
      <c r="E1081" s="5" t="inlineStr">
        <is>
          <t>Positivo</t>
        </is>
      </c>
      <c r="F1081" s="144" t="n">
        <v>45291</v>
      </c>
      <c r="G1081" s="5" t="n">
        <v>2023</v>
      </c>
      <c r="H1081" s="5" t="inlineStr">
        <is>
          <t>Diciembre</t>
        </is>
      </c>
      <c r="I1081" s="6" t="inlineStr">
        <is>
          <t>2023-2</t>
        </is>
      </c>
      <c r="J1081" s="5" t="n">
        <v>0</v>
      </c>
      <c r="K1081" s="5" t="n">
        <v>96</v>
      </c>
      <c r="L1081" s="28">
        <f>IFERROR(IF(OR(J1081=0,K1081=""),"",IF(E1081="Positivo",MIN(MAX(K1081/J1081,0),1.3),MIN(MAX(J1081/K1081,0),1.3))),"") </f>
        <v/>
      </c>
      <c r="M1081" s="28">
        <f>IFERROR(IF(OR(J1081=0,K1081=""),"",IF(E1081="Positivo",MAX(K1081/J1081,0),MAX(J1081/K1081,0))),"") </f>
        <v/>
      </c>
      <c r="N1081" s="5" t="inlineStr">
        <is>
          <t>Linea Base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369-2023-12-31</t>
        </is>
      </c>
    </row>
    <row r="1082">
      <c r="A1082" s="5" t="n">
        <v>369</v>
      </c>
      <c r="B1082" s="5" t="inlineStr">
        <is>
          <t>Participación de POLI- voluntariados (Estudiantes- Colaboradores)</t>
        </is>
      </c>
      <c r="C1082" s="5" t="inlineStr">
        <is>
          <t>Gestión de la Responsabilidad Social</t>
        </is>
      </c>
      <c r="D1082" s="5" t="inlineStr">
        <is>
          <t>Semestral</t>
        </is>
      </c>
      <c r="E1082" s="5" t="inlineStr">
        <is>
          <t>Positivo</t>
        </is>
      </c>
      <c r="F1082" s="144" t="n">
        <v>45473</v>
      </c>
      <c r="G1082" s="5" t="n">
        <v>2024</v>
      </c>
      <c r="H1082" s="5" t="inlineStr">
        <is>
          <t>Junio</t>
        </is>
      </c>
      <c r="I1082" s="6" t="inlineStr">
        <is>
          <t>2024-1</t>
        </is>
      </c>
      <c r="J1082" s="5" t="n">
        <v>100</v>
      </c>
      <c r="K1082" s="5" t="n">
        <v>76.25</v>
      </c>
      <c r="L1082" s="28">
        <f>IFERROR(IF(OR(J1082=0,K1082=""),"",IF(E1082="Positivo",MIN(MAX(K1082/J1082,0),1.3),MIN(MAX(J1082/K1082,0),1.3))),"") </f>
        <v/>
      </c>
      <c r="M1082" s="28">
        <f>IFERROR(IF(OR(J1082=0,K1082=""),"",IF(E1082="Positivo",MAX(K1082/J1082,0),MAX(J1082/K1082,0))),"") </f>
        <v/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369-2024-06-30</t>
        </is>
      </c>
    </row>
    <row r="1083">
      <c r="A1083" s="5" t="n">
        <v>369</v>
      </c>
      <c r="B1083" s="5" t="inlineStr">
        <is>
          <t>Participación de POLI- voluntariados (Estudiantes- Colaboradores)</t>
        </is>
      </c>
      <c r="C1083" s="5" t="inlineStr">
        <is>
          <t>Gestión de la Responsabilidad Social</t>
        </is>
      </c>
      <c r="D1083" s="5" t="inlineStr">
        <is>
          <t>Semestral</t>
        </is>
      </c>
      <c r="E1083" s="5" t="inlineStr">
        <is>
          <t>Positivo</t>
        </is>
      </c>
      <c r="F1083" s="144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100</v>
      </c>
      <c r="K1083" s="5" t="n">
        <v>71.3</v>
      </c>
      <c r="L1083" s="28">
        <f>IFERROR(IF(OR(J1083=0,K1083=""),"",IF(E1083="Positivo",MIN(MAX(K1083/J1083,0),1.3),MIN(MAX(J1083/K1083,0),1.3))),"") </f>
        <v/>
      </c>
      <c r="M1083" s="28">
        <f>IFERROR(IF(OR(J1083=0,K1083=""),"",IF(E1083="Positivo",MAX(K1083/J1083,0),MAX(J1083/K1083,0))),"") </f>
        <v/>
      </c>
      <c r="N1083" s="5" t="inlineStr">
        <is>
          <t>ENT</t>
        </is>
      </c>
      <c r="O1083" s="5" t="inlineStr">
        <is>
          <t>ENT</t>
        </is>
      </c>
      <c r="P1083" s="5" t="n">
        <v>0</v>
      </c>
      <c r="Q1083" s="5" t="n">
        <v>0</v>
      </c>
      <c r="R1083" s="5" t="inlineStr">
        <is>
          <t>369-2024-12-31</t>
        </is>
      </c>
    </row>
    <row r="1084">
      <c r="A1084" s="5" t="n">
        <v>369</v>
      </c>
      <c r="B1084" s="5" t="inlineStr">
        <is>
          <t>Participación de POLI- voluntariados (Estudiantes- Colaboradores)</t>
        </is>
      </c>
      <c r="C1084" s="5" t="inlineStr">
        <is>
          <t>Gestión de la Responsabilidad Social</t>
        </is>
      </c>
      <c r="D1084" s="5" t="inlineStr">
        <is>
          <t>Trimestral</t>
        </is>
      </c>
      <c r="E1084" s="5" t="inlineStr">
        <is>
          <t>Positivo</t>
        </is>
      </c>
      <c r="F1084" s="144" t="n">
        <v>45838</v>
      </c>
      <c r="G1084" s="5" t="n">
        <v>2025</v>
      </c>
      <c r="H1084" s="5" t="inlineStr">
        <is>
          <t>Junio</t>
        </is>
      </c>
      <c r="I1084" s="6" t="inlineStr">
        <is>
          <t>2025-1</t>
        </is>
      </c>
      <c r="J1084" s="5" t="n">
        <v>100</v>
      </c>
      <c r="K1084" s="5" t="n">
        <v>88.89</v>
      </c>
      <c r="L1084" s="28">
        <f>IFERROR(IF(OR(J1084=0,K1084=""),"",IF(E1084="Positivo",MIN(MAX(K1084/J1084,0),1.3),MIN(MAX(J1084/K1084,0),1.3))),"") </f>
        <v/>
      </c>
      <c r="M1084" s="28">
        <f>IFERROR(IF(OR(J1084=0,K1084=""),"",IF(E1084="Positivo",MAX(K1084/J1084,0),MAX(J1084/K1084,0))),"") </f>
        <v/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 t="inlineStr">
        <is>
          <t>369-2025-06-30</t>
        </is>
      </c>
    </row>
    <row r="1085">
      <c r="A1085" s="5" t="n">
        <v>369</v>
      </c>
      <c r="B1085" s="5" t="inlineStr">
        <is>
          <t>Participación de POLI- voluntariados (Estudiantes- Colaboradores)</t>
        </is>
      </c>
      <c r="C1085" s="5" t="inlineStr">
        <is>
          <t>Gestión de la Responsabilidad Social</t>
        </is>
      </c>
      <c r="D1085" s="5" t="inlineStr">
        <is>
          <t>Trimestral</t>
        </is>
      </c>
      <c r="E1085" s="5" t="inlineStr">
        <is>
          <t>Positivo</t>
        </is>
      </c>
      <c r="F1085" s="144" t="n">
        <v>46022</v>
      </c>
      <c r="G1085" s="5" t="n">
        <v>2025</v>
      </c>
      <c r="H1085" s="5" t="inlineStr">
        <is>
          <t>Diciembre</t>
        </is>
      </c>
      <c r="I1085" s="6" t="inlineStr">
        <is>
          <t>2025-2</t>
        </is>
      </c>
      <c r="J1085" s="5" t="n">
        <v>100</v>
      </c>
      <c r="K1085" s="5" t="n">
        <v>108.26</v>
      </c>
      <c r="L1085" s="28">
        <f>IFERROR(IF(OR(J1085=0,K1085=""),"",IF(E1085="Positivo",MIN(MAX(K1085/J1085,0),1.3),MIN(MAX(J1085/K1085,0),1.3))),"") </f>
        <v/>
      </c>
      <c r="M1085" s="28">
        <f>IFERROR(IF(OR(J1085=0,K1085=""),"",IF(E1085="Positivo",MAX(K1085/J1085,0),MAX(J1085/K1085,0))),"") </f>
        <v/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 t="inlineStr">
        <is>
          <t>369-2025-12-31</t>
        </is>
      </c>
    </row>
    <row r="1086">
      <c r="A1086" s="5" t="n">
        <v>370</v>
      </c>
      <c r="B1086" s="5" t="inlineStr">
        <is>
          <t>Oportunidades de mejora - Huella Verde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Positivo</t>
        </is>
      </c>
      <c r="F1086" s="144" t="n">
        <v>45107</v>
      </c>
      <c r="G1086" s="5" t="n">
        <v>2023</v>
      </c>
      <c r="H1086" s="5" t="inlineStr">
        <is>
          <t>Junio</t>
        </is>
      </c>
      <c r="I1086" s="6" t="inlineStr">
        <is>
          <t>2023-1</t>
        </is>
      </c>
      <c r="J1086" s="5" t="n">
        <v>0</v>
      </c>
      <c r="K1086" s="5" t="n">
        <v>0</v>
      </c>
      <c r="L1086" s="28">
        <f>IFERROR(IF(OR(J1086=0,K1086=""),"",IF(E1086="Positivo",MIN(MAX(K1086/J1086,0),1.3),MIN(MAX(J1086/K1086,0),1.3))),"") </f>
        <v/>
      </c>
      <c r="M1086" s="28">
        <f>IFERROR(IF(OR(J1086=0,K1086=""),"",IF(E1086="Positivo",MAX(K1086/J1086,0),MAX(J1086/K1086,0))),"") </f>
        <v/>
      </c>
      <c r="N1086" s="5" t="n"/>
      <c r="O1086" s="5" t="n"/>
      <c r="P1086" s="5" t="n">
        <v>0</v>
      </c>
      <c r="Q1086" s="5" t="n">
        <v>0</v>
      </c>
      <c r="R1086" s="5" t="inlineStr">
        <is>
          <t>370-2023-06-30</t>
        </is>
      </c>
    </row>
    <row r="1087">
      <c r="A1087" s="5" t="n">
        <v>370</v>
      </c>
      <c r="B1087" s="5" t="inlineStr">
        <is>
          <t>Oportunidades de mejora - Huella Verde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Positivo</t>
        </is>
      </c>
      <c r="F1087" s="144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0</v>
      </c>
      <c r="K1087" s="5" t="n">
        <v>0</v>
      </c>
      <c r="L1087" s="28">
        <f>IFERROR(IF(OR(J1087=0,K1087=""),"",IF(E1087="Positivo",MIN(MAX(K1087/J1087,0),1.3),MIN(MAX(J1087/K1087,0),1.3))),"") </f>
        <v/>
      </c>
      <c r="M1087" s="28">
        <f>IFERROR(IF(OR(J1087=0,K1087=""),"",IF(E1087="Positivo",MAX(K1087/J1087,0),MAX(J1087/K1087,0))),"") </f>
        <v/>
      </c>
      <c r="N1087" s="5" t="n"/>
      <c r="O1087" s="5" t="n"/>
      <c r="P1087" s="5" t="n">
        <v>0</v>
      </c>
      <c r="Q1087" s="5" t="n">
        <v>0</v>
      </c>
      <c r="R1087" s="5" t="inlineStr">
        <is>
          <t>370-2023-12-31</t>
        </is>
      </c>
    </row>
    <row r="1088">
      <c r="A1088" s="5" t="n">
        <v>371</v>
      </c>
      <c r="B1088" s="5" t="inlineStr">
        <is>
          <t>Recaudación de fondos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144" t="n">
        <v>45107</v>
      </c>
      <c r="G1088" s="5" t="n">
        <v>2023</v>
      </c>
      <c r="H1088" s="5" t="inlineStr">
        <is>
          <t>Junio</t>
        </is>
      </c>
      <c r="I1088" s="6" t="inlineStr">
        <is>
          <t>2023-1</t>
        </is>
      </c>
      <c r="J1088" s="5" t="n">
        <v>100</v>
      </c>
      <c r="K1088" s="5" t="n">
        <v>157.50274243636</v>
      </c>
      <c r="L1088" s="28">
        <f>IFERROR(IF(OR(J1088=0,K1088=""),"",IF(E1088="Positivo",MIN(MAX(K1088/J1088,0),1.3),MIN(MAX(J1088/K1088,0),1.3))),"") </f>
        <v/>
      </c>
      <c r="M1088" s="28">
        <f>IFERROR(IF(OR(J1088=0,K1088=""),"",IF(E1088="Positivo",MAX(K1088/J1088,0),MAX(J1088/K1088,0))),"") </f>
        <v/>
      </c>
      <c r="N1088" s="5" t="inlineStr">
        <is>
          <t>$</t>
        </is>
      </c>
      <c r="O1088" s="5" t="inlineStr">
        <is>
          <t>$</t>
        </is>
      </c>
      <c r="P1088" s="5" t="n">
        <v>0</v>
      </c>
      <c r="Q1088" s="5" t="n">
        <v>0</v>
      </c>
      <c r="R1088" s="5" t="inlineStr">
        <is>
          <t>371-2023-06-30</t>
        </is>
      </c>
    </row>
    <row r="1089">
      <c r="A1089" s="5" t="n">
        <v>371</v>
      </c>
      <c r="B1089" s="5" t="inlineStr">
        <is>
          <t>Recaudación de fondos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44" t="n">
        <v>45291</v>
      </c>
      <c r="G1089" s="5" t="n">
        <v>2023</v>
      </c>
      <c r="H1089" s="5" t="inlineStr">
        <is>
          <t>Diciembre</t>
        </is>
      </c>
      <c r="I1089" s="6" t="inlineStr">
        <is>
          <t>2023-2</t>
        </is>
      </c>
      <c r="J1089" s="5" t="n">
        <v>100</v>
      </c>
      <c r="K1089" s="5" t="n">
        <v>173.07</v>
      </c>
      <c r="L1089" s="28">
        <f>IFERROR(IF(OR(J1089=0,K1089=""),"",IF(E1089="Positivo",MIN(MAX(K1089/J1089,0),1.3),MIN(MAX(J1089/K1089,0),1.3))),"") </f>
        <v/>
      </c>
      <c r="M1089" s="28">
        <f>IFERROR(IF(OR(J1089=0,K1089=""),"",IF(E1089="Positivo",MAX(K1089/J1089,0),MAX(J1089/K1089,0))),"") </f>
        <v/>
      </c>
      <c r="N1089" s="5" t="inlineStr">
        <is>
          <t>$</t>
        </is>
      </c>
      <c r="O1089" s="5" t="inlineStr">
        <is>
          <t>$</t>
        </is>
      </c>
      <c r="P1089" s="5" t="n">
        <v>0</v>
      </c>
      <c r="Q1089" s="5" t="n">
        <v>0</v>
      </c>
      <c r="R1089" s="5" t="inlineStr">
        <is>
          <t>371-2023-12-31</t>
        </is>
      </c>
    </row>
    <row r="1090">
      <c r="A1090" s="5" t="n">
        <v>371</v>
      </c>
      <c r="B1090" s="5" t="inlineStr">
        <is>
          <t>Recaudación de fondos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44" t="n">
        <v>45473</v>
      </c>
      <c r="G1090" s="5" t="n">
        <v>2024</v>
      </c>
      <c r="H1090" s="5" t="inlineStr">
        <is>
          <t>Junio</t>
        </is>
      </c>
      <c r="I1090" s="6" t="inlineStr">
        <is>
          <t>2024-1</t>
        </is>
      </c>
      <c r="J1090" s="5" t="n">
        <v>100</v>
      </c>
      <c r="K1090" s="5" t="n">
        <v>149.72</v>
      </c>
      <c r="L1090" s="28">
        <f>IFERROR(IF(OR(J1090=0,K1090=""),"",IF(E1090="Positivo",MIN(MAX(K1090/J1090,0),1.3),MIN(MAX(J1090/K1090,0),1.3))),"") </f>
        <v/>
      </c>
      <c r="M1090" s="28">
        <f>IFERROR(IF(OR(J1090=0,K1090=""),"",IF(E1090="Positivo",MAX(K1090/J1090,0),MAX(J1090/K1090,0))),"") </f>
        <v/>
      </c>
      <c r="N1090" s="5" t="inlineStr">
        <is>
          <t>$</t>
        </is>
      </c>
      <c r="O1090" s="5" t="inlineStr">
        <is>
          <t>$</t>
        </is>
      </c>
      <c r="P1090" s="5" t="n">
        <v>0</v>
      </c>
      <c r="Q1090" s="5" t="n">
        <v>0</v>
      </c>
      <c r="R1090" s="5" t="inlineStr">
        <is>
          <t>371-2024-06-30</t>
        </is>
      </c>
    </row>
    <row r="1091">
      <c r="A1091" s="5" t="n">
        <v>371</v>
      </c>
      <c r="B1091" s="5" t="inlineStr">
        <is>
          <t>Recaudación de fondos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44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100</v>
      </c>
      <c r="K1091" s="5" t="n">
        <v>96.98999999999999</v>
      </c>
      <c r="L1091" s="28">
        <f>IFERROR(IF(OR(J1091=0,K1091=""),"",IF(E1091="Positivo",MIN(MAX(K1091/J1091,0),1.3),MIN(MAX(J1091/K1091,0),1.3))),"") </f>
        <v/>
      </c>
      <c r="M1091" s="28">
        <f>IFERROR(IF(OR(J1091=0,K1091=""),"",IF(E1091="Positivo",MAX(K1091/J1091,0),MAX(J1091/K1091,0))),"") </f>
        <v/>
      </c>
      <c r="N1091" s="5" t="inlineStr">
        <is>
          <t>$</t>
        </is>
      </c>
      <c r="O1091" s="5" t="inlineStr">
        <is>
          <t>$</t>
        </is>
      </c>
      <c r="P1091" s="5" t="n">
        <v>0</v>
      </c>
      <c r="Q1091" s="5" t="n">
        <v>0</v>
      </c>
      <c r="R1091" s="5" t="inlineStr">
        <is>
          <t>371-2024-12-31</t>
        </is>
      </c>
    </row>
    <row r="1092">
      <c r="A1092" s="5" t="n">
        <v>371</v>
      </c>
      <c r="B1092" s="5" t="inlineStr">
        <is>
          <t>Recaudación de fondos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44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100</v>
      </c>
      <c r="K1092" s="5" t="n">
        <v>73.69</v>
      </c>
      <c r="L1092" s="28">
        <f>IFERROR(IF(OR(J1092=0,K1092=""),"",IF(E1092="Positivo",MIN(MAX(K1092/J1092,0),1.3),MIN(MAX(J1092/K1092,0),1.3))),"") </f>
        <v/>
      </c>
      <c r="M1092" s="28">
        <f>IFERROR(IF(OR(J1092=0,K1092=""),"",IF(E1092="Positivo",MAX(K1092/J1092,0),MAX(J1092/K1092,0))),"") </f>
        <v/>
      </c>
      <c r="N1092" s="5" t="inlineStr">
        <is>
          <t>$</t>
        </is>
      </c>
      <c r="O1092" s="5" t="inlineStr">
        <is>
          <t>$</t>
        </is>
      </c>
      <c r="P1092" s="5" t="n">
        <v>0</v>
      </c>
      <c r="Q1092" s="5" t="n">
        <v>0</v>
      </c>
      <c r="R1092" s="5" t="inlineStr">
        <is>
          <t>371-2025-06-30</t>
        </is>
      </c>
    </row>
    <row r="1093">
      <c r="A1093" s="5" t="n">
        <v>371</v>
      </c>
      <c r="B1093" s="5" t="inlineStr">
        <is>
          <t>Recaudación de fondos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144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100</v>
      </c>
      <c r="K1093" s="5" t="n">
        <v>83.42</v>
      </c>
      <c r="L1093" s="28">
        <f>IFERROR(IF(OR(J1093=0,K1093=""),"",IF(E1093="Positivo",MIN(MAX(K1093/J1093,0),1.3),MIN(MAX(J1093/K1093,0),1.3))),"") </f>
        <v/>
      </c>
      <c r="M1093" s="28">
        <f>IFERROR(IF(OR(J1093=0,K1093=""),"",IF(E1093="Positivo",MAX(K1093/J1093,0),MAX(J1093/K1093,0))),"") </f>
        <v/>
      </c>
      <c r="N1093" s="5" t="inlineStr">
        <is>
          <t>$</t>
        </is>
      </c>
      <c r="O1093" s="5" t="inlineStr">
        <is>
          <t>$</t>
        </is>
      </c>
      <c r="P1093" s="5" t="n">
        <v>0</v>
      </c>
      <c r="Q1093" s="5" t="n">
        <v>0</v>
      </c>
      <c r="R1093" s="5" t="inlineStr">
        <is>
          <t>371-2025-12-31</t>
        </is>
      </c>
    </row>
    <row r="1094">
      <c r="A1094" s="5" t="n">
        <v>372</v>
      </c>
      <c r="B1094" s="5" t="inlineStr">
        <is>
          <t>Satisfacción de los clientes corporativos Educación para toda la vida</t>
        </is>
      </c>
      <c r="C1094" s="5" t="inlineStr">
        <is>
          <t>Operación de Educación no Formal</t>
        </is>
      </c>
      <c r="D1094" s="5" t="inlineStr">
        <is>
          <t>Trimestral</t>
        </is>
      </c>
      <c r="E1094" s="5" t="inlineStr">
        <is>
          <t>Positivo</t>
        </is>
      </c>
      <c r="F1094" s="144" t="n">
        <v>45199</v>
      </c>
      <c r="G1094" s="5" t="n">
        <v>2023</v>
      </c>
      <c r="H1094" s="5" t="inlineStr">
        <is>
          <t>Septiembre</t>
        </is>
      </c>
      <c r="I1094" s="6" t="inlineStr">
        <is>
          <t>2023-2</t>
        </is>
      </c>
      <c r="J1094" s="5" t="n">
        <v>87</v>
      </c>
      <c r="K1094" s="5" t="n">
        <v>95.5</v>
      </c>
      <c r="L1094" s="28">
        <f>IFERROR(IF(OR(J1094=0,K1094=""),"",IF(E1094="Positivo",MIN(MAX(K1094/J1094,0),1.3),MIN(MAX(J1094/K1094,0),1.3))),"") </f>
        <v/>
      </c>
      <c r="M1094" s="28">
        <f>IFERROR(IF(OR(J1094=0,K1094=""),"",IF(E1094="Positivo",MAX(K1094/J1094,0),MAX(J1094/K1094,0))),"") </f>
        <v/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372-2023-09-30</t>
        </is>
      </c>
    </row>
    <row r="1095">
      <c r="A1095" s="5" t="n">
        <v>372</v>
      </c>
      <c r="B1095" s="5" t="inlineStr">
        <is>
          <t>Satisfacción de los clientes corporativos Educación para toda la vida</t>
        </is>
      </c>
      <c r="C1095" s="5" t="inlineStr">
        <is>
          <t>Operación de Educación no Formal</t>
        </is>
      </c>
      <c r="D1095" s="5" t="inlineStr">
        <is>
          <t>Trimestral</t>
        </is>
      </c>
      <c r="E1095" s="5" t="inlineStr">
        <is>
          <t>Positivo</t>
        </is>
      </c>
      <c r="F1095" s="144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87</v>
      </c>
      <c r="K1095" s="5" t="n">
        <v>95.5</v>
      </c>
      <c r="L1095" s="28">
        <f>IFERROR(IF(OR(J1095=0,K1095=""),"",IF(E1095="Positivo",MIN(MAX(K1095/J1095,0),1.3),MIN(MAX(J1095/K1095,0),1.3))),"") </f>
        <v/>
      </c>
      <c r="M1095" s="28">
        <f>IFERROR(IF(OR(J1095=0,K1095=""),"",IF(E1095="Positivo",MAX(K1095/J1095,0),MAX(J1095/K1095,0))),"") </f>
        <v/>
      </c>
      <c r="N1095" s="5" t="inlineStr">
        <is>
          <t>%</t>
        </is>
      </c>
      <c r="O1095" s="5" t="inlineStr">
        <is>
          <t>%</t>
        </is>
      </c>
      <c r="P1095" s="5" t="n">
        <v>0</v>
      </c>
      <c r="Q1095" s="5" t="n">
        <v>0</v>
      </c>
      <c r="R1095" s="5" t="inlineStr">
        <is>
          <t>372-2023-12-31</t>
        </is>
      </c>
    </row>
    <row r="1096">
      <c r="A1096" s="5" t="n">
        <v>372</v>
      </c>
      <c r="B1096" s="5" t="inlineStr">
        <is>
          <t>Satisfacción de los clientes corporativos Educación para toda la vida</t>
        </is>
      </c>
      <c r="C1096" s="5" t="inlineStr">
        <is>
          <t>Operación de Educación no Formal</t>
        </is>
      </c>
      <c r="D1096" s="5" t="inlineStr">
        <is>
          <t>Trimestral</t>
        </is>
      </c>
      <c r="E1096" s="5" t="inlineStr">
        <is>
          <t>Positivo</t>
        </is>
      </c>
      <c r="F1096" s="144" t="n">
        <v>45473</v>
      </c>
      <c r="G1096" s="5" t="n">
        <v>2024</v>
      </c>
      <c r="H1096" s="5" t="inlineStr">
        <is>
          <t>Junio</t>
        </is>
      </c>
      <c r="I1096" s="6" t="inlineStr">
        <is>
          <t>2024-1</t>
        </is>
      </c>
      <c r="J1096" s="5" t="n">
        <v>87</v>
      </c>
      <c r="K1096" s="5" t="n">
        <v>91.5</v>
      </c>
      <c r="L1096" s="28">
        <f>IFERROR(IF(OR(J1096=0,K1096=""),"",IF(E1096="Positivo",MIN(MAX(K1096/J1096,0),1.3),MIN(MAX(J1096/K1096,0),1.3))),"") </f>
        <v/>
      </c>
      <c r="M1096" s="28">
        <f>IFERROR(IF(OR(J1096=0,K1096=""),"",IF(E1096="Positivo",MAX(K1096/J1096,0),MAX(J1096/K1096,0))),"") </f>
        <v/>
      </c>
      <c r="N1096" s="5" t="inlineStr">
        <is>
          <t>%</t>
        </is>
      </c>
      <c r="O1096" s="5" t="inlineStr">
        <is>
          <t>%</t>
        </is>
      </c>
      <c r="P1096" s="5" t="n">
        <v>0</v>
      </c>
      <c r="Q1096" s="5" t="n">
        <v>0</v>
      </c>
      <c r="R1096" s="5" t="inlineStr">
        <is>
          <t>372-2024-06-30</t>
        </is>
      </c>
    </row>
    <row r="1097">
      <c r="A1097" s="5" t="n">
        <v>372</v>
      </c>
      <c r="B1097" s="5" t="inlineStr">
        <is>
          <t>Satisfacción de los clientes corporativos Educación para toda la vida</t>
        </is>
      </c>
      <c r="C1097" s="5" t="inlineStr">
        <is>
          <t>Operación de Educación no Formal</t>
        </is>
      </c>
      <c r="D1097" s="5" t="inlineStr">
        <is>
          <t>Trimestral</t>
        </is>
      </c>
      <c r="E1097" s="5" t="inlineStr">
        <is>
          <t>Positivo</t>
        </is>
      </c>
      <c r="F1097" s="144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87</v>
      </c>
      <c r="K1097" s="5" t="n">
        <v>92</v>
      </c>
      <c r="L1097" s="28">
        <f>IFERROR(IF(OR(J1097=0,K1097=""),"",IF(E1097="Positivo",MIN(MAX(K1097/J1097,0),1.3),MIN(MAX(J1097/K1097,0),1.3))),"") </f>
        <v/>
      </c>
      <c r="M1097" s="28">
        <f>IFERROR(IF(OR(J1097=0,K1097=""),"",IF(E1097="Positivo",MAX(K1097/J1097,0),MAX(J1097/K1097,0))),"") </f>
        <v/>
      </c>
      <c r="N1097" s="5" t="inlineStr">
        <is>
          <t>%</t>
        </is>
      </c>
      <c r="O1097" s="5" t="inlineStr">
        <is>
          <t>%</t>
        </is>
      </c>
      <c r="P1097" s="5" t="n">
        <v>0</v>
      </c>
      <c r="Q1097" s="5" t="n">
        <v>0</v>
      </c>
      <c r="R1097" s="5" t="inlineStr">
        <is>
          <t>372-2024-12-31</t>
        </is>
      </c>
    </row>
    <row r="1098">
      <c r="A1098" s="5" t="n">
        <v>372</v>
      </c>
      <c r="B1098" s="5" t="inlineStr">
        <is>
          <t>Satisfacción de los clientes corporativos Educación para toda la vida</t>
        </is>
      </c>
      <c r="C1098" s="5" t="inlineStr">
        <is>
          <t>Operación de Educación no Formal</t>
        </is>
      </c>
      <c r="D1098" s="5" t="inlineStr">
        <is>
          <t>Trimestral</t>
        </is>
      </c>
      <c r="E1098" s="5" t="inlineStr">
        <is>
          <t>Positivo</t>
        </is>
      </c>
      <c r="F1098" s="144" t="n">
        <v>45838</v>
      </c>
      <c r="G1098" s="5" t="n">
        <v>2025</v>
      </c>
      <c r="H1098" s="5" t="inlineStr">
        <is>
          <t>Junio</t>
        </is>
      </c>
      <c r="I1098" s="6" t="inlineStr">
        <is>
          <t>2025-1</t>
        </is>
      </c>
      <c r="J1098" s="5" t="n">
        <v>90</v>
      </c>
      <c r="K1098" s="5" t="n">
        <v>94</v>
      </c>
      <c r="L1098" s="28">
        <f>IFERROR(IF(OR(J1098=0,K1098=""),"",IF(E1098="Positivo",MIN(MAX(K1098/J1098,0),1.3),MIN(MAX(J1098/K1098,0),1.3))),"") </f>
        <v/>
      </c>
      <c r="M1098" s="28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0</v>
      </c>
      <c r="R1098" s="5" t="inlineStr">
        <is>
          <t>372-2025-06-30</t>
        </is>
      </c>
    </row>
    <row r="1099">
      <c r="A1099" s="5" t="n">
        <v>372</v>
      </c>
      <c r="B1099" s="5" t="inlineStr">
        <is>
          <t>Satisfacción de los clientes corporativos Educación para toda la vida</t>
        </is>
      </c>
      <c r="C1099" s="5" t="inlineStr">
        <is>
          <t>Operación de nuevos negocios y CI</t>
        </is>
      </c>
      <c r="D1099" s="5" t="inlineStr">
        <is>
          <t>Semestral</t>
        </is>
      </c>
      <c r="E1099" s="5" t="inlineStr">
        <is>
          <t>Positivo</t>
        </is>
      </c>
      <c r="F1099" s="144" t="n">
        <v>46022</v>
      </c>
      <c r="G1099" s="5" t="n">
        <v>2025</v>
      </c>
      <c r="H1099" s="5" t="inlineStr">
        <is>
          <t>Diciembre</t>
        </is>
      </c>
      <c r="I1099" s="6" t="inlineStr">
        <is>
          <t>2025-2</t>
        </is>
      </c>
      <c r="J1099" s="5" t="n">
        <v>90</v>
      </c>
      <c r="K1099" s="5" t="n">
        <v>97</v>
      </c>
      <c r="L1099" s="28">
        <f>IFERROR(IF(OR(J1099=0,K1099=""),"",IF(E1099="Positivo",MIN(MAX(K1099/J1099,0),1.3),MIN(MAX(J1099/K1099,0),1.3))),"") </f>
        <v/>
      </c>
      <c r="M1099" s="28">
        <f>IFERROR(IF(OR(J1099=0,K1099=""),"",IF(E1099="Positivo",MAX(K1099/J1099,0),MAX(J1099/K1099,0))),"") </f>
        <v/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372-2025-12-31</t>
        </is>
      </c>
    </row>
    <row r="1100">
      <c r="A1100" s="5" t="n">
        <v>373</v>
      </c>
      <c r="B1100" s="5" t="inlineStr">
        <is>
          <t>Cumplimiento de planes anuales por líneas</t>
        </is>
      </c>
      <c r="C1100" s="5" t="inlineStr">
        <is>
          <t>Planeación Estratégica</t>
        </is>
      </c>
      <c r="D1100" s="5" t="inlineStr">
        <is>
          <t>Trimestral</t>
        </is>
      </c>
      <c r="E1100" s="5" t="inlineStr">
        <is>
          <t>Positivo</t>
        </is>
      </c>
      <c r="F1100" s="144" t="n">
        <v>45016</v>
      </c>
      <c r="G1100" s="5" t="n">
        <v>2023</v>
      </c>
      <c r="H1100" s="5" t="inlineStr">
        <is>
          <t>Marzo</t>
        </is>
      </c>
      <c r="I1100" s="6" t="inlineStr">
        <is>
          <t>2023-1</t>
        </is>
      </c>
      <c r="J1100" s="5" t="n">
        <v>100</v>
      </c>
      <c r="K1100" s="5" t="n">
        <v>53.585833333335</v>
      </c>
      <c r="L1100" s="28">
        <f>IFERROR(IF(OR(J1100=0,K1100=""),"",IF(E1100="Positivo",MIN(MAX(K1100/J1100,0),1.0),MIN(MAX(J1100/K1100,0),1.0))),"") </f>
        <v/>
      </c>
      <c r="M1100" s="28">
        <f>IFERROR(IF(OR(J1100=0,K1100=""),"",IF(E1100="Positivo",MAX(K1100/J1100,0),MAX(J1100/K1100,0))),"") </f>
        <v/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373-2023-03-31</t>
        </is>
      </c>
    </row>
    <row r="1101">
      <c r="A1101" s="5" t="n">
        <v>373</v>
      </c>
      <c r="B1101" s="5" t="inlineStr">
        <is>
          <t>Cumplimiento de planes anuales por líneas</t>
        </is>
      </c>
      <c r="C1101" s="5" t="inlineStr">
        <is>
          <t>Planeación Estratégica</t>
        </is>
      </c>
      <c r="D1101" s="5" t="inlineStr">
        <is>
          <t>Trimestral</t>
        </is>
      </c>
      <c r="E1101" s="5" t="inlineStr">
        <is>
          <t>Positivo</t>
        </is>
      </c>
      <c r="F1101" s="144" t="n">
        <v>45107</v>
      </c>
      <c r="G1101" s="5" t="n">
        <v>2023</v>
      </c>
      <c r="H1101" s="5" t="inlineStr">
        <is>
          <t>Junio</t>
        </is>
      </c>
      <c r="I1101" s="6" t="inlineStr">
        <is>
          <t>2023-1</t>
        </is>
      </c>
      <c r="J1101" s="5" t="n">
        <v>100</v>
      </c>
      <c r="K1101" s="5" t="n">
        <v>53.585833333335</v>
      </c>
      <c r="L1101" s="28">
        <f>IFERROR(IF(OR(J1101=0,K1101=""),"",IF(E1101="Positivo",MIN(MAX(K1101/J1101,0),1.0),MIN(MAX(J1101/K1101,0),1.0))),"") </f>
        <v/>
      </c>
      <c r="M1101" s="28">
        <f>IFERROR(IF(OR(J1101=0,K1101=""),"",IF(E1101="Positivo",MAX(K1101/J1101,0),MAX(J1101/K1101,0))),"") </f>
        <v/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373-2023-06-30</t>
        </is>
      </c>
    </row>
    <row r="1102">
      <c r="A1102" s="5" t="n">
        <v>373</v>
      </c>
      <c r="B1102" s="5" t="inlineStr">
        <is>
          <t>Cumplimiento de planes anuales por líneas</t>
        </is>
      </c>
      <c r="C1102" s="5" t="inlineStr">
        <is>
          <t>Planeación Estratégica</t>
        </is>
      </c>
      <c r="D1102" s="5" t="inlineStr">
        <is>
          <t>Trimestral</t>
        </is>
      </c>
      <c r="E1102" s="5" t="inlineStr">
        <is>
          <t>Positivo</t>
        </is>
      </c>
      <c r="F1102" s="144" t="n">
        <v>45199</v>
      </c>
      <c r="G1102" s="5" t="n">
        <v>2023</v>
      </c>
      <c r="H1102" s="5" t="inlineStr">
        <is>
          <t>Septiembre</t>
        </is>
      </c>
      <c r="I1102" s="6" t="inlineStr">
        <is>
          <t>2023-2</t>
        </is>
      </c>
      <c r="J1102" s="5" t="n">
        <v>100</v>
      </c>
      <c r="K1102" s="5" t="n">
        <v>94.33750000000001</v>
      </c>
      <c r="L1102" s="28">
        <f>IFERROR(IF(OR(J1102=0,K1102=""),"",IF(E1102="Positivo",MIN(MAX(K1102/J1102,0),1.0),MIN(MAX(J1102/K1102,0),1.0))),"") </f>
        <v/>
      </c>
      <c r="M1102" s="28">
        <f>IFERROR(IF(OR(J1102=0,K1102=""),"",IF(E1102="Positivo",MAX(K1102/J1102,0),MAX(J1102/K1102,0))),"") </f>
        <v/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373-2023-09-30</t>
        </is>
      </c>
    </row>
    <row r="1103">
      <c r="A1103" s="5" t="n">
        <v>373</v>
      </c>
      <c r="B1103" s="5" t="inlineStr">
        <is>
          <t>Cumplimiento de planes anuales por líneas</t>
        </is>
      </c>
      <c r="C1103" s="5" t="inlineStr">
        <is>
          <t>Planeación Estratégica</t>
        </is>
      </c>
      <c r="D1103" s="5" t="inlineStr">
        <is>
          <t>Trimestral</t>
        </is>
      </c>
      <c r="E1103" s="5" t="inlineStr">
        <is>
          <t>Positivo</t>
        </is>
      </c>
      <c r="F1103" s="144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100</v>
      </c>
      <c r="K1103" s="5" t="n">
        <v>94.33750000000001</v>
      </c>
      <c r="L1103" s="28">
        <f>IFERROR(IF(OR(J1103=0,K1103=""),"",IF(E1103="Positivo",MIN(MAX(K1103/J1103,0),1.0),MIN(MAX(J1103/K1103,0),1.0))),"") </f>
        <v/>
      </c>
      <c r="M1103" s="28">
        <f>IFERROR(IF(OR(J1103=0,K1103=""),"",IF(E1103="Positivo",MAX(K1103/J1103,0),MAX(J1103/K1103,0))),"") </f>
        <v/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373-2023-12-31</t>
        </is>
      </c>
    </row>
    <row r="1104">
      <c r="A1104" s="5" t="n">
        <v>373</v>
      </c>
      <c r="B1104" s="5" t="inlineStr">
        <is>
          <t>Cumplimiento de planes anuales por líneas</t>
        </is>
      </c>
      <c r="C1104" s="5" t="inlineStr">
        <is>
          <t>Planeación Estratégica</t>
        </is>
      </c>
      <c r="D1104" s="5" t="inlineStr">
        <is>
          <t>Trimestral</t>
        </is>
      </c>
      <c r="E1104" s="5" t="inlineStr">
        <is>
          <t>Positivo</t>
        </is>
      </c>
      <c r="F1104" s="144" t="n">
        <v>45473</v>
      </c>
      <c r="G1104" s="5" t="n">
        <v>2024</v>
      </c>
      <c r="H1104" s="5" t="inlineStr">
        <is>
          <t>Junio</t>
        </is>
      </c>
      <c r="I1104" s="6" t="inlineStr">
        <is>
          <t>2024-1</t>
        </is>
      </c>
      <c r="J1104" s="5" t="n">
        <v>100</v>
      </c>
      <c r="K1104" s="5" t="n">
        <v>97.91</v>
      </c>
      <c r="L1104" s="28">
        <f>IFERROR(IF(OR(J1104=0,K1104=""),"",IF(E1104="Positivo",MIN(MAX(K1104/J1104,0),1.0),MIN(MAX(J1104/K1104,0),1.0))),"") </f>
        <v/>
      </c>
      <c r="M1104" s="28">
        <f>IFERROR(IF(OR(J1104=0,K1104=""),"",IF(E1104="Positivo",MAX(K1104/J1104,0),MAX(J1104/K1104,0))),"") </f>
        <v/>
      </c>
      <c r="N1104" s="5" t="n"/>
      <c r="O1104" s="5" t="n"/>
      <c r="P1104" s="5" t="n">
        <v>0</v>
      </c>
      <c r="Q1104" s="5" t="n">
        <v>0</v>
      </c>
      <c r="R1104" s="5" t="inlineStr">
        <is>
          <t>373-2024-06-30</t>
        </is>
      </c>
    </row>
    <row r="1105">
      <c r="A1105" s="5" t="n">
        <v>373</v>
      </c>
      <c r="B1105" s="5" t="inlineStr">
        <is>
          <t>Cumplimiento de planes anuales por líneas</t>
        </is>
      </c>
      <c r="C1105" s="5" t="inlineStr">
        <is>
          <t>Planeación Estratégica</t>
        </is>
      </c>
      <c r="D1105" s="5" t="inlineStr">
        <is>
          <t>Trimestral</t>
        </is>
      </c>
      <c r="E1105" s="5" t="inlineStr">
        <is>
          <t>Positivo</t>
        </is>
      </c>
      <c r="F1105" s="144" t="n">
        <v>45657</v>
      </c>
      <c r="G1105" s="5" t="n">
        <v>2024</v>
      </c>
      <c r="H1105" s="5" t="inlineStr">
        <is>
          <t>Diciembre</t>
        </is>
      </c>
      <c r="I1105" s="6" t="inlineStr">
        <is>
          <t>2024-2</t>
        </is>
      </c>
      <c r="J1105" s="5" t="n">
        <v>100</v>
      </c>
      <c r="K1105" s="5" t="n">
        <v>99.14</v>
      </c>
      <c r="L1105" s="28">
        <f>IFERROR(IF(OR(J1105=0,K1105=""),"",IF(E1105="Positivo",MIN(MAX(K1105/J1105,0),1.0),MIN(MAX(J1105/K1105,0),1.0))),"") </f>
        <v/>
      </c>
      <c r="M1105" s="28">
        <f>IFERROR(IF(OR(J1105=0,K1105=""),"",IF(E1105="Positivo",MAX(K1105/J1105,0),MAX(J1105/K1105,0))),"") </f>
        <v/>
      </c>
      <c r="N1105" s="5" t="n"/>
      <c r="O1105" s="5" t="n"/>
      <c r="P1105" s="5" t="n">
        <v>0</v>
      </c>
      <c r="Q1105" s="5" t="n">
        <v>0</v>
      </c>
      <c r="R1105" s="5" t="inlineStr">
        <is>
          <t>373-2024-12-31</t>
        </is>
      </c>
    </row>
    <row r="1106">
      <c r="A1106" s="5" t="n">
        <v>373</v>
      </c>
      <c r="B1106" s="5" t="inlineStr">
        <is>
          <t>Cumplimiento de planes anuales por líneas</t>
        </is>
      </c>
      <c r="C1106" s="5" t="inlineStr">
        <is>
          <t>Planeación Estratégica</t>
        </is>
      </c>
      <c r="D1106" s="5" t="inlineStr">
        <is>
          <t>Semestral</t>
        </is>
      </c>
      <c r="E1106" s="5" t="inlineStr">
        <is>
          <t>Positivo</t>
        </is>
      </c>
      <c r="F1106" s="144" t="n">
        <v>45838</v>
      </c>
      <c r="G1106" s="5" t="n">
        <v>2025</v>
      </c>
      <c r="H1106" s="5" t="inlineStr">
        <is>
          <t>Junio</t>
        </is>
      </c>
      <c r="I1106" s="6" t="inlineStr">
        <is>
          <t>2025-1</t>
        </is>
      </c>
      <c r="J1106" s="5" t="n">
        <v>100</v>
      </c>
      <c r="K1106" s="5" t="n">
        <v>104.605</v>
      </c>
      <c r="L1106" s="28">
        <f>IFERROR(IF(OR(J1106=0,K1106=""),"",IF(E1106="Positivo",MIN(MAX(K1106/J1106,0),1.0),MIN(MAX(J1106/K1106,0),1.0))),"") </f>
        <v/>
      </c>
      <c r="M1106" s="28">
        <f>IFERROR(IF(OR(J1106=0,K1106=""),"",IF(E1106="Positivo",MAX(K1106/J1106,0),MAX(J1106/K1106,0))),"") </f>
        <v/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373-2025-06-30</t>
        </is>
      </c>
    </row>
    <row r="1107">
      <c r="A1107" s="5" t="n">
        <v>373</v>
      </c>
      <c r="B1107" s="5" t="inlineStr">
        <is>
          <t>Cumplimiento de planes anuales por líneas</t>
        </is>
      </c>
      <c r="C1107" s="5" t="inlineStr">
        <is>
          <t>Planeación Estratégica</t>
        </is>
      </c>
      <c r="D1107" s="5" t="inlineStr">
        <is>
          <t>Semestral</t>
        </is>
      </c>
      <c r="E1107" s="5" t="inlineStr">
        <is>
          <t>Positivo</t>
        </is>
      </c>
      <c r="F1107" s="144" t="n">
        <v>46022</v>
      </c>
      <c r="G1107" s="5" t="n">
        <v>2025</v>
      </c>
      <c r="H1107" s="5" t="inlineStr">
        <is>
          <t>Diciembre</t>
        </is>
      </c>
      <c r="I1107" s="6" t="inlineStr">
        <is>
          <t>2025-2</t>
        </is>
      </c>
      <c r="J1107" s="5" t="n">
        <v>100</v>
      </c>
      <c r="K1107" s="5" t="n">
        <v>97.82499999999999</v>
      </c>
      <c r="L1107" s="28">
        <f>IFERROR(IF(OR(J1107=0,K1107=""),"",IF(E1107="Positivo",MIN(MAX(K1107/J1107,0),1.0),MIN(MAX(J1107/K1107,0),1.0))),"") </f>
        <v/>
      </c>
      <c r="M1107" s="28">
        <f>IFERROR(IF(OR(J1107=0,K1107=""),"",IF(E1107="Positivo",MAX(K1107/J1107,0),MAX(J1107/K1107,0))),"") </f>
        <v/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373-2025-12-31</t>
        </is>
      </c>
    </row>
    <row r="1108">
      <c r="A1108" s="5" t="n">
        <v>374</v>
      </c>
      <c r="B1108" s="5" t="inlineStr">
        <is>
          <t>Disponibilidad de máster modalidad virtual</t>
        </is>
      </c>
      <c r="C1108" s="5" t="inlineStr">
        <is>
          <t>Operaciones Académica pregrado y posgrado virtual</t>
        </is>
      </c>
      <c r="D1108" s="5" t="inlineStr">
        <is>
          <t>Semestral</t>
        </is>
      </c>
      <c r="E1108" s="5" t="inlineStr">
        <is>
          <t>Positivo</t>
        </is>
      </c>
      <c r="F1108" s="144" t="n">
        <v>45291</v>
      </c>
      <c r="G1108" s="5" t="n">
        <v>2023</v>
      </c>
      <c r="H1108" s="5" t="inlineStr">
        <is>
          <t>Diciembre</t>
        </is>
      </c>
      <c r="I1108" s="6" t="inlineStr">
        <is>
          <t>2023-2</t>
        </is>
      </c>
      <c r="J1108" s="5" t="n">
        <v>100</v>
      </c>
      <c r="K1108" s="5" t="n">
        <v>100</v>
      </c>
      <c r="L1108" s="28">
        <f>IFERROR(IF(OR(J1108=0,K1108=""),"",IF(E1108="Positivo",MIN(MAX(K1108/J1108,0),1.3),MIN(MAX(J1108/K1108,0),1.3))),"") </f>
        <v/>
      </c>
      <c r="M1108" s="28">
        <f>IFERROR(IF(OR(J1108=0,K1108=""),"",IF(E1108="Positivo",MAX(K1108/J1108,0),MAX(J1108/K1108,0))),"") </f>
        <v/>
      </c>
      <c r="N1108" s="5" t="n"/>
      <c r="O1108" s="5" t="n"/>
      <c r="P1108" s="5" t="n">
        <v>0</v>
      </c>
      <c r="Q1108" s="5" t="n">
        <v>0</v>
      </c>
      <c r="R1108" s="5" t="inlineStr">
        <is>
          <t>374-2023-12-31</t>
        </is>
      </c>
    </row>
    <row r="1109">
      <c r="A1109" s="5" t="n">
        <v>375</v>
      </c>
      <c r="B1109" s="5" t="inlineStr">
        <is>
          <t>Disponibilidad de catálogo de asignaturas pregrado y posgrado presencial</t>
        </is>
      </c>
      <c r="C1109" s="5" t="inlineStr">
        <is>
          <t>Operaciones Académicas</t>
        </is>
      </c>
      <c r="D1109" s="5" t="inlineStr">
        <is>
          <t>Trimestral</t>
        </is>
      </c>
      <c r="E1109" s="5" t="inlineStr">
        <is>
          <t>Positivo</t>
        </is>
      </c>
      <c r="F1109" s="144" t="n">
        <v>45107</v>
      </c>
      <c r="G1109" s="5" t="n">
        <v>2023</v>
      </c>
      <c r="H1109" s="5" t="inlineStr">
        <is>
          <t>Junio</t>
        </is>
      </c>
      <c r="I1109" s="6" t="inlineStr">
        <is>
          <t>2023-1</t>
        </is>
      </c>
      <c r="J1109" s="5" t="n">
        <v>100</v>
      </c>
      <c r="K1109" s="5" t="n">
        <v>0</v>
      </c>
      <c r="L1109" s="28">
        <f>IFERROR(IF(OR(J1109=0,K1109=""),"",IF(E1109="Positivo",MIN(MAX(K1109/J1109,0),1.3),MIN(MAX(J1109/K1109,0),1.3))),"") </f>
        <v/>
      </c>
      <c r="M1109" s="28">
        <f>IFERROR(IF(OR(J1109=0,K1109=""),"",IF(E1109="Positivo",MAX(K1109/J1109,0),MAX(J1109/K1109,0))),"") </f>
        <v/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375-2023-06-30</t>
        </is>
      </c>
    </row>
    <row r="1110">
      <c r="A1110" s="5" t="n">
        <v>375</v>
      </c>
      <c r="B1110" s="5" t="inlineStr">
        <is>
          <t>Disponibilidad de catálogo de asignaturas pregrado y posgrado presencial</t>
        </is>
      </c>
      <c r="C1110" s="5" t="inlineStr">
        <is>
          <t>Operaciones Académica pregrado y posgrado presencial.</t>
        </is>
      </c>
      <c r="D1110" s="5" t="inlineStr">
        <is>
          <t>Semestral</t>
        </is>
      </c>
      <c r="E1110" s="5" t="inlineStr">
        <is>
          <t>Positivo</t>
        </is>
      </c>
      <c r="F1110" s="144" t="n">
        <v>45291</v>
      </c>
      <c r="G1110" s="5" t="n">
        <v>2023</v>
      </c>
      <c r="H1110" s="5" t="inlineStr">
        <is>
          <t>Diciembre</t>
        </is>
      </c>
      <c r="I1110" s="6" t="inlineStr">
        <is>
          <t>2023-2</t>
        </is>
      </c>
      <c r="J1110" s="5" t="n">
        <v>100</v>
      </c>
      <c r="K1110" s="5" t="n">
        <v>100</v>
      </c>
      <c r="L1110" s="28">
        <f>IFERROR(IF(OR(J1110=0,K1110=""),"",IF(E1110="Positivo",MIN(MAX(K1110/J1110,0),1.3),MIN(MAX(J1110/K1110,0),1.3))),"") </f>
        <v/>
      </c>
      <c r="M1110" s="28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375-2023-12-31</t>
        </is>
      </c>
    </row>
    <row r="1111">
      <c r="A1111" s="5" t="n">
        <v>375</v>
      </c>
      <c r="B1111" s="5" t="inlineStr">
        <is>
          <t>Disponibilidad de catálogo de asignaturas pregrado y posgrado presencial</t>
        </is>
      </c>
      <c r="C1111" s="5" t="inlineStr">
        <is>
          <t>Operaciones Académicas</t>
        </is>
      </c>
      <c r="D1111" s="5" t="inlineStr">
        <is>
          <t>Semestral</t>
        </is>
      </c>
      <c r="E1111" s="5" t="inlineStr">
        <is>
          <t>Positivo</t>
        </is>
      </c>
      <c r="F1111" s="144" t="n">
        <v>45473</v>
      </c>
      <c r="G1111" s="5" t="n">
        <v>2024</v>
      </c>
      <c r="H1111" s="5" t="inlineStr">
        <is>
          <t>Junio</t>
        </is>
      </c>
      <c r="I1111" s="6" t="inlineStr">
        <is>
          <t>2024-1</t>
        </is>
      </c>
      <c r="J1111" s="5" t="n">
        <v>100</v>
      </c>
      <c r="K1111" s="5" t="n">
        <v>100</v>
      </c>
      <c r="L1111" s="28">
        <f>IFERROR(IF(OR(J1111=0,K1111=""),"",IF(E1111="Positivo",MIN(MAX(K1111/J1111,0),1.3),MIN(MAX(J1111/K1111,0),1.3))),"") </f>
        <v/>
      </c>
      <c r="M1111" s="28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375-2024-06-30</t>
        </is>
      </c>
    </row>
    <row r="1112">
      <c r="A1112" s="5" t="n">
        <v>375</v>
      </c>
      <c r="B1112" s="5" t="inlineStr">
        <is>
          <t>Disponibilidad de catálogo de asignaturas pregrado y posgrado presencial</t>
        </is>
      </c>
      <c r="C1112" s="5" t="inlineStr">
        <is>
          <t>Operaciones Académicas</t>
        </is>
      </c>
      <c r="D1112" s="5" t="inlineStr">
        <is>
          <t>Semestral</t>
        </is>
      </c>
      <c r="E1112" s="5" t="inlineStr">
        <is>
          <t>Positivo</t>
        </is>
      </c>
      <c r="F1112" s="144" t="n">
        <v>45657</v>
      </c>
      <c r="G1112" s="5" t="n">
        <v>2024</v>
      </c>
      <c r="H1112" s="5" t="inlineStr">
        <is>
          <t>Diciembre</t>
        </is>
      </c>
      <c r="I1112" s="6" t="inlineStr">
        <is>
          <t>2024-2</t>
        </is>
      </c>
      <c r="J1112" s="5" t="n">
        <v>100</v>
      </c>
      <c r="K1112" s="5" t="n">
        <v>100</v>
      </c>
      <c r="L1112" s="28">
        <f>IFERROR(IF(OR(J1112=0,K1112=""),"",IF(E1112="Positivo",MIN(MAX(K1112/J1112,0),1.3),MIN(MAX(J1112/K1112,0),1.3))),"") </f>
        <v/>
      </c>
      <c r="M1112" s="28">
        <f>IFERROR(IF(OR(J1112=0,K1112=""),"",IF(E1112="Positivo",MAX(K1112/J1112,0),MAX(J1112/K1112,0))),"") </f>
        <v/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375-2024-12-31</t>
        </is>
      </c>
    </row>
    <row r="1113">
      <c r="A1113" s="5" t="n">
        <v>375</v>
      </c>
      <c r="B1113" s="5" t="inlineStr">
        <is>
          <t>Disponibilidad de catálogo de asignaturas pregrado y posgrado presencial</t>
        </is>
      </c>
      <c r="C1113" s="5" t="inlineStr">
        <is>
          <t>Operaciones Académicas</t>
        </is>
      </c>
      <c r="D1113" s="5" t="inlineStr">
        <is>
          <t>Semestral</t>
        </is>
      </c>
      <c r="E1113" s="5" t="inlineStr">
        <is>
          <t>Positivo</t>
        </is>
      </c>
      <c r="F1113" s="144" t="n">
        <v>45838</v>
      </c>
      <c r="G1113" s="5" t="n">
        <v>2025</v>
      </c>
      <c r="H1113" s="5" t="inlineStr">
        <is>
          <t>Junio</t>
        </is>
      </c>
      <c r="I1113" s="6" t="inlineStr">
        <is>
          <t>2025-1</t>
        </is>
      </c>
      <c r="J1113" s="5" t="n">
        <v>100</v>
      </c>
      <c r="K1113" s="5" t="n">
        <v>100</v>
      </c>
      <c r="L1113" s="28">
        <f>IFERROR(IF(OR(J1113=0,K1113=""),"",IF(E1113="Positivo",MIN(MAX(K1113/J1113,0),1.3),MIN(MAX(J1113/K1113,0),1.3))),"") </f>
        <v/>
      </c>
      <c r="M1113" s="28">
        <f>IFERROR(IF(OR(J1113=0,K1113=""),"",IF(E1113="Positivo",MAX(K1113/J1113,0),MAX(J1113/K1113,0))),"") </f>
        <v/>
      </c>
      <c r="N1113" s="5" t="inlineStr">
        <is>
          <t>%</t>
        </is>
      </c>
      <c r="O1113" s="5" t="inlineStr">
        <is>
          <t>%</t>
        </is>
      </c>
      <c r="P1113" s="5" t="n">
        <v>0</v>
      </c>
      <c r="Q1113" s="5" t="n">
        <v>0</v>
      </c>
      <c r="R1113" s="5" t="inlineStr">
        <is>
          <t>375-2025-06-30</t>
        </is>
      </c>
    </row>
    <row r="1114">
      <c r="A1114" s="5" t="n">
        <v>375</v>
      </c>
      <c r="B1114" s="5" t="inlineStr">
        <is>
          <t>Disponibilidad de catálogo de asignaturas pregrado y posgrado presencial</t>
        </is>
      </c>
      <c r="C1114" s="5" t="inlineStr">
        <is>
          <t>Operaciones Académicas</t>
        </is>
      </c>
      <c r="D1114" s="5" t="inlineStr">
        <is>
          <t>Trimestral</t>
        </is>
      </c>
      <c r="E1114" s="5" t="inlineStr">
        <is>
          <t>Positivo</t>
        </is>
      </c>
      <c r="F1114" s="144" t="n">
        <v>46022</v>
      </c>
      <c r="G1114" s="5" t="n">
        <v>2025</v>
      </c>
      <c r="H1114" s="5" t="inlineStr">
        <is>
          <t>Diciembre</t>
        </is>
      </c>
      <c r="I1114" s="6" t="inlineStr">
        <is>
          <t>2025-2</t>
        </is>
      </c>
      <c r="J1114" s="5" t="n">
        <v>100</v>
      </c>
      <c r="K1114" s="5" t="n">
        <v>100</v>
      </c>
      <c r="L1114" s="28">
        <f>IFERROR(IF(OR(J1114=0,K1114=""),"",IF(E1114="Positivo",MIN(MAX(K1114/J1114,0),1.3),MIN(MAX(J1114/K1114,0),1.3))),"") </f>
        <v/>
      </c>
      <c r="M1114" s="28">
        <f>IFERROR(IF(OR(J1114=0,K1114=""),"",IF(E1114="Positivo",MAX(K1114/J1114,0),MAX(J1114/K1114,0))),"") </f>
        <v/>
      </c>
      <c r="N1114" s="5" t="inlineStr">
        <is>
          <t>%</t>
        </is>
      </c>
      <c r="O1114" s="5" t="inlineStr">
        <is>
          <t>%</t>
        </is>
      </c>
      <c r="P1114" s="5" t="n">
        <v>0</v>
      </c>
      <c r="Q1114" s="5" t="n">
        <v>0</v>
      </c>
      <c r="R1114" s="5" t="inlineStr">
        <is>
          <t>375-2025-12-31</t>
        </is>
      </c>
    </row>
    <row r="1115">
      <c r="A1115" s="5" t="n">
        <v>376</v>
      </c>
      <c r="B1115" s="5" t="inlineStr">
        <is>
          <t>Cumplimiento EBIDTA</t>
        </is>
      </c>
      <c r="C1115" s="5" t="inlineStr">
        <is>
          <t>Planeación Financiera</t>
        </is>
      </c>
      <c r="D1115" s="5" t="inlineStr">
        <is>
          <t>Semestral</t>
        </is>
      </c>
      <c r="E1115" s="5" t="inlineStr">
        <is>
          <t>Positivo</t>
        </is>
      </c>
      <c r="F1115" s="144" t="n">
        <v>45107</v>
      </c>
      <c r="G1115" s="5" t="n">
        <v>2023</v>
      </c>
      <c r="H1115" s="5" t="inlineStr">
        <is>
          <t>Junio</t>
        </is>
      </c>
      <c r="I1115" s="6" t="inlineStr">
        <is>
          <t>2023-1</t>
        </is>
      </c>
      <c r="J1115" s="5" t="n">
        <v>95</v>
      </c>
      <c r="K1115" s="5" t="n">
        <v>149.7223763395</v>
      </c>
      <c r="L1115" s="28">
        <f>IFERROR(IF(OR(J1115=0,K1115=""),"",IF(E1115="Positivo",MIN(MAX(K1115/J1115,0),1.3),MIN(MAX(J1115/K1115,0),1.3))),"") </f>
        <v/>
      </c>
      <c r="M1115" s="28">
        <f>IFERROR(IF(OR(J1115=0,K1115=""),"",IF(E1115="Positivo",MAX(K1115/J1115,0),MAX(J1115/K1115,0))),"") </f>
        <v/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376-2023-06-30</t>
        </is>
      </c>
    </row>
    <row r="1116">
      <c r="A1116" s="5" t="n">
        <v>376</v>
      </c>
      <c r="B1116" s="5" t="inlineStr">
        <is>
          <t>Cumplimiento EBIDTA</t>
        </is>
      </c>
      <c r="C1116" s="5" t="inlineStr">
        <is>
          <t>Planeación Financiera</t>
        </is>
      </c>
      <c r="D1116" s="5" t="inlineStr">
        <is>
          <t>Semestral</t>
        </is>
      </c>
      <c r="E1116" s="5" t="inlineStr">
        <is>
          <t>Positivo</t>
        </is>
      </c>
      <c r="F1116" s="144" t="n">
        <v>45291</v>
      </c>
      <c r="G1116" s="5" t="n">
        <v>2023</v>
      </c>
      <c r="H1116" s="5" t="inlineStr">
        <is>
          <t>Diciembre</t>
        </is>
      </c>
      <c r="I1116" s="6" t="inlineStr">
        <is>
          <t>2023-2</t>
        </is>
      </c>
      <c r="J1116" s="5" t="n">
        <v>95</v>
      </c>
      <c r="K1116" s="5" t="n">
        <v>101.26</v>
      </c>
      <c r="L1116" s="28">
        <f>IFERROR(IF(OR(J1116=0,K1116=""),"",IF(E1116="Positivo",MIN(MAX(K1116/J1116,0),1.3),MIN(MAX(J1116/K1116,0),1.3))),"") </f>
        <v/>
      </c>
      <c r="M1116" s="28">
        <f>IFERROR(IF(OR(J1116=0,K1116=""),"",IF(E1116="Positivo",MAX(K1116/J1116,0),MAX(J1116/K1116,0))),"") </f>
        <v/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376-2023-12-31</t>
        </is>
      </c>
    </row>
    <row r="1117">
      <c r="A1117" s="5" t="n">
        <v>376</v>
      </c>
      <c r="B1117" s="5" t="inlineStr">
        <is>
          <t>Cumplimiento EBIDTA</t>
        </is>
      </c>
      <c r="C1117" s="5" t="inlineStr">
        <is>
          <t>Planeación Financiera</t>
        </is>
      </c>
      <c r="D1117" s="5" t="inlineStr">
        <is>
          <t>Semestral</t>
        </is>
      </c>
      <c r="E1117" s="5" t="inlineStr">
        <is>
          <t>Positivo</t>
        </is>
      </c>
      <c r="F1117" s="144" t="n">
        <v>45473</v>
      </c>
      <c r="G1117" s="5" t="n">
        <v>2024</v>
      </c>
      <c r="H1117" s="5" t="inlineStr">
        <is>
          <t>Junio</t>
        </is>
      </c>
      <c r="I1117" s="6" t="inlineStr">
        <is>
          <t>2024-1</t>
        </is>
      </c>
      <c r="J1117" s="5" t="n">
        <v>95</v>
      </c>
      <c r="K1117" s="5" t="n">
        <v>104</v>
      </c>
      <c r="L1117" s="28">
        <f>IFERROR(IF(OR(J1117=0,K1117=""),"",IF(E1117="Positivo",MIN(MAX(K1117/J1117,0),1.3),MIN(MAX(J1117/K1117,0),1.3))),"") </f>
        <v/>
      </c>
      <c r="M1117" s="28">
        <f>IFERROR(IF(OR(J1117=0,K1117=""),"",IF(E1117="Positivo",MAX(K1117/J1117,0),MAX(J1117/K1117,0))),"") </f>
        <v/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376-2024-06-30</t>
        </is>
      </c>
    </row>
    <row r="1118">
      <c r="A1118" s="5" t="n">
        <v>376</v>
      </c>
      <c r="B1118" s="5" t="inlineStr">
        <is>
          <t>Cumplimiento EBIDTA</t>
        </is>
      </c>
      <c r="C1118" s="5" t="inlineStr">
        <is>
          <t>Planeación Financiera</t>
        </is>
      </c>
      <c r="D1118" s="5" t="inlineStr">
        <is>
          <t>Semestral</t>
        </is>
      </c>
      <c r="E1118" s="5" t="inlineStr">
        <is>
          <t>Positivo</t>
        </is>
      </c>
      <c r="F1118" s="144" t="n">
        <v>45657</v>
      </c>
      <c r="G1118" s="5" t="n">
        <v>2024</v>
      </c>
      <c r="H1118" s="5" t="inlineStr">
        <is>
          <t>Diciembre</t>
        </is>
      </c>
      <c r="I1118" s="6" t="inlineStr">
        <is>
          <t>2024-2</t>
        </is>
      </c>
      <c r="J1118" s="5" t="n">
        <v>95</v>
      </c>
      <c r="K1118" s="5" t="n">
        <v>109.1</v>
      </c>
      <c r="L1118" s="28">
        <f>IFERROR(IF(OR(J1118=0,K1118=""),"",IF(E1118="Positivo",MIN(MAX(K1118/J1118,0),1.3),MIN(MAX(J1118/K1118,0),1.3))),"") </f>
        <v/>
      </c>
      <c r="M1118" s="28">
        <f>IFERROR(IF(OR(J1118=0,K1118=""),"",IF(E1118="Positivo",MAX(K1118/J1118,0),MAX(J1118/K1118,0))),"") </f>
        <v/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376-2024-12-31</t>
        </is>
      </c>
    </row>
    <row r="1119">
      <c r="A1119" s="5" t="n">
        <v>376</v>
      </c>
      <c r="B1119" s="5" t="inlineStr">
        <is>
          <t>Cumplimiento EBIDTA</t>
        </is>
      </c>
      <c r="C1119" s="5" t="inlineStr">
        <is>
          <t>Planeación Financiera</t>
        </is>
      </c>
      <c r="D1119" s="5" t="inlineStr">
        <is>
          <t>Semestral</t>
        </is>
      </c>
      <c r="E1119" s="5" t="inlineStr">
        <is>
          <t>Positivo</t>
        </is>
      </c>
      <c r="F1119" s="144" t="n">
        <v>45838</v>
      </c>
      <c r="G1119" s="5" t="n">
        <v>2025</v>
      </c>
      <c r="H1119" s="5" t="inlineStr">
        <is>
          <t>Junio</t>
        </is>
      </c>
      <c r="I1119" s="6" t="inlineStr">
        <is>
          <t>2025-1</t>
        </is>
      </c>
      <c r="J1119" s="5" t="n">
        <v>95</v>
      </c>
      <c r="K1119" s="5" t="n">
        <v>117.87</v>
      </c>
      <c r="L1119" s="28">
        <f>IFERROR(IF(OR(J1119=0,K1119=""),"",IF(E1119="Positivo",MIN(MAX(K1119/J1119,0),1.3),MIN(MAX(J1119/K1119,0),1.3))),"") </f>
        <v/>
      </c>
      <c r="M1119" s="28">
        <f>IFERROR(IF(OR(J1119=0,K1119=""),"",IF(E1119="Positivo",MAX(K1119/J1119,0),MAX(J1119/K1119,0))),"") </f>
        <v/>
      </c>
      <c r="N1119" s="5" t="inlineStr">
        <is>
          <t>$</t>
        </is>
      </c>
      <c r="O1119" s="5" t="inlineStr">
        <is>
          <t>$</t>
        </is>
      </c>
      <c r="P1119" s="5" t="n">
        <v>0</v>
      </c>
      <c r="Q1119" s="5" t="n">
        <v>0</v>
      </c>
      <c r="R1119" s="5" t="inlineStr">
        <is>
          <t>376-2025-06-30</t>
        </is>
      </c>
    </row>
    <row r="1120">
      <c r="A1120" s="5" t="n">
        <v>376</v>
      </c>
      <c r="B1120" s="5" t="inlineStr">
        <is>
          <t>Cumplimiento EBITDA</t>
        </is>
      </c>
      <c r="C1120" s="5" t="inlineStr">
        <is>
          <t>Planeación Financiera</t>
        </is>
      </c>
      <c r="D1120" s="5" t="inlineStr">
        <is>
          <t>Trimestral</t>
        </is>
      </c>
      <c r="E1120" s="5" t="inlineStr">
        <is>
          <t>Positivo</t>
        </is>
      </c>
      <c r="F1120" s="144" t="n">
        <v>46022</v>
      </c>
      <c r="G1120" s="5" t="n">
        <v>2025</v>
      </c>
      <c r="H1120" s="5" t="inlineStr">
        <is>
          <t>Diciembre</t>
        </is>
      </c>
      <c r="I1120" s="6" t="inlineStr">
        <is>
          <t>2025-2</t>
        </is>
      </c>
      <c r="J1120" s="5" t="n">
        <v>95</v>
      </c>
      <c r="K1120" s="5" t="n">
        <v>117.51</v>
      </c>
      <c r="L1120" s="28">
        <f>IFERROR(IF(OR(J1120=0,K1120=""),"",IF(E1120="Positivo",MIN(MAX(K1120/J1120,0),1.3),MIN(MAX(J1120/K1120,0),1.3))),"") </f>
        <v/>
      </c>
      <c r="M1120" s="28">
        <f>IFERROR(IF(OR(J1120=0,K1120=""),"",IF(E1120="Positivo",MAX(K1120/J1120,0),MAX(J1120/K1120,0))),"") </f>
        <v/>
      </c>
      <c r="N1120" s="5" t="inlineStr">
        <is>
          <t>$</t>
        </is>
      </c>
      <c r="O1120" s="5" t="inlineStr">
        <is>
          <t>$</t>
        </is>
      </c>
      <c r="P1120" s="5" t="n">
        <v>0</v>
      </c>
      <c r="Q1120" s="5" t="n">
        <v>0</v>
      </c>
      <c r="R1120" s="5" t="inlineStr">
        <is>
          <t>376-2025-12-31</t>
        </is>
      </c>
    </row>
    <row r="1121">
      <c r="A1121" s="5" t="n">
        <v>377</v>
      </c>
      <c r="B1121" s="5" t="inlineStr">
        <is>
          <t>CAPEX</t>
        </is>
      </c>
      <c r="C1121" s="5" t="inlineStr">
        <is>
          <t>Planeación Financiera</t>
        </is>
      </c>
      <c r="D1121" s="5" t="inlineStr">
        <is>
          <t>Semestral</t>
        </is>
      </c>
      <c r="E1121" s="5" t="inlineStr">
        <is>
          <t>Negativo</t>
        </is>
      </c>
      <c r="F1121" s="144" t="n">
        <v>45107</v>
      </c>
      <c r="G1121" s="5" t="n">
        <v>2023</v>
      </c>
      <c r="H1121" s="5" t="inlineStr">
        <is>
          <t>Junio</t>
        </is>
      </c>
      <c r="I1121" s="6" t="inlineStr">
        <is>
          <t>2023-1</t>
        </is>
      </c>
      <c r="J1121" s="5" t="n">
        <v>100</v>
      </c>
      <c r="K1121" s="5" t="n">
        <v>22.314798348502</v>
      </c>
      <c r="L1121" s="28">
        <f>IFERROR(IF(OR(J1121=0,K1121=""),"",IF(E1121="Positivo",MIN(MAX(K1121/J1121,0),1.3),MIN(MAX(J1121/K1121,0),1.3))),"") </f>
        <v/>
      </c>
      <c r="M1121" s="28">
        <f>IFERROR(IF(OR(J1121=0,K1121=""),"",IF(E1121="Positivo",MAX(K1121/J1121,0),MAX(J1121/K1121,0))),"") </f>
        <v/>
      </c>
      <c r="N1121" s="5" t="inlineStr">
        <is>
          <t>$</t>
        </is>
      </c>
      <c r="O1121" s="5" t="inlineStr">
        <is>
          <t>$</t>
        </is>
      </c>
      <c r="P1121" s="5" t="n">
        <v>0</v>
      </c>
      <c r="Q1121" s="5" t="n">
        <v>0</v>
      </c>
      <c r="R1121" s="5" t="inlineStr">
        <is>
          <t>377-2023-06-30</t>
        </is>
      </c>
    </row>
    <row r="1122">
      <c r="A1122" s="5" t="n">
        <v>377</v>
      </c>
      <c r="B1122" s="5" t="inlineStr">
        <is>
          <t>CAPEX</t>
        </is>
      </c>
      <c r="C1122" s="5" t="inlineStr">
        <is>
          <t>Planeación Financiera</t>
        </is>
      </c>
      <c r="D1122" s="5" t="inlineStr">
        <is>
          <t>Semestral</t>
        </is>
      </c>
      <c r="E1122" s="5" t="inlineStr">
        <is>
          <t>Negativo</t>
        </is>
      </c>
      <c r="F1122" s="144" t="n">
        <v>45291</v>
      </c>
      <c r="G1122" s="5" t="n">
        <v>2023</v>
      </c>
      <c r="H1122" s="5" t="inlineStr">
        <is>
          <t>Diciembre</t>
        </is>
      </c>
      <c r="I1122" s="6" t="inlineStr">
        <is>
          <t>2023-2</t>
        </is>
      </c>
      <c r="J1122" s="5" t="n">
        <v>100</v>
      </c>
      <c r="K1122" s="5" t="n">
        <v>60.77</v>
      </c>
      <c r="L1122" s="28">
        <f>IFERROR(IF(OR(J1122=0,K1122=""),"",IF(E1122="Positivo",MIN(MAX(K1122/J1122,0),1.3),MIN(MAX(J1122/K1122,0),1.3))),"") </f>
        <v/>
      </c>
      <c r="M1122" s="28">
        <f>IFERROR(IF(OR(J1122=0,K1122=""),"",IF(E1122="Positivo",MAX(K1122/J1122,0),MAX(J1122/K1122,0))),"") </f>
        <v/>
      </c>
      <c r="N1122" s="5" t="inlineStr">
        <is>
          <t>$</t>
        </is>
      </c>
      <c r="O1122" s="5" t="inlineStr">
        <is>
          <t>$</t>
        </is>
      </c>
      <c r="P1122" s="5" t="n">
        <v>0</v>
      </c>
      <c r="Q1122" s="5" t="n">
        <v>0</v>
      </c>
      <c r="R1122" s="5" t="inlineStr">
        <is>
          <t>377-2023-12-31</t>
        </is>
      </c>
    </row>
    <row r="1123">
      <c r="A1123" s="5" t="n">
        <v>377</v>
      </c>
      <c r="B1123" s="5" t="inlineStr">
        <is>
          <t>CAPEX</t>
        </is>
      </c>
      <c r="C1123" s="5" t="inlineStr">
        <is>
          <t>Planeación Financiera</t>
        </is>
      </c>
      <c r="D1123" s="5" t="inlineStr">
        <is>
          <t>Semestral</t>
        </is>
      </c>
      <c r="E1123" s="5" t="inlineStr">
        <is>
          <t>Negativo</t>
        </is>
      </c>
      <c r="F1123" s="144" t="n">
        <v>45473</v>
      </c>
      <c r="G1123" s="5" t="n">
        <v>2024</v>
      </c>
      <c r="H1123" s="5" t="inlineStr">
        <is>
          <t>Junio</t>
        </is>
      </c>
      <c r="I1123" s="6" t="inlineStr">
        <is>
          <t>2024-1</t>
        </is>
      </c>
      <c r="J1123" s="5" t="n">
        <v>100</v>
      </c>
      <c r="K1123" s="10" t="n">
        <v>48.24</v>
      </c>
      <c r="L1123" s="28">
        <f>IFERROR(IF(OR(J1123=0,K1123=""),"",IF(E1123="Positivo",MIN(MAX(K1123/J1123,0),1.3),MIN(MAX(J1123/K1123,0),1.3))),"") </f>
        <v/>
      </c>
      <c r="M1123" s="28">
        <f>IFERROR(IF(OR(J1123=0,K1123=""),"",IF(E1123="Positivo",MAX(K1123/J1123,0),MAX(J1123/K1123,0))),"") </f>
        <v/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377-2024-06-30</t>
        </is>
      </c>
    </row>
    <row r="1124">
      <c r="A1124" s="5" t="n">
        <v>377</v>
      </c>
      <c r="B1124" s="5" t="inlineStr">
        <is>
          <t>CAPEX</t>
        </is>
      </c>
      <c r="C1124" s="5" t="inlineStr">
        <is>
          <t>Planeación Financiera</t>
        </is>
      </c>
      <c r="D1124" s="5" t="inlineStr">
        <is>
          <t>Semestral</t>
        </is>
      </c>
      <c r="E1124" s="5" t="inlineStr">
        <is>
          <t>Negativo</t>
        </is>
      </c>
      <c r="F1124" s="144" t="n">
        <v>45657</v>
      </c>
      <c r="G1124" s="5" t="n">
        <v>2024</v>
      </c>
      <c r="H1124" s="5" t="inlineStr">
        <is>
          <t>Diciembre</t>
        </is>
      </c>
      <c r="I1124" s="6" t="inlineStr">
        <is>
          <t>2024-2</t>
        </is>
      </c>
      <c r="J1124" s="5" t="n">
        <v>100</v>
      </c>
      <c r="K1124" s="10" t="n">
        <v>125.01</v>
      </c>
      <c r="L1124" s="28">
        <f>IFERROR(IF(OR(J1124=0,K1124=""),"",IF(E1124="Positivo",MIN(MAX(K1124/J1124,0),1.3),MIN(MAX(J1124/K1124,0),1.3))),"") </f>
        <v/>
      </c>
      <c r="M1124" s="28">
        <f>IFERROR(IF(OR(J1124=0,K1124=""),"",IF(E1124="Positivo",MAX(K1124/J1124,0),MAX(J1124/K1124,0))),"") </f>
        <v/>
      </c>
      <c r="N1124" s="5" t="inlineStr">
        <is>
          <t>$</t>
        </is>
      </c>
      <c r="O1124" s="5" t="inlineStr">
        <is>
          <t>$</t>
        </is>
      </c>
      <c r="P1124" s="5" t="n">
        <v>0</v>
      </c>
      <c r="Q1124" s="5" t="n">
        <v>0</v>
      </c>
      <c r="R1124" s="5" t="inlineStr">
        <is>
          <t>377-2024-12-31</t>
        </is>
      </c>
    </row>
    <row r="1125">
      <c r="A1125" s="39" t="n">
        <v>377</v>
      </c>
      <c r="B1125" s="5" t="inlineStr">
        <is>
          <t>CAPEX</t>
        </is>
      </c>
      <c r="C1125" s="5" t="inlineStr">
        <is>
          <t>Planeación Financiera</t>
        </is>
      </c>
      <c r="D1125" s="5" t="inlineStr">
        <is>
          <t>Anual</t>
        </is>
      </c>
      <c r="E1125" s="5" t="inlineStr">
        <is>
          <t>Positivo</t>
        </is>
      </c>
      <c r="F1125" s="144" t="n">
        <v>46022</v>
      </c>
      <c r="G1125" s="16" t="n">
        <v>2025</v>
      </c>
      <c r="H1125" s="6" t="inlineStr">
        <is>
          <t>Diciembre</t>
        </is>
      </c>
      <c r="I1125" s="6" t="inlineStr">
        <is>
          <t>2025-2</t>
        </is>
      </c>
      <c r="J1125" s="5" t="n">
        <v>100</v>
      </c>
      <c r="K1125" s="5" t="n">
        <v>107.11</v>
      </c>
      <c r="L1125" s="28">
        <f>IFERROR(IF(OR(J1125=0,K1125=""),"",IF(E1125="Positivo",MIN(MAX(K1125/J1125,0),1.3),MIN(MAX(J1125/K1125,0),1.3))),"") </f>
        <v/>
      </c>
      <c r="M1125" s="28">
        <f>IFERROR(IF(OR(J1125=0,K1125=""),"",IF(E1125="Positivo",MAX(K1125/J1125,0),MAX(J1125/K1125,0))),"") </f>
        <v/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377-2025-12-31</t>
        </is>
      </c>
    </row>
    <row r="1126">
      <c r="A1126" s="39" t="n">
        <v>378</v>
      </c>
      <c r="B1126" s="5" t="inlineStr">
        <is>
          <t>Proyectos tecnológicos</t>
        </is>
      </c>
      <c r="C1126" s="5" t="inlineStr">
        <is>
          <t>GESTIÓN DE LA TECNOLOGÍA E INNOVACIÓN DIGITAL</t>
        </is>
      </c>
      <c r="D1126" s="5" t="inlineStr">
        <is>
          <t>Mensual</t>
        </is>
      </c>
      <c r="E1126" s="5" t="inlineStr">
        <is>
          <t>Positivo</t>
        </is>
      </c>
      <c r="F1126" s="144" t="n">
        <v>45107</v>
      </c>
      <c r="G1126" s="16" t="n">
        <v>2023</v>
      </c>
      <c r="H1126" s="6" t="inlineStr">
        <is>
          <t>Junio</t>
        </is>
      </c>
      <c r="I1126" s="6" t="inlineStr">
        <is>
          <t>2023-1</t>
        </is>
      </c>
      <c r="J1126" s="5" t="n">
        <v>92</v>
      </c>
      <c r="K1126" s="5" t="n">
        <v>93.83</v>
      </c>
      <c r="L1126" s="28">
        <f>IFERROR(IF(OR(J1126=0,K1126=""),"",IF(E1126="Positivo",MIN(MAX(K1126/J1126,0),1.3),MIN(MAX(J1126/K1126,0),1.3))),"") </f>
        <v/>
      </c>
      <c r="M1126" s="28">
        <f>IFERROR(IF(OR(J1126=0,K1126=""),"",IF(E1126="Positivo",MAX(K1126/J1126,0),MAX(J1126/K1126,0))),"") </f>
        <v/>
      </c>
      <c r="N1126" s="5" t="inlineStr">
        <is>
          <t>%</t>
        </is>
      </c>
      <c r="O1126" s="5" t="inlineStr">
        <is>
          <t>%</t>
        </is>
      </c>
      <c r="P1126" s="5" t="n">
        <v>0</v>
      </c>
      <c r="Q1126" s="5" t="n">
        <v>0</v>
      </c>
      <c r="R1126" s="5" t="inlineStr">
        <is>
          <t>378-2023-06-30</t>
        </is>
      </c>
    </row>
    <row r="1127">
      <c r="A1127" s="5" t="n">
        <v>378</v>
      </c>
      <c r="B1127" s="5" t="inlineStr">
        <is>
          <t>Proyectos tecnológicos</t>
        </is>
      </c>
      <c r="C1127" s="5" t="inlineStr">
        <is>
          <t>GESTIÓN DE LA TECNOLOGÍA E INNOVACIÓN DIGITAL</t>
        </is>
      </c>
      <c r="D1127" s="5" t="inlineStr">
        <is>
          <t>Mensual</t>
        </is>
      </c>
      <c r="E1127" s="5" t="inlineStr">
        <is>
          <t>Positivo</t>
        </is>
      </c>
      <c r="F1127" s="144" t="n">
        <v>45291</v>
      </c>
      <c r="G1127" s="16" t="n">
        <v>2023</v>
      </c>
      <c r="H1127" s="6" t="inlineStr">
        <is>
          <t>Diciembre</t>
        </is>
      </c>
      <c r="I1127" s="6" t="inlineStr">
        <is>
          <t>2023-2</t>
        </is>
      </c>
      <c r="J1127" s="5" t="n">
        <v>92</v>
      </c>
      <c r="K1127" s="5" t="n">
        <v>97.3</v>
      </c>
      <c r="L1127" s="28">
        <f>IFERROR(IF(OR(J1127=0,K1127=""),"",IF(E1127="Positivo",MIN(MAX(K1127/J1127,0),1.3),MIN(MAX(J1127/K1127,0),1.3))),"") </f>
        <v/>
      </c>
      <c r="M1127" s="28">
        <f>IFERROR(IF(OR(J1127=0,K1127=""),"",IF(E1127="Positivo",MAX(K1127/J1127,0),MAX(J1127/K1127,0))),"") </f>
        <v/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 t="inlineStr">
        <is>
          <t>378-2023-12-31</t>
        </is>
      </c>
    </row>
    <row r="1128">
      <c r="A1128" s="5" t="n">
        <v>378</v>
      </c>
      <c r="B1128" s="5" t="inlineStr">
        <is>
          <t>Proyectos tecnológicos</t>
        </is>
      </c>
      <c r="C1128" s="5" t="inlineStr">
        <is>
          <t>GESTIÓN DE LA TECNOLOGÍA E INNOVACIÓN DIGITAL</t>
        </is>
      </c>
      <c r="D1128" s="5" t="inlineStr">
        <is>
          <t>Mensual</t>
        </is>
      </c>
      <c r="E1128" s="5" t="inlineStr">
        <is>
          <t>Positivo</t>
        </is>
      </c>
      <c r="F1128" s="144" t="n">
        <v>45473</v>
      </c>
      <c r="G1128" s="16" t="n">
        <v>2024</v>
      </c>
      <c r="H1128" s="6" t="inlineStr">
        <is>
          <t>Junio</t>
        </is>
      </c>
      <c r="I1128" s="6" t="inlineStr">
        <is>
          <t>2024-1</t>
        </is>
      </c>
      <c r="J1128" s="5" t="n">
        <v>92</v>
      </c>
      <c r="K1128" s="5" t="n">
        <v>98.5</v>
      </c>
      <c r="L1128" s="28">
        <f>IFERROR(IF(OR(J1128=0,K1128=""),"",IF(E1128="Positivo",MIN(MAX(K1128/J1128,0),1.3),MIN(MAX(J1128/K1128,0),1.3))),"") </f>
        <v/>
      </c>
      <c r="M1128" s="28">
        <f>IFERROR(IF(OR(J1128=0,K1128=""),"",IF(E1128="Positivo",MAX(K1128/J1128,0),MAX(J1128/K1128,0))),"") </f>
        <v/>
      </c>
      <c r="N1128" s="5" t="n"/>
      <c r="O1128" s="5" t="n"/>
      <c r="P1128" s="5" t="n">
        <v>0</v>
      </c>
      <c r="Q1128" s="5" t="n">
        <v>0</v>
      </c>
      <c r="R1128" s="5" t="inlineStr">
        <is>
          <t>378-2024-06-30</t>
        </is>
      </c>
    </row>
    <row r="1129">
      <c r="A1129" s="5" t="n">
        <v>378</v>
      </c>
      <c r="B1129" s="5" t="inlineStr">
        <is>
          <t>Proyectos tecnológicos</t>
        </is>
      </c>
      <c r="C1129" s="5" t="inlineStr">
        <is>
          <t>GESTIÓN DE LA TECNOLOGÍA E INNOVACIÓN DIGITAL</t>
        </is>
      </c>
      <c r="D1129" s="5" t="inlineStr">
        <is>
          <t>Mensual</t>
        </is>
      </c>
      <c r="E1129" s="5" t="inlineStr">
        <is>
          <t>Positivo</t>
        </is>
      </c>
      <c r="F1129" s="144" t="n">
        <v>45657</v>
      </c>
      <c r="G1129" s="16" t="n">
        <v>2024</v>
      </c>
      <c r="H1129" s="6" t="inlineStr">
        <is>
          <t>Diciembre</t>
        </is>
      </c>
      <c r="I1129" s="6" t="inlineStr">
        <is>
          <t>2024-2</t>
        </is>
      </c>
      <c r="J1129" s="5" t="n">
        <v>0</v>
      </c>
      <c r="K1129" s="5" t="n">
        <v>0</v>
      </c>
      <c r="L1129" s="28">
        <f>IFERROR(IF(OR(J1129=0,K1129=""),"",IF(E1129="Positivo",MIN(MAX(K1129/J1129,0),1.3),MIN(MAX(J1129/K1129,0),1.3))),"") </f>
        <v/>
      </c>
      <c r="M1129" s="28">
        <f>IFERROR(IF(OR(J1129=0,K1129=""),"",IF(E1129="Positivo",MAX(K1129/J1129,0),MAX(J1129/K1129,0))),"") </f>
        <v/>
      </c>
      <c r="N1129" s="5" t="n"/>
      <c r="O1129" s="5" t="n"/>
      <c r="P1129" s="5" t="n">
        <v>0</v>
      </c>
      <c r="Q1129" s="5" t="n">
        <v>0</v>
      </c>
      <c r="R1129" s="5" t="inlineStr">
        <is>
          <t>378-2024-12-31</t>
        </is>
      </c>
    </row>
    <row r="1130">
      <c r="A1130" s="5" t="n">
        <v>379</v>
      </c>
      <c r="B1130" s="5" t="inlineStr">
        <is>
          <t>Total estudiantes nuevos</t>
        </is>
      </c>
      <c r="C1130" s="5" t="inlineStr">
        <is>
          <t>Inscripción, admisión y matrícula de estudiantes nuevos</t>
        </is>
      </c>
      <c r="D1130" s="5" t="inlineStr">
        <is>
          <t>Semestral</t>
        </is>
      </c>
      <c r="E1130" s="5" t="inlineStr">
        <is>
          <t>Positivo</t>
        </is>
      </c>
      <c r="F1130" s="144" t="n">
        <v>45107</v>
      </c>
      <c r="G1130" s="16" t="n">
        <v>2023</v>
      </c>
      <c r="H1130" s="6" t="inlineStr">
        <is>
          <t>Junio</t>
        </is>
      </c>
      <c r="I1130" s="6" t="inlineStr">
        <is>
          <t>2023-1</t>
        </is>
      </c>
      <c r="J1130" s="5" t="n">
        <v>100</v>
      </c>
      <c r="K1130" s="5" t="n">
        <v>102.72877164056</v>
      </c>
      <c r="L1130" s="28">
        <f>IFERROR(IF(OR(J1130=0,K1130=""),"",IF(E1130="Positivo",MIN(MAX(K1130/J1130,0),1.3),MIN(MAX(J1130/K1130,0),1.3))),"") </f>
        <v/>
      </c>
      <c r="M1130" s="28">
        <f>IFERROR(IF(OR(J1130=0,K1130=""),"",IF(E1130="Positivo",MAX(K1130/J1130,0),MAX(J1130/K1130,0))),"") </f>
        <v/>
      </c>
      <c r="N1130" s="5" t="inlineStr">
        <is>
          <t>ENT</t>
        </is>
      </c>
      <c r="O1130" s="5" t="inlineStr">
        <is>
          <t>ENT</t>
        </is>
      </c>
      <c r="P1130" s="5" t="n">
        <v>0</v>
      </c>
      <c r="Q1130" s="5" t="n">
        <v>0</v>
      </c>
      <c r="R1130" s="5" t="inlineStr">
        <is>
          <t>379-2023-06-30</t>
        </is>
      </c>
    </row>
    <row r="1131">
      <c r="A1131" s="5" t="n">
        <v>379</v>
      </c>
      <c r="B1131" s="5" t="inlineStr">
        <is>
          <t>Total estudiantes nuevos</t>
        </is>
      </c>
      <c r="C1131" s="5" t="inlineStr">
        <is>
          <t>Inscripción, admisión y matrícula de estudiantes nuevos</t>
        </is>
      </c>
      <c r="D1131" s="5" t="inlineStr">
        <is>
          <t>Semestral</t>
        </is>
      </c>
      <c r="E1131" s="5" t="inlineStr">
        <is>
          <t>Positivo</t>
        </is>
      </c>
      <c r="F1131" s="144" t="n">
        <v>45291</v>
      </c>
      <c r="G1131" s="16" t="n">
        <v>2023</v>
      </c>
      <c r="H1131" s="6" t="inlineStr">
        <is>
          <t>Diciembre</t>
        </is>
      </c>
      <c r="I1131" s="6" t="inlineStr">
        <is>
          <t>2023-2</t>
        </is>
      </c>
      <c r="J1131" s="5" t="n">
        <v>100</v>
      </c>
      <c r="K1131" s="5" t="n">
        <v>108.65</v>
      </c>
      <c r="L1131" s="28">
        <f>IFERROR(IF(OR(J1131=0,K1131=""),"",IF(E1131="Positivo",MIN(MAX(K1131/J1131,0),1.3),MIN(MAX(J1131/K1131,0),1.3))),"") </f>
        <v/>
      </c>
      <c r="M1131" s="28">
        <f>IFERROR(IF(OR(J1131=0,K1131=""),"",IF(E1131="Positivo",MAX(K1131/J1131,0),MAX(J1131/K1131,0))),"") </f>
        <v/>
      </c>
      <c r="N1131" s="5" t="inlineStr">
        <is>
          <t>ENT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379-2023-12-31</t>
        </is>
      </c>
    </row>
    <row r="1132">
      <c r="A1132" s="5" t="n">
        <v>379</v>
      </c>
      <c r="B1132" s="5" t="inlineStr">
        <is>
          <t>Total estudiantes nuevos</t>
        </is>
      </c>
      <c r="C1132" s="5" t="inlineStr">
        <is>
          <t>Inscripción, admisión y matrícula de estudiantes nuevos</t>
        </is>
      </c>
      <c r="D1132" s="5" t="inlineStr">
        <is>
          <t>Semestral</t>
        </is>
      </c>
      <c r="E1132" s="5" t="inlineStr">
        <is>
          <t>Positivo</t>
        </is>
      </c>
      <c r="F1132" s="144" t="n">
        <v>45473</v>
      </c>
      <c r="G1132" s="16" t="n">
        <v>2024</v>
      </c>
      <c r="H1132" s="6" t="inlineStr">
        <is>
          <t>Junio</t>
        </is>
      </c>
      <c r="I1132" s="6" t="inlineStr">
        <is>
          <t>2024-1</t>
        </is>
      </c>
      <c r="J1132" s="5" t="n">
        <v>100</v>
      </c>
      <c r="K1132" s="5" t="n">
        <v>95.92</v>
      </c>
      <c r="L1132" s="28">
        <f>IFERROR(IF(OR(J1132=0,K1132=""),"",IF(E1132="Positivo",MIN(MAX(K1132/J1132,0),1.3),MIN(MAX(J1132/K1132,0),1.3))),"") </f>
        <v/>
      </c>
      <c r="M1132" s="28">
        <f>IFERROR(IF(OR(J1132=0,K1132=""),"",IF(E1132="Positivo",MAX(K1132/J1132,0),MAX(J1132/K1132,0))),"") </f>
        <v/>
      </c>
      <c r="N1132" s="5" t="inlineStr">
        <is>
          <t>ENT</t>
        </is>
      </c>
      <c r="O1132" s="5" t="inlineStr">
        <is>
          <t>ENT</t>
        </is>
      </c>
      <c r="P1132" s="5" t="n">
        <v>0</v>
      </c>
      <c r="Q1132" s="5" t="n">
        <v>0</v>
      </c>
      <c r="R1132" s="5" t="inlineStr">
        <is>
          <t>379-2024-06-30</t>
        </is>
      </c>
    </row>
    <row r="1133">
      <c r="A1133" s="5" t="n">
        <v>379</v>
      </c>
      <c r="B1133" s="5" t="inlineStr">
        <is>
          <t>Total estudiantes nuevos</t>
        </is>
      </c>
      <c r="C1133" s="5" t="inlineStr">
        <is>
          <t>Inscripción, admisión y matrícula de estudiantes nuevos</t>
        </is>
      </c>
      <c r="D1133" s="5" t="inlineStr">
        <is>
          <t>Semestral</t>
        </is>
      </c>
      <c r="E1133" s="5" t="inlineStr">
        <is>
          <t>Positivo</t>
        </is>
      </c>
      <c r="F1133" s="144" t="n">
        <v>45657</v>
      </c>
      <c r="G1133" s="16" t="n">
        <v>2024</v>
      </c>
      <c r="H1133" s="6" t="inlineStr">
        <is>
          <t>Diciembre</t>
        </is>
      </c>
      <c r="I1133" s="6" t="inlineStr">
        <is>
          <t>2024-2</t>
        </is>
      </c>
      <c r="J1133" s="5" t="n">
        <v>100</v>
      </c>
      <c r="K1133" s="5" t="n">
        <v>99.31</v>
      </c>
      <c r="L1133" s="28">
        <f>IFERROR(IF(OR(J1133=0,K1133=""),"",IF(E1133="Positivo",MIN(MAX(K1133/J1133,0),1.3),MIN(MAX(J1133/K1133,0),1.3))),"") </f>
        <v/>
      </c>
      <c r="M1133" s="28">
        <f>IFERROR(IF(OR(J1133=0,K1133=""),"",IF(E1133="Positivo",MAX(K1133/J1133,0),MAX(J1133/K1133,0))),"") </f>
        <v/>
      </c>
      <c r="N1133" s="5" t="inlineStr">
        <is>
          <t>ENT</t>
        </is>
      </c>
      <c r="O1133" s="5" t="inlineStr">
        <is>
          <t>ENT</t>
        </is>
      </c>
      <c r="P1133" s="5" t="n">
        <v>0</v>
      </c>
      <c r="Q1133" s="5" t="n">
        <v>0</v>
      </c>
      <c r="R1133" s="5" t="inlineStr">
        <is>
          <t>379-2024-12-31</t>
        </is>
      </c>
    </row>
    <row r="1134">
      <c r="A1134" s="5" t="n">
        <v>379</v>
      </c>
      <c r="B1134" s="5" t="inlineStr">
        <is>
          <t>Total estudiantes nuevos</t>
        </is>
      </c>
      <c r="C1134" s="5" t="inlineStr">
        <is>
          <t>Inscripción, admisión y matrícula de estudiantes nuevos</t>
        </is>
      </c>
      <c r="D1134" s="5" t="inlineStr">
        <is>
          <t>Semestral</t>
        </is>
      </c>
      <c r="E1134" s="5" t="inlineStr">
        <is>
          <t>Positivo</t>
        </is>
      </c>
      <c r="F1134" s="144" t="n">
        <v>45838</v>
      </c>
      <c r="G1134" s="16" t="n">
        <v>2025</v>
      </c>
      <c r="H1134" s="6" t="inlineStr">
        <is>
          <t>Junio</t>
        </is>
      </c>
      <c r="I1134" s="6" t="inlineStr">
        <is>
          <t>2025-1</t>
        </is>
      </c>
      <c r="J1134" s="5" t="n">
        <v>100</v>
      </c>
      <c r="K1134" s="5" t="n">
        <v>104.11</v>
      </c>
      <c r="L1134" s="28">
        <f>IFERROR(IF(OR(J1134=0,K1134=""),"",IF(E1134="Positivo",MIN(MAX(K1134/J1134,0),1.3),MIN(MAX(J1134/K1134,0),1.3))),"") </f>
        <v/>
      </c>
      <c r="M1134" s="28">
        <f>IFERROR(IF(OR(J1134=0,K1134=""),"",IF(E1134="Positivo",MAX(K1134/J1134,0),MAX(J1134/K1134,0))),"") </f>
        <v/>
      </c>
      <c r="N1134" s="5" t="inlineStr">
        <is>
          <t>ENT</t>
        </is>
      </c>
      <c r="O1134" s="5" t="inlineStr">
        <is>
          <t>ENT</t>
        </is>
      </c>
      <c r="P1134" s="5" t="n">
        <v>0</v>
      </c>
      <c r="Q1134" s="5" t="n">
        <v>0</v>
      </c>
      <c r="R1134" s="5" t="inlineStr">
        <is>
          <t>379-2025-06-30</t>
        </is>
      </c>
    </row>
    <row r="1135">
      <c r="A1135" s="5" t="n">
        <v>379</v>
      </c>
      <c r="B1135" s="5" t="inlineStr">
        <is>
          <t>Total estudiantes nuevos</t>
        </is>
      </c>
      <c r="C1135" s="5" t="inlineStr">
        <is>
          <t>Inscripción, admisión y matrícula de estudiantes nuevos</t>
        </is>
      </c>
      <c r="D1135" s="5" t="inlineStr">
        <is>
          <t>Trimestral</t>
        </is>
      </c>
      <c r="E1135" s="5" t="inlineStr">
        <is>
          <t>Positivo</t>
        </is>
      </c>
      <c r="F1135" s="144" t="n">
        <v>46022</v>
      </c>
      <c r="G1135" s="16" t="n">
        <v>2025</v>
      </c>
      <c r="H1135" s="6" t="inlineStr">
        <is>
          <t>Diciembre</t>
        </is>
      </c>
      <c r="I1135" s="6" t="inlineStr">
        <is>
          <t>2025-2</t>
        </is>
      </c>
      <c r="J1135" s="5" t="n">
        <v>100</v>
      </c>
      <c r="K1135" s="10" t="n">
        <v>102.41</v>
      </c>
      <c r="L1135" s="28">
        <f>IFERROR(IF(OR(J1135=0,K1135=""),"",IF(E1135="Positivo",MIN(MAX(K1135/J1135,0),1.3),MIN(MAX(J1135/K1135,0),1.3))),"") </f>
        <v/>
      </c>
      <c r="M1135" s="28">
        <f>IFERROR(IF(OR(J1135=0,K1135=""),"",IF(E1135="Positivo",MAX(K1135/J1135,0),MAX(J1135/K1135,0))),"") </f>
        <v/>
      </c>
      <c r="N1135" s="5" t="inlineStr">
        <is>
          <t>ENT</t>
        </is>
      </c>
      <c r="O1135" s="5" t="inlineStr">
        <is>
          <t>ENT</t>
        </is>
      </c>
      <c r="P1135" s="5" t="n">
        <v>0</v>
      </c>
      <c r="Q1135" s="5" t="n">
        <v>0</v>
      </c>
      <c r="R1135" s="5" t="inlineStr">
        <is>
          <t>379-2025-12-31</t>
        </is>
      </c>
    </row>
    <row r="1136">
      <c r="A1136" s="5" t="n">
        <v>380</v>
      </c>
      <c r="B1136" s="5" t="inlineStr">
        <is>
          <t>Ingresos de matriculas de estudiantes nuevos</t>
        </is>
      </c>
      <c r="C1136" s="5" t="inlineStr">
        <is>
          <t>Inscripción, admisión y matrícula de estudiantes nuevos</t>
        </is>
      </c>
      <c r="D1136" s="5" t="inlineStr">
        <is>
          <t>Semestral</t>
        </is>
      </c>
      <c r="E1136" s="5" t="inlineStr">
        <is>
          <t>Positivo</t>
        </is>
      </c>
      <c r="F1136" s="144" t="n">
        <v>45107</v>
      </c>
      <c r="G1136" s="16" t="n">
        <v>2023</v>
      </c>
      <c r="H1136" s="6" t="inlineStr">
        <is>
          <t>Junio</t>
        </is>
      </c>
      <c r="I1136" s="6" t="inlineStr">
        <is>
          <t>2023-1</t>
        </is>
      </c>
      <c r="J1136" s="5" t="n">
        <v>24659.314309</v>
      </c>
      <c r="K1136" s="5" t="n">
        <v>25754.085546</v>
      </c>
      <c r="L1136" s="28">
        <f>IFERROR(IF(OR(J1136=0,K1136=""),"",IF(E1136="Positivo",MIN(MAX(K1136/J1136,0),1.3),MIN(MAX(J1136/K1136,0),1.3))),"") </f>
        <v/>
      </c>
      <c r="M1136" s="28">
        <f>IFERROR(IF(OR(J1136=0,K1136=""),"",IF(E1136="Positivo",MAX(K1136/J1136,0),MAX(J1136/K1136,0))),"") </f>
        <v/>
      </c>
      <c r="N1136" s="5" t="inlineStr">
        <is>
          <t>$</t>
        </is>
      </c>
      <c r="O1136" s="5" t="inlineStr">
        <is>
          <t>$</t>
        </is>
      </c>
      <c r="P1136" s="5" t="n">
        <v>0</v>
      </c>
      <c r="Q1136" s="5" t="n">
        <v>0</v>
      </c>
      <c r="R1136" s="5" t="inlineStr">
        <is>
          <t>380-2023-06-30</t>
        </is>
      </c>
    </row>
    <row r="1137">
      <c r="A1137" s="5" t="n">
        <v>380</v>
      </c>
      <c r="B1137" s="5" t="inlineStr">
        <is>
          <t>Ingresos de matriculas de estudiantes nuevos</t>
        </is>
      </c>
      <c r="C1137" s="5" t="inlineStr">
        <is>
          <t>Inscripción, admisión y matrícula de estudiantes nuevos</t>
        </is>
      </c>
      <c r="D1137" s="5" t="inlineStr">
        <is>
          <t>Semestral</t>
        </is>
      </c>
      <c r="E1137" s="5" t="inlineStr">
        <is>
          <t>Positivo</t>
        </is>
      </c>
      <c r="F1137" s="144" t="n">
        <v>45291</v>
      </c>
      <c r="G1137" s="16" t="n">
        <v>2023</v>
      </c>
      <c r="H1137" s="6" t="inlineStr">
        <is>
          <t>Diciembre</t>
        </is>
      </c>
      <c r="I1137" s="6" t="inlineStr">
        <is>
          <t>2023-2</t>
        </is>
      </c>
      <c r="J1137" s="5" t="n">
        <v>24724.802794</v>
      </c>
      <c r="K1137" s="10" t="n">
        <v>25340.546506</v>
      </c>
      <c r="L1137" s="28">
        <f>IFERROR(IF(OR(J1137=0,K1137=""),"",IF(E1137="Positivo",MIN(MAX(K1137/J1137,0),1.3),MIN(MAX(J1137/K1137,0),1.3))),"") </f>
        <v/>
      </c>
      <c r="M1137" s="28">
        <f>IFERROR(IF(OR(J1137=0,K1137=""),"",IF(E1137="Positivo",MAX(K1137/J1137,0),MAX(J1137/K1137,0))),"") </f>
        <v/>
      </c>
      <c r="N1137" s="5" t="inlineStr">
        <is>
          <t>$</t>
        </is>
      </c>
      <c r="O1137" s="5" t="inlineStr">
        <is>
          <t>$</t>
        </is>
      </c>
      <c r="P1137" s="5" t="n">
        <v>0</v>
      </c>
      <c r="Q1137" s="5" t="n">
        <v>0</v>
      </c>
      <c r="R1137" s="5" t="inlineStr">
        <is>
          <t>380-2023-12-31</t>
        </is>
      </c>
    </row>
    <row r="1138">
      <c r="A1138" s="39" t="n">
        <v>380</v>
      </c>
      <c r="B1138" s="5" t="inlineStr">
        <is>
          <t>Ingresos de matriculas de estudiantes nuevos</t>
        </is>
      </c>
      <c r="C1138" s="5" t="inlineStr">
        <is>
          <t>Inscripción, admisión y matrícula de estudiantes nuevos</t>
        </is>
      </c>
      <c r="D1138" s="5" t="inlineStr">
        <is>
          <t>Semestral</t>
        </is>
      </c>
      <c r="E1138" s="5" t="inlineStr">
        <is>
          <t>Positivo</t>
        </is>
      </c>
      <c r="F1138" s="143" t="n">
        <v>45473</v>
      </c>
      <c r="G1138" s="16" t="n">
        <v>2024</v>
      </c>
      <c r="H1138" s="6" t="inlineStr">
        <is>
          <t>Junio</t>
        </is>
      </c>
      <c r="I1138" s="6" t="inlineStr">
        <is>
          <t>2024-1</t>
        </is>
      </c>
      <c r="J1138" s="5" t="n">
        <v>29596.26987</v>
      </c>
      <c r="K1138" s="5" t="n">
        <v>28449.632913</v>
      </c>
      <c r="L1138" s="28">
        <f>IFERROR(IF(OR(J1138=0,K1138=""),"",IF(E1138="Positivo",MIN(MAX(K1138/J1138,0),1.3),MIN(MAX(J1138/K1138,0),1.3))),"") </f>
        <v/>
      </c>
      <c r="M1138" s="28">
        <f>IFERROR(IF(OR(J1138=0,K1138=""),"",IF(E1138="Positivo",MAX(K1138/J1138,0),MAX(J1138/K1138,0))),"") </f>
        <v/>
      </c>
      <c r="N1138" s="5" t="inlineStr">
        <is>
          <t>$</t>
        </is>
      </c>
      <c r="O1138" s="5" t="inlineStr">
        <is>
          <t>$</t>
        </is>
      </c>
      <c r="P1138" s="5" t="n">
        <v>0</v>
      </c>
      <c r="Q1138" s="5" t="n">
        <v>0</v>
      </c>
      <c r="R1138" s="5" t="inlineStr">
        <is>
          <t>380-2024-06-30</t>
        </is>
      </c>
    </row>
    <row r="1139">
      <c r="A1139" s="5" t="n">
        <v>380</v>
      </c>
      <c r="B1139" s="5" t="inlineStr">
        <is>
          <t>Ingresos de matriculas de estudiantes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144" t="n">
        <v>45657</v>
      </c>
      <c r="G1139" s="16" t="n">
        <v>2024</v>
      </c>
      <c r="H1139" s="6" t="inlineStr">
        <is>
          <t>Diciembre</t>
        </is>
      </c>
      <c r="I1139" s="6" t="inlineStr">
        <is>
          <t>2024-2</t>
        </is>
      </c>
      <c r="J1139" s="5" t="n">
        <v>100</v>
      </c>
      <c r="K1139" s="5" t="n">
        <v>78.92</v>
      </c>
      <c r="L1139" s="28">
        <f>IFERROR(IF(OR(J1139=0,K1139=""),"",IF(E1139="Positivo",MIN(MAX(K1139/J1139,0),1.3),MIN(MAX(J1139/K1139,0),1.3))),"") </f>
        <v/>
      </c>
      <c r="M1139" s="28">
        <f>IFERROR(IF(OR(J1139=0,K1139=""),"",IF(E1139="Positivo",MAX(K1139/J1139,0),MAX(J1139/K1139,0))),"") </f>
        <v/>
      </c>
      <c r="N1139" s="5" t="n"/>
      <c r="O1139" s="5" t="n"/>
      <c r="P1139" s="5" t="n">
        <v>0</v>
      </c>
      <c r="Q1139" s="5" t="n">
        <v>0</v>
      </c>
      <c r="R1139" s="5" t="inlineStr">
        <is>
          <t>380-2024-12-31</t>
        </is>
      </c>
    </row>
    <row r="1140">
      <c r="A1140" s="5" t="n">
        <v>381</v>
      </c>
      <c r="B1140" s="5" t="inlineStr">
        <is>
          <t>Cumplimiento de matrículas pregrado presencial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44" t="n">
        <v>45107</v>
      </c>
      <c r="G1140" s="16" t="n">
        <v>2023</v>
      </c>
      <c r="H1140" s="6" t="inlineStr">
        <is>
          <t>Junio</t>
        </is>
      </c>
      <c r="I1140" s="6" t="inlineStr">
        <is>
          <t>2023-1</t>
        </is>
      </c>
      <c r="J1140" s="5" t="n">
        <v>100</v>
      </c>
      <c r="K1140" s="10" t="n">
        <v>104.27170868347</v>
      </c>
      <c r="L1140" s="28">
        <f>IFERROR(IF(OR(J1140=0,K1140=""),"",IF(E1140="Positivo",MIN(MAX(K1140/J1140,0),1.3),MIN(MAX(J1140/K1140,0),1.3))),"") </f>
        <v/>
      </c>
      <c r="M1140" s="28">
        <f>IFERROR(IF(OR(J1140=0,K1140=""),"",IF(E1140="Positivo",MAX(K1140/J1140,0),MAX(J1140/K1140,0))),"") </f>
        <v/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381-2023-06-30</t>
        </is>
      </c>
    </row>
    <row r="1141">
      <c r="A1141" s="5" t="n">
        <v>381</v>
      </c>
      <c r="B1141" s="5" t="inlineStr">
        <is>
          <t>Cumplimiento de matrículas pregrado presencial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44" t="n">
        <v>45291</v>
      </c>
      <c r="G1141" s="16" t="n">
        <v>2023</v>
      </c>
      <c r="H1141" s="6" t="inlineStr">
        <is>
          <t>Diciembre</t>
        </is>
      </c>
      <c r="I1141" s="6" t="inlineStr">
        <is>
          <t>2023-2</t>
        </is>
      </c>
      <c r="J1141" s="5" t="n">
        <v>100</v>
      </c>
      <c r="K1141" s="16" t="n">
        <v>113.7</v>
      </c>
      <c r="L1141" s="28">
        <f>IFERROR(IF(OR(J1141=0,K1141=""),"",IF(E1141="Positivo",MIN(MAX(K1141/J1141,0),1.3),MIN(MAX(J1141/K1141,0),1.3))),"") </f>
        <v/>
      </c>
      <c r="M1141" s="28">
        <f>IFERROR(IF(OR(J1141=0,K1141=""),"",IF(E1141="Positivo",MAX(K1141/J1141,0),MAX(J1141/K1141,0))),"") </f>
        <v/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381-2023-12-31</t>
        </is>
      </c>
    </row>
    <row r="1142">
      <c r="A1142" s="5" t="n">
        <v>381</v>
      </c>
      <c r="B1142" s="5" t="inlineStr">
        <is>
          <t>Cumplimiento de matrículas pregrado presencial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44" t="n">
        <v>45473</v>
      </c>
      <c r="G1142" s="16" t="n">
        <v>2024</v>
      </c>
      <c r="H1142" s="6" t="inlineStr">
        <is>
          <t>Junio</t>
        </is>
      </c>
      <c r="I1142" s="6" t="inlineStr">
        <is>
          <t>2024-1</t>
        </is>
      </c>
      <c r="J1142" s="5" t="n">
        <v>100</v>
      </c>
      <c r="K1142" s="5" t="n">
        <v>105.26</v>
      </c>
      <c r="L1142" s="28">
        <f>IFERROR(IF(OR(J1142=0,K1142=""),"",IF(E1142="Positivo",MIN(MAX(K1142/J1142,0),1.3),MIN(MAX(J1142/K1142,0),1.3))),"") </f>
        <v/>
      </c>
      <c r="M1142" s="28">
        <f>IFERROR(IF(OR(J1142=0,K1142=""),"",IF(E1142="Positivo",MAX(K1142/J1142,0),MAX(J1142/K1142,0))),"") </f>
        <v/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381-2024-06-30</t>
        </is>
      </c>
    </row>
    <row r="1143">
      <c r="A1143" s="5" t="n">
        <v>381</v>
      </c>
      <c r="B1143" s="5" t="inlineStr">
        <is>
          <t>Cumplimiento de matrículas pregrado presencial nuevos</t>
        </is>
      </c>
      <c r="C1143" s="5" t="inlineStr">
        <is>
          <t>Inscripción, admisión y matrícula de estudiantes nuevos</t>
        </is>
      </c>
      <c r="D1143" s="5" t="inlineStr">
        <is>
          <t>Semestral</t>
        </is>
      </c>
      <c r="E1143" s="5" t="inlineStr">
        <is>
          <t>Positivo</t>
        </is>
      </c>
      <c r="F1143" s="144" t="n">
        <v>45657</v>
      </c>
      <c r="G1143" s="16" t="n">
        <v>2024</v>
      </c>
      <c r="H1143" s="6" t="inlineStr">
        <is>
          <t>Diciembre</t>
        </is>
      </c>
      <c r="I1143" s="6" t="inlineStr">
        <is>
          <t>2024-2</t>
        </is>
      </c>
      <c r="J1143" s="5" t="n">
        <v>100</v>
      </c>
      <c r="K1143" s="5" t="n">
        <v>89.19</v>
      </c>
      <c r="L1143" s="28">
        <f>IFERROR(IF(OR(J1143=0,K1143=""),"",IF(E1143="Positivo",MIN(MAX(K1143/J1143,0),1.3),MIN(MAX(J1143/K1143,0),1.3))),"") </f>
        <v/>
      </c>
      <c r="M1143" s="28">
        <f>IFERROR(IF(OR(J1143=0,K1143=""),"",IF(E1143="Positivo",MAX(K1143/J1143,0),MAX(J1143/K1143,0))),"") </f>
        <v/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381-2024-12-31</t>
        </is>
      </c>
    </row>
    <row r="1144">
      <c r="A1144" s="5" t="n">
        <v>381</v>
      </c>
      <c r="B1144" s="5" t="inlineStr">
        <is>
          <t>Cumplimiento de matrículas pregrado presencial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44" t="n">
        <v>45838</v>
      </c>
      <c r="G1144" s="16" t="n">
        <v>2025</v>
      </c>
      <c r="H1144" s="6" t="inlineStr">
        <is>
          <t>Junio</t>
        </is>
      </c>
      <c r="I1144" s="6" t="inlineStr">
        <is>
          <t>2025-1</t>
        </is>
      </c>
      <c r="J1144" s="5" t="n">
        <v>100</v>
      </c>
      <c r="K1144" s="5" t="n">
        <v>98.22</v>
      </c>
      <c r="L1144" s="28">
        <f>IFERROR(IF(OR(J1144=0,K1144=""),"",IF(E1144="Positivo",MIN(MAX(K1144/J1144,0),1.3),MIN(MAX(J1144/K1144,0),1.3))),"") </f>
        <v/>
      </c>
      <c r="M1144" s="28">
        <f>IFERROR(IF(OR(J1144=0,K1144=""),"",IF(E1144="Positivo",MAX(K1144/J1144,0),MAX(J1144/K1144,0))),"") </f>
        <v/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381-2025-06-30</t>
        </is>
      </c>
    </row>
    <row r="1145">
      <c r="A1145" s="5" t="n">
        <v>381</v>
      </c>
      <c r="B1145" s="5" t="inlineStr">
        <is>
          <t>Cumplimiento de matrículas pregrado presencial nuevos</t>
        </is>
      </c>
      <c r="C1145" s="5" t="inlineStr">
        <is>
          <t>Inscripción, admisión y matrícula de estudiantes nuevos</t>
        </is>
      </c>
      <c r="D1145" s="5" t="inlineStr">
        <is>
          <t>Trimestral</t>
        </is>
      </c>
      <c r="E1145" s="5" t="inlineStr">
        <is>
          <t>Positivo</t>
        </is>
      </c>
      <c r="F1145" s="144" t="n">
        <v>46022</v>
      </c>
      <c r="G1145" s="16" t="n">
        <v>2025</v>
      </c>
      <c r="H1145" s="6" t="inlineStr">
        <is>
          <t>Diciembre</t>
        </is>
      </c>
      <c r="I1145" s="6" t="inlineStr">
        <is>
          <t>2025-2</t>
        </is>
      </c>
      <c r="J1145" s="5" t="n">
        <v>100</v>
      </c>
      <c r="K1145" s="5" t="n">
        <v>113.66</v>
      </c>
      <c r="L1145" s="28">
        <f>IFERROR(IF(OR(J1145=0,K1145=""),"",IF(E1145="Positivo",MIN(MAX(K1145/J1145,0),1.3),MIN(MAX(J1145/K1145,0),1.3))),"") </f>
        <v/>
      </c>
      <c r="M1145" s="28">
        <f>IFERROR(IF(OR(J1145=0,K1145=""),"",IF(E1145="Positivo",MAX(K1145/J1145,0),MAX(J1145/K1145,0))),"") </f>
        <v/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381-2025-12-31</t>
        </is>
      </c>
    </row>
    <row r="1146">
      <c r="A1146" s="5" t="n">
        <v>382</v>
      </c>
      <c r="B1146" s="5" t="inlineStr">
        <is>
          <t>Cumplimiento de matrículas pregrado virtual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44" t="n">
        <v>45107</v>
      </c>
      <c r="G1146" s="16" t="n">
        <v>2023</v>
      </c>
      <c r="H1146" s="6" t="inlineStr">
        <is>
          <t>Junio</t>
        </is>
      </c>
      <c r="I1146" s="6" t="inlineStr">
        <is>
          <t>2023-1</t>
        </is>
      </c>
      <c r="J1146" s="5" t="n">
        <v>100</v>
      </c>
      <c r="K1146" s="5" t="n">
        <v>101.25041131951</v>
      </c>
      <c r="L1146" s="28">
        <f>IFERROR(IF(OR(J1146=0,K1146=""),"",IF(E1146="Positivo",MIN(MAX(K1146/J1146,0),1.3),MIN(MAX(J1146/K1146,0),1.3))),"") </f>
        <v/>
      </c>
      <c r="M1146" s="28">
        <f>IFERROR(IF(OR(J1146=0,K1146=""),"",IF(E1146="Positivo",MAX(K1146/J1146,0),MAX(J1146/K1146,0))),"") </f>
        <v/>
      </c>
      <c r="N1146" s="5" t="inlineStr">
        <is>
          <t>ENT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382-2023-06-30</t>
        </is>
      </c>
    </row>
    <row r="1147">
      <c r="A1147" s="5" t="n">
        <v>382</v>
      </c>
      <c r="B1147" s="5" t="inlineStr">
        <is>
          <t>Cumplimiento de matrículas pregrado virtual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44" t="n">
        <v>45291</v>
      </c>
      <c r="G1147" s="16" t="n">
        <v>2023</v>
      </c>
      <c r="H1147" s="6" t="inlineStr">
        <is>
          <t>Diciembre</t>
        </is>
      </c>
      <c r="I1147" s="6" t="inlineStr">
        <is>
          <t>2023-2</t>
        </is>
      </c>
      <c r="J1147" s="5" t="n">
        <v>100</v>
      </c>
      <c r="K1147" s="5" t="n">
        <v>103.01</v>
      </c>
      <c r="L1147" s="28">
        <f>IFERROR(IF(OR(J1147=0,K1147=""),"",IF(E1147="Positivo",MIN(MAX(K1147/J1147,0),1.3),MIN(MAX(J1147/K1147,0),1.3))),"") </f>
        <v/>
      </c>
      <c r="M1147" s="28">
        <f>IFERROR(IF(OR(J1147=0,K1147=""),"",IF(E1147="Positivo",MAX(K1147/J1147,0),MAX(J1147/K1147,0))),"") </f>
        <v/>
      </c>
      <c r="N1147" s="5" t="inlineStr">
        <is>
          <t>ENT</t>
        </is>
      </c>
      <c r="O1147" s="5" t="inlineStr">
        <is>
          <t>ENT</t>
        </is>
      </c>
      <c r="P1147" s="5" t="n">
        <v>0</v>
      </c>
      <c r="Q1147" s="5" t="n">
        <v>0</v>
      </c>
      <c r="R1147" s="5" t="inlineStr">
        <is>
          <t>382-2023-12-31</t>
        </is>
      </c>
    </row>
    <row r="1148">
      <c r="A1148" s="5" t="n">
        <v>382</v>
      </c>
      <c r="B1148" s="5" t="inlineStr">
        <is>
          <t>Cumplimiento de matrículas pregrado virtual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44" t="n">
        <v>45473</v>
      </c>
      <c r="G1148" s="16" t="n">
        <v>2024</v>
      </c>
      <c r="H1148" s="6" t="inlineStr">
        <is>
          <t>Junio</t>
        </is>
      </c>
      <c r="I1148" s="6" t="inlineStr">
        <is>
          <t>2024-1</t>
        </is>
      </c>
      <c r="J1148" s="5" t="n">
        <v>100</v>
      </c>
      <c r="K1148" s="5" t="n">
        <v>93.7</v>
      </c>
      <c r="L1148" s="28">
        <f>IFERROR(IF(OR(J1148=0,K1148=""),"",IF(E1148="Positivo",MIN(MAX(K1148/J1148,0),1.3),MIN(MAX(J1148/K1148,0),1.3))),"") </f>
        <v/>
      </c>
      <c r="M1148" s="28">
        <f>IFERROR(IF(OR(J1148=0,K1148=""),"",IF(E1148="Positivo",MAX(K1148/J1148,0),MAX(J1148/K1148,0))),"") </f>
        <v/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382-2024-06-30</t>
        </is>
      </c>
    </row>
    <row r="1149">
      <c r="A1149" s="5" t="n">
        <v>382</v>
      </c>
      <c r="B1149" s="5" t="inlineStr">
        <is>
          <t>Cumplimiento de matrículas pregrado virtual nuevos</t>
        </is>
      </c>
      <c r="C1149" s="5" t="inlineStr">
        <is>
          <t>Inscripción, admisión y matrícula de estudiantes nuevos</t>
        </is>
      </c>
      <c r="D1149" s="5" t="inlineStr">
        <is>
          <t>Semestral</t>
        </is>
      </c>
      <c r="E1149" s="5" t="inlineStr">
        <is>
          <t>Positivo</t>
        </is>
      </c>
      <c r="F1149" s="144" t="n">
        <v>45657</v>
      </c>
      <c r="G1149" s="16" t="n">
        <v>2024</v>
      </c>
      <c r="H1149" s="6" t="inlineStr">
        <is>
          <t>Diciembre</t>
        </is>
      </c>
      <c r="I1149" s="6" t="inlineStr">
        <is>
          <t>2024-2</t>
        </is>
      </c>
      <c r="J1149" s="5" t="n">
        <v>100</v>
      </c>
      <c r="K1149" s="5" t="n">
        <v>98.13</v>
      </c>
      <c r="L1149" s="28">
        <f>IFERROR(IF(OR(J1149=0,K1149=""),"",IF(E1149="Positivo",MIN(MAX(K1149/J1149,0),1.3),MIN(MAX(J1149/K1149,0),1.3))),"") </f>
        <v/>
      </c>
      <c r="M1149" s="28">
        <f>IFERROR(IF(OR(J1149=0,K1149=""),"",IF(E1149="Positivo",MAX(K1149/J1149,0),MAX(J1149/K1149,0))),"") </f>
        <v/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382-2024-12-31</t>
        </is>
      </c>
    </row>
    <row r="1150">
      <c r="A1150" s="5" t="n">
        <v>382</v>
      </c>
      <c r="B1150" s="5" t="inlineStr">
        <is>
          <t>Cumplimiento de matrículas pregrado virtual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44" t="n">
        <v>45838</v>
      </c>
      <c r="G1150" s="5" t="n">
        <v>2025</v>
      </c>
      <c r="H1150" s="5" t="inlineStr">
        <is>
          <t>Junio</t>
        </is>
      </c>
      <c r="I1150" s="6" t="inlineStr">
        <is>
          <t>2025-1</t>
        </is>
      </c>
      <c r="J1150" s="5" t="n">
        <v>100</v>
      </c>
      <c r="K1150" s="10" t="n">
        <v>99.84999999999999</v>
      </c>
      <c r="L1150" s="28">
        <f>IFERROR(IF(OR(J1150=0,K1150=""),"",IF(E1150="Positivo",MIN(MAX(K1150/J1150,0),1.3),MIN(MAX(J1150/K1150,0),1.3))),"") </f>
        <v/>
      </c>
      <c r="M1150" s="28">
        <f>IFERROR(IF(OR(J1150=0,K1150=""),"",IF(E1150="Positivo",MAX(K1150/J1150,0),MAX(J1150/K1150,0))),"") </f>
        <v/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382-2025-06-30</t>
        </is>
      </c>
    </row>
    <row r="1151">
      <c r="A1151" s="5" t="n">
        <v>382</v>
      </c>
      <c r="B1151" s="5" t="inlineStr">
        <is>
          <t>Cumplimiento de matrículas pregrado virtual nuevos</t>
        </is>
      </c>
      <c r="C1151" s="5" t="inlineStr">
        <is>
          <t>Inscripción, admisión y matrícula de estudiantes nuevos</t>
        </is>
      </c>
      <c r="D1151" s="5" t="inlineStr">
        <is>
          <t>Trimestral</t>
        </is>
      </c>
      <c r="E1151" s="5" t="inlineStr">
        <is>
          <t>Positivo</t>
        </is>
      </c>
      <c r="F1151" s="144" t="n">
        <v>46022</v>
      </c>
      <c r="G1151" s="5" t="n">
        <v>2025</v>
      </c>
      <c r="H1151" s="5" t="inlineStr">
        <is>
          <t>Diciembre</t>
        </is>
      </c>
      <c r="I1151" s="6" t="inlineStr">
        <is>
          <t>2025-2</t>
        </is>
      </c>
      <c r="J1151" s="5" t="n">
        <v>100</v>
      </c>
      <c r="K1151" s="5" t="n">
        <v>97.20999999999999</v>
      </c>
      <c r="L1151" s="28">
        <f>IFERROR(IF(OR(J1151=0,K1151=""),"",IF(E1151="Positivo",MIN(MAX(K1151/J1151,0),1.3),MIN(MAX(J1151/K1151,0),1.3))),"") </f>
        <v/>
      </c>
      <c r="M1151" s="28">
        <f>IFERROR(IF(OR(J1151=0,K1151=""),"",IF(E1151="Positivo",MAX(K1151/J1151,0),MAX(J1151/K1151,0))),"") </f>
        <v/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382-2025-12-31</t>
        </is>
      </c>
    </row>
    <row r="1152">
      <c r="A1152" s="5" t="n">
        <v>383</v>
      </c>
      <c r="B1152" s="5" t="inlineStr">
        <is>
          <t>Cumplimiento de matrículas posgrado virtual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44" t="n">
        <v>45107</v>
      </c>
      <c r="G1152" s="5" t="n">
        <v>2023</v>
      </c>
      <c r="H1152" s="5" t="inlineStr">
        <is>
          <t>Junio</t>
        </is>
      </c>
      <c r="I1152" s="6" t="inlineStr">
        <is>
          <t>2023-1</t>
        </is>
      </c>
      <c r="J1152" s="5" t="n">
        <v>100</v>
      </c>
      <c r="K1152" s="5" t="n">
        <v>109.38232994527</v>
      </c>
      <c r="L1152" s="120">
        <f>IFERROR(IF(OR(J1152=0,K1152=""),"",IF(E1152="Positivo",MIN(MAX(K1152/J1152,0),1.3),MIN(MAX(J1152/K1152,0),1.3))),"") </f>
        <v/>
      </c>
      <c r="M1152" s="28">
        <f>IFERROR(IF(OR(J1152=0,K1152=""),"",IF(E1152="Positivo",MAX(K1152/J1152,0),MAX(J1152/K1152,0))),"") </f>
        <v/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383-2023-06-30</t>
        </is>
      </c>
    </row>
    <row r="1153">
      <c r="A1153" s="5" t="n">
        <v>383</v>
      </c>
      <c r="B1153" s="5" t="inlineStr">
        <is>
          <t>Cumplimiento de matrículas posgrado virtual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44" t="n">
        <v>45291</v>
      </c>
      <c r="G1153" s="5" t="n">
        <v>2023</v>
      </c>
      <c r="H1153" s="5" t="inlineStr">
        <is>
          <t>Diciembre</t>
        </is>
      </c>
      <c r="I1153" s="6" t="inlineStr">
        <is>
          <t>2023-2</t>
        </is>
      </c>
      <c r="J1153" s="5" t="n">
        <v>100</v>
      </c>
      <c r="K1153" s="10" t="n">
        <v>148.66</v>
      </c>
      <c r="L1153" s="28">
        <f>IFERROR(IF(OR(J1153=0,K1153=""),"",IF(E1153="Positivo",MIN(MAX(K1153/J1153,0),1.3),MIN(MAX(J1153/K1153,0),1.3))),"") </f>
        <v/>
      </c>
      <c r="M1153" s="28">
        <f>IFERROR(IF(OR(J1153=0,K1153=""),"",IF(E1153="Positivo",MAX(K1153/J1153,0),MAX(J1153/K1153,0))),"") </f>
        <v/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383-2023-12-31</t>
        </is>
      </c>
    </row>
    <row r="1154">
      <c r="A1154" s="5" t="n">
        <v>383</v>
      </c>
      <c r="B1154" s="5" t="inlineStr">
        <is>
          <t>Cumplimiento de matrículas posgrado virtual nuevos</t>
        </is>
      </c>
      <c r="C1154" s="5" t="inlineStr">
        <is>
          <t>Inscripción, admisión y matrícula de estudiantes nuevos</t>
        </is>
      </c>
      <c r="D1154" s="5" t="inlineStr">
        <is>
          <t>Semestral</t>
        </is>
      </c>
      <c r="E1154" s="5" t="inlineStr">
        <is>
          <t>Positivo</t>
        </is>
      </c>
      <c r="F1154" s="144" t="n">
        <v>45473</v>
      </c>
      <c r="G1154" s="5" t="n">
        <v>2024</v>
      </c>
      <c r="H1154" s="5" t="inlineStr">
        <is>
          <t>Junio</t>
        </is>
      </c>
      <c r="I1154" s="6" t="inlineStr">
        <is>
          <t>2024-1</t>
        </is>
      </c>
      <c r="J1154" s="119" t="n">
        <v>100</v>
      </c>
      <c r="K1154" s="123" t="n">
        <v>100.2</v>
      </c>
      <c r="L1154" s="28">
        <f>IFERROR(IF(OR(J1154=0,K1154=""),"",IF(E1154="Positivo",MIN(MAX(K1154/J1154,0),1.3),MIN(MAX(J1154/K1154,0),1.3))),"") </f>
        <v/>
      </c>
      <c r="M1154" s="28">
        <f>IFERROR(IF(OR(J1154=0,K1154=""),"",IF(E1154="Positivo",MAX(K1154/J1154,0),MAX(J1154/K1154,0))),"") </f>
        <v/>
      </c>
      <c r="N1154" s="123" t="inlineStr">
        <is>
          <t>ENT</t>
        </is>
      </c>
      <c r="O1154" s="123" t="inlineStr">
        <is>
          <t>ENT</t>
        </is>
      </c>
      <c r="P1154" s="5" t="n">
        <v>0</v>
      </c>
      <c r="Q1154" s="5" t="n">
        <v>0</v>
      </c>
      <c r="R1154" s="5" t="inlineStr">
        <is>
          <t>383-2024-06-30</t>
        </is>
      </c>
    </row>
    <row r="1155">
      <c r="A1155" s="5" t="n">
        <v>383</v>
      </c>
      <c r="B1155" s="5" t="inlineStr">
        <is>
          <t>Cumplimiento de matrículas posgrado virtual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44" t="n">
        <v>45657</v>
      </c>
      <c r="G1155" s="5" t="n">
        <v>2024</v>
      </c>
      <c r="H1155" s="5" t="inlineStr">
        <is>
          <t>Diciembre</t>
        </is>
      </c>
      <c r="I1155" s="6" t="inlineStr">
        <is>
          <t>2024-2</t>
        </is>
      </c>
      <c r="J1155" s="5" t="n">
        <v>100</v>
      </c>
      <c r="K1155" s="5" t="n">
        <v>120.71</v>
      </c>
      <c r="L1155" s="28">
        <f>IFERROR(IF(OR(J1155=0,K1155=""),"",IF(E1155="Positivo",MIN(MAX(K1155/J1155,0),1.3),MIN(MAX(J1155/K1155,0),1.3))),"") </f>
        <v/>
      </c>
      <c r="M1155" s="28">
        <f>IFERROR(IF(OR(J1155=0,K1155=""),"",IF(E1155="Positivo",MAX(K1155/J1155,0),MAX(J1155/K1155,0))),"") </f>
        <v/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383-2024-12-31</t>
        </is>
      </c>
    </row>
    <row r="1156">
      <c r="A1156" s="5" t="n">
        <v>383</v>
      </c>
      <c r="B1156" s="5" t="inlineStr">
        <is>
          <t>Cumplimiento de matrículas posgrado virtual nuevos</t>
        </is>
      </c>
      <c r="C1156" s="5" t="inlineStr">
        <is>
          <t>Inscripción, admisión y matrícula de estudiantes nuevos</t>
        </is>
      </c>
      <c r="D1156" s="5" t="inlineStr">
        <is>
          <t>Trimestral</t>
        </is>
      </c>
      <c r="E1156" s="5" t="inlineStr">
        <is>
          <t>Positivo</t>
        </is>
      </c>
      <c r="F1156" s="144" t="n">
        <v>45838</v>
      </c>
      <c r="G1156" s="5" t="n">
        <v>2025</v>
      </c>
      <c r="H1156" s="5" t="inlineStr">
        <is>
          <t>Junio</t>
        </is>
      </c>
      <c r="I1156" s="6" t="inlineStr">
        <is>
          <t>2025-1</t>
        </is>
      </c>
      <c r="J1156" s="5" t="n">
        <v>100</v>
      </c>
      <c r="K1156" s="5" t="n">
        <v>136.96</v>
      </c>
      <c r="L1156" s="28">
        <f>IFERROR(IF(OR(J1156=0,K1156=""),"",IF(E1156="Positivo",MIN(MAX(K1156/J1156,0),1.3),MIN(MAX(J1156/K1156,0),1.3))),"") </f>
        <v/>
      </c>
      <c r="M1156" s="28">
        <f>IFERROR(IF(OR(J1156=0,K1156=""),"",IF(E1156="Positivo",MAX(K1156/J1156,0),MAX(J1156/K1156,0))),"") </f>
        <v/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383-2025-06-30</t>
        </is>
      </c>
    </row>
    <row r="1157">
      <c r="A1157" s="5" t="n">
        <v>383</v>
      </c>
      <c r="B1157" s="5" t="inlineStr">
        <is>
          <t>Cumplimiento de matrículas posgrado virtual nuevos</t>
        </is>
      </c>
      <c r="C1157" s="5" t="inlineStr">
        <is>
          <t>Inscripción, admisión y matrícula de estudiantes nuevos</t>
        </is>
      </c>
      <c r="D1157" s="5" t="inlineStr">
        <is>
          <t>Trimestral</t>
        </is>
      </c>
      <c r="E1157" s="5" t="inlineStr">
        <is>
          <t>Positivo</t>
        </is>
      </c>
      <c r="F1157" s="144" t="n">
        <v>46022</v>
      </c>
      <c r="G1157" s="5" t="n">
        <v>2025</v>
      </c>
      <c r="H1157" s="5" t="inlineStr">
        <is>
          <t>Diciembre</t>
        </is>
      </c>
      <c r="I1157" s="6" t="inlineStr">
        <is>
          <t>2025-2</t>
        </is>
      </c>
      <c r="J1157" s="5" t="n">
        <v>100</v>
      </c>
      <c r="K1157" s="5" t="n">
        <v>127.87</v>
      </c>
      <c r="L1157" s="28">
        <f>IFERROR(IF(OR(J1157=0,K1157=""),"",IF(E1157="Positivo",MIN(MAX(K1157/J1157,0),1.3),MIN(MAX(J1157/K1157,0),1.3))),"") </f>
        <v/>
      </c>
      <c r="M1157" s="28">
        <f>IFERROR(IF(OR(J1157=0,K1157=""),"",IF(E1157="Positivo",MAX(K1157/J1157,0),MAX(J1157/K1157,0))),"") </f>
        <v/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383-2025-12-31</t>
        </is>
      </c>
    </row>
    <row r="1158">
      <c r="A1158" s="5" t="n">
        <v>384</v>
      </c>
      <c r="B1158" s="5" t="inlineStr">
        <is>
          <t>Cumplimiento de matrículas posgrado presencial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44" t="n">
        <v>45107</v>
      </c>
      <c r="G1158" s="5" t="n">
        <v>2023</v>
      </c>
      <c r="H1158" s="5" t="inlineStr">
        <is>
          <t>Junio</t>
        </is>
      </c>
      <c r="I1158" s="6" t="inlineStr">
        <is>
          <t>2023-1</t>
        </is>
      </c>
      <c r="J1158" s="5" t="n">
        <v>100</v>
      </c>
      <c r="K1158" s="5" t="n">
        <v>111.76470588235</v>
      </c>
      <c r="L1158" s="28">
        <f>IFERROR(IF(OR(J1158=0,K1158=""),"",IF(E1158="Positivo",MIN(MAX(K1158/J1158,0),1.3),MIN(MAX(J1158/K1158,0),1.3))),"") </f>
        <v/>
      </c>
      <c r="M1158" s="28">
        <f>IFERROR(IF(OR(J1158=0,K1158=""),"",IF(E1158="Positivo",MAX(K1158/J1158,0),MAX(J1158/K1158,0))),"") </f>
        <v/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384-2023-06-30</t>
        </is>
      </c>
    </row>
    <row r="1159">
      <c r="A1159" s="5" t="n">
        <v>384</v>
      </c>
      <c r="B1159" s="5" t="inlineStr">
        <is>
          <t>Cumplimiento de matrículas posgrado presencial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44" t="n">
        <v>45291</v>
      </c>
      <c r="G1159" s="5" t="n">
        <v>2023</v>
      </c>
      <c r="H1159" s="5" t="inlineStr">
        <is>
          <t>Diciembre</t>
        </is>
      </c>
      <c r="I1159" s="6" t="inlineStr">
        <is>
          <t>2023-2</t>
        </is>
      </c>
      <c r="J1159" s="5" t="n">
        <v>100</v>
      </c>
      <c r="K1159" s="5" t="n">
        <v>115.38</v>
      </c>
      <c r="L1159" s="28">
        <f>IFERROR(IF(OR(J1159=0,K1159=""),"",IF(E1159="Positivo",MIN(MAX(K1159/J1159,0),1.3),MIN(MAX(J1159/K1159,0),1.3))),"") </f>
        <v/>
      </c>
      <c r="M1159" s="28">
        <f>IFERROR(IF(OR(J1159=0,K1159=""),"",IF(E1159="Positivo",MAX(K1159/J1159,0),MAX(J1159/K1159,0))),"") </f>
        <v/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384-2023-12-31</t>
        </is>
      </c>
    </row>
    <row r="1160">
      <c r="A1160" s="5" t="n">
        <v>384</v>
      </c>
      <c r="B1160" s="5" t="inlineStr">
        <is>
          <t>Cumplimiento de matrículas posgrado presencial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44" t="n">
        <v>45473</v>
      </c>
      <c r="G1160" s="5" t="n">
        <v>2024</v>
      </c>
      <c r="H1160" s="5" t="inlineStr">
        <is>
          <t>Junio</t>
        </is>
      </c>
      <c r="I1160" s="6" t="inlineStr">
        <is>
          <t>2024-1</t>
        </is>
      </c>
      <c r="J1160" s="5" t="n">
        <v>100</v>
      </c>
      <c r="K1160" s="5" t="n">
        <v>102.2</v>
      </c>
      <c r="L1160" s="28">
        <f>IFERROR(IF(OR(J1160=0,K1160=""),"",IF(E1160="Positivo",MIN(MAX(K1160/J1160,0),1.3),MIN(MAX(J1160/K1160,0),1.3))),"") </f>
        <v/>
      </c>
      <c r="M1160" s="28">
        <f>IFERROR(IF(OR(J1160=0,K1160=""),"",IF(E1160="Positivo",MAX(K1160/J1160,0),MAX(J1160/K1160,0))),"") </f>
        <v/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384-2024-06-30</t>
        </is>
      </c>
    </row>
    <row r="1161">
      <c r="A1161" s="5" t="n">
        <v>384</v>
      </c>
      <c r="B1161" s="5" t="inlineStr">
        <is>
          <t>Cumplimiento de matrículas posgrado presencial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44" t="n">
        <v>45657</v>
      </c>
      <c r="G1161" s="5" t="n">
        <v>2024</v>
      </c>
      <c r="H1161" s="5" t="inlineStr">
        <is>
          <t>Diciembre</t>
        </is>
      </c>
      <c r="I1161" s="6" t="inlineStr">
        <is>
          <t>2024-2</t>
        </is>
      </c>
      <c r="J1161" s="5" t="n">
        <v>100</v>
      </c>
      <c r="K1161" s="5" t="n">
        <v>87.90000000000001</v>
      </c>
      <c r="L1161" s="28">
        <f>IFERROR(IF(OR(J1161=0,K1161=""),"",IF(E1161="Positivo",MIN(MAX(K1161/J1161,0),1.3),MIN(MAX(J1161/K1161,0),1.3))),"") </f>
        <v/>
      </c>
      <c r="M1161" s="28">
        <f>IFERROR(IF(OR(J1161=0,K1161=""),"",IF(E1161="Positivo",MAX(K1161/J1161,0),MAX(J1161/K1161,0))),"") </f>
        <v/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384-2024-12-31</t>
        </is>
      </c>
    </row>
    <row r="1162">
      <c r="A1162" s="5" t="n">
        <v>384</v>
      </c>
      <c r="B1162" s="5" t="inlineStr">
        <is>
          <t>Cumplimiento de matrículas posgrado presencial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44" t="n">
        <v>45838</v>
      </c>
      <c r="G1162" s="5" t="n">
        <v>2025</v>
      </c>
      <c r="H1162" s="5" t="inlineStr">
        <is>
          <t>Junio</t>
        </is>
      </c>
      <c r="I1162" s="6" t="inlineStr">
        <is>
          <t>2025-1</t>
        </is>
      </c>
      <c r="J1162" s="5" t="n">
        <v>100</v>
      </c>
      <c r="K1162" s="5" t="n">
        <v>103.23</v>
      </c>
      <c r="L1162" s="28">
        <f>IFERROR(IF(OR(J1162=0,K1162=""),"",IF(E1162="Positivo",MIN(MAX(K1162/J1162,0),1.3),MIN(MAX(J1162/K1162,0),1.3))),"") </f>
        <v/>
      </c>
      <c r="M1162" s="28">
        <f>IFERROR(IF(OR(J1162=0,K1162=""),"",IF(E1162="Positivo",MAX(K1162/J1162,0),MAX(J1162/K1162,0))),"") </f>
        <v/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384-2025-06-30</t>
        </is>
      </c>
    </row>
    <row r="1163">
      <c r="A1163" s="5" t="n">
        <v>384</v>
      </c>
      <c r="B1163" s="5" t="inlineStr">
        <is>
          <t>Cumplimiento de matrículas posgrado presencial nuevos</t>
        </is>
      </c>
      <c r="C1163" s="5" t="inlineStr">
        <is>
          <t>Inscripción, admisión y matrícula de estudiantes nuevos</t>
        </is>
      </c>
      <c r="D1163" s="5" t="inlineStr">
        <is>
          <t>Trimestral</t>
        </is>
      </c>
      <c r="E1163" s="5" t="inlineStr">
        <is>
          <t>Positivo</t>
        </is>
      </c>
      <c r="F1163" s="144" t="n">
        <v>46022</v>
      </c>
      <c r="G1163" s="5" t="n">
        <v>2025</v>
      </c>
      <c r="H1163" s="5" t="inlineStr">
        <is>
          <t>Diciembre</t>
        </is>
      </c>
      <c r="I1163" s="6" t="inlineStr">
        <is>
          <t>2025-2</t>
        </is>
      </c>
      <c r="J1163" s="5" t="n">
        <v>100</v>
      </c>
      <c r="K1163" s="10" t="n">
        <v>100.93</v>
      </c>
      <c r="L1163" s="28">
        <f>IFERROR(IF(OR(J1163=0,K1163=""),"",IF(E1163="Positivo",MIN(MAX(K1163/J1163,0),1.3),MIN(MAX(J1163/K1163,0),1.3))),"") </f>
        <v/>
      </c>
      <c r="M1163" s="28">
        <f>IFERROR(IF(OR(J1163=0,K1163=""),"",IF(E1163="Positivo",MAX(K1163/J1163,0),MAX(J1163/K1163,0))),"") </f>
        <v/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384-2025-12-31</t>
        </is>
      </c>
    </row>
    <row r="1164">
      <c r="A1164" s="5" t="n">
        <v>385</v>
      </c>
      <c r="B1164" s="5" t="inlineStr">
        <is>
          <t>Ingresos totales de educación para la vida</t>
        </is>
      </c>
      <c r="C1164" s="5" t="inlineStr">
        <is>
          <t>Mercadeo y venta de educación para la vida</t>
        </is>
      </c>
      <c r="D1164" s="5" t="inlineStr">
        <is>
          <t>Semestral</t>
        </is>
      </c>
      <c r="E1164" s="5" t="inlineStr">
        <is>
          <t>Positivo</t>
        </is>
      </c>
      <c r="F1164" s="144" t="n">
        <v>45107</v>
      </c>
      <c r="G1164" s="5" t="n">
        <v>2023</v>
      </c>
      <c r="H1164" s="5" t="inlineStr">
        <is>
          <t>Junio</t>
        </is>
      </c>
      <c r="I1164" s="6" t="inlineStr">
        <is>
          <t>2023-1</t>
        </is>
      </c>
      <c r="J1164" s="5" t="n">
        <v>100</v>
      </c>
      <c r="K1164" s="5" t="n">
        <v>102.98486566654</v>
      </c>
      <c r="L1164" s="28">
        <f>IFERROR(IF(OR(J1164=0,K1164=""),"",IF(E1164="Positivo",MIN(MAX(K1164/J1164,0),1.3),MIN(MAX(J1164/K1164,0),1.3))),"") </f>
        <v/>
      </c>
      <c r="M1164" s="28">
        <f>IFERROR(IF(OR(J1164=0,K1164=""),"",IF(E1164="Positivo",MAX(K1164/J1164,0),MAX(J1164/K1164,0))),"") </f>
        <v/>
      </c>
      <c r="N1164" s="5" t="inlineStr">
        <is>
          <t>$</t>
        </is>
      </c>
      <c r="O1164" s="5" t="inlineStr">
        <is>
          <t>$</t>
        </is>
      </c>
      <c r="P1164" s="5" t="n">
        <v>0</v>
      </c>
      <c r="Q1164" s="5" t="n">
        <v>0</v>
      </c>
      <c r="R1164" s="5" t="inlineStr">
        <is>
          <t>385-2023-06-30</t>
        </is>
      </c>
    </row>
    <row r="1165">
      <c r="A1165" s="5" t="n">
        <v>385</v>
      </c>
      <c r="B1165" s="5" t="inlineStr">
        <is>
          <t>Ingresos totales de educación para la vida</t>
        </is>
      </c>
      <c r="C1165" s="5" t="inlineStr">
        <is>
          <t>Mercadeo y venta de educación para la vida</t>
        </is>
      </c>
      <c r="D1165" s="5" t="inlineStr">
        <is>
          <t>Semestral</t>
        </is>
      </c>
      <c r="E1165" s="5" t="inlineStr">
        <is>
          <t>Positivo</t>
        </is>
      </c>
      <c r="F1165" s="144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126" t="n">
        <v>100</v>
      </c>
      <c r="K1165" s="10" t="n">
        <v>124.93</v>
      </c>
      <c r="L1165" s="28">
        <f>IFERROR(IF(OR(J1165=0,K1165=""),"",IF(E1165="Positivo",MIN(MAX(K1165/J1165,0),1.3),MIN(MAX(J1165/K1165,0),1.3))),"") </f>
        <v/>
      </c>
      <c r="M1165" s="28">
        <f>IFERROR(IF(OR(J1165=0,K1165=""),"",IF(E1165="Positivo",MAX(K1165/J1165,0),MAX(J1165/K1165,0))),"") </f>
        <v/>
      </c>
      <c r="N1165" s="5" t="inlineStr">
        <is>
          <t>$</t>
        </is>
      </c>
      <c r="O1165" s="5" t="inlineStr">
        <is>
          <t>$</t>
        </is>
      </c>
      <c r="P1165" s="5" t="n">
        <v>0</v>
      </c>
      <c r="Q1165" s="5" t="n">
        <v>0</v>
      </c>
      <c r="R1165" s="5" t="inlineStr">
        <is>
          <t>385-2023-12-31</t>
        </is>
      </c>
    </row>
    <row r="1166">
      <c r="A1166" s="5" t="n">
        <v>385</v>
      </c>
      <c r="B1166" s="5" t="inlineStr">
        <is>
          <t>Ingresos totales de educación para la vida</t>
        </is>
      </c>
      <c r="C1166" s="5" t="inlineStr">
        <is>
          <t>Mercadeo y venta de educación para la vida</t>
        </is>
      </c>
      <c r="D1166" s="5" t="inlineStr">
        <is>
          <t>Semestral</t>
        </is>
      </c>
      <c r="E1166" s="5" t="inlineStr">
        <is>
          <t>Positivo</t>
        </is>
      </c>
      <c r="F1166" s="144" t="n">
        <v>45473</v>
      </c>
      <c r="G1166" s="5" t="n">
        <v>2024</v>
      </c>
      <c r="H1166" s="5" t="inlineStr">
        <is>
          <t>Junio</t>
        </is>
      </c>
      <c r="I1166" s="6" t="inlineStr">
        <is>
          <t>2024-1</t>
        </is>
      </c>
      <c r="J1166" s="5" t="n">
        <v>100</v>
      </c>
      <c r="K1166" s="123" t="n">
        <v>113.63</v>
      </c>
      <c r="L1166" s="28">
        <f>IFERROR(IF(OR(J1166=0,K1166=""),"",IF(E1166="Positivo",MIN(MAX(K1166/J1166,0),1.3),MIN(MAX(J1166/K1166,0),1.3))),"") </f>
        <v/>
      </c>
      <c r="M1166" s="28">
        <f>IFERROR(IF(OR(J1166=0,K1166=""),"",IF(E1166="Positivo",MAX(K1166/J1166,0),MAX(J1166/K1166,0))),"") </f>
        <v/>
      </c>
      <c r="N1166" s="5" t="inlineStr">
        <is>
          <t>$</t>
        </is>
      </c>
      <c r="O1166" s="5" t="inlineStr">
        <is>
          <t>$</t>
        </is>
      </c>
      <c r="P1166" s="5" t="n">
        <v>0</v>
      </c>
      <c r="Q1166" s="5" t="n">
        <v>0</v>
      </c>
      <c r="R1166" s="5" t="inlineStr">
        <is>
          <t>385-2024-06-30</t>
        </is>
      </c>
    </row>
    <row r="1167">
      <c r="A1167" s="5" t="n">
        <v>385</v>
      </c>
      <c r="B1167" s="5" t="inlineStr">
        <is>
          <t>Ingresos totales de educación para la vida</t>
        </is>
      </c>
      <c r="C1167" s="5" t="inlineStr">
        <is>
          <t>Mercadeo y venta de educación para la vida</t>
        </is>
      </c>
      <c r="D1167" s="5" t="inlineStr">
        <is>
          <t>Semestral</t>
        </is>
      </c>
      <c r="E1167" s="5" t="inlineStr">
        <is>
          <t>Positivo</t>
        </is>
      </c>
      <c r="F1167" s="144" t="n">
        <v>45657</v>
      </c>
      <c r="G1167" s="5" t="n">
        <v>2024</v>
      </c>
      <c r="H1167" s="5" t="inlineStr">
        <is>
          <t>Diciembre</t>
        </is>
      </c>
      <c r="I1167" s="6" t="inlineStr">
        <is>
          <t>2024-2</t>
        </is>
      </c>
      <c r="J1167" s="5" t="n">
        <v>100</v>
      </c>
      <c r="K1167" s="10" t="n">
        <v>88.56</v>
      </c>
      <c r="L1167" s="28">
        <f>IFERROR(IF(OR(J1167=0,K1167=""),"",IF(E1167="Positivo",MIN(MAX(K1167/J1167,0),1.3),MIN(MAX(J1167/K1167,0),1.3))),"") </f>
        <v/>
      </c>
      <c r="M1167" s="28">
        <f>IFERROR(IF(OR(J1167=0,K1167=""),"",IF(E1167="Positivo",MAX(K1167/J1167,0),MAX(J1167/K1167,0))),"") </f>
        <v/>
      </c>
      <c r="N1167" s="5" t="inlineStr">
        <is>
          <t>$</t>
        </is>
      </c>
      <c r="O1167" s="5" t="inlineStr">
        <is>
          <t>$</t>
        </is>
      </c>
      <c r="P1167" s="5" t="n">
        <v>0</v>
      </c>
      <c r="Q1167" s="5" t="n">
        <v>0</v>
      </c>
      <c r="R1167" s="5" t="inlineStr">
        <is>
          <t>385-2024-12-31</t>
        </is>
      </c>
    </row>
    <row r="1168">
      <c r="A1168" s="5" t="n">
        <v>385</v>
      </c>
      <c r="B1168" s="5" t="inlineStr">
        <is>
          <t>Ingresos totales de educación para la vida</t>
        </is>
      </c>
      <c r="C1168" s="5" t="inlineStr">
        <is>
          <t>Mercadeo y venta de educación para la vida</t>
        </is>
      </c>
      <c r="D1168" s="5" t="inlineStr">
        <is>
          <t>Semestral</t>
        </is>
      </c>
      <c r="E1168" s="5" t="inlineStr">
        <is>
          <t>Positivo</t>
        </is>
      </c>
      <c r="F1168" s="144" t="n">
        <v>45838</v>
      </c>
      <c r="G1168" s="5" t="n">
        <v>2025</v>
      </c>
      <c r="H1168" s="5" t="inlineStr">
        <is>
          <t>Junio</t>
        </is>
      </c>
      <c r="I1168" s="6" t="inlineStr">
        <is>
          <t>2025-1</t>
        </is>
      </c>
      <c r="J1168" s="5" t="n">
        <v>100</v>
      </c>
      <c r="K1168" s="11" t="n">
        <v>118.92</v>
      </c>
      <c r="L1168" s="28">
        <f>IFERROR(IF(OR(J1168=0,K1168=""),"",IF(E1168="Positivo",MIN(MAX(K1168/J1168,0),1.3),MIN(MAX(J1168/K1168,0),1.3))),"") </f>
        <v/>
      </c>
      <c r="M1168" s="28">
        <f>IFERROR(IF(OR(J1168=0,K1168=""),"",IF(E1168="Positivo",MAX(K1168/J1168,0),MAX(J1168/K1168,0))),"") </f>
        <v/>
      </c>
      <c r="N1168" s="5" t="inlineStr">
        <is>
          <t>$</t>
        </is>
      </c>
      <c r="O1168" s="5" t="inlineStr">
        <is>
          <t>$</t>
        </is>
      </c>
      <c r="P1168" s="5" t="n">
        <v>0</v>
      </c>
      <c r="Q1168" s="5" t="n">
        <v>0</v>
      </c>
      <c r="R1168" s="5" t="inlineStr">
        <is>
          <t>385-2025-06-30</t>
        </is>
      </c>
    </row>
    <row r="1169">
      <c r="A1169" s="5" t="n">
        <v>385</v>
      </c>
      <c r="B1169" s="5" t="inlineStr">
        <is>
          <t>Ingresos totales de educación para la vida</t>
        </is>
      </c>
      <c r="C1169" s="5" t="inlineStr">
        <is>
          <t>Mercadeo y venta de educación para la vida</t>
        </is>
      </c>
      <c r="D1169" s="5" t="inlineStr">
        <is>
          <t>Trimestral</t>
        </is>
      </c>
      <c r="E1169" s="5" t="inlineStr">
        <is>
          <t>Positivo</t>
        </is>
      </c>
      <c r="F1169" s="144" t="n">
        <v>46022</v>
      </c>
      <c r="G1169" s="5" t="n">
        <v>2025</v>
      </c>
      <c r="H1169" s="5" t="inlineStr">
        <is>
          <t>Diciembre</t>
        </is>
      </c>
      <c r="I1169" s="6" t="inlineStr">
        <is>
          <t>2025-2</t>
        </is>
      </c>
      <c r="J1169" s="5" t="n">
        <v>100</v>
      </c>
      <c r="K1169" s="5" t="n">
        <v>108.89</v>
      </c>
      <c r="L1169" s="28">
        <f>IFERROR(IF(OR(J1169=0,K1169=""),"",IF(E1169="Positivo",MIN(MAX(K1169/J1169,0),1.3),MIN(MAX(J1169/K1169,0),1.3))),"") </f>
        <v/>
      </c>
      <c r="M1169" s="28">
        <f>IFERROR(IF(OR(J1169=0,K1169=""),"",IF(E1169="Positivo",MAX(K1169/J1169,0),MAX(J1169/K1169,0))),"") </f>
        <v/>
      </c>
      <c r="N1169" s="5" t="inlineStr">
        <is>
          <t>$</t>
        </is>
      </c>
      <c r="O1169" s="5" t="inlineStr">
        <is>
          <t>$</t>
        </is>
      </c>
      <c r="P1169" s="5" t="n">
        <v>0</v>
      </c>
      <c r="Q1169" s="5" t="n">
        <v>0</v>
      </c>
      <c r="R1169" s="5" t="inlineStr">
        <is>
          <t>385-2025-12-31</t>
        </is>
      </c>
    </row>
    <row r="1170">
      <c r="A1170" s="5" t="n">
        <v>386</v>
      </c>
      <c r="B1170" s="5" t="inlineStr">
        <is>
          <t>Cumplimiento Meta comercial Educación para toda la vida por linea</t>
        </is>
      </c>
      <c r="C1170" s="5" t="inlineStr">
        <is>
          <t>Mercadeo y venta de educación para la vida</t>
        </is>
      </c>
      <c r="D1170" s="5" t="inlineStr">
        <is>
          <t>Semestral</t>
        </is>
      </c>
      <c r="E1170" s="5" t="inlineStr">
        <is>
          <t>Positivo</t>
        </is>
      </c>
      <c r="F1170" s="144" t="n">
        <v>45107</v>
      </c>
      <c r="G1170" s="5" t="n">
        <v>2023</v>
      </c>
      <c r="H1170" s="5" t="inlineStr">
        <is>
          <t>Junio</t>
        </is>
      </c>
      <c r="I1170" s="6" t="inlineStr">
        <is>
          <t>2023-1</t>
        </is>
      </c>
      <c r="J1170" s="5" t="n">
        <v>100</v>
      </c>
      <c r="K1170" s="5" t="n">
        <v>102.98486566654</v>
      </c>
      <c r="L1170" s="28">
        <f>IFERROR(IF(OR(J1170=0,K1170=""),"",IF(E1170="Positivo",MIN(MAX(K1170/J1170,0),1.3),MIN(MAX(J1170/K1170,0),1.3))),"") </f>
        <v/>
      </c>
      <c r="M1170" s="28">
        <f>IFERROR(IF(OR(J1170=0,K1170=""),"",IF(E1170="Positivo",MAX(K1170/J1170,0),MAX(J1170/K1170,0))),"") </f>
        <v/>
      </c>
      <c r="N1170" s="5" t="inlineStr">
        <is>
          <t>$</t>
        </is>
      </c>
      <c r="O1170" s="5" t="inlineStr">
        <is>
          <t>$</t>
        </is>
      </c>
      <c r="P1170" s="5" t="n">
        <v>0</v>
      </c>
      <c r="Q1170" s="5" t="n">
        <v>0</v>
      </c>
      <c r="R1170" s="5" t="inlineStr">
        <is>
          <t>386-2023-06-30</t>
        </is>
      </c>
    </row>
    <row r="1171">
      <c r="A1171" s="5" t="n">
        <v>386</v>
      </c>
      <c r="B1171" s="5" t="inlineStr">
        <is>
          <t>Cumplimiento Meta comercial Educación para toda la vida por linea</t>
        </is>
      </c>
      <c r="C1171" s="5" t="inlineStr">
        <is>
          <t>Mercadeo y venta de educación para la vida</t>
        </is>
      </c>
      <c r="D1171" s="5" t="inlineStr">
        <is>
          <t>Semestral</t>
        </is>
      </c>
      <c r="E1171" s="5" t="inlineStr">
        <is>
          <t>Positivo</t>
        </is>
      </c>
      <c r="F1171" s="144" t="n">
        <v>45291</v>
      </c>
      <c r="G1171" s="5" t="n">
        <v>2023</v>
      </c>
      <c r="H1171" s="5" t="inlineStr">
        <is>
          <t>Diciembre</t>
        </is>
      </c>
      <c r="I1171" s="6" t="inlineStr">
        <is>
          <t>2023-2</t>
        </is>
      </c>
      <c r="J1171" s="5" t="n">
        <v>100</v>
      </c>
      <c r="K1171" s="5" t="n">
        <v>138.22</v>
      </c>
      <c r="L1171" s="28">
        <f>IFERROR(IF(OR(J1171=0,K1171=""),"",IF(E1171="Positivo",MIN(MAX(K1171/J1171,0),1.3),MIN(MAX(J1171/K1171,0),1.3))),"") </f>
        <v/>
      </c>
      <c r="M1171" s="28">
        <f>IFERROR(IF(OR(J1171=0,K1171=""),"",IF(E1171="Positivo",MAX(K1171/J1171,0),MAX(J1171/K1171,0))),"") </f>
        <v/>
      </c>
      <c r="N1171" s="5" t="inlineStr">
        <is>
          <t>$</t>
        </is>
      </c>
      <c r="O1171" s="5" t="inlineStr">
        <is>
          <t>$</t>
        </is>
      </c>
      <c r="P1171" s="5" t="n">
        <v>0</v>
      </c>
      <c r="Q1171" s="5" t="n">
        <v>0</v>
      </c>
      <c r="R1171" s="5" t="inlineStr">
        <is>
          <t>386-2023-12-31</t>
        </is>
      </c>
    </row>
    <row r="1172">
      <c r="A1172" s="5" t="n">
        <v>386</v>
      </c>
      <c r="B1172" s="5" t="inlineStr">
        <is>
          <t>Cumplimiento Meta comercial Educación para toda la vida por linea</t>
        </is>
      </c>
      <c r="C1172" s="5" t="inlineStr">
        <is>
          <t>Mercadeo y venta de educación para la vida</t>
        </is>
      </c>
      <c r="D1172" s="5" t="inlineStr">
        <is>
          <t>Semestral</t>
        </is>
      </c>
      <c r="E1172" s="5" t="inlineStr">
        <is>
          <t>Positivo</t>
        </is>
      </c>
      <c r="F1172" s="144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100</v>
      </c>
      <c r="K1172" s="5" t="n">
        <v>113.63</v>
      </c>
      <c r="L1172" s="28">
        <f>IFERROR(IF(OR(J1172=0,K1172=""),"",IF(E1172="Positivo",MIN(MAX(K1172/J1172,0),1.3),MIN(MAX(J1172/K1172,0),1.3))),"") </f>
        <v/>
      </c>
      <c r="M1172" s="28">
        <f>IFERROR(IF(OR(J1172=0,K1172=""),"",IF(E1172="Positivo",MAX(K1172/J1172,0),MAX(J1172/K1172,0))),"") </f>
        <v/>
      </c>
      <c r="N1172" s="5" t="inlineStr">
        <is>
          <t>$</t>
        </is>
      </c>
      <c r="O1172" s="5" t="inlineStr">
        <is>
          <t>$</t>
        </is>
      </c>
      <c r="P1172" s="5" t="n">
        <v>0</v>
      </c>
      <c r="Q1172" s="5" t="n">
        <v>0</v>
      </c>
      <c r="R1172" s="5" t="inlineStr">
        <is>
          <t>386-2024-06-30</t>
        </is>
      </c>
    </row>
    <row r="1173">
      <c r="A1173" s="5" t="n">
        <v>386</v>
      </c>
      <c r="B1173" s="5" t="inlineStr">
        <is>
          <t>Cumplimiento Meta comercial Educación para toda la vida por linea</t>
        </is>
      </c>
      <c r="C1173" s="5" t="inlineStr">
        <is>
          <t>Mercadeo y venta de educación para la vida</t>
        </is>
      </c>
      <c r="D1173" s="5" t="inlineStr">
        <is>
          <t>Semestral</t>
        </is>
      </c>
      <c r="E1173" s="5" t="inlineStr">
        <is>
          <t>Positivo</t>
        </is>
      </c>
      <c r="F1173" s="144" t="n">
        <v>45657</v>
      </c>
      <c r="G1173" s="5" t="n">
        <v>2024</v>
      </c>
      <c r="H1173" s="5" t="inlineStr">
        <is>
          <t>Diciembre</t>
        </is>
      </c>
      <c r="I1173" s="6" t="inlineStr">
        <is>
          <t>2024-2</t>
        </is>
      </c>
      <c r="J1173" s="5" t="n">
        <v>100</v>
      </c>
      <c r="K1173" s="5" t="n">
        <v>75.01000000000001</v>
      </c>
      <c r="L1173" s="28">
        <f>IFERROR(IF(OR(J1173=0,K1173=""),"",IF(E1173="Positivo",MIN(MAX(K1173/J1173,0),1.3),MIN(MAX(J1173/K1173,0),1.3))),"") </f>
        <v/>
      </c>
      <c r="M1173" s="28">
        <f>IFERROR(IF(OR(J1173=0,K1173=""),"",IF(E1173="Positivo",MAX(K1173/J1173,0),MAX(J1173/K1173,0))),"") </f>
        <v/>
      </c>
      <c r="N1173" s="5" t="inlineStr">
        <is>
          <t>$</t>
        </is>
      </c>
      <c r="O1173" s="5" t="inlineStr">
        <is>
          <t>$</t>
        </is>
      </c>
      <c r="P1173" s="5" t="n">
        <v>0</v>
      </c>
      <c r="Q1173" s="5" t="n">
        <v>0</v>
      </c>
      <c r="R1173" s="5" t="inlineStr">
        <is>
          <t>386-2024-12-31</t>
        </is>
      </c>
    </row>
    <row r="1174">
      <c r="A1174" s="39" t="n">
        <v>386</v>
      </c>
      <c r="B1174" s="5" t="inlineStr">
        <is>
          <t>Cumplimiento Meta comercial Educación para toda la vida por linea</t>
        </is>
      </c>
      <c r="C1174" s="5" t="inlineStr">
        <is>
          <t>Mercadeo y venta de educación para la vida</t>
        </is>
      </c>
      <c r="D1174" s="5" t="inlineStr">
        <is>
          <t>Semestral</t>
        </is>
      </c>
      <c r="E1174" s="5" t="inlineStr">
        <is>
          <t>Positivo</t>
        </is>
      </c>
      <c r="F1174" s="144" t="n">
        <v>45838</v>
      </c>
      <c r="G1174" s="5" t="n">
        <v>2025</v>
      </c>
      <c r="H1174" s="5" t="inlineStr">
        <is>
          <t>Junio</t>
        </is>
      </c>
      <c r="I1174" s="6" t="inlineStr">
        <is>
          <t>2025-1</t>
        </is>
      </c>
      <c r="J1174" s="5" t="n">
        <v>100</v>
      </c>
      <c r="K1174" s="5" t="n">
        <v>118.92</v>
      </c>
      <c r="L1174" s="28">
        <f>IFERROR(IF(OR(J1174=0,K1174=""),"",IF(E1174="Positivo",MIN(MAX(K1174/J1174,0),1.3),MIN(MAX(J1174/K1174,0),1.3))),"") </f>
        <v/>
      </c>
      <c r="M1174" s="28">
        <f>IFERROR(IF(OR(J1174=0,K1174=""),"",IF(E1174="Positivo",MAX(K1174/J1174,0),MAX(J1174/K1174,0))),"") </f>
        <v/>
      </c>
      <c r="N1174" s="5" t="inlineStr">
        <is>
          <t>$</t>
        </is>
      </c>
      <c r="O1174" s="5" t="inlineStr">
        <is>
          <t>$</t>
        </is>
      </c>
      <c r="P1174" s="5" t="n">
        <v>0</v>
      </c>
      <c r="Q1174" s="5" t="n">
        <v>0</v>
      </c>
      <c r="R1174" s="5" t="inlineStr">
        <is>
          <t>386-2025-06-30</t>
        </is>
      </c>
    </row>
    <row r="1175">
      <c r="A1175" s="5" t="n">
        <v>386</v>
      </c>
      <c r="B1175" s="5" t="inlineStr">
        <is>
          <t>Cumplimiento Meta comercial Educación para toda la vida por linea</t>
        </is>
      </c>
      <c r="C1175" s="5" t="inlineStr">
        <is>
          <t>Mercadeo y venta de educación para la vida</t>
        </is>
      </c>
      <c r="D1175" s="5" t="inlineStr">
        <is>
          <t>Trimestral</t>
        </is>
      </c>
      <c r="E1175" s="5" t="inlineStr">
        <is>
          <t>Positivo</t>
        </is>
      </c>
      <c r="F1175" s="144" t="n">
        <v>46022</v>
      </c>
      <c r="G1175" s="5" t="n">
        <v>2025</v>
      </c>
      <c r="H1175" s="5" t="inlineStr">
        <is>
          <t>Diciembre</t>
        </is>
      </c>
      <c r="I1175" s="6" t="inlineStr">
        <is>
          <t>2025-2</t>
        </is>
      </c>
      <c r="J1175" s="5" t="n">
        <v>100</v>
      </c>
      <c r="K1175" s="10" t="n">
        <v>106.54</v>
      </c>
      <c r="L1175" s="28">
        <f>IFERROR(IF(OR(J1175=0,K1175=""),"",IF(E1175="Positivo",MIN(MAX(K1175/J1175,0),1.3),MIN(MAX(J1175/K1175,0),1.3))),"") </f>
        <v/>
      </c>
      <c r="M1175" s="28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5" t="n">
        <v>0</v>
      </c>
      <c r="Q1175" s="5" t="n">
        <v>0</v>
      </c>
      <c r="R1175" s="5" t="inlineStr">
        <is>
          <t>386-2025-12-31</t>
        </is>
      </c>
    </row>
    <row r="1176">
      <c r="A1176" s="5" t="n">
        <v>387</v>
      </c>
      <c r="B1176" s="5" t="inlineStr">
        <is>
          <t>Programas con reforzamiento curricular por escuela</t>
        </is>
      </c>
      <c r="C1176" s="5" t="inlineStr">
        <is>
          <t>Gestión, Evaluación e Innovación Curricular</t>
        </is>
      </c>
      <c r="D1176" s="5" t="inlineStr">
        <is>
          <t>Semestral</t>
        </is>
      </c>
      <c r="E1176" s="5" t="inlineStr">
        <is>
          <t>Positivo</t>
        </is>
      </c>
      <c r="F1176" s="144" t="n">
        <v>45107</v>
      </c>
      <c r="G1176" s="5" t="n">
        <v>2023</v>
      </c>
      <c r="H1176" s="5" t="inlineStr">
        <is>
          <t>Junio</t>
        </is>
      </c>
      <c r="I1176" s="6" t="inlineStr">
        <is>
          <t>2023-1</t>
        </is>
      </c>
      <c r="J1176" s="5" t="n">
        <v>38</v>
      </c>
      <c r="K1176" s="5" t="n">
        <v>38</v>
      </c>
      <c r="L1176" s="28">
        <f>IFERROR(IF(OR(J1176=0,K1176=""),"",IF(E1176="Positivo",MIN(MAX(K1176/J1176,0),1.3),MIN(MAX(J1176/K1176,0),1.3))),"") </f>
        <v/>
      </c>
      <c r="M1176" s="28">
        <f>IFERROR(IF(OR(J1176=0,K1176=""),"",IF(E1176="Positivo",MAX(K1176/J1176,0),MAX(J1176/K1176,0))),"") </f>
        <v/>
      </c>
      <c r="N1176" s="5" t="n"/>
      <c r="O1176" s="5" t="n"/>
      <c r="P1176" s="5" t="n">
        <v>0</v>
      </c>
      <c r="Q1176" s="5" t="n">
        <v>0</v>
      </c>
      <c r="R1176" s="5" t="inlineStr">
        <is>
          <t>387-2023-06-30</t>
        </is>
      </c>
    </row>
    <row r="1177">
      <c r="A1177" s="5" t="n">
        <v>387</v>
      </c>
      <c r="B1177" s="5" t="inlineStr">
        <is>
          <t>Programas con reforzamiento curricular por escuela</t>
        </is>
      </c>
      <c r="C1177" s="5" t="inlineStr">
        <is>
          <t>Gestión, Evaluación e Innovación Curricular</t>
        </is>
      </c>
      <c r="D1177" s="5" t="inlineStr">
        <is>
          <t>Semestral</t>
        </is>
      </c>
      <c r="E1177" s="5" t="inlineStr">
        <is>
          <t>Positivo</t>
        </is>
      </c>
      <c r="F1177" s="144" t="n">
        <v>45291</v>
      </c>
      <c r="G1177" s="5" t="n">
        <v>2023</v>
      </c>
      <c r="H1177" s="5" t="inlineStr">
        <is>
          <t>Diciembre</t>
        </is>
      </c>
      <c r="I1177" s="6" t="inlineStr">
        <is>
          <t>2023-2</t>
        </is>
      </c>
      <c r="J1177" s="5" t="n"/>
      <c r="K1177" s="10" t="n"/>
      <c r="L1177" s="28" t="n"/>
      <c r="M1177" s="28" t="n"/>
      <c r="N1177" s="5" t="n"/>
      <c r="O1177" s="5" t="n"/>
      <c r="P1177" s="5" t="n">
        <v>0</v>
      </c>
      <c r="Q1177" s="5" t="n">
        <v>0</v>
      </c>
      <c r="R1177" s="5" t="inlineStr">
        <is>
          <t>387-2023-12-31</t>
        </is>
      </c>
    </row>
    <row r="1178">
      <c r="A1178" s="5" t="n">
        <v>388</v>
      </c>
      <c r="B1178" s="5" t="inlineStr">
        <is>
          <t>Programas con matriz de resultados de aprendizaje por escuela</t>
        </is>
      </c>
      <c r="C1178" s="5" t="inlineStr">
        <is>
          <t>Gestión, Evaluación e Innovación Curricular</t>
        </is>
      </c>
      <c r="D1178" s="5" t="inlineStr">
        <is>
          <t>Semestral</t>
        </is>
      </c>
      <c r="E1178" s="5" t="inlineStr">
        <is>
          <t>Positivo</t>
        </is>
      </c>
      <c r="F1178" s="144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77</v>
      </c>
      <c r="K1178" s="5" t="n">
        <v>77</v>
      </c>
      <c r="L1178" s="28">
        <f>IFERROR(IF(OR(J1178=0,K1178=""),"",IF(E1178="Positivo",MIN(MAX(K1178/J1178,0),1.3),MIN(MAX(J1178/K1178,0),1.3))),"") </f>
        <v/>
      </c>
      <c r="M1178" s="28">
        <f>IFERROR(IF(OR(J1178=0,K1178=""),"",IF(E1178="Positivo",MAX(K1178/J1178,0),MAX(J1178/K1178,0))),"") </f>
        <v/>
      </c>
      <c r="N1178" s="5" t="n"/>
      <c r="O1178" s="5" t="n"/>
      <c r="P1178" s="5" t="n">
        <v>0</v>
      </c>
      <c r="Q1178" s="5" t="n">
        <v>0</v>
      </c>
      <c r="R1178" s="5" t="inlineStr">
        <is>
          <t>388-2023-06-30</t>
        </is>
      </c>
    </row>
    <row r="1179">
      <c r="A1179" s="5" t="n">
        <v>388</v>
      </c>
      <c r="B1179" s="5" t="inlineStr">
        <is>
          <t>Programas con matriz de resultados de aprendizaje por escuela</t>
        </is>
      </c>
      <c r="C1179" s="5" t="inlineStr">
        <is>
          <t>Gestión, Evaluación e Innovación Curricular</t>
        </is>
      </c>
      <c r="D1179" s="5" t="inlineStr">
        <is>
          <t>Semestral</t>
        </is>
      </c>
      <c r="E1179" s="5" t="inlineStr">
        <is>
          <t>Positivo</t>
        </is>
      </c>
      <c r="F1179" s="144" t="n">
        <v>45291</v>
      </c>
      <c r="G1179" s="5" t="n">
        <v>2023</v>
      </c>
      <c r="H1179" s="5" t="inlineStr">
        <is>
          <t>Diciembre</t>
        </is>
      </c>
      <c r="I1179" s="6" t="inlineStr">
        <is>
          <t>2023-2</t>
        </is>
      </c>
      <c r="J1179" s="5" t="n">
        <v>16</v>
      </c>
      <c r="K1179" s="5" t="n">
        <v>16</v>
      </c>
      <c r="L1179" s="28">
        <f>IFERROR(IF(OR(J1179=0,K1179=""),"",IF(E1179="Positivo",MIN(MAX(K1179/J1179,0),1.3),MIN(MAX(J1179/K1179,0),1.3))),"") </f>
        <v/>
      </c>
      <c r="M1179" s="28">
        <f>IFERROR(IF(OR(J1179=0,K1179=""),"",IF(E1179="Positivo",MAX(K1179/J1179,0),MAX(J1179/K1179,0))),"") </f>
        <v/>
      </c>
      <c r="N1179" s="5" t="n"/>
      <c r="O1179" s="5" t="n"/>
      <c r="P1179" s="5" t="n">
        <v>0</v>
      </c>
      <c r="Q1179" s="5" t="n">
        <v>0</v>
      </c>
      <c r="R1179" s="5" t="inlineStr">
        <is>
          <t>388-2023-12-31</t>
        </is>
      </c>
    </row>
    <row r="1180">
      <c r="A1180" s="5" t="n">
        <v>389</v>
      </c>
      <c r="B1180" s="5" t="inlineStr">
        <is>
          <t>Permanencia por escuela</t>
        </is>
      </c>
      <c r="C1180" s="5" t="inlineStr">
        <is>
          <t>Permanencia</t>
        </is>
      </c>
      <c r="D1180" s="5" t="inlineStr">
        <is>
          <t>Semestral</t>
        </is>
      </c>
      <c r="E1180" s="5" t="inlineStr">
        <is>
          <t>Positivo</t>
        </is>
      </c>
      <c r="F1180" s="144" t="n">
        <v>45107</v>
      </c>
      <c r="G1180" s="5" t="n">
        <v>2023</v>
      </c>
      <c r="H1180" s="5" t="inlineStr">
        <is>
          <t>Junio</t>
        </is>
      </c>
      <c r="I1180" s="6" t="inlineStr">
        <is>
          <t>2023-1</t>
        </is>
      </c>
      <c r="J1180" s="5" t="n">
        <v>91</v>
      </c>
      <c r="K1180" s="5" t="n">
        <v>0</v>
      </c>
      <c r="L1180" s="28">
        <f>IFERROR(IF(OR(J1180=0,K1180=""),"",IF(E1180="Positivo",MIN(MAX(K1180/J1180,0),1.3),MIN(MAX(J1180/K1180,0),1.3))),"") </f>
        <v/>
      </c>
      <c r="M1180" s="28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5" t="n">
        <v>0</v>
      </c>
      <c r="Q1180" s="5" t="n">
        <v>0</v>
      </c>
      <c r="R1180" s="5" t="inlineStr">
        <is>
          <t>389-2023-06-30</t>
        </is>
      </c>
    </row>
    <row r="1181">
      <c r="A1181" s="5" t="n">
        <v>389</v>
      </c>
      <c r="B1181" s="5" t="inlineStr">
        <is>
          <t>Permanencia por escuela</t>
        </is>
      </c>
      <c r="C1181" s="5" t="inlineStr">
        <is>
          <t>Permanencia</t>
        </is>
      </c>
      <c r="D1181" s="5" t="inlineStr">
        <is>
          <t>Semestral</t>
        </is>
      </c>
      <c r="E1181" s="5" t="inlineStr">
        <is>
          <t>Positivo</t>
        </is>
      </c>
      <c r="F1181" s="144" t="n">
        <v>45291</v>
      </c>
      <c r="G1181" s="5" t="n">
        <v>2023</v>
      </c>
      <c r="H1181" s="5" t="inlineStr">
        <is>
          <t>Diciembre</t>
        </is>
      </c>
      <c r="I1181" s="6" t="inlineStr">
        <is>
          <t>2023-2</t>
        </is>
      </c>
      <c r="J1181" s="5" t="n">
        <v>91</v>
      </c>
      <c r="K1181" s="5" t="n">
        <v>0</v>
      </c>
      <c r="L1181" s="28">
        <f>IFERROR(IF(OR(J1181=0,K1181=""),"",IF(E1181="Positivo",MIN(MAX(K1181/J1181,0),1.3),MIN(MAX(J1181/K1181,0),1.3))),"") </f>
        <v/>
      </c>
      <c r="M1181" s="28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5" t="n">
        <v>0</v>
      </c>
      <c r="Q1181" s="5" t="n">
        <v>0</v>
      </c>
      <c r="R1181" s="5" t="inlineStr">
        <is>
          <t>389-2023-12-31</t>
        </is>
      </c>
    </row>
    <row r="1182">
      <c r="A1182" s="5" t="n">
        <v>389</v>
      </c>
      <c r="B1182" s="5" t="inlineStr">
        <is>
          <t>Permanencia por escuela</t>
        </is>
      </c>
      <c r="C1182" s="5" t="inlineStr">
        <is>
          <t>Permanencia</t>
        </is>
      </c>
      <c r="D1182" s="5" t="inlineStr">
        <is>
          <t>Semestral</t>
        </is>
      </c>
      <c r="E1182" s="5" t="inlineStr">
        <is>
          <t>Positivo</t>
        </is>
      </c>
      <c r="F1182" s="144" t="n">
        <v>45473</v>
      </c>
      <c r="G1182" s="5" t="n">
        <v>2024</v>
      </c>
      <c r="H1182" s="5" t="inlineStr">
        <is>
          <t>Junio</t>
        </is>
      </c>
      <c r="I1182" s="6" t="inlineStr">
        <is>
          <t>2024-1</t>
        </is>
      </c>
      <c r="J1182" s="5" t="n">
        <v>85</v>
      </c>
      <c r="K1182" s="5" t="n">
        <v>84.43333333333332</v>
      </c>
      <c r="L1182" s="28">
        <f>IFERROR(IF(OR(J1182=0,K1182=""),"",IF(E1182="Positivo",MIN(MAX(K1182/J1182,0),1.3),MIN(MAX(J1182/K1182,0),1.3))),"") </f>
        <v/>
      </c>
      <c r="M1182" s="28">
        <f>IFERROR(IF(OR(J1182=0,K1182=""),"",IF(E1182="Positivo",MAX(K1182/J1182,0),MAX(J1182/K1182,0))),"") </f>
        <v/>
      </c>
      <c r="N1182" s="5" t="n"/>
      <c r="O1182" s="5" t="n"/>
      <c r="P1182" s="5" t="n">
        <v>0</v>
      </c>
      <c r="Q1182" s="5" t="n">
        <v>0</v>
      </c>
      <c r="R1182" s="5" t="inlineStr">
        <is>
          <t>389-2024-06-30</t>
        </is>
      </c>
    </row>
    <row r="1183">
      <c r="A1183" s="5" t="n">
        <v>389</v>
      </c>
      <c r="B1183" s="5" t="inlineStr">
        <is>
          <t>Permanencia por escuela</t>
        </is>
      </c>
      <c r="C1183" s="5" t="inlineStr">
        <is>
          <t>Permanencia</t>
        </is>
      </c>
      <c r="D1183" s="5" t="inlineStr">
        <is>
          <t>Semestral</t>
        </is>
      </c>
      <c r="E1183" s="5" t="inlineStr">
        <is>
          <t>Positivo</t>
        </is>
      </c>
      <c r="F1183" s="144" t="n">
        <v>45657</v>
      </c>
      <c r="G1183" s="5" t="n">
        <v>2024</v>
      </c>
      <c r="H1183" s="5" t="inlineStr">
        <is>
          <t>Diciembre</t>
        </is>
      </c>
      <c r="I1183" s="6" t="inlineStr">
        <is>
          <t>2024-2</t>
        </is>
      </c>
      <c r="J1183" s="138" t="n">
        <v>85</v>
      </c>
      <c r="K1183" s="122" t="n">
        <v>0</v>
      </c>
      <c r="L1183" s="28">
        <f>IFERROR(IF(OR(J1183=0,K1183=""),"",IF(E1183="Positivo",MIN(MAX(K1183/J1183,0),1.3),MIN(MAX(J1183/K1183,0),1.3))),"") </f>
        <v/>
      </c>
      <c r="M1183" s="28">
        <f>IFERROR(IF(OR(J1183=0,K1183=""),"",IF(E1183="Positivo",MAX(K1183/J1183,0),MAX(J1183/K1183,0))),"") </f>
        <v/>
      </c>
      <c r="N1183" s="5" t="n"/>
      <c r="O1183" s="5" t="n"/>
      <c r="P1183" s="5" t="n">
        <v>0</v>
      </c>
      <c r="Q1183" s="5" t="n">
        <v>0</v>
      </c>
      <c r="R1183" s="5" t="inlineStr">
        <is>
          <t>389-2024-12-31</t>
        </is>
      </c>
    </row>
    <row r="1184">
      <c r="A1184" s="39" t="n">
        <v>389</v>
      </c>
      <c r="B1184" s="5" t="inlineStr">
        <is>
          <t>Permanencia por escuela</t>
        </is>
      </c>
      <c r="C1184" s="5" t="inlineStr">
        <is>
          <t>Gestión de Unidades Académicas</t>
        </is>
      </c>
      <c r="D1184" s="5" t="inlineStr">
        <is>
          <t>Trimestral</t>
        </is>
      </c>
      <c r="E1184" s="5" t="inlineStr">
        <is>
          <t>Positivo</t>
        </is>
      </c>
      <c r="F1184" s="143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/>
      <c r="K1184" s="5" t="n">
        <v>0</v>
      </c>
      <c r="L1184" s="8" t="n"/>
      <c r="M1184" s="28" t="n"/>
      <c r="N1184" s="5" t="inlineStr">
        <is>
          <t>%</t>
        </is>
      </c>
      <c r="O1184" s="5" t="inlineStr">
        <is>
          <t>%</t>
        </is>
      </c>
      <c r="P1184" s="5" t="n">
        <v>0</v>
      </c>
      <c r="Q1184" s="5" t="n">
        <v>0</v>
      </c>
      <c r="R1184" s="5" t="inlineStr">
        <is>
          <t>389-2025-06-30</t>
        </is>
      </c>
    </row>
    <row r="1185">
      <c r="A1185" s="5" t="n">
        <v>390</v>
      </c>
      <c r="B1185" s="5" t="inlineStr">
        <is>
          <t>Cumplimiento Plan Anual por escuela</t>
        </is>
      </c>
      <c r="C1185" s="5" t="inlineStr">
        <is>
          <t>Planeación Estratégica</t>
        </is>
      </c>
      <c r="D1185" s="5" t="inlineStr">
        <is>
          <t>Trimestral</t>
        </is>
      </c>
      <c r="E1185" s="5" t="inlineStr">
        <is>
          <t>Positivo</t>
        </is>
      </c>
      <c r="F1185" s="144" t="n">
        <v>45016</v>
      </c>
      <c r="G1185" s="5" t="n">
        <v>2023</v>
      </c>
      <c r="H1185" s="5" t="inlineStr">
        <is>
          <t>Marzo</t>
        </is>
      </c>
      <c r="I1185" s="6" t="inlineStr">
        <is>
          <t>2023-1</t>
        </is>
      </c>
      <c r="J1185" s="5" t="n">
        <v>100</v>
      </c>
      <c r="K1185" s="5" t="n">
        <v>0</v>
      </c>
      <c r="L1185" s="28">
        <f>IFERROR(IF(OR(J1185=0,K1185=""),"",IF(E1185="Positivo",MIN(MAX(K1185/J1185,0),1.0),MIN(MAX(J1185/K1185,0),1.0))),"") </f>
        <v/>
      </c>
      <c r="M1185" s="28">
        <f>IFERROR(IF(OR(J1185=0,K1185=""),"",IF(E1185="Positivo",MAX(K1185/J1185,0),MAX(J1185/K1185,0))),"") </f>
        <v/>
      </c>
      <c r="N1185" s="11" t="n"/>
      <c r="O1185" s="11" t="n"/>
      <c r="P1185" s="5" t="n">
        <v>0</v>
      </c>
      <c r="Q1185" s="5" t="n">
        <v>0</v>
      </c>
      <c r="R1185" s="5" t="inlineStr">
        <is>
          <t>390-2023-03-31</t>
        </is>
      </c>
    </row>
    <row r="1186">
      <c r="A1186" s="5" t="n">
        <v>390</v>
      </c>
      <c r="B1186" s="5" t="inlineStr">
        <is>
          <t>Cumplimiento Plan Anual por escuela</t>
        </is>
      </c>
      <c r="C1186" s="5" t="inlineStr">
        <is>
          <t>Planeación Estratégica</t>
        </is>
      </c>
      <c r="D1186" s="5" t="inlineStr">
        <is>
          <t>Trimestral</t>
        </is>
      </c>
      <c r="E1186" s="5" t="inlineStr">
        <is>
          <t>Positivo</t>
        </is>
      </c>
      <c r="F1186" s="144" t="n">
        <v>45107</v>
      </c>
      <c r="G1186" s="5" t="n">
        <v>2023</v>
      </c>
      <c r="H1186" s="5" t="inlineStr">
        <is>
          <t>Junio</t>
        </is>
      </c>
      <c r="I1186" s="6" t="inlineStr">
        <is>
          <t>2023-1</t>
        </is>
      </c>
      <c r="J1186" s="5" t="n">
        <v>100</v>
      </c>
      <c r="K1186" s="5" t="n">
        <v>110.38416666667</v>
      </c>
      <c r="L1186" s="28">
        <f>IFERROR(IF(OR(J1186=0,K1186=""),"",IF(E1186="Positivo",MIN(MAX(K1186/J1186,0),1.0),MIN(MAX(J1186/K1186,0),1.0))),"") </f>
        <v/>
      </c>
      <c r="M1186" s="28">
        <f>IFERROR(IF(OR(J1186=0,K1186=""),"",IF(E1186="Positivo",MAX(K1186/J1186,0),MAX(J1186/K1186,0))),"") </f>
        <v/>
      </c>
      <c r="N1186" s="5" t="n"/>
      <c r="O1186" s="5" t="n"/>
      <c r="P1186" s="5" t="n">
        <v>0</v>
      </c>
      <c r="Q1186" s="5" t="n">
        <v>0</v>
      </c>
      <c r="R1186" s="5" t="inlineStr">
        <is>
          <t>390-2023-06-30</t>
        </is>
      </c>
    </row>
    <row r="1187">
      <c r="A1187" s="5" t="n">
        <v>390</v>
      </c>
      <c r="B1187" s="5" t="inlineStr">
        <is>
          <t>Cumplimiento Plan Anual por escuela</t>
        </is>
      </c>
      <c r="C1187" s="5" t="inlineStr">
        <is>
          <t>Planeación Estratégica</t>
        </is>
      </c>
      <c r="D1187" s="5" t="inlineStr">
        <is>
          <t>Trimestral</t>
        </is>
      </c>
      <c r="E1187" s="5" t="inlineStr">
        <is>
          <t>Positivo</t>
        </is>
      </c>
      <c r="F1187" s="144" t="n">
        <v>45199</v>
      </c>
      <c r="G1187" s="5" t="n">
        <v>2023</v>
      </c>
      <c r="H1187" s="5" t="inlineStr">
        <is>
          <t>Septiembre</t>
        </is>
      </c>
      <c r="I1187" s="6" t="inlineStr">
        <is>
          <t>2023-2</t>
        </is>
      </c>
      <c r="J1187" s="5" t="n">
        <v>100</v>
      </c>
      <c r="K1187" s="5" t="n">
        <v>95.34416666666699</v>
      </c>
      <c r="L1187" s="28">
        <f>IFERROR(IF(OR(J1187=0,K1187=""),"",IF(E1187="Positivo",MIN(MAX(K1187/J1187,0),1.0),MIN(MAX(J1187/K1187,0),1.0))),"") </f>
        <v/>
      </c>
      <c r="M1187" s="28">
        <f>IFERROR(IF(OR(J1187=0,K1187=""),"",IF(E1187="Positivo",MAX(K1187/J1187,0),MAX(J1187/K1187,0))),"") </f>
        <v/>
      </c>
      <c r="N1187" s="5" t="n"/>
      <c r="O1187" s="5" t="n"/>
      <c r="P1187" s="5" t="n">
        <v>0</v>
      </c>
      <c r="Q1187" s="5" t="n">
        <v>0</v>
      </c>
      <c r="R1187" s="5" t="inlineStr">
        <is>
          <t>390-2023-09-30</t>
        </is>
      </c>
    </row>
    <row r="1188">
      <c r="A1188" s="5" t="n">
        <v>390</v>
      </c>
      <c r="B1188" s="5" t="inlineStr">
        <is>
          <t>Cumplimiento Plan Anual por escuela</t>
        </is>
      </c>
      <c r="C1188" s="5" t="inlineStr">
        <is>
          <t>Planeación Estratégica</t>
        </is>
      </c>
      <c r="D1188" s="5" t="inlineStr">
        <is>
          <t>Trimestral</t>
        </is>
      </c>
      <c r="E1188" s="5" t="inlineStr">
        <is>
          <t>Positivo</t>
        </is>
      </c>
      <c r="F1188" s="144" t="n">
        <v>45291</v>
      </c>
      <c r="G1188" s="5" t="n">
        <v>2023</v>
      </c>
      <c r="H1188" s="5" t="inlineStr">
        <is>
          <t>Diciembre</t>
        </is>
      </c>
      <c r="I1188" s="6" t="inlineStr">
        <is>
          <t>2023-2</t>
        </is>
      </c>
      <c r="J1188" s="5" t="n">
        <v>100</v>
      </c>
      <c r="K1188" s="10" t="n">
        <v>99.24916666666699</v>
      </c>
      <c r="L1188" s="28">
        <f>IFERROR(IF(OR(J1188=0,K1188=""),"",IF(E1188="Positivo",MIN(MAX(K1188/J1188,0),1.0),MIN(MAX(J1188/K1188,0),1.0))),"") </f>
        <v/>
      </c>
      <c r="M1188" s="28">
        <f>IFERROR(IF(OR(J1188=0,K1188=""),"",IF(E1188="Positivo",MAX(K1188/J1188,0),MAX(J1188/K1188,0))),"") </f>
        <v/>
      </c>
      <c r="N1188" s="5" t="n"/>
      <c r="O1188" s="5" t="n"/>
      <c r="P1188" s="5" t="n">
        <v>0</v>
      </c>
      <c r="Q1188" s="5" t="n">
        <v>0</v>
      </c>
      <c r="R1188" s="5" t="inlineStr">
        <is>
          <t>390-2023-12-31</t>
        </is>
      </c>
    </row>
    <row r="1189">
      <c r="A1189" s="5" t="n">
        <v>390</v>
      </c>
      <c r="B1189" s="5" t="inlineStr">
        <is>
          <t>Cumplimiento Plan Anual por escuela</t>
        </is>
      </c>
      <c r="C1189" s="5" t="inlineStr">
        <is>
          <t>Planeación Estratégica</t>
        </is>
      </c>
      <c r="D1189" s="5" t="inlineStr">
        <is>
          <t>Trimestral</t>
        </is>
      </c>
      <c r="E1189" s="5" t="inlineStr">
        <is>
          <t>Positivo</t>
        </is>
      </c>
      <c r="F1189" s="144" t="n">
        <v>45473</v>
      </c>
      <c r="G1189" s="5" t="n">
        <v>2024</v>
      </c>
      <c r="H1189" s="5" t="inlineStr">
        <is>
          <t>Junio</t>
        </is>
      </c>
      <c r="I1189" s="6" t="inlineStr">
        <is>
          <t>2024-1</t>
        </is>
      </c>
      <c r="J1189" s="5" t="n">
        <v>100</v>
      </c>
      <c r="K1189" s="5" t="n">
        <v>110.59</v>
      </c>
      <c r="L1189" s="28">
        <f>IFERROR(IF(OR(J1189=0,K1189=""),"",IF(E1189="Positivo",MIN(MAX(K1189/J1189,0),1.0),MIN(MAX(J1189/K1189,0),1.0))),"") </f>
        <v/>
      </c>
      <c r="M1189" s="28">
        <f>IFERROR(IF(OR(J1189=0,K1189=""),"",IF(E1189="Positivo",MAX(K1189/J1189,0),MAX(J1189/K1189,0))),"") </f>
        <v/>
      </c>
      <c r="N1189" s="5" t="n"/>
      <c r="O1189" s="5" t="n"/>
      <c r="P1189" s="5" t="n">
        <v>0</v>
      </c>
      <c r="Q1189" s="5" t="n">
        <v>0</v>
      </c>
      <c r="R1189" s="5" t="inlineStr">
        <is>
          <t>390-2024-06-30</t>
        </is>
      </c>
    </row>
    <row r="1190">
      <c r="A1190" s="5" t="n">
        <v>390</v>
      </c>
      <c r="B1190" s="5" t="inlineStr">
        <is>
          <t>Cumplimiento Plan Anual por escuela</t>
        </is>
      </c>
      <c r="C1190" s="5" t="inlineStr">
        <is>
          <t>Planeación Estratégica</t>
        </is>
      </c>
      <c r="D1190" s="5" t="inlineStr">
        <is>
          <t>Trimestral</t>
        </is>
      </c>
      <c r="E1190" s="5" t="inlineStr">
        <is>
          <t>Positivo</t>
        </is>
      </c>
      <c r="F1190" s="144" t="n">
        <v>45657</v>
      </c>
      <c r="G1190" s="5" t="n">
        <v>2024</v>
      </c>
      <c r="H1190" s="5" t="inlineStr">
        <is>
          <t>Diciembre</t>
        </is>
      </c>
      <c r="I1190" s="6" t="inlineStr">
        <is>
          <t>2024-2</t>
        </is>
      </c>
      <c r="J1190" s="5" t="n">
        <v>100</v>
      </c>
      <c r="K1190" s="5" t="n">
        <v>99.92</v>
      </c>
      <c r="L1190" s="28">
        <f>IFERROR(IF(OR(J1190=0,K1190=""),"",IF(E1190="Positivo",MIN(MAX(K1190/J1190,0),1.0),MIN(MAX(J1190/K1190,0),1.0))),"") </f>
        <v/>
      </c>
      <c r="M1190" s="28">
        <f>IFERROR(IF(OR(J1190=0,K1190=""),"",IF(E1190="Positivo",MAX(K1190/J1190,0),MAX(J1190/K1190,0))),"") </f>
        <v/>
      </c>
      <c r="N1190" s="5" t="n"/>
      <c r="O1190" s="5" t="n"/>
      <c r="P1190" s="5" t="n">
        <v>0</v>
      </c>
      <c r="Q1190" s="5" t="n">
        <v>0</v>
      </c>
      <c r="R1190" s="5" t="inlineStr">
        <is>
          <t>390-2024-12-31</t>
        </is>
      </c>
    </row>
    <row r="1191">
      <c r="A1191" s="5" t="n">
        <v>390</v>
      </c>
      <c r="B1191" s="5" t="inlineStr">
        <is>
          <t>Cumplimiento Plan Anual por escuela</t>
        </is>
      </c>
      <c r="C1191" s="5" t="inlineStr">
        <is>
          <t>Planeación Estratégica</t>
        </is>
      </c>
      <c r="D1191" s="5" t="inlineStr">
        <is>
          <t>Semestral</t>
        </is>
      </c>
      <c r="E1191" s="5" t="inlineStr">
        <is>
          <t>Positivo</t>
        </is>
      </c>
      <c r="F1191" s="144" t="n">
        <v>45838</v>
      </c>
      <c r="G1191" s="5" t="n">
        <v>2025</v>
      </c>
      <c r="H1191" s="5" t="inlineStr">
        <is>
          <t>Junio</t>
        </is>
      </c>
      <c r="I1191" s="6" t="inlineStr">
        <is>
          <t>2025-1</t>
        </is>
      </c>
      <c r="J1191" s="5" t="n">
        <v>100</v>
      </c>
      <c r="K1191" s="5" t="n">
        <v>103.55</v>
      </c>
      <c r="L1191" s="28">
        <f>IFERROR(IF(OR(J1191=0,K1191=""),"",IF(E1191="Positivo",MIN(MAX(K1191/J1191,0),1.0),MIN(MAX(J1191/K1191,0),1.0))),"") </f>
        <v/>
      </c>
      <c r="M1191" s="28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5" t="n">
        <v>0</v>
      </c>
      <c r="Q1191" s="5" t="n">
        <v>0</v>
      </c>
      <c r="R1191" s="5" t="inlineStr">
        <is>
          <t>390-2025-06-30</t>
        </is>
      </c>
    </row>
    <row r="1192">
      <c r="A1192" s="5" t="n">
        <v>390</v>
      </c>
      <c r="B1192" s="5" t="inlineStr">
        <is>
          <t>Cumplimiento Plan Anual por escuela</t>
        </is>
      </c>
      <c r="C1192" s="5" t="inlineStr">
        <is>
          <t>Planeación Estratégica</t>
        </is>
      </c>
      <c r="D1192" s="5" t="inlineStr">
        <is>
          <t>Semestral</t>
        </is>
      </c>
      <c r="E1192" s="5" t="inlineStr">
        <is>
          <t>Positivo</t>
        </is>
      </c>
      <c r="F1192" s="144" t="n">
        <v>46022</v>
      </c>
      <c r="G1192" s="5" t="n">
        <v>2025</v>
      </c>
      <c r="H1192" s="5" t="inlineStr">
        <is>
          <t>Diciembre</t>
        </is>
      </c>
      <c r="I1192" s="6" t="inlineStr">
        <is>
          <t>2025-2</t>
        </is>
      </c>
      <c r="J1192" s="5" t="n">
        <v>100</v>
      </c>
      <c r="K1192" s="5" t="n">
        <v>99.78</v>
      </c>
      <c r="L1192" s="28">
        <f>IFERROR(IF(OR(J1192=0,K1192=""),"",IF(E1192="Positivo",MIN(MAX(K1192/J1192,0),1.0),MIN(MAX(J1192/K1192,0),1.0))),"") </f>
        <v/>
      </c>
      <c r="M1192" s="28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5" t="n">
        <v>0</v>
      </c>
      <c r="Q1192" s="5" t="n">
        <v>0</v>
      </c>
      <c r="R1192" s="5" t="inlineStr">
        <is>
          <t>390-2025-12-31</t>
        </is>
      </c>
    </row>
    <row r="1193">
      <c r="A1193" s="5" t="n">
        <v>391</v>
      </c>
      <c r="B1193" s="5" t="inlineStr">
        <is>
          <t>Satisfacción del cliente con campañas integradas de marketing</t>
        </is>
      </c>
      <c r="C1193" s="5" t="inlineStr">
        <is>
          <t>Gestión de campañas integradas de marketing</t>
        </is>
      </c>
      <c r="D1193" s="5" t="inlineStr">
        <is>
          <t>Semestral</t>
        </is>
      </c>
      <c r="E1193" s="5" t="inlineStr">
        <is>
          <t>Positivo</t>
        </is>
      </c>
      <c r="F1193" s="144" t="n">
        <v>45107</v>
      </c>
      <c r="G1193" s="5" t="n">
        <v>2023</v>
      </c>
      <c r="H1193" s="5" t="inlineStr">
        <is>
          <t>Junio</t>
        </is>
      </c>
      <c r="I1193" s="6" t="inlineStr">
        <is>
          <t>2023-1</t>
        </is>
      </c>
      <c r="J1193" s="5" t="n">
        <v>100</v>
      </c>
      <c r="K1193" s="10" t="n">
        <v>100</v>
      </c>
      <c r="L1193" s="28">
        <f>IFERROR(IF(OR(J1193=0,K1193=""),"",IF(E1193="Positivo",MIN(MAX(K1193/J1193,0),1.3),MIN(MAX(J1193/K1193,0),1.3))),"") </f>
        <v/>
      </c>
      <c r="M1193" s="28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5" t="n">
        <v>0</v>
      </c>
      <c r="Q1193" s="5" t="n">
        <v>0</v>
      </c>
      <c r="R1193" s="5" t="inlineStr">
        <is>
          <t>391-2023-06-30</t>
        </is>
      </c>
    </row>
    <row r="1194">
      <c r="A1194" s="5" t="n">
        <v>391</v>
      </c>
      <c r="B1194" s="5" t="inlineStr">
        <is>
          <t>Satisfacción del cliente con campañas integradas de marketing</t>
        </is>
      </c>
      <c r="C1194" s="5" t="inlineStr">
        <is>
          <t>Gestión de campañas integradas de marketing</t>
        </is>
      </c>
      <c r="D1194" s="5" t="inlineStr">
        <is>
          <t>Semestral</t>
        </is>
      </c>
      <c r="E1194" s="5" t="inlineStr">
        <is>
          <t>Positivo</t>
        </is>
      </c>
      <c r="F1194" s="144" t="n">
        <v>45291</v>
      </c>
      <c r="G1194" s="5" t="n">
        <v>2023</v>
      </c>
      <c r="H1194" s="5" t="inlineStr">
        <is>
          <t>Diciembre</t>
        </is>
      </c>
      <c r="I1194" s="6" t="inlineStr">
        <is>
          <t>2023-2</t>
        </is>
      </c>
      <c r="J1194" s="5" t="n">
        <v>100</v>
      </c>
      <c r="K1194" s="5" t="n">
        <v>100</v>
      </c>
      <c r="L1194" s="28">
        <f>IFERROR(IF(OR(J1194=0,K1194=""),"",IF(E1194="Positivo",MIN(MAX(K1194/J1194,0),1.3),MIN(MAX(J1194/K1194,0),1.3))),"") </f>
        <v/>
      </c>
      <c r="M1194" s="28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391-2023-12-31</t>
        </is>
      </c>
    </row>
    <row r="1195">
      <c r="A1195" s="43" t="n">
        <v>391</v>
      </c>
      <c r="B1195" s="5" t="inlineStr">
        <is>
          <t>Satisfacción del cliente con campañas integradas de marketing</t>
        </is>
      </c>
      <c r="C1195" s="5" t="inlineStr">
        <is>
          <t>Gestión de campañas integradas de marketing</t>
        </is>
      </c>
      <c r="D1195" s="5" t="inlineStr">
        <is>
          <t>Semestral</t>
        </is>
      </c>
      <c r="E1195" s="5" t="inlineStr">
        <is>
          <t>Positivo</t>
        </is>
      </c>
      <c r="F1195" s="144" t="n">
        <v>45473</v>
      </c>
      <c r="G1195" s="5" t="n">
        <v>2024</v>
      </c>
      <c r="H1195" s="5" t="inlineStr">
        <is>
          <t>Junio</t>
        </is>
      </c>
      <c r="I1195" s="6" t="inlineStr">
        <is>
          <t>2024-1</t>
        </is>
      </c>
      <c r="J1195" s="5" t="n">
        <v>96</v>
      </c>
      <c r="K1195" s="5" t="n">
        <v>100</v>
      </c>
      <c r="L1195" s="120">
        <f>IFERROR(IF(OR(J1195=0,K1195=""),"",IF(E1195="Positivo",MIN(MAX(K1195/J1195,0),1.3),MIN(MAX(J1195/K1195,0),1.3))),"") </f>
        <v/>
      </c>
      <c r="M1195" s="28">
        <f>IFERROR(IF(OR(J1195=0,K1195=""),"",IF(E1195="Positivo",MAX(K1195/J1195,0),MAX(J1195/K1195,0))),"") </f>
        <v/>
      </c>
      <c r="N1195" s="5" t="n"/>
      <c r="O1195" s="5" t="n"/>
      <c r="P1195" s="5" t="n">
        <v>0</v>
      </c>
      <c r="Q1195" s="5" t="n">
        <v>0</v>
      </c>
      <c r="R1195" s="5" t="inlineStr">
        <is>
          <t>391-2024-06-30</t>
        </is>
      </c>
    </row>
    <row r="1196">
      <c r="A1196" s="5" t="n">
        <v>391</v>
      </c>
      <c r="B1196" s="5" t="inlineStr">
        <is>
          <t>Satisfacción del cliente con campañas integradas de marketing</t>
        </is>
      </c>
      <c r="C1196" s="5" t="inlineStr">
        <is>
          <t>Gestión de campañas integradas de marketing</t>
        </is>
      </c>
      <c r="D1196" s="5" t="inlineStr">
        <is>
          <t>Semestral</t>
        </is>
      </c>
      <c r="E1196" s="5" t="inlineStr">
        <is>
          <t>Positivo</t>
        </is>
      </c>
      <c r="F1196" s="144" t="n">
        <v>45657</v>
      </c>
      <c r="G1196" s="5" t="n">
        <v>2024</v>
      </c>
      <c r="H1196" s="5" t="inlineStr">
        <is>
          <t>Diciembre</t>
        </is>
      </c>
      <c r="I1196" s="6" t="inlineStr">
        <is>
          <t>2024-2</t>
        </is>
      </c>
      <c r="J1196" s="119" t="n">
        <v>96</v>
      </c>
      <c r="K1196" s="123" t="n">
        <v>100</v>
      </c>
      <c r="L1196" s="28">
        <f>IFERROR(IF(OR(J1196=0,K1196=""),"",IF(E1196="Positivo",MIN(MAX(K1196/J1196,0),1.3),MIN(MAX(J1196/K1196,0),1.3))),"") </f>
        <v/>
      </c>
      <c r="M1196" s="28">
        <f>IFERROR(IF(OR(J1196=0,K1196=""),"",IF(E1196="Positivo",MAX(K1196/J1196,0),MAX(J1196/K1196,0))),"") </f>
        <v/>
      </c>
      <c r="N1196" s="5" t="n"/>
      <c r="O1196" s="5" t="n"/>
      <c r="P1196" s="5" t="n">
        <v>0</v>
      </c>
      <c r="Q1196" s="5" t="n">
        <v>0</v>
      </c>
      <c r="R1196" s="5" t="inlineStr">
        <is>
          <t>391-2024-12-31</t>
        </is>
      </c>
    </row>
    <row r="1197">
      <c r="A1197" s="5" t="n">
        <v>392</v>
      </c>
      <c r="B1197" s="5" t="inlineStr">
        <is>
          <t>Ahorro institucional con base en la monetización de los servicios</t>
        </is>
      </c>
      <c r="C1197" s="5" t="inlineStr">
        <is>
          <t>Gestión de campañas integradas de marketing</t>
        </is>
      </c>
      <c r="D1197" s="5" t="inlineStr">
        <is>
          <t>Semestral</t>
        </is>
      </c>
      <c r="E1197" s="5" t="inlineStr">
        <is>
          <t>Positivo</t>
        </is>
      </c>
      <c r="F1197" s="144" t="n">
        <v>45107</v>
      </c>
      <c r="G1197" s="5" t="n">
        <v>2023</v>
      </c>
      <c r="H1197" s="5" t="inlineStr">
        <is>
          <t>Junio</t>
        </is>
      </c>
      <c r="I1197" s="6" t="inlineStr">
        <is>
          <t>2023-1</t>
        </is>
      </c>
      <c r="J1197" s="5" t="n">
        <v>100</v>
      </c>
      <c r="K1197" s="5" t="n">
        <v>110.09198322581</v>
      </c>
      <c r="L1197" s="28">
        <f>IFERROR(IF(OR(J1197=0,K1197=""),"",IF(E1197="Positivo",MIN(MAX(K1197/J1197,0),1.3),MIN(MAX(J1197/K1197,0),1.3))),"") </f>
        <v/>
      </c>
      <c r="M1197" s="28">
        <f>IFERROR(IF(OR(J1197=0,K1197=""),"",IF(E1197="Positivo",MAX(K1197/J1197,0),MAX(J1197/K1197,0))),"") </f>
        <v/>
      </c>
      <c r="N1197" s="5" t="n"/>
      <c r="O1197" s="5" t="n"/>
      <c r="P1197" s="5" t="n">
        <v>0</v>
      </c>
      <c r="Q1197" s="5" t="n">
        <v>0</v>
      </c>
      <c r="R1197" s="5" t="inlineStr">
        <is>
          <t>392-2023-06-30</t>
        </is>
      </c>
    </row>
    <row r="1198">
      <c r="A1198" s="5" t="n">
        <v>392</v>
      </c>
      <c r="B1198" s="5" t="inlineStr">
        <is>
          <t>Ahorro institucional con base en la monetización de los servicios</t>
        </is>
      </c>
      <c r="C1198" s="5" t="inlineStr">
        <is>
          <t>Gestión de campañas integradas de marketing</t>
        </is>
      </c>
      <c r="D1198" s="5" t="inlineStr">
        <is>
          <t>Semestral</t>
        </is>
      </c>
      <c r="E1198" s="5" t="inlineStr">
        <is>
          <t>Positivo</t>
        </is>
      </c>
      <c r="F1198" s="144" t="n">
        <v>45291</v>
      </c>
      <c r="G1198" s="5" t="n">
        <v>2023</v>
      </c>
      <c r="H1198" s="5" t="inlineStr">
        <is>
          <t>Diciembre</t>
        </is>
      </c>
      <c r="I1198" s="6" t="inlineStr">
        <is>
          <t>2023-2</t>
        </is>
      </c>
      <c r="J1198" s="5" t="n">
        <v>100</v>
      </c>
      <c r="K1198" s="5" t="n">
        <v>147.38</v>
      </c>
      <c r="L1198" s="28">
        <f>IFERROR(IF(OR(J1198=0,K1198=""),"",IF(E1198="Positivo",MIN(MAX(K1198/J1198,0),1.3),MIN(MAX(J1198/K1198,0),1.3))),"") </f>
        <v/>
      </c>
      <c r="M1198" s="28">
        <f>IFERROR(IF(OR(J1198=0,K1198=""),"",IF(E1198="Positivo",MAX(K1198/J1198,0),MAX(J1198/K1198,0))),"") </f>
        <v/>
      </c>
      <c r="N1198" s="5" t="n"/>
      <c r="O1198" s="5" t="n"/>
      <c r="P1198" s="5" t="n">
        <v>0</v>
      </c>
      <c r="Q1198" s="5" t="n">
        <v>0</v>
      </c>
      <c r="R1198" s="5" t="inlineStr">
        <is>
          <t>392-2023-12-31</t>
        </is>
      </c>
    </row>
    <row r="1199">
      <c r="A1199" s="5" t="n">
        <v>392</v>
      </c>
      <c r="B1199" s="5" t="inlineStr">
        <is>
          <t>Ahorro institucional con base en la monetización de los servicios</t>
        </is>
      </c>
      <c r="C1199" s="5" t="inlineStr">
        <is>
          <t>Gestión de campañas integradas de marketing</t>
        </is>
      </c>
      <c r="D1199" s="5" t="inlineStr">
        <is>
          <t>Semestral</t>
        </is>
      </c>
      <c r="E1199" s="5" t="inlineStr">
        <is>
          <t>Positivo</t>
        </is>
      </c>
      <c r="F1199" s="144" t="n">
        <v>45473</v>
      </c>
      <c r="G1199" s="5" t="n">
        <v>2024</v>
      </c>
      <c r="H1199" s="5" t="inlineStr">
        <is>
          <t>Junio</t>
        </is>
      </c>
      <c r="I1199" s="6" t="inlineStr">
        <is>
          <t>2024-1</t>
        </is>
      </c>
      <c r="J1199" s="5" t="n">
        <v>100</v>
      </c>
      <c r="K1199" s="5" t="n">
        <v>98.11</v>
      </c>
      <c r="L1199" s="28">
        <f>IFERROR(IF(OR(J1199=0,K1199=""),"",IF(E1199="Positivo",MIN(MAX(K1199/J1199,0),1.3),MIN(MAX(J1199/K1199,0),1.3))),"") </f>
        <v/>
      </c>
      <c r="M1199" s="28">
        <f>IFERROR(IF(OR(J1199=0,K1199=""),"",IF(E1199="Positivo",MAX(K1199/J1199,0),MAX(J1199/K1199,0))),"") </f>
        <v/>
      </c>
      <c r="N1199" s="5" t="n"/>
      <c r="O1199" s="5" t="n"/>
      <c r="P1199" s="5" t="n">
        <v>0</v>
      </c>
      <c r="Q1199" s="5" t="n">
        <v>0</v>
      </c>
      <c r="R1199" s="5" t="inlineStr">
        <is>
          <t>392-2024-06-30</t>
        </is>
      </c>
    </row>
    <row r="1200">
      <c r="A1200" s="5" t="n">
        <v>392</v>
      </c>
      <c r="B1200" s="5" t="inlineStr">
        <is>
          <t>Ahorro institucional con base en la monetización de los servicios</t>
        </is>
      </c>
      <c r="C1200" s="5" t="inlineStr">
        <is>
          <t>Gestión de campañas integradas de marketing</t>
        </is>
      </c>
      <c r="D1200" s="5" t="inlineStr">
        <is>
          <t>Semestral</t>
        </is>
      </c>
      <c r="E1200" s="5" t="inlineStr">
        <is>
          <t>Positivo</t>
        </is>
      </c>
      <c r="F1200" s="144" t="n">
        <v>45657</v>
      </c>
      <c r="G1200" s="5" t="n">
        <v>2024</v>
      </c>
      <c r="H1200" s="5" t="inlineStr">
        <is>
          <t>Diciembre</t>
        </is>
      </c>
      <c r="I1200" s="6" t="inlineStr">
        <is>
          <t>2024-2</t>
        </is>
      </c>
      <c r="J1200" s="5" t="n">
        <v>100</v>
      </c>
      <c r="K1200" s="5" t="n">
        <v>145.21</v>
      </c>
      <c r="L1200" s="28">
        <f>IFERROR(IF(OR(J1200=0,K1200=""),"",IF(E1200="Positivo",MIN(MAX(K1200/J1200,0),1.3),MIN(MAX(J1200/K1200,0),1.3))),"") </f>
        <v/>
      </c>
      <c r="M1200" s="28">
        <f>IFERROR(IF(OR(J1200=0,K1200=""),"",IF(E1200="Positivo",MAX(K1200/J1200,0),MAX(J1200/K1200,0))),"") </f>
        <v/>
      </c>
      <c r="N1200" s="5" t="n"/>
      <c r="O1200" s="5" t="n"/>
      <c r="P1200" s="5" t="n">
        <v>0</v>
      </c>
      <c r="Q1200" s="5" t="n">
        <v>0</v>
      </c>
      <c r="R1200" s="5" t="inlineStr">
        <is>
          <t>392-2024-12-31</t>
        </is>
      </c>
    </row>
    <row r="1201">
      <c r="A1201" s="5" t="n">
        <v>392</v>
      </c>
      <c r="B1201" s="5" t="inlineStr">
        <is>
          <t>Ahorro institucional con base en la monetización de los servicios</t>
        </is>
      </c>
      <c r="C1201" s="5" t="inlineStr">
        <is>
          <t>Gestión de campañas integradas de marketing</t>
        </is>
      </c>
      <c r="D1201" s="5" t="inlineStr">
        <is>
          <t>Anual</t>
        </is>
      </c>
      <c r="E1201" s="5" t="inlineStr">
        <is>
          <t>Positivo</t>
        </is>
      </c>
      <c r="F1201" s="144" t="n">
        <v>46022</v>
      </c>
      <c r="G1201" s="5" t="n">
        <v>2025</v>
      </c>
      <c r="H1201" s="5" t="inlineStr">
        <is>
          <t>Diciembre</t>
        </is>
      </c>
      <c r="I1201" s="6" t="inlineStr">
        <is>
          <t>2025-2</t>
        </is>
      </c>
      <c r="J1201" s="5" t="n">
        <v>100</v>
      </c>
      <c r="K1201" s="5" t="n">
        <v>100.8</v>
      </c>
      <c r="L1201" s="28">
        <f>IFERROR(IF(OR(J1201=0,K1201=""),"",IF(E1201="Positivo",MIN(MAX(K1201/J1201,0),1.3),MIN(MAX(J1201/K1201,0),1.3))),"") </f>
        <v/>
      </c>
      <c r="M1201" s="28">
        <f>IFERROR(IF(OR(J1201=0,K1201=""),"",IF(E1201="Positivo",MAX(K1201/J1201,0),MAX(J1201/K1201,0))),"") </f>
        <v/>
      </c>
      <c r="N1201" s="5" t="inlineStr">
        <is>
          <t>$</t>
        </is>
      </c>
      <c r="O1201" s="5" t="inlineStr">
        <is>
          <t>$</t>
        </is>
      </c>
      <c r="P1201" s="5" t="n">
        <v>0</v>
      </c>
      <c r="Q1201" s="5" t="n">
        <v>0</v>
      </c>
      <c r="R1201" s="5" t="inlineStr">
        <is>
          <t>392-2025-12-31</t>
        </is>
      </c>
    </row>
    <row r="1202">
      <c r="A1202" s="5" t="n">
        <v>393</v>
      </c>
      <c r="B1202" s="5" t="inlineStr">
        <is>
          <t>Disminución de los tiempos empleados en el desarrollo de las solicitudes</t>
        </is>
      </c>
      <c r="C1202" s="5" t="inlineStr">
        <is>
          <t>Gestión de campañas integradas de marketing</t>
        </is>
      </c>
      <c r="D1202" s="5" t="inlineStr">
        <is>
          <t>Anual</t>
        </is>
      </c>
      <c r="E1202" s="5" t="inlineStr">
        <is>
          <t>Positivo</t>
        </is>
      </c>
      <c r="F1202" s="144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15</v>
      </c>
      <c r="K1202" s="5" t="n">
        <v>15.45</v>
      </c>
      <c r="L1202" s="28">
        <f>IFERROR(IF(OR(J1202=0,K1202=""),"",IF(E1202="Positivo",MIN(MAX(K1202/J1202,0),1.3),MIN(MAX(J1202/K1202,0),1.3))),"") </f>
        <v/>
      </c>
      <c r="M1202" s="28">
        <f>IFERROR(IF(OR(J1202=0,K1202=""),"",IF(E1202="Positivo",MAX(K1202/J1202,0),MAX(J1202/K1202,0))),"") </f>
        <v/>
      </c>
      <c r="N1202" s="5" t="n"/>
      <c r="O1202" s="5" t="n"/>
      <c r="P1202" s="5" t="n">
        <v>1</v>
      </c>
      <c r="Q1202" s="5" t="n">
        <v>1</v>
      </c>
      <c r="R1202" s="5" t="inlineStr">
        <is>
          <t>393-2023-12-31</t>
        </is>
      </c>
    </row>
    <row r="1203">
      <c r="A1203" s="5" t="n">
        <v>393</v>
      </c>
      <c r="B1203" s="5" t="inlineStr">
        <is>
          <t>Disminución de los tiempos empleados en el desarrollo de las solicitudes</t>
        </is>
      </c>
      <c r="C1203" s="5" t="inlineStr">
        <is>
          <t>Gestión de campañas integradas de marketing</t>
        </is>
      </c>
      <c r="D1203" s="5" t="inlineStr">
        <is>
          <t>Anual</t>
        </is>
      </c>
      <c r="E1203" s="5" t="inlineStr">
        <is>
          <t>Negativo</t>
        </is>
      </c>
      <c r="F1203" s="144" t="n">
        <v>45657</v>
      </c>
      <c r="G1203" s="5" t="n">
        <v>2024</v>
      </c>
      <c r="H1203" s="5" t="inlineStr">
        <is>
          <t>Diciembre</t>
        </is>
      </c>
      <c r="I1203" s="6" t="inlineStr">
        <is>
          <t>2024-2</t>
        </is>
      </c>
      <c r="J1203" s="5" t="n">
        <v>15</v>
      </c>
      <c r="K1203" s="5" t="n">
        <v>13</v>
      </c>
      <c r="L1203" s="28">
        <f>IFERROR(IF(OR(J1203=0,K1203=""),"",IF(E1203="Positivo",MIN(MAX(K1203/J1203,0),1.3),MIN(MAX(J1203/K1203,0),1.3))),"") </f>
        <v/>
      </c>
      <c r="M1203" s="28">
        <f>IFERROR(IF(OR(J1203=0,K1203=""),"",IF(E1203="Positivo",MAX(K1203/J1203,0),MAX(J1203/K1203,0))),"") </f>
        <v/>
      </c>
      <c r="N1203" s="5" t="n"/>
      <c r="O1203" s="5" t="n"/>
      <c r="P1203" s="5" t="n">
        <v>0</v>
      </c>
      <c r="Q1203" s="5" t="n">
        <v>0</v>
      </c>
      <c r="R1203" s="5" t="inlineStr">
        <is>
          <t>393-2024-12-31</t>
        </is>
      </c>
    </row>
    <row r="1204">
      <c r="A1204" s="5" t="n">
        <v>393</v>
      </c>
      <c r="B1204" s="5" t="inlineStr">
        <is>
          <t>Disminución de los tiempos empleados en el desarrollo de las solicitudes</t>
        </is>
      </c>
      <c r="C1204" s="5" t="inlineStr">
        <is>
          <t>Gestión de campañas integradas de marketing</t>
        </is>
      </c>
      <c r="D1204" s="5" t="inlineStr">
        <is>
          <t>Anual</t>
        </is>
      </c>
      <c r="E1204" s="5" t="inlineStr">
        <is>
          <t>Negativo</t>
        </is>
      </c>
      <c r="F1204" s="144" t="n">
        <v>46022</v>
      </c>
      <c r="G1204" s="5" t="n">
        <v>2025</v>
      </c>
      <c r="H1204" s="5" t="inlineStr">
        <is>
          <t>Diciembre</t>
        </is>
      </c>
      <c r="I1204" s="6" t="inlineStr">
        <is>
          <t>2025-2</t>
        </is>
      </c>
      <c r="J1204" s="5" t="n"/>
      <c r="K1204" s="5" t="n">
        <v>12</v>
      </c>
      <c r="L1204" s="28" t="n"/>
      <c r="M1204" s="28" t="n"/>
      <c r="N1204" s="5" t="inlineStr">
        <is>
          <t>ENT</t>
        </is>
      </c>
      <c r="O1204" s="5" t="inlineStr">
        <is>
          <t>DEC</t>
        </is>
      </c>
      <c r="P1204" s="5" t="n">
        <v>1</v>
      </c>
      <c r="Q1204" s="5" t="n">
        <v>1</v>
      </c>
      <c r="R1204" s="5" t="inlineStr">
        <is>
          <t>393-2025-12-31</t>
        </is>
      </c>
    </row>
    <row r="1205">
      <c r="A1205" s="5" t="n">
        <v>394</v>
      </c>
      <c r="B1205" s="5" t="inlineStr">
        <is>
          <t>Publicaciones en medios de comunicación Tier 1 y Tier 2</t>
        </is>
      </c>
      <c r="C1205" s="5" t="inlineStr">
        <is>
          <t>Comunicaciones Externas</t>
        </is>
      </c>
      <c r="D1205" s="5" t="inlineStr">
        <is>
          <t>Semestral</t>
        </is>
      </c>
      <c r="E1205" s="5" t="inlineStr">
        <is>
          <t>Positivo</t>
        </is>
      </c>
      <c r="F1205" s="144" t="n">
        <v>45107</v>
      </c>
      <c r="G1205" s="5" t="n">
        <v>2023</v>
      </c>
      <c r="H1205" s="5" t="inlineStr">
        <is>
          <t>Junio</t>
        </is>
      </c>
      <c r="I1205" s="6" t="inlineStr">
        <is>
          <t>2023-1</t>
        </is>
      </c>
      <c r="J1205" s="5" t="n">
        <v>100</v>
      </c>
      <c r="K1205" s="5" t="n">
        <v>275.42857142857</v>
      </c>
      <c r="L1205" s="28">
        <f>IFERROR(IF(OR(J1205=0,K1205=""),"",IF(E1205="Positivo",MIN(MAX(K1205/J1205,0),1.3),MIN(MAX(J1205/K1205,0),1.3))),"") </f>
        <v/>
      </c>
      <c r="M1205" s="28">
        <f>IFERROR(IF(OR(J1205=0,K1205=""),"",IF(E1205="Positivo",MAX(K1205/J1205,0),MAX(J1205/K1205,0))),"") </f>
        <v/>
      </c>
      <c r="N1205" s="5" t="inlineStr">
        <is>
          <t>ENT</t>
        </is>
      </c>
      <c r="O1205" s="5" t="inlineStr">
        <is>
          <t>ENT</t>
        </is>
      </c>
      <c r="P1205" s="5" t="n">
        <v>0</v>
      </c>
      <c r="Q1205" s="5" t="n">
        <v>0</v>
      </c>
      <c r="R1205" s="5" t="inlineStr">
        <is>
          <t>394-2023-06-30</t>
        </is>
      </c>
    </row>
    <row r="1206">
      <c r="A1206" s="5" t="n">
        <v>394</v>
      </c>
      <c r="B1206" s="5" t="inlineStr">
        <is>
          <t>Publicaciones en medios de comunicación Tier 1 y Tier 2</t>
        </is>
      </c>
      <c r="C1206" s="5" t="inlineStr">
        <is>
          <t>Comunicaciones Externas</t>
        </is>
      </c>
      <c r="D1206" s="5" t="inlineStr">
        <is>
          <t>Semestral</t>
        </is>
      </c>
      <c r="E1206" s="5" t="inlineStr">
        <is>
          <t>Positivo</t>
        </is>
      </c>
      <c r="F1206" s="144" t="n">
        <v>45291</v>
      </c>
      <c r="G1206" s="5" t="n">
        <v>2023</v>
      </c>
      <c r="H1206" s="5" t="inlineStr">
        <is>
          <t>Diciembre</t>
        </is>
      </c>
      <c r="I1206" s="6" t="inlineStr">
        <is>
          <t>2023-2</t>
        </is>
      </c>
      <c r="J1206" s="5" t="n">
        <v>100</v>
      </c>
      <c r="K1206" s="5" t="n">
        <v>349.71</v>
      </c>
      <c r="L1206" s="28">
        <f>IFERROR(IF(OR(J1206=0,K1206=""),"",IF(E1206="Positivo",MIN(MAX(K1206/J1206,0),1.3),MIN(MAX(J1206/K1206,0),1.3))),"") </f>
        <v/>
      </c>
      <c r="M1206" s="28">
        <f>IFERROR(IF(OR(J1206=0,K1206=""),"",IF(E1206="Positivo",MAX(K1206/J1206,0),MAX(J1206/K1206,0))),"") </f>
        <v/>
      </c>
      <c r="N1206" s="5" t="inlineStr">
        <is>
          <t>ENT</t>
        </is>
      </c>
      <c r="O1206" s="5" t="inlineStr">
        <is>
          <t>ENT</t>
        </is>
      </c>
      <c r="P1206" s="5" t="n">
        <v>0</v>
      </c>
      <c r="Q1206" s="5" t="n">
        <v>0</v>
      </c>
      <c r="R1206" s="5" t="inlineStr">
        <is>
          <t>394-2023-12-31</t>
        </is>
      </c>
    </row>
    <row r="1207">
      <c r="A1207" s="5" t="n">
        <v>394</v>
      </c>
      <c r="B1207" s="5" t="inlineStr">
        <is>
          <t>Publicaciones en medios de comunicación Tier 1 y Tier 2</t>
        </is>
      </c>
      <c r="C1207" s="5" t="inlineStr">
        <is>
          <t>Comunicaciones Externas</t>
        </is>
      </c>
      <c r="D1207" s="5" t="inlineStr">
        <is>
          <t>Semestral</t>
        </is>
      </c>
      <c r="E1207" s="5" t="inlineStr">
        <is>
          <t>Positivo</t>
        </is>
      </c>
      <c r="F1207" s="144" t="n">
        <v>45473</v>
      </c>
      <c r="G1207" s="5" t="n">
        <v>2024</v>
      </c>
      <c r="H1207" s="5" t="inlineStr">
        <is>
          <t>Junio</t>
        </is>
      </c>
      <c r="I1207" s="6" t="inlineStr">
        <is>
          <t>2024-1</t>
        </is>
      </c>
      <c r="J1207" s="5" t="n">
        <v>100</v>
      </c>
      <c r="K1207" s="5" t="n">
        <v>118.6</v>
      </c>
      <c r="L1207" s="28">
        <f>IFERROR(IF(OR(J1207=0,K1207=""),"",IF(E1207="Positivo",MIN(MAX(K1207/J1207,0),1.3),MIN(MAX(J1207/K1207,0),1.3))),"") </f>
        <v/>
      </c>
      <c r="M1207" s="28">
        <f>IFERROR(IF(OR(J1207=0,K1207=""),"",IF(E1207="Positivo",MAX(K1207/J1207,0),MAX(J1207/K1207,0))),"") </f>
        <v/>
      </c>
      <c r="N1207" s="5" t="inlineStr">
        <is>
          <t>ENT</t>
        </is>
      </c>
      <c r="O1207" s="5" t="inlineStr">
        <is>
          <t>ENT</t>
        </is>
      </c>
      <c r="P1207" s="5" t="n">
        <v>0</v>
      </c>
      <c r="Q1207" s="5" t="n">
        <v>0</v>
      </c>
      <c r="R1207" s="5" t="inlineStr">
        <is>
          <t>394-2024-06-30</t>
        </is>
      </c>
    </row>
    <row r="1208">
      <c r="A1208" s="5" t="n">
        <v>394</v>
      </c>
      <c r="B1208" s="5" t="inlineStr">
        <is>
          <t>Publicaciones en medios de comunicación Tier 1 y Tier 2</t>
        </is>
      </c>
      <c r="C1208" s="5" t="inlineStr">
        <is>
          <t>Comunicaciones Externas</t>
        </is>
      </c>
      <c r="D1208" s="5" t="inlineStr">
        <is>
          <t>Semestral</t>
        </is>
      </c>
      <c r="E1208" s="5" t="inlineStr">
        <is>
          <t>Positivo</t>
        </is>
      </c>
      <c r="F1208" s="144" t="n">
        <v>45657</v>
      </c>
      <c r="G1208" s="5" t="n">
        <v>2024</v>
      </c>
      <c r="H1208" s="5" t="inlineStr">
        <is>
          <t>Diciembre</t>
        </is>
      </c>
      <c r="I1208" s="6" t="inlineStr">
        <is>
          <t>2024-2</t>
        </is>
      </c>
      <c r="J1208" s="5" t="n">
        <v>100</v>
      </c>
      <c r="K1208" s="10" t="n">
        <v>192</v>
      </c>
      <c r="L1208" s="28">
        <f>IFERROR(IF(OR(J1208=0,K1208=""),"",IF(E1208="Positivo",MIN(MAX(K1208/J1208,0),1.3),MIN(MAX(J1208/K1208,0),1.3))),"") </f>
        <v/>
      </c>
      <c r="M1208" s="28">
        <f>IFERROR(IF(OR(J1208=0,K1208=""),"",IF(E1208="Positivo",MAX(K1208/J1208,0),MAX(J1208/K1208,0))),"") </f>
        <v/>
      </c>
      <c r="N1208" s="5" t="inlineStr">
        <is>
          <t>ENT</t>
        </is>
      </c>
      <c r="O1208" s="5" t="inlineStr">
        <is>
          <t>ENT</t>
        </is>
      </c>
      <c r="P1208" s="5" t="n">
        <v>0</v>
      </c>
      <c r="Q1208" s="5" t="n">
        <v>0</v>
      </c>
      <c r="R1208" s="5" t="inlineStr">
        <is>
          <t>394-2024-12-31</t>
        </is>
      </c>
    </row>
    <row r="1209">
      <c r="A1209" s="5" t="n">
        <v>394</v>
      </c>
      <c r="B1209" s="5" t="inlineStr">
        <is>
          <t>Publicaciones en medios de comunicación Tier 1 y Tier 2</t>
        </is>
      </c>
      <c r="C1209" s="5" t="inlineStr">
        <is>
          <t>Comunicaciones Externas</t>
        </is>
      </c>
      <c r="D1209" s="5" t="inlineStr">
        <is>
          <t>Semestral</t>
        </is>
      </c>
      <c r="E1209" s="5" t="inlineStr">
        <is>
          <t>Positivo</t>
        </is>
      </c>
      <c r="F1209" s="144" t="n">
        <v>45838</v>
      </c>
      <c r="G1209" s="5" t="n">
        <v>2025</v>
      </c>
      <c r="H1209" s="5" t="inlineStr">
        <is>
          <t>Junio</t>
        </is>
      </c>
      <c r="I1209" s="6" t="inlineStr">
        <is>
          <t>2025-1</t>
        </is>
      </c>
      <c r="J1209" s="5" t="n">
        <v>100</v>
      </c>
      <c r="K1209" s="5" t="n">
        <v>162.18</v>
      </c>
      <c r="L1209" s="28">
        <f>IFERROR(IF(OR(J1209=0,K1209=""),"",IF(E1209="Positivo",MIN(MAX(K1209/J1209,0),1.3),MIN(MAX(J1209/K1209,0),1.3))),"") </f>
        <v/>
      </c>
      <c r="M1209" s="28">
        <f>IFERROR(IF(OR(J1209=0,K1209=""),"",IF(E1209="Positivo",MAX(K1209/J1209,0),MAX(J1209/K1209,0))),"") </f>
        <v/>
      </c>
      <c r="N1209" s="5" t="inlineStr">
        <is>
          <t>ENT</t>
        </is>
      </c>
      <c r="O1209" s="5" t="inlineStr">
        <is>
          <t>ENT</t>
        </is>
      </c>
      <c r="P1209" s="5" t="n">
        <v>0</v>
      </c>
      <c r="Q1209" s="5" t="n">
        <v>0</v>
      </c>
      <c r="R1209" s="5" t="inlineStr">
        <is>
          <t>394-2025-06-30</t>
        </is>
      </c>
    </row>
    <row r="1210">
      <c r="A1210" s="5" t="n">
        <v>394</v>
      </c>
      <c r="B1210" s="5" t="inlineStr">
        <is>
          <t>Publicaciones en medios de comunicación Tier 1 y Tier 2</t>
        </is>
      </c>
      <c r="C1210" s="5" t="inlineStr">
        <is>
          <t>Comunicaciones Externas</t>
        </is>
      </c>
      <c r="D1210" s="5" t="inlineStr">
        <is>
          <t>Semestral</t>
        </is>
      </c>
      <c r="E1210" s="5" t="inlineStr">
        <is>
          <t>Positivo</t>
        </is>
      </c>
      <c r="F1210" s="144" t="n">
        <v>46022</v>
      </c>
      <c r="G1210" s="5" t="n">
        <v>2025</v>
      </c>
      <c r="H1210" s="5" t="inlineStr">
        <is>
          <t>Diciembre</t>
        </is>
      </c>
      <c r="I1210" s="6" t="inlineStr">
        <is>
          <t>2025-2</t>
        </is>
      </c>
      <c r="J1210" s="5" t="n">
        <v>100</v>
      </c>
      <c r="K1210" s="5" t="n">
        <v>114.605</v>
      </c>
      <c r="L1210" s="28">
        <f>IFERROR(IF(OR(J1210=0,K1210=""),"",IF(E1210="Positivo",MIN(MAX(K1210/J1210,0),1.3),MIN(MAX(J1210/K1210,0),1.3))),"") </f>
        <v/>
      </c>
      <c r="M1210" s="28">
        <f>IFERROR(IF(OR(J1210=0,K1210=""),"",IF(E1210="Positivo",MAX(K1210/J1210,0),MAX(J1210/K1210,0))),"") </f>
        <v/>
      </c>
      <c r="N1210" s="5" t="inlineStr">
        <is>
          <t>ENT</t>
        </is>
      </c>
      <c r="O1210" s="5" t="inlineStr">
        <is>
          <t>ENT</t>
        </is>
      </c>
      <c r="P1210" s="5" t="n">
        <v>0</v>
      </c>
      <c r="Q1210" s="5" t="n">
        <v>0</v>
      </c>
      <c r="R1210" s="5" t="inlineStr">
        <is>
          <t>394-2025-12-31</t>
        </is>
      </c>
    </row>
    <row r="1211">
      <c r="A1211" s="5" t="n">
        <v>395</v>
      </c>
      <c r="B1211" s="5" t="inlineStr">
        <is>
          <t>Publicaciones en medios de comunicación Tier 1 y Tier 2 de la región Antioquia</t>
        </is>
      </c>
      <c r="C1211" s="5" t="inlineStr">
        <is>
          <t>Comunicaciones Externas</t>
        </is>
      </c>
      <c r="D1211" s="5" t="inlineStr">
        <is>
          <t>Semestral</t>
        </is>
      </c>
      <c r="E1211" s="5" t="inlineStr">
        <is>
          <t>Positivo</t>
        </is>
      </c>
      <c r="F1211" s="144" t="n">
        <v>45107</v>
      </c>
      <c r="G1211" s="5" t="n">
        <v>2023</v>
      </c>
      <c r="H1211" s="5" t="inlineStr">
        <is>
          <t>Junio</t>
        </is>
      </c>
      <c r="I1211" s="6" t="inlineStr">
        <is>
          <t>2023-1</t>
        </is>
      </c>
      <c r="J1211" s="5" t="n">
        <v>100</v>
      </c>
      <c r="K1211" s="11" t="n">
        <v>294.11764705882</v>
      </c>
      <c r="L1211" s="28">
        <f>IFERROR(IF(OR(J1211=0,K1211=""),"",IF(E1211="Positivo",MIN(MAX(K1211/J1211,0),1.3),MIN(MAX(J1211/K1211,0),1.3))),"") </f>
        <v/>
      </c>
      <c r="M1211" s="28">
        <f>IFERROR(IF(OR(J1211=0,K1211=""),"",IF(E1211="Positivo",MAX(K1211/J1211,0),MAX(J1211/K1211,0))),"") </f>
        <v/>
      </c>
      <c r="N1211" s="5" t="inlineStr">
        <is>
          <t>ENT</t>
        </is>
      </c>
      <c r="O1211" s="5" t="inlineStr">
        <is>
          <t>ENT</t>
        </is>
      </c>
      <c r="P1211" s="5" t="n">
        <v>0</v>
      </c>
      <c r="Q1211" s="5" t="n">
        <v>0</v>
      </c>
      <c r="R1211" s="5" t="inlineStr">
        <is>
          <t>395-2023-06-30</t>
        </is>
      </c>
    </row>
    <row r="1212">
      <c r="A1212" s="5" t="n">
        <v>395</v>
      </c>
      <c r="B1212" s="5" t="inlineStr">
        <is>
          <t>Publicaciones en medios de comunicación Tier 1 y Tier 2 de la región Antioquia</t>
        </is>
      </c>
      <c r="C1212" s="5" t="inlineStr">
        <is>
          <t>Comunicaciones Externas</t>
        </is>
      </c>
      <c r="D1212" s="5" t="inlineStr">
        <is>
          <t>Semestral</t>
        </is>
      </c>
      <c r="E1212" s="5" t="inlineStr">
        <is>
          <t>Positivo</t>
        </is>
      </c>
      <c r="F1212" s="144" t="n">
        <v>45291</v>
      </c>
      <c r="G1212" s="5" t="n">
        <v>2023</v>
      </c>
      <c r="H1212" s="5" t="inlineStr">
        <is>
          <t>Diciembre</t>
        </is>
      </c>
      <c r="I1212" s="6" t="inlineStr">
        <is>
          <t>2023-2</t>
        </is>
      </c>
      <c r="J1212" s="5" t="n">
        <v>100</v>
      </c>
      <c r="K1212" s="5" t="n">
        <v>266.67</v>
      </c>
      <c r="L1212" s="28">
        <f>IFERROR(IF(OR(J1212=0,K1212=""),"",IF(E1212="Positivo",MIN(MAX(K1212/J1212,0),1.3),MIN(MAX(J1212/K1212,0),1.3))),"") </f>
        <v/>
      </c>
      <c r="M1212" s="28">
        <f>IFERROR(IF(OR(J1212=0,K1212=""),"",IF(E1212="Positivo",MAX(K1212/J1212,0),MAX(J1212/K1212,0))),"") </f>
        <v/>
      </c>
      <c r="N1212" s="5" t="inlineStr">
        <is>
          <t>ENT</t>
        </is>
      </c>
      <c r="O1212" s="5" t="inlineStr">
        <is>
          <t>ENT</t>
        </is>
      </c>
      <c r="P1212" s="5" t="n">
        <v>0</v>
      </c>
      <c r="Q1212" s="5" t="n">
        <v>0</v>
      </c>
      <c r="R1212" s="5" t="inlineStr">
        <is>
          <t>395-2023-12-31</t>
        </is>
      </c>
    </row>
    <row r="1213">
      <c r="A1213" s="39" t="n">
        <v>395</v>
      </c>
      <c r="B1213" s="5" t="inlineStr">
        <is>
          <t>Publicaciones en medios de comunicación de la región Antioquia</t>
        </is>
      </c>
      <c r="C1213" s="5" t="inlineStr">
        <is>
          <t>Comunicaciones Externas</t>
        </is>
      </c>
      <c r="D1213" s="5" t="inlineStr">
        <is>
          <t>Semestral</t>
        </is>
      </c>
      <c r="E1213" s="5" t="inlineStr">
        <is>
          <t>Positivo</t>
        </is>
      </c>
      <c r="F1213" s="144" t="n">
        <v>45473</v>
      </c>
      <c r="G1213" s="5" t="n">
        <v>2024</v>
      </c>
      <c r="H1213" s="5" t="inlineStr">
        <is>
          <t>Junio</t>
        </is>
      </c>
      <c r="I1213" s="6" t="inlineStr">
        <is>
          <t>2024-1</t>
        </is>
      </c>
      <c r="J1213" s="5" t="n">
        <v>100</v>
      </c>
      <c r="K1213" s="5" t="n">
        <v>110</v>
      </c>
      <c r="L1213" s="120">
        <f>IFERROR(IF(OR(J1213=0,K1213=""),"",IF(E1213="Positivo",MIN(MAX(K1213/J1213,0),1.3),MIN(MAX(J1213/K1213,0),1.3))),"") </f>
        <v/>
      </c>
      <c r="M1213" s="28">
        <f>IFERROR(IF(OR(J1213=0,K1213=""),"",IF(E1213="Positivo",MAX(K1213/J1213,0),MAX(J1213/K1213,0))),"") </f>
        <v/>
      </c>
      <c r="N1213" s="5" t="inlineStr">
        <is>
          <t>ENT</t>
        </is>
      </c>
      <c r="O1213" s="5" t="inlineStr">
        <is>
          <t>ENT</t>
        </is>
      </c>
      <c r="P1213" s="5" t="n">
        <v>0</v>
      </c>
      <c r="Q1213" s="5" t="n">
        <v>0</v>
      </c>
      <c r="R1213" s="5" t="inlineStr">
        <is>
          <t>395-2024-06-30</t>
        </is>
      </c>
    </row>
    <row r="1214">
      <c r="A1214" s="39" t="n">
        <v>395</v>
      </c>
      <c r="B1214" s="5" t="inlineStr">
        <is>
          <t>Publicaciones en medios de comunicación de la región Antioquia</t>
        </is>
      </c>
      <c r="C1214" s="5" t="inlineStr">
        <is>
          <t>Comunicaciones Externas</t>
        </is>
      </c>
      <c r="D1214" s="5" t="inlineStr">
        <is>
          <t>Semestral</t>
        </is>
      </c>
      <c r="E1214" s="5" t="inlineStr">
        <is>
          <t>Positivo</t>
        </is>
      </c>
      <c r="F1214" s="144" t="n">
        <v>45657</v>
      </c>
      <c r="G1214" s="5" t="n">
        <v>2024</v>
      </c>
      <c r="H1214" s="5" t="inlineStr">
        <is>
          <t>Diciembre</t>
        </is>
      </c>
      <c r="I1214" s="6" t="inlineStr">
        <is>
          <t>2024-2</t>
        </is>
      </c>
      <c r="J1214" s="5" t="n">
        <v>100</v>
      </c>
      <c r="K1214" s="123" t="n">
        <v>148.89</v>
      </c>
      <c r="L1214" s="120">
        <f>IFERROR(IF(OR(J1214=0,K1214=""),"",IF(E1214="Positivo",MIN(MAX(K1214/J1214,0),1.3),MIN(MAX(J1214/K1214,0),1.3))),"") </f>
        <v/>
      </c>
      <c r="M1214" s="28">
        <f>IFERROR(IF(OR(J1214=0,K1214=""),"",IF(E1214="Positivo",MAX(K1214/J1214,0),MAX(J1214/K1214,0))),"") </f>
        <v/>
      </c>
      <c r="N1214" s="5" t="inlineStr">
        <is>
          <t>ENT</t>
        </is>
      </c>
      <c r="O1214" s="5" t="inlineStr">
        <is>
          <t>ENT</t>
        </is>
      </c>
      <c r="P1214" s="5" t="n">
        <v>0</v>
      </c>
      <c r="Q1214" s="5" t="n">
        <v>0</v>
      </c>
      <c r="R1214" s="5" t="inlineStr">
        <is>
          <t>395-2024-12-31</t>
        </is>
      </c>
    </row>
    <row r="1215">
      <c r="A1215" s="39" t="n">
        <v>395</v>
      </c>
      <c r="B1215" s="5" t="inlineStr">
        <is>
          <t>Publicaciones en medios de comunicación de la región Antioquia</t>
        </is>
      </c>
      <c r="C1215" s="5" t="inlineStr">
        <is>
          <t>Comunicaciones Externas</t>
        </is>
      </c>
      <c r="D1215" s="5" t="inlineStr">
        <is>
          <t>Semestral</t>
        </is>
      </c>
      <c r="E1215" s="5" t="inlineStr">
        <is>
          <t>Positivo</t>
        </is>
      </c>
      <c r="F1215" s="144" t="n">
        <v>45838</v>
      </c>
      <c r="G1215" s="5" t="n">
        <v>2025</v>
      </c>
      <c r="H1215" s="5" t="inlineStr">
        <is>
          <t>Junio</t>
        </is>
      </c>
      <c r="I1215" s="6" t="inlineStr">
        <is>
          <t>2025-1</t>
        </is>
      </c>
      <c r="J1215" s="5" t="n">
        <v>100</v>
      </c>
      <c r="K1215" s="10" t="n">
        <v>226.625</v>
      </c>
      <c r="L1215" s="28">
        <f>IFERROR(IF(OR(J1215=0,K1215=""),"",IF(E1215="Positivo",MIN(MAX(K1215/J1215,0),1.3),MIN(MAX(J1215/K1215,0),1.3))),"") </f>
        <v/>
      </c>
      <c r="M1215" s="28">
        <f>IFERROR(IF(OR(J1215=0,K1215=""),"",IF(E1215="Positivo",MAX(K1215/J1215,0),MAX(J1215/K1215,0))),"") </f>
        <v/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395-2025-06-30</t>
        </is>
      </c>
    </row>
    <row r="1216">
      <c r="A1216" s="5" t="n">
        <v>395</v>
      </c>
      <c r="B1216" s="5" t="inlineStr">
        <is>
          <t>Publicaciones en medios de comunicación de la región Antioquia</t>
        </is>
      </c>
      <c r="C1216" s="5" t="inlineStr">
        <is>
          <t>Comunicaciones Externas</t>
        </is>
      </c>
      <c r="D1216" s="5" t="inlineStr">
        <is>
          <t>Semestral</t>
        </is>
      </c>
      <c r="E1216" s="5" t="inlineStr">
        <is>
          <t>Positivo</t>
        </is>
      </c>
      <c r="F1216" s="144" t="n">
        <v>46022</v>
      </c>
      <c r="G1216" s="5" t="n">
        <v>2025</v>
      </c>
      <c r="H1216" s="5" t="inlineStr">
        <is>
          <t>Diciembre</t>
        </is>
      </c>
      <c r="I1216" s="6" t="inlineStr">
        <is>
          <t>2025-2</t>
        </is>
      </c>
      <c r="J1216" s="119" t="n">
        <v>100</v>
      </c>
      <c r="K1216" s="123" t="n">
        <v>182.205</v>
      </c>
      <c r="L1216" s="28">
        <f>IFERROR(IF(OR(J1216=0,K1216=""),"",IF(E1216="Positivo",MIN(MAX(K1216/J1216,0),1.3),MIN(MAX(J1216/K1216,0),1.3))),"") </f>
        <v/>
      </c>
      <c r="M1216" s="28">
        <f>IFERROR(IF(OR(J1216=0,K1216=""),"",IF(E1216="Positivo",MAX(K1216/J1216,0),MAX(J1216/K1216,0))),"") </f>
        <v/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 t="inlineStr">
        <is>
          <t>395-2025-12-31</t>
        </is>
      </c>
    </row>
    <row r="1217">
      <c r="A1217" s="5" t="n">
        <v>396</v>
      </c>
      <c r="B1217" s="5" t="inlineStr">
        <is>
          <t>Publicaciones en el Campus Virtual</t>
        </is>
      </c>
      <c r="C1217" s="5" t="inlineStr">
        <is>
          <t>Gestión de campañas integradas de marketing</t>
        </is>
      </c>
      <c r="D1217" s="5" t="inlineStr">
        <is>
          <t>Semestral</t>
        </is>
      </c>
      <c r="E1217" s="5" t="inlineStr">
        <is>
          <t>Positivo</t>
        </is>
      </c>
      <c r="F1217" s="144" t="n">
        <v>45107</v>
      </c>
      <c r="G1217" s="5" t="n">
        <v>2023</v>
      </c>
      <c r="H1217" s="5" t="inlineStr">
        <is>
          <t>Junio</t>
        </is>
      </c>
      <c r="I1217" s="6" t="inlineStr">
        <is>
          <t>2023-1</t>
        </is>
      </c>
      <c r="J1217" s="5" t="n">
        <v>80</v>
      </c>
      <c r="K1217" s="10" t="n">
        <v>91.06999999999999</v>
      </c>
      <c r="L1217" s="28">
        <f>IFERROR(IF(OR(J1217=0,K1217=""),"",IF(E1217="Positivo",MIN(MAX(K1217/J1217,0),1.3),MIN(MAX(J1217/K1217,0),1.3))),"") </f>
        <v/>
      </c>
      <c r="M1217" s="28">
        <f>IFERROR(IF(OR(J1217=0,K1217=""),"",IF(E1217="Positivo",MAX(K1217/J1217,0),MAX(J1217/K1217,0))),"") </f>
        <v/>
      </c>
      <c r="N1217" s="5" t="inlineStr">
        <is>
          <t>%</t>
        </is>
      </c>
      <c r="O1217" s="5" t="inlineStr">
        <is>
          <t>%</t>
        </is>
      </c>
      <c r="P1217" s="5" t="n">
        <v>0</v>
      </c>
      <c r="Q1217" s="5" t="n">
        <v>1</v>
      </c>
      <c r="R1217" s="5" t="inlineStr">
        <is>
          <t>396-2023-06-30</t>
        </is>
      </c>
    </row>
    <row r="1218">
      <c r="A1218" s="5" t="n">
        <v>396</v>
      </c>
      <c r="B1218" s="5" t="inlineStr">
        <is>
          <t>Publicaciones en el Campus Virtual</t>
        </is>
      </c>
      <c r="C1218" s="5" t="inlineStr">
        <is>
          <t>Gestión de campañas integradas de marketing</t>
        </is>
      </c>
      <c r="D1218" s="5" t="inlineStr">
        <is>
          <t>Semestral</t>
        </is>
      </c>
      <c r="E1218" s="5" t="inlineStr">
        <is>
          <t>Positivo</t>
        </is>
      </c>
      <c r="F1218" s="144" t="n">
        <v>45291</v>
      </c>
      <c r="G1218" s="5" t="n">
        <v>2023</v>
      </c>
      <c r="H1218" s="5" t="inlineStr">
        <is>
          <t>Diciembre</t>
        </is>
      </c>
      <c r="I1218" s="6" t="inlineStr">
        <is>
          <t>2023-2</t>
        </is>
      </c>
      <c r="J1218" s="5" t="n">
        <v>80</v>
      </c>
      <c r="K1218" s="5" t="n">
        <v>92.95999999999999</v>
      </c>
      <c r="L1218" s="28">
        <f>IFERROR(IF(OR(J1218=0,K1218=""),"",IF(E1218="Positivo",MIN(MAX(K1218/J1218,0),1.3),MIN(MAX(J1218/K1218,0),1.3))),"") </f>
        <v/>
      </c>
      <c r="M1218" s="28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5" t="n">
        <v>0</v>
      </c>
      <c r="Q1218" s="5" t="n">
        <v>1</v>
      </c>
      <c r="R1218" s="5" t="inlineStr">
        <is>
          <t>396-2023-12-31</t>
        </is>
      </c>
    </row>
    <row r="1219">
      <c r="A1219" s="39" t="n">
        <v>396</v>
      </c>
      <c r="B1219" s="5" t="inlineStr">
        <is>
          <t>Publicaciones en el Campus Virtual</t>
        </is>
      </c>
      <c r="C1219" s="5" t="inlineStr">
        <is>
          <t>Gestión de campañas integradas de marketing</t>
        </is>
      </c>
      <c r="D1219" s="5" t="inlineStr">
        <is>
          <t>Semestral</t>
        </is>
      </c>
      <c r="E1219" s="5" t="inlineStr">
        <is>
          <t>Positivo</t>
        </is>
      </c>
      <c r="F1219" s="144" t="n">
        <v>45473</v>
      </c>
      <c r="G1219" s="5" t="n">
        <v>2024</v>
      </c>
      <c r="H1219" s="5" t="inlineStr">
        <is>
          <t>Junio</t>
        </is>
      </c>
      <c r="I1219" s="6" t="inlineStr">
        <is>
          <t>2024-1</t>
        </is>
      </c>
      <c r="J1219" s="5" t="n">
        <v>80</v>
      </c>
      <c r="K1219" s="125" t="n">
        <v>88.08</v>
      </c>
      <c r="L1219" s="120">
        <f>IFERROR(IF(OR(J1219=0,K1219=""),"",IF(E1219="Positivo",MIN(MAX(K1219/J1219,0),1.3),MIN(MAX(J1219/K1219,0),1.3))),"") </f>
        <v/>
      </c>
      <c r="M1219" s="28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1</v>
      </c>
      <c r="R1219" s="5" t="inlineStr">
        <is>
          <t>396-2024-06-30</t>
        </is>
      </c>
    </row>
    <row r="1220">
      <c r="A1220" s="39" t="n">
        <v>396</v>
      </c>
      <c r="B1220" s="5" t="inlineStr">
        <is>
          <t>Publicaciones en el Campus Virtual</t>
        </is>
      </c>
      <c r="C1220" s="5" t="inlineStr">
        <is>
          <t>Gestión de campañas integradas de marketing</t>
        </is>
      </c>
      <c r="D1220" s="5" t="inlineStr">
        <is>
          <t>Semestral</t>
        </is>
      </c>
      <c r="E1220" s="5" t="inlineStr">
        <is>
          <t>Positivo</t>
        </is>
      </c>
      <c r="F1220" s="144" t="n">
        <v>45657</v>
      </c>
      <c r="G1220" s="5" t="n">
        <v>2024</v>
      </c>
      <c r="H1220" s="5" t="inlineStr">
        <is>
          <t>Diciembre</t>
        </is>
      </c>
      <c r="I1220" s="6" t="inlineStr">
        <is>
          <t>2024-2</t>
        </is>
      </c>
      <c r="J1220" s="5" t="n">
        <v>80</v>
      </c>
      <c r="K1220" s="5" t="n">
        <v>94.88</v>
      </c>
      <c r="L1220" s="120">
        <f>IFERROR(IF(OR(J1220=0,K1220=""),"",IF(E1220="Positivo",MIN(MAX(K1220/J1220,0),1.3),MIN(MAX(J1220/K1220,0),1.3))),"") </f>
        <v/>
      </c>
      <c r="M1220" s="28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1</v>
      </c>
      <c r="R1220" s="5" t="inlineStr">
        <is>
          <t>396-2024-12-31</t>
        </is>
      </c>
    </row>
    <row r="1221">
      <c r="A1221" s="39" t="n">
        <v>397</v>
      </c>
      <c r="B1221" s="5" t="inlineStr">
        <is>
          <t>Gestión de casos del Estudio de Grabación Virtual</t>
        </is>
      </c>
      <c r="C1221" s="5" t="inlineStr">
        <is>
          <t>Diseño de Contenido Virtual</t>
        </is>
      </c>
      <c r="D1221" s="5" t="inlineStr">
        <is>
          <t>Semestral</t>
        </is>
      </c>
      <c r="E1221" s="5" t="inlineStr">
        <is>
          <t>Positivo</t>
        </is>
      </c>
      <c r="F1221" s="144" t="n">
        <v>45107</v>
      </c>
      <c r="G1221" s="5" t="n">
        <v>2023</v>
      </c>
      <c r="H1221" s="5" t="inlineStr">
        <is>
          <t>Junio</t>
        </is>
      </c>
      <c r="I1221" s="6" t="inlineStr">
        <is>
          <t>2023-1</t>
        </is>
      </c>
      <c r="J1221" s="5" t="n">
        <v>80</v>
      </c>
      <c r="K1221" s="10" t="n">
        <v>91.071428571429</v>
      </c>
      <c r="L1221" s="120">
        <f>IFERROR(IF(OR(J1221=0,K1221=""),"",IF(E1221="Positivo",MIN(MAX(K1221/J1221,0),1.3),MIN(MAX(J1221/K1221,0),1.3))),"") </f>
        <v/>
      </c>
      <c r="M1221" s="28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5" t="n">
        <v>1</v>
      </c>
      <c r="Q1221" s="5" t="n">
        <v>1</v>
      </c>
      <c r="R1221" s="5" t="inlineStr">
        <is>
          <t>397-2023-06-30</t>
        </is>
      </c>
    </row>
    <row r="1222">
      <c r="A1222" s="5" t="n">
        <v>397</v>
      </c>
      <c r="B1222" t="inlineStr">
        <is>
          <t>Gestión de casos del Estudio de Grabación Virtual</t>
        </is>
      </c>
      <c r="C1222" s="5" t="inlineStr">
        <is>
          <t>Diseño de Contenido Virtual</t>
        </is>
      </c>
      <c r="D1222" s="5" t="inlineStr">
        <is>
          <t>Semestral</t>
        </is>
      </c>
      <c r="E1222" s="5" t="inlineStr">
        <is>
          <t>Positivo</t>
        </is>
      </c>
      <c r="F1222" s="144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80</v>
      </c>
      <c r="K1222" s="5" t="n">
        <v>92.95999999999999</v>
      </c>
      <c r="L1222" s="28">
        <f>IFERROR(IF(OR(J1222=0,K1222=""),"",IF(E1222="Positivo",MIN(MAX(K1222/J1222,0),1.3),MIN(MAX(J1222/K1222,0),1.3))),"") </f>
        <v/>
      </c>
      <c r="M1222" s="28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5" t="n">
        <v>1</v>
      </c>
      <c r="Q1222" s="5" t="n">
        <v>1</v>
      </c>
      <c r="R1222" s="5" t="inlineStr">
        <is>
          <t>397-2023-12-31</t>
        </is>
      </c>
    </row>
    <row r="1223">
      <c r="A1223" s="5" t="n">
        <v>397</v>
      </c>
      <c r="B1223" s="5" t="inlineStr">
        <is>
          <t>Gestión de casos del Estudio de Grabación Virtual</t>
        </is>
      </c>
      <c r="C1223" s="5" t="inlineStr">
        <is>
          <t>Diseño de Contenido Virtual</t>
        </is>
      </c>
      <c r="D1223" s="5" t="inlineStr">
        <is>
          <t>Semestral</t>
        </is>
      </c>
      <c r="E1223" s="5" t="inlineStr">
        <is>
          <t>Positivo</t>
        </is>
      </c>
      <c r="F1223" s="144" t="n">
        <v>45473</v>
      </c>
      <c r="G1223" s="5" t="n">
        <v>2024</v>
      </c>
      <c r="H1223" s="5" t="inlineStr">
        <is>
          <t>Junio</t>
        </is>
      </c>
      <c r="I1223" s="6" t="inlineStr">
        <is>
          <t>2024-1</t>
        </is>
      </c>
      <c r="J1223" s="5" t="n">
        <v>80</v>
      </c>
      <c r="K1223" s="5" t="n">
        <v>88.08</v>
      </c>
      <c r="L1223" s="28">
        <f>IFERROR(IF(OR(J1223=0,K1223=""),"",IF(E1223="Positivo",MIN(MAX(K1223/J1223,0),1.3),MIN(MAX(J1223/K1223,0),1.3))),"") </f>
        <v/>
      </c>
      <c r="M1223" s="28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5" t="n">
        <v>0</v>
      </c>
      <c r="Q1223" s="5" t="n">
        <v>0</v>
      </c>
      <c r="R1223" s="5" t="inlineStr">
        <is>
          <t>397-2024-06-30</t>
        </is>
      </c>
    </row>
    <row r="1224">
      <c r="A1224" s="5" t="n">
        <v>397</v>
      </c>
      <c r="B1224" s="5" t="inlineStr">
        <is>
          <t>Gestión de casos del Estudio de Grabación Virtual</t>
        </is>
      </c>
      <c r="C1224" s="5" t="inlineStr">
        <is>
          <t>Diseño de Contenido Virtual</t>
        </is>
      </c>
      <c r="D1224" s="5" t="inlineStr">
        <is>
          <t>Semestral</t>
        </is>
      </c>
      <c r="E1224" s="5" t="inlineStr">
        <is>
          <t>Positivo</t>
        </is>
      </c>
      <c r="F1224" s="144" t="n">
        <v>45657</v>
      </c>
      <c r="G1224" s="5" t="n">
        <v>2024</v>
      </c>
      <c r="H1224" s="5" t="inlineStr">
        <is>
          <t>Diciembre</t>
        </is>
      </c>
      <c r="I1224" s="6" t="inlineStr">
        <is>
          <t>2024-2</t>
        </is>
      </c>
      <c r="J1224" s="5" t="n">
        <v>80</v>
      </c>
      <c r="K1224" s="5" t="n">
        <v>94.88</v>
      </c>
      <c r="L1224" s="28">
        <f>IFERROR(IF(OR(J1224=0,K1224=""),"",IF(E1224="Positivo",MIN(MAX(K1224/J1224,0),1.3),MIN(MAX(J1224/K1224,0),1.3))),"") </f>
        <v/>
      </c>
      <c r="M1224" s="28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5" t="n">
        <v>0</v>
      </c>
      <c r="Q1224" s="5" t="n">
        <v>0</v>
      </c>
      <c r="R1224" s="5" t="inlineStr">
        <is>
          <t>397-2024-12-31</t>
        </is>
      </c>
    </row>
    <row r="1225">
      <c r="A1225" s="5" t="n">
        <v>397</v>
      </c>
      <c r="B1225" s="5" t="inlineStr">
        <is>
          <t>Gestión de casos del Estudio de Grabación Virtual</t>
        </is>
      </c>
      <c r="C1225" s="5" t="inlineStr">
        <is>
          <t>Diseño de Contenido Virtual</t>
        </is>
      </c>
      <c r="D1225" s="5" t="inlineStr">
        <is>
          <t>Semestral</t>
        </is>
      </c>
      <c r="E1225" s="5" t="inlineStr">
        <is>
          <t>Positivo</t>
        </is>
      </c>
      <c r="F1225" s="144" t="n">
        <v>45838</v>
      </c>
      <c r="G1225" s="5" t="n">
        <v>2025</v>
      </c>
      <c r="H1225" s="5" t="inlineStr">
        <is>
          <t>Junio</t>
        </is>
      </c>
      <c r="I1225" s="6" t="inlineStr">
        <is>
          <t>2025-1</t>
        </is>
      </c>
      <c r="J1225" s="5" t="n">
        <v>90</v>
      </c>
      <c r="K1225" s="10" t="n">
        <v>95.26000000000001</v>
      </c>
      <c r="L1225" s="28">
        <f>IFERROR(IF(OR(J1225=0,K1225=""),"",IF(E1225="Positivo",MIN(MAX(K1225/J1225,0),1.3),MIN(MAX(J1225/K1225,0),1.3))),"") </f>
        <v/>
      </c>
      <c r="M1225" s="28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397-2025-06-30</t>
        </is>
      </c>
    </row>
    <row r="1226">
      <c r="A1226" s="5" t="n">
        <v>397</v>
      </c>
      <c r="B1226" s="5" t="inlineStr">
        <is>
          <t>Gestión de casos del Estudio de Grabación Virtual</t>
        </is>
      </c>
      <c r="C1226" s="5" t="inlineStr">
        <is>
          <t>Diseño de Contenido Virtual</t>
        </is>
      </c>
      <c r="D1226" s="5" t="inlineStr">
        <is>
          <t>Trimestral</t>
        </is>
      </c>
      <c r="E1226" s="5" t="inlineStr">
        <is>
          <t>Positivo</t>
        </is>
      </c>
      <c r="F1226" s="144" t="n">
        <v>46022</v>
      </c>
      <c r="G1226" s="5" t="n">
        <v>2025</v>
      </c>
      <c r="H1226" s="5" t="inlineStr">
        <is>
          <t>Diciembre</t>
        </is>
      </c>
      <c r="I1226" s="6" t="inlineStr">
        <is>
          <t>2025-2</t>
        </is>
      </c>
      <c r="J1226" s="5" t="n">
        <v>90</v>
      </c>
      <c r="K1226" s="5" t="n">
        <v>96.14</v>
      </c>
      <c r="L1226" s="28">
        <f>IFERROR(IF(OR(J1226=0,K1226=""),"",IF(E1226="Positivo",MIN(MAX(K1226/J1226,0),1.3),MIN(MAX(J1226/K1226,0),1.3))),"") </f>
        <v/>
      </c>
      <c r="M1226" s="28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5" t="n">
        <v>0</v>
      </c>
      <c r="Q1226" s="5" t="n">
        <v>1</v>
      </c>
      <c r="R1226" s="5" t="inlineStr">
        <is>
          <t>397-2025-12-31</t>
        </is>
      </c>
    </row>
    <row r="1227">
      <c r="A1227" s="5" t="n">
        <v>398</v>
      </c>
      <c r="B1227" s="5" t="inlineStr">
        <is>
          <t>Participación en actividades de desarrollo de Cultura y Formación Emprendedora</t>
        </is>
      </c>
      <c r="C1227" s="5" t="inlineStr">
        <is>
          <t>Emprendimiento</t>
        </is>
      </c>
      <c r="D1227" s="5" t="inlineStr">
        <is>
          <t>Semestral</t>
        </is>
      </c>
      <c r="E1227" s="5" t="inlineStr">
        <is>
          <t>Positivo</t>
        </is>
      </c>
      <c r="F1227" s="144" t="n">
        <v>45107</v>
      </c>
      <c r="G1227" s="5" t="n">
        <v>2023</v>
      </c>
      <c r="H1227" s="5" t="inlineStr">
        <is>
          <t>Junio</t>
        </is>
      </c>
      <c r="I1227" s="6" t="inlineStr">
        <is>
          <t>2023-1</t>
        </is>
      </c>
      <c r="J1227" s="5" t="n">
        <v>100</v>
      </c>
      <c r="K1227" s="5" t="n">
        <v>256.8</v>
      </c>
      <c r="L1227" s="28">
        <f>IFERROR(IF(OR(J1227=0,K1227=""),"",IF(E1227="Positivo",MIN(MAX(K1227/J1227,0),1.3),MIN(MAX(J1227/K1227,0),1.3))),"") </f>
        <v/>
      </c>
      <c r="M1227" s="28">
        <f>IFERROR(IF(OR(J1227=0,K1227=""),"",IF(E1227="Positivo",MAX(K1227/J1227,0),MAX(J1227/K1227,0))),"") </f>
        <v/>
      </c>
      <c r="N1227" s="5" t="inlineStr">
        <is>
          <t>ENT</t>
        </is>
      </c>
      <c r="O1227" s="5" t="inlineStr">
        <is>
          <t>ENT</t>
        </is>
      </c>
      <c r="P1227" s="5" t="n">
        <v>0</v>
      </c>
      <c r="Q1227" s="5" t="n">
        <v>0</v>
      </c>
      <c r="R1227" s="5" t="inlineStr">
        <is>
          <t>398-2023-06-30</t>
        </is>
      </c>
    </row>
    <row r="1228">
      <c r="A1228" s="5" t="n">
        <v>398</v>
      </c>
      <c r="B1228" s="5" t="inlineStr">
        <is>
          <t>Participación en actividades de desarrollo de Cultura y Formación Emprendedora</t>
        </is>
      </c>
      <c r="C1228" s="5" t="inlineStr">
        <is>
          <t>Emprendimiento</t>
        </is>
      </c>
      <c r="D1228" s="5" t="inlineStr">
        <is>
          <t>Semestral</t>
        </is>
      </c>
      <c r="E1228" s="5" t="inlineStr">
        <is>
          <t>Positivo</t>
        </is>
      </c>
      <c r="F1228" s="144" t="n">
        <v>45291</v>
      </c>
      <c r="G1228" s="5" t="n">
        <v>2023</v>
      </c>
      <c r="H1228" s="5" t="inlineStr">
        <is>
          <t>Diciembre</t>
        </is>
      </c>
      <c r="I1228" s="6" t="inlineStr">
        <is>
          <t>2023-2</t>
        </is>
      </c>
      <c r="J1228" s="5" t="n">
        <v>100</v>
      </c>
      <c r="K1228" s="5" t="n">
        <v>234.4</v>
      </c>
      <c r="L1228" s="28">
        <f>IFERROR(IF(OR(J1228=0,K1228=""),"",IF(E1228="Positivo",MIN(MAX(K1228/J1228,0),1.3),MIN(MAX(J1228/K1228,0),1.3))),"") </f>
        <v/>
      </c>
      <c r="M1228" s="28">
        <f>IFERROR(IF(OR(J1228=0,K1228=""),"",IF(E1228="Positivo",MAX(K1228/J1228,0),MAX(J1228/K1228,0))),"") </f>
        <v/>
      </c>
      <c r="N1228" s="5" t="inlineStr">
        <is>
          <t>ENT</t>
        </is>
      </c>
      <c r="O1228" s="5" t="inlineStr">
        <is>
          <t>ENT</t>
        </is>
      </c>
      <c r="P1228" s="5" t="n">
        <v>0</v>
      </c>
      <c r="Q1228" s="5" t="n">
        <v>0</v>
      </c>
      <c r="R1228" s="5" t="inlineStr">
        <is>
          <t>398-2023-12-31</t>
        </is>
      </c>
    </row>
    <row r="1229">
      <c r="A1229" s="5" t="n">
        <v>398</v>
      </c>
      <c r="B1229" s="5" t="inlineStr">
        <is>
          <t>Participación en actividades de desarrollo de Cultura y Formación Emprendedora</t>
        </is>
      </c>
      <c r="C1229" s="5" t="inlineStr">
        <is>
          <t>Emprendimiento</t>
        </is>
      </c>
      <c r="D1229" s="5" t="inlineStr">
        <is>
          <t>Semestral</t>
        </is>
      </c>
      <c r="E1229" s="5" t="inlineStr">
        <is>
          <t>Positivo</t>
        </is>
      </c>
      <c r="F1229" s="144" t="n">
        <v>45473</v>
      </c>
      <c r="G1229" s="5" t="n">
        <v>2024</v>
      </c>
      <c r="H1229" s="5" t="inlineStr">
        <is>
          <t>Junio</t>
        </is>
      </c>
      <c r="I1229" s="6" t="inlineStr">
        <is>
          <t>2024-1</t>
        </is>
      </c>
      <c r="J1229" s="139" t="n">
        <v>100</v>
      </c>
      <c r="K1229" s="123" t="n">
        <v>283.92</v>
      </c>
      <c r="L1229" s="28">
        <f>IFERROR(IF(OR(J1229=0,K1229=""),"",IF(E1229="Positivo",MIN(MAX(K1229/J1229,0),1.3),MIN(MAX(J1229/K1229,0),1.3))),"") </f>
        <v/>
      </c>
      <c r="M1229" s="28">
        <f>IFERROR(IF(OR(J1229=0,K1229=""),"",IF(E1229="Positivo",MAX(K1229/J1229,0),MAX(J1229/K1229,0))),"") </f>
        <v/>
      </c>
      <c r="N1229" s="5" t="inlineStr">
        <is>
          <t>ENT</t>
        </is>
      </c>
      <c r="O1229" s="5" t="inlineStr">
        <is>
          <t>ENT</t>
        </is>
      </c>
      <c r="P1229" s="5" t="n">
        <v>0</v>
      </c>
      <c r="Q1229" s="5" t="n">
        <v>0</v>
      </c>
      <c r="R1229" s="5" t="inlineStr">
        <is>
          <t>398-2024-06-30</t>
        </is>
      </c>
    </row>
    <row r="1230">
      <c r="A1230" s="5" t="n">
        <v>398</v>
      </c>
      <c r="B1230" s="5" t="inlineStr">
        <is>
          <t>Participación en actividades de desarrollo de Cultura y Formación Emprendedora</t>
        </is>
      </c>
      <c r="C1230" s="5" t="inlineStr">
        <is>
          <t>Emprendimiento</t>
        </is>
      </c>
      <c r="D1230" s="5" t="inlineStr">
        <is>
          <t>Semestral</t>
        </is>
      </c>
      <c r="E1230" s="5" t="inlineStr">
        <is>
          <t>Positivo</t>
        </is>
      </c>
      <c r="F1230" s="144" t="n">
        <v>45657</v>
      </c>
      <c r="G1230" s="5" t="n">
        <v>2024</v>
      </c>
      <c r="H1230" s="5" t="inlineStr">
        <is>
          <t>Diciembre</t>
        </is>
      </c>
      <c r="I1230" s="6" t="inlineStr">
        <is>
          <t>2024-2</t>
        </is>
      </c>
      <c r="J1230" s="5" t="n">
        <v>100</v>
      </c>
      <c r="K1230" s="5" t="n">
        <v>160</v>
      </c>
      <c r="L1230" s="28">
        <f>IFERROR(IF(OR(J1230=0,K1230=""),"",IF(E1230="Positivo",MIN(MAX(K1230/J1230,0),1.3),MIN(MAX(J1230/K1230,0),1.3))),"") </f>
        <v/>
      </c>
      <c r="M1230" s="28">
        <f>IFERROR(IF(OR(J1230=0,K1230=""),"",IF(E1230="Positivo",MAX(K1230/J1230,0),MAX(J1230/K1230,0))),"") </f>
        <v/>
      </c>
      <c r="N1230" s="5" t="inlineStr">
        <is>
          <t>ENT</t>
        </is>
      </c>
      <c r="O1230" s="5" t="inlineStr">
        <is>
          <t>ENT</t>
        </is>
      </c>
      <c r="P1230" s="5" t="n">
        <v>0</v>
      </c>
      <c r="Q1230" s="5" t="n">
        <v>0</v>
      </c>
      <c r="R1230" s="5" t="inlineStr">
        <is>
          <t>398-2024-12-31</t>
        </is>
      </c>
    </row>
    <row r="1231">
      <c r="A1231" s="5" t="n">
        <v>398</v>
      </c>
      <c r="B1231" s="5" t="inlineStr">
        <is>
          <t>Participación en actividades de desarrollo de Cultura y Formación Emprendedora</t>
        </is>
      </c>
      <c r="C1231" s="5" t="inlineStr">
        <is>
          <t>Emprendimiento</t>
        </is>
      </c>
      <c r="D1231" s="5" t="inlineStr">
        <is>
          <t>Semestral</t>
        </is>
      </c>
      <c r="E1231" s="5" t="inlineStr">
        <is>
          <t>Positivo</t>
        </is>
      </c>
      <c r="F1231" s="144" t="n">
        <v>45838</v>
      </c>
      <c r="G1231" s="5" t="n">
        <v>2025</v>
      </c>
      <c r="H1231" s="5" t="inlineStr">
        <is>
          <t>Junio</t>
        </is>
      </c>
      <c r="I1231" s="6" t="inlineStr">
        <is>
          <t>2025-1</t>
        </is>
      </c>
      <c r="J1231" s="5" t="n">
        <v>100</v>
      </c>
      <c r="K1231" s="5" t="n">
        <v>159.5</v>
      </c>
      <c r="L1231" s="28">
        <f>IFERROR(IF(OR(J1231=0,K1231=""),"",IF(E1231="Positivo",MIN(MAX(K1231/J1231,0),1.3),MIN(MAX(J1231/K1231,0),1.3))),"") </f>
        <v/>
      </c>
      <c r="M1231" s="28">
        <f>IFERROR(IF(OR(J1231=0,K1231=""),"",IF(E1231="Positivo",MAX(K1231/J1231,0),MAX(J1231/K1231,0))),"") </f>
        <v/>
      </c>
      <c r="N1231" s="5" t="inlineStr">
        <is>
          <t>ENT</t>
        </is>
      </c>
      <c r="O1231" s="5" t="inlineStr">
        <is>
          <t>ENT</t>
        </is>
      </c>
      <c r="P1231" s="5" t="n">
        <v>0</v>
      </c>
      <c r="Q1231" s="5" t="n">
        <v>0</v>
      </c>
      <c r="R1231" s="5" t="inlineStr">
        <is>
          <t>398-2025-06-30</t>
        </is>
      </c>
    </row>
    <row r="1232">
      <c r="A1232" s="5" t="n">
        <v>398</v>
      </c>
      <c r="B1232" s="5" t="inlineStr">
        <is>
          <t>Participación en actividades de desarrollo de Cultura y Formación Emprendedora</t>
        </is>
      </c>
      <c r="C1232" s="5" t="inlineStr">
        <is>
          <t>Emprendimiento</t>
        </is>
      </c>
      <c r="D1232" s="5" t="inlineStr">
        <is>
          <t>Trimestral</t>
        </is>
      </c>
      <c r="E1232" s="5" t="inlineStr">
        <is>
          <t>Positivo</t>
        </is>
      </c>
      <c r="F1232" s="144" t="n">
        <v>46022</v>
      </c>
      <c r="G1232" s="5" t="n">
        <v>2025</v>
      </c>
      <c r="H1232" s="5" t="inlineStr">
        <is>
          <t>Diciembre</t>
        </is>
      </c>
      <c r="I1232" s="6" t="inlineStr">
        <is>
          <t>2025-2</t>
        </is>
      </c>
      <c r="J1232" s="5" t="n">
        <v>100</v>
      </c>
      <c r="K1232" s="5" t="n">
        <v>168.71</v>
      </c>
      <c r="L1232" s="28">
        <f>IFERROR(IF(OR(J1232=0,K1232=""),"",IF(E1232="Positivo",MIN(MAX(K1232/J1232,0),1.3),MIN(MAX(J1232/K1232,0),1.3))),"") </f>
        <v/>
      </c>
      <c r="M1232" s="28">
        <f>IFERROR(IF(OR(J1232=0,K1232=""),"",IF(E1232="Positivo",MAX(K1232/J1232,0),MAX(J1232/K1232,0))),"") </f>
        <v/>
      </c>
      <c r="N1232" s="5" t="inlineStr">
        <is>
          <t>ENT</t>
        </is>
      </c>
      <c r="O1232" s="5" t="inlineStr">
        <is>
          <t>ENT</t>
        </is>
      </c>
      <c r="P1232" s="5" t="n">
        <v>0</v>
      </c>
      <c r="Q1232" s="5" t="n">
        <v>0</v>
      </c>
      <c r="R1232" s="5" t="inlineStr">
        <is>
          <t>398-2025-12-31</t>
        </is>
      </c>
    </row>
    <row r="1233">
      <c r="A1233" s="5" t="n">
        <v>399</v>
      </c>
      <c r="B1233" s="5" t="inlineStr">
        <is>
          <t>Acompañamiento a emprendedores en creación de empresas</t>
        </is>
      </c>
      <c r="C1233" s="5" t="inlineStr">
        <is>
          <t>Emprendimiento</t>
        </is>
      </c>
      <c r="D1233" s="5" t="inlineStr">
        <is>
          <t>Semestral</t>
        </is>
      </c>
      <c r="E1233" s="5" t="inlineStr">
        <is>
          <t>Positivo</t>
        </is>
      </c>
      <c r="F1233" s="144" t="n">
        <v>45107</v>
      </c>
      <c r="G1233" s="5" t="n">
        <v>2023</v>
      </c>
      <c r="H1233" s="5" t="inlineStr">
        <is>
          <t>Junio</t>
        </is>
      </c>
      <c r="I1233" s="6" t="inlineStr">
        <is>
          <t>2023-1</t>
        </is>
      </c>
      <c r="J1233" s="5" t="n">
        <v>100</v>
      </c>
      <c r="K1233" s="5" t="n">
        <v>117.8</v>
      </c>
      <c r="L1233" s="28">
        <f>IFERROR(IF(OR(J1233=0,K1233=""),"",IF(E1233="Positivo",MIN(MAX(K1233/J1233,0),1.3),MIN(MAX(J1233/K1233,0),1.3))),"") </f>
        <v/>
      </c>
      <c r="M1233" s="28">
        <f>IFERROR(IF(OR(J1233=0,K1233=""),"",IF(E1233="Positivo",MAX(K1233/J1233,0),MAX(J1233/K1233,0))),"") </f>
        <v/>
      </c>
      <c r="N1233" s="5" t="inlineStr">
        <is>
          <t>ENT</t>
        </is>
      </c>
      <c r="O1233" s="5" t="inlineStr">
        <is>
          <t>ENT</t>
        </is>
      </c>
      <c r="P1233" s="5" t="n">
        <v>0</v>
      </c>
      <c r="Q1233" s="5" t="n">
        <v>0</v>
      </c>
      <c r="R1233" s="5" t="inlineStr">
        <is>
          <t>399-2023-06-30</t>
        </is>
      </c>
    </row>
    <row r="1234">
      <c r="A1234" t="n">
        <v>399</v>
      </c>
      <c r="B1234" t="inlineStr">
        <is>
          <t>Acompañamiento a emprendedores en creación de empresas</t>
        </is>
      </c>
      <c r="C1234" t="inlineStr">
        <is>
          <t>Emprendimiento</t>
        </is>
      </c>
      <c r="D1234" t="inlineStr">
        <is>
          <t>Semestral</t>
        </is>
      </c>
      <c r="E1234" t="inlineStr">
        <is>
          <t>Positivo</t>
        </is>
      </c>
      <c r="F1234" s="148" t="n">
        <v>45291</v>
      </c>
      <c r="G1234" t="n">
        <v>2023</v>
      </c>
      <c r="H1234" t="inlineStr">
        <is>
          <t>Diciembre</t>
        </is>
      </c>
      <c r="I1234" t="inlineStr">
        <is>
          <t>2023-2</t>
        </is>
      </c>
      <c r="J1234" t="n">
        <v>100</v>
      </c>
      <c r="K1234" t="n">
        <v>149</v>
      </c>
      <c r="L1234" s="59">
        <f>IFERROR(IF(OR(J1234=0,K1234=""),"",IF(E1234="Positivo",MIN(MAX(K1234/J1234,0),1.3),MIN(MAX(J1234/K1234,0),1.3))),"") </f>
        <v/>
      </c>
      <c r="M1234" s="59">
        <f>IFERROR(IF(OR(J1234=0,K1234=""),"",IF(E1234="Positivo",MAX(K1234/J1234,0),MAX(J1234/K1234,0))),"") </f>
        <v/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399-2023-12-31</t>
        </is>
      </c>
    </row>
    <row r="1235">
      <c r="A1235" t="n">
        <v>399</v>
      </c>
      <c r="B1235" t="inlineStr">
        <is>
          <t>Sesiones de Acompañamiento a emprendedores en creación de empresas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48" t="n">
        <v>45473</v>
      </c>
      <c r="G1235" t="n">
        <v>2024</v>
      </c>
      <c r="H1235" t="inlineStr">
        <is>
          <t>Junio</t>
        </is>
      </c>
      <c r="I1235" t="inlineStr">
        <is>
          <t>2024-1</t>
        </is>
      </c>
      <c r="J1235" t="n">
        <v>100</v>
      </c>
      <c r="K1235" t="n">
        <v>111.36</v>
      </c>
      <c r="L1235" s="59">
        <f>IFERROR(IF(OR(J1235=0,K1235=""),"",IF(E1235="Positivo",MIN(MAX(K1235/J1235,0),1.3),MIN(MAX(J1235/K1235,0),1.3))),"") </f>
        <v/>
      </c>
      <c r="M1235" s="59">
        <f>IFERROR(IF(OR(J1235=0,K1235=""),"",IF(E1235="Positivo",MAX(K1235/J1235,0),MAX(J1235/K1235,0))),"") </f>
        <v/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399-2024-06-30</t>
        </is>
      </c>
    </row>
    <row r="1236">
      <c r="A1236" t="n">
        <v>399</v>
      </c>
      <c r="B1236" t="inlineStr">
        <is>
          <t>Sesiones de Acompañamiento a emprendedores en creación de empresas</t>
        </is>
      </c>
      <c r="C1236" t="inlineStr">
        <is>
          <t>Emprendimiento</t>
        </is>
      </c>
      <c r="D1236" t="inlineStr">
        <is>
          <t>Semestral</t>
        </is>
      </c>
      <c r="E1236" t="inlineStr">
        <is>
          <t>Positivo</t>
        </is>
      </c>
      <c r="F1236" s="148" t="n">
        <v>45657</v>
      </c>
      <c r="G1236" t="n">
        <v>2024</v>
      </c>
      <c r="H1236" t="inlineStr">
        <is>
          <t>Diciembre</t>
        </is>
      </c>
      <c r="I1236" t="inlineStr">
        <is>
          <t>2024-2</t>
        </is>
      </c>
      <c r="J1236" t="n">
        <v>100</v>
      </c>
      <c r="K1236" t="n">
        <v>111.36</v>
      </c>
      <c r="L1236" s="59">
        <f>IFERROR(IF(OR(J1236=0,K1236=""),"",IF(E1236="Positivo",MIN(MAX(K1236/J1236,0),1.3),MIN(MAX(J1236/K1236,0),1.3))),"") </f>
        <v/>
      </c>
      <c r="M1236" s="59">
        <f>IFERROR(IF(OR(J1236=0,K1236=""),"",IF(E1236="Positivo",MAX(K1236/J1236,0),MAX(J1236/K1236,0))),"") </f>
        <v/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399-2024-12-31</t>
        </is>
      </c>
    </row>
    <row r="1237">
      <c r="A1237" t="n">
        <v>399</v>
      </c>
      <c r="B1237" t="inlineStr">
        <is>
          <t>Sesiones de Acompañamiento a emprendedores en creación de empresas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48" t="n">
        <v>45838</v>
      </c>
      <c r="G1237" t="n">
        <v>2025</v>
      </c>
      <c r="H1237" t="inlineStr">
        <is>
          <t>Junio</t>
        </is>
      </c>
      <c r="I1237" t="inlineStr">
        <is>
          <t>2025-1</t>
        </is>
      </c>
      <c r="J1237" t="n">
        <v>100</v>
      </c>
      <c r="K1237" t="n">
        <v>102.93</v>
      </c>
      <c r="L1237" s="59">
        <f>IFERROR(IF(OR(J1237=0,K1237=""),"",IF(E1237="Positivo",MIN(MAX(K1237/J1237,0),1.3),MIN(MAX(J1237/K1237,0),1.3))),"") </f>
        <v/>
      </c>
      <c r="M1237" s="59">
        <f>IFERROR(IF(OR(J1237=0,K1237=""),"",IF(E1237="Positivo",MAX(K1237/J1237,0),MAX(J1237/K1237,0))),"") </f>
        <v/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399-2025-06-30</t>
        </is>
      </c>
    </row>
    <row r="1238">
      <c r="A1238" t="n">
        <v>399</v>
      </c>
      <c r="B1238" t="inlineStr">
        <is>
          <t>Sesiones de Acompañamiento a emprendedores en creación de empresas</t>
        </is>
      </c>
      <c r="C1238" t="inlineStr">
        <is>
          <t>Emprendimiento</t>
        </is>
      </c>
      <c r="D1238" t="inlineStr">
        <is>
          <t>Trimestral</t>
        </is>
      </c>
      <c r="E1238" t="inlineStr">
        <is>
          <t>Positivo</t>
        </is>
      </c>
      <c r="F1238" s="148" t="n">
        <v>46022</v>
      </c>
      <c r="G1238" t="n">
        <v>2025</v>
      </c>
      <c r="H1238" t="inlineStr">
        <is>
          <t>Diciembre</t>
        </is>
      </c>
      <c r="I1238" t="inlineStr">
        <is>
          <t>2025-2</t>
        </is>
      </c>
      <c r="J1238" t="n">
        <v>100</v>
      </c>
      <c r="K1238" t="n">
        <v>106.13</v>
      </c>
      <c r="L1238" s="59">
        <f>IFERROR(IF(OR(J1238=0,K1238=""),"",IF(E1238="Positivo",MIN(MAX(K1238/J1238,0),1.3),MIN(MAX(J1238/K1238,0),1.3))),"") </f>
        <v/>
      </c>
      <c r="M1238" s="59">
        <f>IFERROR(IF(OR(J1238=0,K1238=""),"",IF(E1238="Positivo",MAX(K1238/J1238,0),MAX(J1238/K1238,0))),"") </f>
        <v/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399-2025-12-31</t>
        </is>
      </c>
    </row>
    <row r="1239">
      <c r="A1239" t="n">
        <v>400</v>
      </c>
      <c r="B1239" t="inlineStr">
        <is>
          <t>Puesta en marcha de proyectos de emprendimiento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48" t="n">
        <v>45107</v>
      </c>
      <c r="G1239" t="n">
        <v>2023</v>
      </c>
      <c r="H1239" t="inlineStr">
        <is>
          <t>Junio</t>
        </is>
      </c>
      <c r="I1239" t="inlineStr">
        <is>
          <t>2023-1</t>
        </is>
      </c>
      <c r="J1239" t="n">
        <v>100</v>
      </c>
      <c r="K1239" t="n">
        <v>220</v>
      </c>
      <c r="L1239" s="59">
        <f>IFERROR(IF(OR(J1239=0,K1239=""),"",IF(E1239="Positivo",MIN(MAX(K1239/J1239,0),1.3),MIN(MAX(J1239/K1239,0),1.3))),"") </f>
        <v/>
      </c>
      <c r="M1239" s="59">
        <f>IFERROR(IF(OR(J1239=0,K1239=""),"",IF(E1239="Positivo",MAX(K1239/J1239,0),MAX(J1239/K1239,0))),"") </f>
        <v/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400-2023-06-30</t>
        </is>
      </c>
    </row>
    <row r="1240">
      <c r="A1240" t="n">
        <v>400</v>
      </c>
      <c r="B1240" t="inlineStr">
        <is>
          <t>Puesta en marcha de proyectos de emprendimiento</t>
        </is>
      </c>
      <c r="C1240" t="inlineStr">
        <is>
          <t>Emprendimiento</t>
        </is>
      </c>
      <c r="D1240" t="inlineStr">
        <is>
          <t>Semestral</t>
        </is>
      </c>
      <c r="E1240" t="inlineStr">
        <is>
          <t>Positivo</t>
        </is>
      </c>
      <c r="F1240" s="148" t="n">
        <v>45291</v>
      </c>
      <c r="G1240" t="n">
        <v>2023</v>
      </c>
      <c r="H1240" t="inlineStr">
        <is>
          <t>Diciembre</t>
        </is>
      </c>
      <c r="I1240" t="inlineStr">
        <is>
          <t>2023-2</t>
        </is>
      </c>
      <c r="J1240" t="n">
        <v>100</v>
      </c>
      <c r="K1240" t="n">
        <v>282.86</v>
      </c>
      <c r="L1240" s="59">
        <f>IFERROR(IF(OR(J1240=0,K1240=""),"",IF(E1240="Positivo",MIN(MAX(K1240/J1240,0),1.3),MIN(MAX(J1240/K1240,0),1.3))),"") </f>
        <v/>
      </c>
      <c r="M1240" s="59">
        <f>IFERROR(IF(OR(J1240=0,K1240=""),"",IF(E1240="Positivo",MAX(K1240/J1240,0),MAX(J1240/K1240,0))),"") </f>
        <v/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400-2023-12-31</t>
        </is>
      </c>
    </row>
    <row r="1241">
      <c r="A1241" t="n">
        <v>400</v>
      </c>
      <c r="B1241" t="inlineStr">
        <is>
          <t>Puesta en marcha de proyectos de emprendimiento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48" t="n">
        <v>45473</v>
      </c>
      <c r="G1241" t="n">
        <v>2024</v>
      </c>
      <c r="H1241" t="inlineStr">
        <is>
          <t>Junio</t>
        </is>
      </c>
      <c r="I1241" t="inlineStr">
        <is>
          <t>2024-1</t>
        </is>
      </c>
      <c r="J1241" t="n">
        <v>100</v>
      </c>
      <c r="K1241" t="n">
        <v>270.45</v>
      </c>
      <c r="L1241" s="59">
        <f>IFERROR(IF(OR(J1241=0,K1241=""),"",IF(E1241="Positivo",MIN(MAX(K1241/J1241,0),1.3),MIN(MAX(J1241/K1241,0),1.3))),"") </f>
        <v/>
      </c>
      <c r="M1241" s="59">
        <f>IFERROR(IF(OR(J1241=0,K1241=""),"",IF(E1241="Positivo",MAX(K1241/J1241,0),MAX(J1241/K1241,0))),"") </f>
        <v/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400-2024-06-30</t>
        </is>
      </c>
    </row>
    <row r="1242">
      <c r="A1242" t="n">
        <v>400</v>
      </c>
      <c r="B1242" t="inlineStr">
        <is>
          <t>Puesta en marcha de proyectos de emprendimiento</t>
        </is>
      </c>
      <c r="C1242" t="inlineStr">
        <is>
          <t>Emprendimiento</t>
        </is>
      </c>
      <c r="D1242" t="inlineStr">
        <is>
          <t>Semestral</t>
        </is>
      </c>
      <c r="E1242" t="inlineStr">
        <is>
          <t>Positivo</t>
        </is>
      </c>
      <c r="F1242" s="148" t="n">
        <v>45657</v>
      </c>
      <c r="G1242" t="n">
        <v>2024</v>
      </c>
      <c r="H1242" t="inlineStr">
        <is>
          <t>Diciembre</t>
        </is>
      </c>
      <c r="I1242" t="inlineStr">
        <is>
          <t>2024-2</t>
        </is>
      </c>
      <c r="J1242" t="n">
        <v>100</v>
      </c>
      <c r="K1242" t="n">
        <v>397.73</v>
      </c>
      <c r="L1242" s="59">
        <f>IFERROR(IF(OR(J1242=0,K1242=""),"",IF(E1242="Positivo",MIN(MAX(K1242/J1242,0),1.3),MIN(MAX(J1242/K1242,0),1.3))),"") </f>
        <v/>
      </c>
      <c r="M1242" s="59">
        <f>IFERROR(IF(OR(J1242=0,K1242=""),"",IF(E1242="Positivo",MAX(K1242/J1242,0),MAX(J1242/K1242,0))),"") </f>
        <v/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400-2024-12-31</t>
        </is>
      </c>
    </row>
    <row r="1243">
      <c r="A1243" t="n">
        <v>400</v>
      </c>
      <c r="B1243" t="inlineStr">
        <is>
          <t>Puesta en marcha de proyectos de emprendimiento</t>
        </is>
      </c>
      <c r="C1243" t="inlineStr">
        <is>
          <t>Emprendimiento</t>
        </is>
      </c>
      <c r="D1243" t="inlineStr">
        <is>
          <t>Semestral</t>
        </is>
      </c>
      <c r="E1243" t="inlineStr">
        <is>
          <t>Positivo</t>
        </is>
      </c>
      <c r="F1243" s="148" t="n">
        <v>45838</v>
      </c>
      <c r="G1243" t="n">
        <v>2025</v>
      </c>
      <c r="H1243" t="inlineStr">
        <is>
          <t>Junio</t>
        </is>
      </c>
      <c r="I1243" t="inlineStr">
        <is>
          <t>2025-1</t>
        </is>
      </c>
      <c r="J1243" t="n">
        <v>100</v>
      </c>
      <c r="K1243" t="n">
        <v>123</v>
      </c>
      <c r="L1243" s="59">
        <f>IFERROR(IF(OR(J1243=0,K1243=""),"",IF(E1243="Positivo",MIN(MAX(K1243/J1243,0),1.3),MIN(MAX(J1243/K1243,0),1.3))),"") </f>
        <v/>
      </c>
      <c r="M1243" s="59">
        <f>IFERROR(IF(OR(J1243=0,K1243=""),"",IF(E1243="Positivo",MAX(K1243/J1243,0),MAX(J1243/K1243,0))),"") </f>
        <v/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400-2025-06-30</t>
        </is>
      </c>
    </row>
    <row r="1244">
      <c r="A1244" t="n">
        <v>400</v>
      </c>
      <c r="B1244" t="inlineStr">
        <is>
          <t>Puesta en marcha de proyectos de emprendimiento</t>
        </is>
      </c>
      <c r="C1244" t="inlineStr">
        <is>
          <t>Emprendimiento</t>
        </is>
      </c>
      <c r="D1244" t="inlineStr">
        <is>
          <t>Trimestral</t>
        </is>
      </c>
      <c r="E1244" t="inlineStr">
        <is>
          <t>Positivo</t>
        </is>
      </c>
      <c r="F1244" s="148" t="n">
        <v>46022</v>
      </c>
      <c r="G1244" t="n">
        <v>2025</v>
      </c>
      <c r="H1244" t="inlineStr">
        <is>
          <t>Diciembre</t>
        </is>
      </c>
      <c r="I1244" t="inlineStr">
        <is>
          <t>2025-2</t>
        </is>
      </c>
      <c r="J1244" t="n">
        <v>100</v>
      </c>
      <c r="K1244" t="n">
        <v>127.14</v>
      </c>
      <c r="L1244" s="59">
        <f>IFERROR(IF(OR(J1244=0,K1244=""),"",IF(E1244="Positivo",MIN(MAX(K1244/J1244,0),1.3),MIN(MAX(J1244/K1244,0),1.3))),"") </f>
        <v/>
      </c>
      <c r="M1244" s="59">
        <f>IFERROR(IF(OR(J1244=0,K1244=""),"",IF(E1244="Positivo",MAX(K1244/J1244,0),MAX(J1244/K1244,0))),"") </f>
        <v/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400-2025-12-31</t>
        </is>
      </c>
    </row>
    <row r="1245">
      <c r="A1245" t="n">
        <v>401</v>
      </c>
      <c r="B1245" t="inlineStr">
        <is>
          <t>Producción de nuevos MI-Books</t>
        </is>
      </c>
      <c r="C1245" t="inlineStr">
        <is>
          <t>LEI</t>
        </is>
      </c>
      <c r="D1245" t="inlineStr">
        <is>
          <t>Semestral</t>
        </is>
      </c>
      <c r="E1245" t="inlineStr">
        <is>
          <t>Positivo</t>
        </is>
      </c>
      <c r="F1245" s="148" t="n">
        <v>45107</v>
      </c>
      <c r="G1245" t="n">
        <v>2023</v>
      </c>
      <c r="H1245" t="inlineStr">
        <is>
          <t>Junio</t>
        </is>
      </c>
      <c r="I1245" t="inlineStr">
        <is>
          <t>2023-1</t>
        </is>
      </c>
      <c r="J1245" t="n">
        <v>90</v>
      </c>
      <c r="K1245" t="n">
        <v>87.5</v>
      </c>
      <c r="L1245" s="59">
        <f>IFERROR(IF(OR(J1245=0,K1245=""),"",IF(E1245="Positivo",MIN(MAX(K1245/J1245,0),1.3),MIN(MAX(J1245/K1245,0),1.3))),"") </f>
        <v/>
      </c>
      <c r="M1245" s="59">
        <f>IFERROR(IF(OR(J1245=0,K1245=""),"",IF(E1245="Positivo",MAX(K1245/J1245,0),MAX(J1245/K1245,0))),"") </f>
        <v/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401-2023-06-30</t>
        </is>
      </c>
    </row>
    <row r="1246">
      <c r="A1246" t="n">
        <v>401</v>
      </c>
      <c r="B1246" t="inlineStr">
        <is>
          <t>Producción de nuevos MI-Books</t>
        </is>
      </c>
      <c r="C1246" t="inlineStr">
        <is>
          <t>LEI</t>
        </is>
      </c>
      <c r="D1246" t="inlineStr">
        <is>
          <t>Semestral</t>
        </is>
      </c>
      <c r="E1246" t="inlineStr">
        <is>
          <t>Positivo</t>
        </is>
      </c>
      <c r="F1246" s="148" t="n">
        <v>45291</v>
      </c>
      <c r="G1246" t="n">
        <v>2023</v>
      </c>
      <c r="H1246" t="inlineStr">
        <is>
          <t>Diciembre</t>
        </is>
      </c>
      <c r="I1246" t="inlineStr">
        <is>
          <t>2023-2</t>
        </is>
      </c>
      <c r="J1246" t="n">
        <v>90</v>
      </c>
      <c r="K1246" t="n">
        <v>125</v>
      </c>
      <c r="L1246" s="59">
        <f>IFERROR(IF(OR(J1246=0,K1246=""),"",IF(E1246="Positivo",MIN(MAX(K1246/J1246,0),1.3),MIN(MAX(J1246/K1246,0),1.3))),"") </f>
        <v/>
      </c>
      <c r="M1246" s="59">
        <f>IFERROR(IF(OR(J1246=0,K1246=""),"",IF(E1246="Positivo",MAX(K1246/J1246,0),MAX(J1246/K1246,0))),"") </f>
        <v/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401-2023-12-31</t>
        </is>
      </c>
    </row>
    <row r="1247">
      <c r="A1247" t="n">
        <v>401</v>
      </c>
      <c r="B1247" t="inlineStr">
        <is>
          <t>Producción de nuevos MI-Books</t>
        </is>
      </c>
      <c r="C1247" t="inlineStr">
        <is>
          <t>LEI</t>
        </is>
      </c>
      <c r="D1247" t="inlineStr">
        <is>
          <t>Semestral</t>
        </is>
      </c>
      <c r="E1247" t="inlineStr">
        <is>
          <t>Positivo</t>
        </is>
      </c>
      <c r="F1247" s="148" t="n">
        <v>45473</v>
      </c>
      <c r="G1247" t="n">
        <v>2024</v>
      </c>
      <c r="H1247" t="inlineStr">
        <is>
          <t>Junio</t>
        </is>
      </c>
      <c r="I1247" t="inlineStr">
        <is>
          <t>2024-1</t>
        </is>
      </c>
      <c r="J1247" t="n">
        <v>90</v>
      </c>
      <c r="K1247" t="n">
        <v>112.5</v>
      </c>
      <c r="L1247" s="59">
        <f>IFERROR(IF(OR(J1247=0,K1247=""),"",IF(E1247="Positivo",MIN(MAX(K1247/J1247,0),1.3),MIN(MAX(J1247/K1247,0),1.3))),"") </f>
        <v/>
      </c>
      <c r="M1247" s="59">
        <f>IFERROR(IF(OR(J1247=0,K1247=""),"",IF(E1247="Positivo",MAX(K1247/J1247,0),MAX(J1247/K1247,0))),"") </f>
        <v/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401-2024-06-30</t>
        </is>
      </c>
    </row>
    <row r="1248">
      <c r="A1248" t="n">
        <v>401</v>
      </c>
      <c r="B1248" t="inlineStr">
        <is>
          <t>Producción de nuevos MI-Books</t>
        </is>
      </c>
      <c r="C1248" t="inlineStr">
        <is>
          <t>LEI</t>
        </is>
      </c>
      <c r="D1248" t="inlineStr">
        <is>
          <t>Semestral</t>
        </is>
      </c>
      <c r="E1248" t="inlineStr">
        <is>
          <t>Positivo</t>
        </is>
      </c>
      <c r="F1248" s="148" t="n">
        <v>45657</v>
      </c>
      <c r="G1248" t="n">
        <v>2024</v>
      </c>
      <c r="H1248" t="inlineStr">
        <is>
          <t>Diciembre</t>
        </is>
      </c>
      <c r="I1248" t="inlineStr">
        <is>
          <t>2024-2</t>
        </is>
      </c>
      <c r="J1248" t="n">
        <v>90</v>
      </c>
      <c r="K1248" t="n">
        <v>100</v>
      </c>
      <c r="L1248" s="59">
        <f>IFERROR(IF(OR(J1248=0,K1248=""),"",IF(E1248="Positivo",MIN(MAX(K1248/J1248,0),1.3),MIN(MAX(J1248/K1248,0),1.3))),"") </f>
        <v/>
      </c>
      <c r="M1248" s="59">
        <f>IFERROR(IF(OR(J1248=0,K1248=""),"",IF(E1248="Positivo",MAX(K1248/J1248,0),MAX(J1248/K1248,0))),"") </f>
        <v/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401-2024-12-31</t>
        </is>
      </c>
    </row>
    <row r="1249">
      <c r="A1249" t="n">
        <v>401</v>
      </c>
      <c r="B1249" t="inlineStr">
        <is>
          <t>Producción de nuevos MI-Books</t>
        </is>
      </c>
      <c r="C1249" t="inlineStr">
        <is>
          <t>LEI</t>
        </is>
      </c>
      <c r="D1249" t="inlineStr">
        <is>
          <t>Semestral</t>
        </is>
      </c>
      <c r="E1249" t="inlineStr">
        <is>
          <t>Positivo</t>
        </is>
      </c>
      <c r="F1249" s="148" t="n">
        <v>45838</v>
      </c>
      <c r="G1249" t="n">
        <v>2025</v>
      </c>
      <c r="H1249" t="inlineStr">
        <is>
          <t>Junio</t>
        </is>
      </c>
      <c r="I1249" t="inlineStr">
        <is>
          <t>2025-1</t>
        </is>
      </c>
      <c r="J1249" t="n">
        <v>100</v>
      </c>
      <c r="K1249" t="n">
        <v>100</v>
      </c>
      <c r="L1249" s="59">
        <f>IFERROR(IF(OR(J1249=0,K1249=""),"",IF(E1249="Positivo",MIN(MAX(K1249/J1249,0),1.3),MIN(MAX(J1249/K1249,0),1.3))),"") </f>
        <v/>
      </c>
      <c r="M1249" s="59">
        <f>IFERROR(IF(OR(J1249=0,K1249=""),"",IF(E1249="Positivo",MAX(K1249/J1249,0),MAX(J1249/K1249,0))),"") </f>
        <v/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401-2025-06-30</t>
        </is>
      </c>
    </row>
    <row r="1250">
      <c r="A1250" t="n">
        <v>401</v>
      </c>
      <c r="B1250" t="inlineStr">
        <is>
          <t>Producción de nuevos MI-Books</t>
        </is>
      </c>
      <c r="C1250" t="inlineStr">
        <is>
          <t>LEI</t>
        </is>
      </c>
      <c r="D1250" t="inlineStr">
        <is>
          <t>Trimestral</t>
        </is>
      </c>
      <c r="E1250" t="inlineStr">
        <is>
          <t>Positivo</t>
        </is>
      </c>
      <c r="F1250" s="148" t="n">
        <v>46022</v>
      </c>
      <c r="G1250" t="n">
        <v>2025</v>
      </c>
      <c r="H1250" t="inlineStr">
        <is>
          <t>Diciembre</t>
        </is>
      </c>
      <c r="I1250" t="inlineStr">
        <is>
          <t>2025-2</t>
        </is>
      </c>
      <c r="J1250" t="n">
        <v>100</v>
      </c>
      <c r="K1250" t="n">
        <v>100</v>
      </c>
      <c r="L1250" s="59">
        <f>IFERROR(IF(OR(J1250=0,K1250=""),"",IF(E1250="Positivo",MIN(MAX(K1250/J1250,0),1.3),MIN(MAX(J1250/K1250,0),1.3))),"") </f>
        <v/>
      </c>
      <c r="M1250" s="59">
        <f>IFERROR(IF(OR(J1250=0,K1250=""),"",IF(E1250="Positivo",MAX(K1250/J1250,0),MAX(J1250/K1250,0))),"") </f>
        <v/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401-2025-12-31</t>
        </is>
      </c>
    </row>
    <row r="1251">
      <c r="A1251" t="n">
        <v>402</v>
      </c>
      <c r="B1251" t="inlineStr">
        <is>
          <t>Informe anual de consulta de MI-Books</t>
        </is>
      </c>
      <c r="C1251" t="inlineStr">
        <is>
          <t>LEI</t>
        </is>
      </c>
      <c r="D1251" t="inlineStr">
        <is>
          <t>Anual</t>
        </is>
      </c>
      <c r="E1251" t="inlineStr">
        <is>
          <t>Positivo</t>
        </is>
      </c>
      <c r="F1251" s="148" t="n">
        <v>45291</v>
      </c>
      <c r="G1251" t="n">
        <v>2023</v>
      </c>
      <c r="H1251" t="inlineStr">
        <is>
          <t>Diciembre</t>
        </is>
      </c>
      <c r="I1251" t="inlineStr">
        <is>
          <t>2023-2</t>
        </is>
      </c>
      <c r="K1251" t="n">
        <v>21000</v>
      </c>
      <c r="L1251" s="59" t="n"/>
      <c r="M1251" s="59" t="n"/>
      <c r="P1251" t="n">
        <v>0</v>
      </c>
      <c r="Q1251" t="n">
        <v>0</v>
      </c>
      <c r="R1251" t="inlineStr">
        <is>
          <t>402-2023-12-31</t>
        </is>
      </c>
    </row>
    <row r="1252">
      <c r="A1252" t="n">
        <v>402</v>
      </c>
      <c r="B1252" t="inlineStr">
        <is>
          <t>Informe anual de consulta de MI-Books</t>
        </is>
      </c>
      <c r="C1252" t="inlineStr">
        <is>
          <t>LEI</t>
        </is>
      </c>
      <c r="D1252" t="inlineStr">
        <is>
          <t>Anual</t>
        </is>
      </c>
      <c r="E1252" t="inlineStr">
        <is>
          <t>Positivo</t>
        </is>
      </c>
      <c r="F1252" s="148" t="n">
        <v>45657</v>
      </c>
      <c r="G1252" t="n">
        <v>2024</v>
      </c>
      <c r="H1252" t="inlineStr">
        <is>
          <t>Diciembre</t>
        </is>
      </c>
      <c r="I1252" t="inlineStr">
        <is>
          <t>2024-2</t>
        </is>
      </c>
      <c r="J1252" t="n">
        <v>3</v>
      </c>
      <c r="K1252" t="n">
        <v>4.76</v>
      </c>
      <c r="L1252" s="59">
        <f>IFERROR(IF(OR(J1252=0,K1252=""),"",IF(E1252="Positivo",MIN(MAX(K1252/J1252,0),1.3),MIN(MAX(J1252/K1252,0),1.3))),"") </f>
        <v/>
      </c>
      <c r="M1252" s="59">
        <f>IFERROR(IF(OR(J1252=0,K1252=""),"",IF(E1252="Positivo",MAX(K1252/J1252,0),MAX(J1252/K1252,0))),"") </f>
        <v/>
      </c>
      <c r="P1252" t="n">
        <v>0</v>
      </c>
      <c r="Q1252" t="n">
        <v>0</v>
      </c>
      <c r="R1252" t="inlineStr">
        <is>
          <t>402-2024-12-31</t>
        </is>
      </c>
    </row>
    <row r="1253">
      <c r="A1253" t="n">
        <v>402</v>
      </c>
      <c r="B1253" t="inlineStr">
        <is>
          <t>Informe anual de consulta de MI-Books</t>
        </is>
      </c>
      <c r="C1253" t="inlineStr">
        <is>
          <t>LEI</t>
        </is>
      </c>
      <c r="D1253" t="inlineStr">
        <is>
          <t>Anual</t>
        </is>
      </c>
      <c r="E1253" t="inlineStr">
        <is>
          <t>Positivo</t>
        </is>
      </c>
      <c r="F1253" s="148" t="n">
        <v>46022</v>
      </c>
      <c r="G1253" t="n">
        <v>2025</v>
      </c>
      <c r="H1253" t="inlineStr">
        <is>
          <t>Diciembre</t>
        </is>
      </c>
      <c r="I1253" t="inlineStr">
        <is>
          <t>2025-2</t>
        </is>
      </c>
      <c r="K1253" t="n">
        <v>22.73</v>
      </c>
      <c r="L1253" s="59" t="n"/>
      <c r="M1253" s="59" t="n"/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402-2025-12-31</t>
        </is>
      </c>
    </row>
    <row r="1254">
      <c r="A1254" t="n">
        <v>403</v>
      </c>
      <c r="B1254" t="inlineStr">
        <is>
          <t>Número de estudiantes que ha realizado la simulación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48" t="n">
        <v>45107</v>
      </c>
      <c r="G1254" t="n">
        <v>2023</v>
      </c>
      <c r="H1254" t="inlineStr">
        <is>
          <t>Junio</t>
        </is>
      </c>
      <c r="I1254" t="inlineStr">
        <is>
          <t>2023-1</t>
        </is>
      </c>
      <c r="K1254" t="n">
        <v>14370</v>
      </c>
      <c r="L1254" s="59" t="n"/>
      <c r="M1254" s="59" t="n"/>
      <c r="N1254" t="inlineStr">
        <is>
          <t>Metrica</t>
        </is>
      </c>
      <c r="P1254" t="n">
        <v>0</v>
      </c>
      <c r="Q1254" t="n">
        <v>0</v>
      </c>
      <c r="R1254" t="inlineStr">
        <is>
          <t>403-2023-06-30</t>
        </is>
      </c>
    </row>
    <row r="1255">
      <c r="A1255" t="n">
        <v>403</v>
      </c>
      <c r="B1255" t="inlineStr">
        <is>
          <t>Número de estudiantes que ha realizado la simulación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48" t="n">
        <v>45291</v>
      </c>
      <c r="G1255" t="n">
        <v>2023</v>
      </c>
      <c r="H1255" t="inlineStr">
        <is>
          <t>Diciembre</t>
        </is>
      </c>
      <c r="I1255" t="inlineStr">
        <is>
          <t>2023-2</t>
        </is>
      </c>
      <c r="K1255" t="n">
        <v>28639</v>
      </c>
      <c r="L1255" s="59" t="n"/>
      <c r="M1255" s="59" t="n"/>
      <c r="N1255" t="inlineStr">
        <is>
          <t>Metrica</t>
        </is>
      </c>
      <c r="P1255" t="n">
        <v>0</v>
      </c>
      <c r="Q1255" t="n">
        <v>0</v>
      </c>
      <c r="R1255" t="inlineStr">
        <is>
          <t>403-2023-12-31</t>
        </is>
      </c>
    </row>
    <row r="1256">
      <c r="A1256" t="n">
        <v>403</v>
      </c>
      <c r="B1256" t="inlineStr">
        <is>
          <t>Número de estudiantes que ha realizado la simulación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48" t="n">
        <v>45473</v>
      </c>
      <c r="G1256" t="n">
        <v>2024</v>
      </c>
      <c r="H1256" t="inlineStr">
        <is>
          <t>Junio</t>
        </is>
      </c>
      <c r="I1256" t="inlineStr">
        <is>
          <t>2024-1</t>
        </is>
      </c>
      <c r="K1256" t="n">
        <v>14923</v>
      </c>
      <c r="L1256" s="59" t="n"/>
      <c r="M1256" s="59" t="n"/>
      <c r="N1256" t="inlineStr">
        <is>
          <t>Metrica</t>
        </is>
      </c>
      <c r="P1256" t="n">
        <v>0</v>
      </c>
      <c r="Q1256" t="n">
        <v>0</v>
      </c>
      <c r="R1256" t="inlineStr">
        <is>
          <t>403-2024-06-30</t>
        </is>
      </c>
    </row>
    <row r="1257">
      <c r="A1257" t="n">
        <v>403</v>
      </c>
      <c r="B1257" t="inlineStr">
        <is>
          <t>Número de estudiantes que ha realizado la simulación</t>
        </is>
      </c>
      <c r="C1257" t="inlineStr">
        <is>
          <t>LEI</t>
        </is>
      </c>
      <c r="D1257" t="inlineStr">
        <is>
          <t>Semestral</t>
        </is>
      </c>
      <c r="E1257" t="inlineStr">
        <is>
          <t>Positivo</t>
        </is>
      </c>
      <c r="F1257" s="148" t="n">
        <v>45657</v>
      </c>
      <c r="G1257" t="n">
        <v>2024</v>
      </c>
      <c r="H1257" t="inlineStr">
        <is>
          <t>Diciembre</t>
        </is>
      </c>
      <c r="I1257" t="inlineStr">
        <is>
          <t>2024-2</t>
        </is>
      </c>
      <c r="K1257" t="n">
        <v>14495</v>
      </c>
      <c r="L1257" s="59" t="n"/>
      <c r="M1257" s="59" t="n"/>
      <c r="N1257" t="inlineStr">
        <is>
          <t>Metrica</t>
        </is>
      </c>
      <c r="P1257" t="n">
        <v>0</v>
      </c>
      <c r="Q1257" t="n">
        <v>0</v>
      </c>
      <c r="R1257" t="inlineStr">
        <is>
          <t>403-2024-12-31</t>
        </is>
      </c>
    </row>
    <row r="1258">
      <c r="A1258" t="n">
        <v>403</v>
      </c>
      <c r="B1258" t="inlineStr">
        <is>
          <t>Número de estudiantes que ha realizado la simulación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Positivo</t>
        </is>
      </c>
      <c r="F1258" s="148" t="n">
        <v>45838</v>
      </c>
      <c r="G1258" t="n">
        <v>2025</v>
      </c>
      <c r="H1258" t="inlineStr">
        <is>
          <t>Junio</t>
        </is>
      </c>
      <c r="I1258" t="inlineStr">
        <is>
          <t>2025-1</t>
        </is>
      </c>
      <c r="K1258" t="n">
        <v>14410</v>
      </c>
      <c r="L1258" s="59" t="n"/>
      <c r="M1258" s="59" t="n"/>
      <c r="N1258" t="inlineStr">
        <is>
          <t>Metrica</t>
        </is>
      </c>
      <c r="P1258" t="n">
        <v>0</v>
      </c>
      <c r="Q1258" t="n">
        <v>0</v>
      </c>
      <c r="R1258" t="inlineStr">
        <is>
          <t>403-2025-06-30</t>
        </is>
      </c>
    </row>
    <row r="1259">
      <c r="A1259" t="n">
        <v>403</v>
      </c>
      <c r="B1259" t="inlineStr">
        <is>
          <t>Número de estudiantes que ha realizado la simulación (Metrica)</t>
        </is>
      </c>
      <c r="C1259" t="inlineStr">
        <is>
          <t>LEI</t>
        </is>
      </c>
      <c r="D1259" t="inlineStr">
        <is>
          <t>Trimestral</t>
        </is>
      </c>
      <c r="E1259" t="inlineStr">
        <is>
          <t>Positivo</t>
        </is>
      </c>
      <c r="F1259" s="148" t="n">
        <v>46022</v>
      </c>
      <c r="G1259" t="n">
        <v>2025</v>
      </c>
      <c r="H1259" t="inlineStr">
        <is>
          <t>Diciembre</t>
        </is>
      </c>
      <c r="I1259" t="inlineStr">
        <is>
          <t>2025-2</t>
        </is>
      </c>
      <c r="K1259" t="n">
        <v>12510</v>
      </c>
      <c r="L1259" s="59" t="n"/>
      <c r="M1259" s="59" t="n"/>
      <c r="N1259" t="inlineStr">
        <is>
          <t>Metrica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403-2025-12-31</t>
        </is>
      </c>
      <c r="S1259" t="inlineStr">
        <is>
          <t>Metrica</t>
        </is>
      </c>
    </row>
    <row r="1260">
      <c r="A1260" t="n">
        <v>404</v>
      </c>
      <c r="B1260" t="inlineStr">
        <is>
          <t>Casos presentados y solucionados</t>
        </is>
      </c>
      <c r="C1260" t="inlineStr">
        <is>
          <t>LEI</t>
        </is>
      </c>
      <c r="D1260" t="inlineStr">
        <is>
          <t>Semestral</t>
        </is>
      </c>
      <c r="E1260" t="inlineStr">
        <is>
          <t>Negativo</t>
        </is>
      </c>
      <c r="F1260" s="148" t="n">
        <v>45107</v>
      </c>
      <c r="G1260" t="n">
        <v>2023</v>
      </c>
      <c r="H1260" t="inlineStr">
        <is>
          <t>Junio</t>
        </is>
      </c>
      <c r="I1260" t="inlineStr">
        <is>
          <t>2023-1</t>
        </is>
      </c>
      <c r="J1260" t="n">
        <v>20</v>
      </c>
      <c r="K1260" t="n">
        <v>2</v>
      </c>
      <c r="L1260" s="59">
        <f>IFERROR(IF(OR(J1260=0,K1260=""),"",IF(E1260="Positivo",MIN(MAX(K1260/J1260,0),1.3),MIN(MAX(J1260/K1260,0),1.3))),"") </f>
        <v/>
      </c>
      <c r="M1260" s="59">
        <f>IFERROR(IF(OR(J1260=0,K1260=""),"",IF(E1260="Positivo",MAX(K1260/J1260,0),MAX(J1260/K1260,0))),"") </f>
        <v/>
      </c>
      <c r="N1260" t="inlineStr">
        <is>
          <t>%</t>
        </is>
      </c>
      <c r="O1260" t="inlineStr">
        <is>
          <t>%</t>
        </is>
      </c>
      <c r="P1260" t="n">
        <v>0</v>
      </c>
      <c r="Q1260" t="n">
        <v>0</v>
      </c>
      <c r="R1260" t="inlineStr">
        <is>
          <t>404-2023-06-30</t>
        </is>
      </c>
    </row>
    <row r="1261">
      <c r="A1261" t="n">
        <v>404</v>
      </c>
      <c r="B1261" t="inlineStr">
        <is>
          <t>Casos presentados y solucionados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Negativo</t>
        </is>
      </c>
      <c r="F1261" s="148" t="n">
        <v>45291</v>
      </c>
      <c r="G1261" t="n">
        <v>2023</v>
      </c>
      <c r="H1261" t="inlineStr">
        <is>
          <t>Diciembre</t>
        </is>
      </c>
      <c r="I1261" t="inlineStr">
        <is>
          <t>2023-2</t>
        </is>
      </c>
      <c r="J1261" t="n">
        <v>20</v>
      </c>
      <c r="K1261" t="n">
        <v>1.31</v>
      </c>
      <c r="L1261" s="59">
        <f>IFERROR(IF(OR(J1261=0,K1261=""),"",IF(E1261="Positivo",MIN(MAX(K1261/J1261,0),1.3),MIN(MAX(J1261/K1261,0),1.3))),"") </f>
        <v/>
      </c>
      <c r="M1261" s="59">
        <f>IFERROR(IF(OR(J1261=0,K1261=""),"",IF(E1261="Positivo",MAX(K1261/J1261,0),MAX(J1261/K1261,0))),"") </f>
        <v/>
      </c>
      <c r="N1261" t="inlineStr">
        <is>
          <t>%</t>
        </is>
      </c>
      <c r="O1261" t="inlineStr">
        <is>
          <t>%</t>
        </is>
      </c>
      <c r="P1261" t="n">
        <v>0</v>
      </c>
      <c r="Q1261" t="n">
        <v>0</v>
      </c>
      <c r="R1261" t="inlineStr">
        <is>
          <t>404-2023-12-31</t>
        </is>
      </c>
    </row>
    <row r="1262">
      <c r="A1262" t="n">
        <v>404</v>
      </c>
      <c r="B1262" t="inlineStr">
        <is>
          <t>Casos presentados y solucionados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Negativo</t>
        </is>
      </c>
      <c r="F1262" s="148" t="n">
        <v>45473</v>
      </c>
      <c r="G1262" t="n">
        <v>2024</v>
      </c>
      <c r="H1262" t="inlineStr">
        <is>
          <t>Junio</t>
        </is>
      </c>
      <c r="I1262" t="inlineStr">
        <is>
          <t>2024-1</t>
        </is>
      </c>
      <c r="J1262" t="n">
        <v>10</v>
      </c>
      <c r="K1262" t="n">
        <v>5.85</v>
      </c>
      <c r="L1262" s="59">
        <f>IFERROR(IF(OR(J1262=0,K1262=""),"",IF(E1262="Positivo",MIN(MAX(K1262/J1262,0),1.3),MIN(MAX(J1262/K1262,0),1.3))),"") </f>
        <v/>
      </c>
      <c r="M1262" s="59">
        <f>IFERROR(IF(OR(J1262=0,K1262=""),"",IF(E1262="Positivo",MAX(K1262/J1262,0),MAX(J1262/K1262,0))),"") </f>
        <v/>
      </c>
      <c r="P1262" t="n">
        <v>0</v>
      </c>
      <c r="Q1262" t="n">
        <v>0</v>
      </c>
      <c r="R1262" t="inlineStr">
        <is>
          <t>404-2024-06-30</t>
        </is>
      </c>
    </row>
    <row r="1263">
      <c r="A1263" t="n">
        <v>404</v>
      </c>
      <c r="B1263" t="inlineStr">
        <is>
          <t>Casos presentados y solucionados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Negativo</t>
        </is>
      </c>
      <c r="F1263" s="148" t="n">
        <v>45657</v>
      </c>
      <c r="G1263" t="n">
        <v>2024</v>
      </c>
      <c r="H1263" t="inlineStr">
        <is>
          <t>Diciembre</t>
        </is>
      </c>
      <c r="I1263" t="inlineStr">
        <is>
          <t>2024-2</t>
        </is>
      </c>
      <c r="J1263" t="n">
        <v>10</v>
      </c>
      <c r="K1263" t="n">
        <v>6.02</v>
      </c>
      <c r="L1263" s="59">
        <f>IFERROR(IF(OR(J1263=0,K1263=""),"",IF(E1263="Positivo",MIN(MAX(K1263/J1263,0),1.3),MIN(MAX(J1263/K1263,0),1.3))),"") </f>
        <v/>
      </c>
      <c r="M1263" s="59">
        <f>IFERROR(IF(OR(J1263=0,K1263=""),"",IF(E1263="Positivo",MAX(K1263/J1263,0),MAX(J1263/K1263,0))),"") </f>
        <v/>
      </c>
      <c r="P1263" t="n">
        <v>0</v>
      </c>
      <c r="Q1263" t="n">
        <v>0</v>
      </c>
      <c r="R1263" t="inlineStr">
        <is>
          <t>404-2024-12-31</t>
        </is>
      </c>
    </row>
    <row r="1264">
      <c r="A1264" t="n">
        <v>405</v>
      </c>
      <c r="B1264" t="inlineStr">
        <is>
          <t>Proyecto de reingenieria y arquitectura de software LEI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48" t="n">
        <v>45107</v>
      </c>
      <c r="G1264" t="n">
        <v>2023</v>
      </c>
      <c r="H1264" t="inlineStr">
        <is>
          <t>Junio</t>
        </is>
      </c>
      <c r="I1264" t="inlineStr">
        <is>
          <t>2023-1</t>
        </is>
      </c>
      <c r="J1264" t="n">
        <v>25</v>
      </c>
      <c r="K1264" t="n">
        <v>30</v>
      </c>
      <c r="L1264" s="59">
        <f>IFERROR(IF(OR(J1264=0,K1264=""),"",IF(E1264="Positivo",MIN(MAX(K1264/J1264,0),1.3),MIN(MAX(J1264/K1264,0),1.3))),"") </f>
        <v/>
      </c>
      <c r="M1264" s="59">
        <f>IFERROR(IF(OR(J1264=0,K1264=""),"",IF(E1264="Positivo",MAX(K1264/J1264,0),MAX(J1264/K1264,0))),"") </f>
        <v/>
      </c>
      <c r="N1264" t="inlineStr">
        <is>
          <t>%</t>
        </is>
      </c>
      <c r="O1264" t="inlineStr">
        <is>
          <t>%</t>
        </is>
      </c>
      <c r="P1264" t="n">
        <v>0</v>
      </c>
      <c r="Q1264" t="n">
        <v>0</v>
      </c>
      <c r="R1264" t="inlineStr">
        <is>
          <t>405-2023-06-30</t>
        </is>
      </c>
    </row>
    <row r="1265">
      <c r="A1265" t="n">
        <v>405</v>
      </c>
      <c r="B1265" t="inlineStr">
        <is>
          <t>Proyecto de reingenieria y arquitectura de software LEI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48" t="n">
        <v>45291</v>
      </c>
      <c r="G1265" t="n">
        <v>2023</v>
      </c>
      <c r="H1265" t="inlineStr">
        <is>
          <t>Diciembre</t>
        </is>
      </c>
      <c r="I1265" t="inlineStr">
        <is>
          <t>2023-2</t>
        </is>
      </c>
      <c r="J1265" t="n">
        <v>50</v>
      </c>
      <c r="K1265" t="n">
        <v>62</v>
      </c>
      <c r="L1265" s="59">
        <f>IFERROR(IF(OR(J1265=0,K1265=""),"",IF(E1265="Positivo",MIN(MAX(K1265/J1265,0),1.3),MIN(MAX(J1265/K1265,0),1.3))),"") </f>
        <v/>
      </c>
      <c r="M1265" s="59">
        <f>IFERROR(IF(OR(J1265=0,K1265=""),"",IF(E1265="Positivo",MAX(K1265/J1265,0),MAX(J1265/K1265,0))),"") </f>
        <v/>
      </c>
      <c r="N1265" t="inlineStr">
        <is>
          <t>%</t>
        </is>
      </c>
      <c r="O1265" t="inlineStr">
        <is>
          <t>%</t>
        </is>
      </c>
      <c r="P1265" t="n">
        <v>0</v>
      </c>
      <c r="Q1265" t="n">
        <v>0</v>
      </c>
      <c r="R1265" t="inlineStr">
        <is>
          <t>405-2023-12-31</t>
        </is>
      </c>
    </row>
    <row r="1266">
      <c r="A1266" t="n">
        <v>405</v>
      </c>
      <c r="B1266" t="inlineStr">
        <is>
          <t>Proyecto de reingenieria y arquitectura de software LEI</t>
        </is>
      </c>
      <c r="C1266" t="inlineStr">
        <is>
          <t>LEI</t>
        </is>
      </c>
      <c r="D1266" t="inlineStr">
        <is>
          <t>Semestral</t>
        </is>
      </c>
      <c r="E1266" t="inlineStr">
        <is>
          <t>Positivo</t>
        </is>
      </c>
      <c r="F1266" s="148" t="n">
        <v>45473</v>
      </c>
      <c r="G1266" t="n">
        <v>2024</v>
      </c>
      <c r="H1266" t="inlineStr">
        <is>
          <t>Junio</t>
        </is>
      </c>
      <c r="I1266" t="inlineStr">
        <is>
          <t>2024-1</t>
        </is>
      </c>
      <c r="J1266" t="n">
        <v>100</v>
      </c>
      <c r="K1266" t="n">
        <v>97.39</v>
      </c>
      <c r="L1266" s="59">
        <f>IFERROR(IF(OR(J1266=0,K1266=""),"",IF(E1266="Positivo",MIN(MAX(K1266/J1266,0),1.3),MIN(MAX(J1266/K1266,0),1.3))),"") </f>
        <v/>
      </c>
      <c r="M1266" s="59">
        <f>IFERROR(IF(OR(J1266=0,K1266=""),"",IF(E1266="Positivo",MAX(K1266/J1266,0),MAX(J1266/K1266,0))),"") </f>
        <v/>
      </c>
      <c r="P1266" t="n">
        <v>0</v>
      </c>
      <c r="Q1266" t="n">
        <v>0</v>
      </c>
      <c r="R1266" t="inlineStr">
        <is>
          <t>405-2024-06-30</t>
        </is>
      </c>
    </row>
    <row r="1267">
      <c r="A1267" t="n">
        <v>405</v>
      </c>
      <c r="B1267" t="inlineStr">
        <is>
          <t>Proyecto de reingenieria y arquitectura de software LEI</t>
        </is>
      </c>
      <c r="C1267" t="inlineStr">
        <is>
          <t>LEI</t>
        </is>
      </c>
      <c r="D1267" t="inlineStr">
        <is>
          <t>Semestral</t>
        </is>
      </c>
      <c r="E1267" t="inlineStr">
        <is>
          <t>Positivo</t>
        </is>
      </c>
      <c r="F1267" s="148" t="n">
        <v>45657</v>
      </c>
      <c r="G1267" t="n">
        <v>2024</v>
      </c>
      <c r="H1267" t="inlineStr">
        <is>
          <t>Diciembre</t>
        </is>
      </c>
      <c r="I1267" t="inlineStr">
        <is>
          <t>2024-2</t>
        </is>
      </c>
      <c r="J1267" t="n">
        <v>100</v>
      </c>
      <c r="K1267" t="n">
        <v>98</v>
      </c>
      <c r="L1267" s="59">
        <f>IFERROR(IF(OR(J1267=0,K1267=""),"",IF(E1267="Positivo",MIN(MAX(K1267/J1267,0),1.3),MIN(MAX(J1267/K1267,0),1.3))),"") </f>
        <v/>
      </c>
      <c r="M1267" s="59">
        <f>IFERROR(IF(OR(J1267=0,K1267=""),"",IF(E1267="Positivo",MAX(K1267/J1267,0),MAX(J1267/K1267,0))),"") </f>
        <v/>
      </c>
      <c r="P1267" t="n">
        <v>0</v>
      </c>
      <c r="Q1267" t="n">
        <v>0</v>
      </c>
      <c r="R1267" t="inlineStr">
        <is>
          <t>405-2024-12-31</t>
        </is>
      </c>
    </row>
    <row r="1268">
      <c r="A1268" t="n">
        <v>406</v>
      </c>
      <c r="B1268" t="inlineStr">
        <is>
          <t>Programas con condiciones iniciales aprobadas por facultad</t>
        </is>
      </c>
      <c r="C1268" t="inlineStr">
        <is>
          <t>Creación, modificación y cierre de programas académicos</t>
        </is>
      </c>
      <c r="D1268" t="inlineStr">
        <is>
          <t>Semestral</t>
        </is>
      </c>
      <c r="E1268" t="inlineStr">
        <is>
          <t>Positivo</t>
        </is>
      </c>
      <c r="F1268" s="148" t="n">
        <v>45291</v>
      </c>
      <c r="G1268" t="n">
        <v>2023</v>
      </c>
      <c r="H1268" t="inlineStr">
        <is>
          <t>Diciembre</t>
        </is>
      </c>
      <c r="I1268" t="inlineStr">
        <is>
          <t>2023-2</t>
        </is>
      </c>
      <c r="J1268" t="n">
        <v>5</v>
      </c>
      <c r="K1268" t="n">
        <v>5</v>
      </c>
      <c r="L1268" s="59">
        <f>IFERROR(IF(OR(J1268=0,K1268=""),"",IF(E1268="Positivo",MIN(MAX(K1268/J1268,0),1.3),MIN(MAX(J1268/K1268,0),1.3))),"") </f>
        <v/>
      </c>
      <c r="M1268" s="59">
        <f>IFERROR(IF(OR(J1268=0,K1268=""),"",IF(E1268="Positivo",MAX(K1268/J1268,0),MAX(J1268/K1268,0))),"") </f>
        <v/>
      </c>
      <c r="P1268" t="n">
        <v>0</v>
      </c>
      <c r="Q1268" t="n">
        <v>0</v>
      </c>
      <c r="R1268" t="inlineStr">
        <is>
          <t>406-2023-12-31</t>
        </is>
      </c>
    </row>
    <row r="1269">
      <c r="A1269" t="n">
        <v>406</v>
      </c>
      <c r="B1269" t="inlineStr">
        <is>
          <t>Programas con condiciones iniciales aprobadas por facultad</t>
        </is>
      </c>
      <c r="C1269" t="inlineStr">
        <is>
          <t>Autoevaluación de programas académicos</t>
        </is>
      </c>
      <c r="D1269" t="inlineStr">
        <is>
          <t>Semestral</t>
        </is>
      </c>
      <c r="E1269" t="inlineStr">
        <is>
          <t>Positivo</t>
        </is>
      </c>
      <c r="F1269" s="148" t="n">
        <v>45473</v>
      </c>
      <c r="G1269" t="n">
        <v>2024</v>
      </c>
      <c r="H1269" t="inlineStr">
        <is>
          <t>Junio</t>
        </is>
      </c>
      <c r="I1269" t="inlineStr">
        <is>
          <t>2024-1</t>
        </is>
      </c>
      <c r="J1269" t="n">
        <v>0</v>
      </c>
      <c r="K1269" t="n">
        <v>3</v>
      </c>
      <c r="L1269" s="59">
        <f>IFERROR(IF(OR(J1269=0,K1269=""),"",IF(E1269="Positivo",MIN(MAX(K1269/J1269,0),1.3),MIN(MAX(J1269/K1269,0),1.3))),"") </f>
        <v/>
      </c>
      <c r="M1269" s="59">
        <f>IFERROR(IF(OR(J1269=0,K1269=""),"",IF(E1269="Positivo",MAX(K1269/J1269,0),MAX(J1269/K1269,0))),"") </f>
        <v/>
      </c>
      <c r="P1269" t="n">
        <v>0</v>
      </c>
      <c r="Q1269" t="n">
        <v>0</v>
      </c>
      <c r="R1269" t="inlineStr">
        <is>
          <t>406-2024-06-30</t>
        </is>
      </c>
    </row>
    <row r="1270">
      <c r="A1270" t="n">
        <v>406</v>
      </c>
      <c r="B1270" t="inlineStr">
        <is>
          <t>Programas con condiciones iniciales aprobadas por facultad</t>
        </is>
      </c>
      <c r="C1270" t="inlineStr">
        <is>
          <t>Autoevaluación de programas académicos</t>
        </is>
      </c>
      <c r="D1270" t="inlineStr">
        <is>
          <t>Semestral</t>
        </is>
      </c>
      <c r="E1270" t="inlineStr">
        <is>
          <t>Positivo</t>
        </is>
      </c>
      <c r="F1270" s="148" t="n">
        <v>45657</v>
      </c>
      <c r="G1270" t="n">
        <v>2024</v>
      </c>
      <c r="H1270" t="inlineStr">
        <is>
          <t>Diciembre</t>
        </is>
      </c>
      <c r="I1270" t="inlineStr">
        <is>
          <t>2024-2</t>
        </is>
      </c>
      <c r="J1270" t="n">
        <v>0</v>
      </c>
      <c r="L1270" s="59" t="n"/>
      <c r="M1270" s="59" t="n"/>
      <c r="N1270" t="inlineStr">
        <is>
          <t>ENT</t>
        </is>
      </c>
      <c r="O1270" t="inlineStr">
        <is>
          <t>N/A</t>
        </is>
      </c>
      <c r="P1270" t="n">
        <v>0</v>
      </c>
      <c r="Q1270" t="n">
        <v>0</v>
      </c>
      <c r="R1270" t="inlineStr">
        <is>
          <t>406-2024-12-31</t>
        </is>
      </c>
    </row>
    <row r="1271">
      <c r="A1271" t="n">
        <v>407</v>
      </c>
      <c r="B1271" t="inlineStr">
        <is>
          <t>Programas 1ra fase de condiciones iniciales radicadas por facultad</t>
        </is>
      </c>
      <c r="C1271" t="inlineStr">
        <is>
          <t>Creación, modificación y cierre de programas académicos</t>
        </is>
      </c>
      <c r="D1271" t="inlineStr">
        <is>
          <t>Semestral</t>
        </is>
      </c>
      <c r="E1271" t="inlineStr">
        <is>
          <t>Positivo</t>
        </is>
      </c>
      <c r="F1271" s="148" t="n">
        <v>45291</v>
      </c>
      <c r="G1271" t="n">
        <v>2023</v>
      </c>
      <c r="H1271" t="inlineStr">
        <is>
          <t>Diciembre</t>
        </is>
      </c>
      <c r="I1271" t="inlineStr">
        <is>
          <t>2023-2</t>
        </is>
      </c>
      <c r="J1271" t="n">
        <v>3</v>
      </c>
      <c r="K1271" t="n">
        <v>3</v>
      </c>
      <c r="L1271" s="59">
        <f>IFERROR(IF(OR(J1271=0,K1271=""),"",IF(E1271="Positivo",MIN(MAX(K1271/J1271,0),1.3),MIN(MAX(J1271/K1271,0),1.3))),"") </f>
        <v/>
      </c>
      <c r="M1271" s="59">
        <f>IFERROR(IF(OR(J1271=0,K1271=""),"",IF(E1271="Positivo",MAX(K1271/J1271,0),MAX(J1271/K1271,0))),"") </f>
        <v/>
      </c>
      <c r="P1271" t="n">
        <v>0</v>
      </c>
      <c r="Q1271" t="n">
        <v>0</v>
      </c>
      <c r="R1271" t="inlineStr">
        <is>
          <t>407-2023-12-31</t>
        </is>
      </c>
    </row>
    <row r="1272">
      <c r="A1272" t="n">
        <v>407</v>
      </c>
      <c r="B1272" t="inlineStr">
        <is>
          <t>Programas 1ra fase de condiciones iniciales radicadas por facultad</t>
        </is>
      </c>
      <c r="C1272" t="inlineStr">
        <is>
          <t>Autoevaluación de programas académicos</t>
        </is>
      </c>
      <c r="D1272" t="inlineStr">
        <is>
          <t>Semestral</t>
        </is>
      </c>
      <c r="E1272" t="inlineStr">
        <is>
          <t>Positivo</t>
        </is>
      </c>
      <c r="F1272" s="148" t="n">
        <v>45473</v>
      </c>
      <c r="G1272" t="n">
        <v>2024</v>
      </c>
      <c r="H1272" t="inlineStr">
        <is>
          <t>Junio</t>
        </is>
      </c>
      <c r="I1272" t="inlineStr">
        <is>
          <t>2024-1</t>
        </is>
      </c>
      <c r="L1272" s="59" t="n"/>
      <c r="M1272" s="59" t="n"/>
      <c r="P1272" t="n">
        <v>0</v>
      </c>
      <c r="Q1272" t="n">
        <v>0</v>
      </c>
      <c r="R1272" t="inlineStr">
        <is>
          <t>407-2024-06-30</t>
        </is>
      </c>
    </row>
    <row r="1273">
      <c r="A1273" t="n">
        <v>407</v>
      </c>
      <c r="B1273" t="inlineStr">
        <is>
          <t>Programas 1ra fase de condiciones iniciales radicadas por facultad</t>
        </is>
      </c>
      <c r="C1273" t="inlineStr">
        <is>
          <t>Autoevaluación de programas académicos</t>
        </is>
      </c>
      <c r="D1273" t="inlineStr">
        <is>
          <t>Semestral</t>
        </is>
      </c>
      <c r="E1273" t="inlineStr">
        <is>
          <t>Positivo</t>
        </is>
      </c>
      <c r="F1273" s="148" t="n">
        <v>45657</v>
      </c>
      <c r="G1273" t="n">
        <v>2024</v>
      </c>
      <c r="H1273" t="inlineStr">
        <is>
          <t>Diciembre</t>
        </is>
      </c>
      <c r="I1273" t="inlineStr">
        <is>
          <t>2024-2</t>
        </is>
      </c>
      <c r="J1273" t="n">
        <v>100</v>
      </c>
      <c r="L1273" s="59" t="n"/>
      <c r="M1273" s="59" t="n"/>
      <c r="N1273" t="inlineStr">
        <is>
          <t>ENT</t>
        </is>
      </c>
      <c r="O1273" t="inlineStr">
        <is>
          <t>N/A</t>
        </is>
      </c>
      <c r="P1273" t="n">
        <v>0</v>
      </c>
      <c r="Q1273" t="n">
        <v>0</v>
      </c>
      <c r="R1273" t="inlineStr">
        <is>
          <t>407-2024-12-31</t>
        </is>
      </c>
    </row>
    <row r="1274">
      <c r="A1274" t="n">
        <v>408</v>
      </c>
      <c r="B1274" t="inlineStr">
        <is>
          <t>Programas nuevos radicados por facultad</t>
        </is>
      </c>
      <c r="C1274" t="inlineStr">
        <is>
          <t>Creación, modificación y cierre de programas académicos</t>
        </is>
      </c>
      <c r="D1274" t="inlineStr">
        <is>
          <t>Semestral</t>
        </is>
      </c>
      <c r="E1274" t="inlineStr">
        <is>
          <t>Positivo</t>
        </is>
      </c>
      <c r="F1274" s="148" t="n">
        <v>45291</v>
      </c>
      <c r="G1274" t="n">
        <v>2023</v>
      </c>
      <c r="H1274" t="inlineStr">
        <is>
          <t>Diciembre</t>
        </is>
      </c>
      <c r="I1274" t="inlineStr">
        <is>
          <t>2023-2</t>
        </is>
      </c>
      <c r="J1274" t="n">
        <v>100</v>
      </c>
      <c r="K1274" t="n">
        <v>100</v>
      </c>
      <c r="L1274" s="59">
        <f>IFERROR(IF(OR(J1274=0,K1274=""),"",IF(E1274="Positivo",MIN(MAX(K1274/J1274,0),1.3),MIN(MAX(J1274/K1274,0),1.3))),"") </f>
        <v/>
      </c>
      <c r="M1274" s="59">
        <f>IFERROR(IF(OR(J1274=0,K1274=""),"",IF(E1274="Positivo",MAX(K1274/J1274,0),MAX(J1274/K1274,0))),"") </f>
        <v/>
      </c>
      <c r="P1274" t="n">
        <v>0</v>
      </c>
      <c r="Q1274" t="n">
        <v>0</v>
      </c>
      <c r="R1274" t="inlineStr">
        <is>
          <t>408-2023-12-31</t>
        </is>
      </c>
    </row>
    <row r="1275">
      <c r="A1275" t="n">
        <v>408</v>
      </c>
      <c r="B1275" t="inlineStr">
        <is>
          <t>Programas nuevos radicados por facultad</t>
        </is>
      </c>
      <c r="C1275" t="inlineStr">
        <is>
          <t>Creación, modificación y cierre de programas académicos</t>
        </is>
      </c>
      <c r="D1275" t="inlineStr">
        <is>
          <t>Semestral</t>
        </is>
      </c>
      <c r="E1275" t="inlineStr">
        <is>
          <t>Positivo</t>
        </is>
      </c>
      <c r="F1275" s="148" t="n">
        <v>45473</v>
      </c>
      <c r="G1275" t="n">
        <v>2024</v>
      </c>
      <c r="H1275" t="inlineStr">
        <is>
          <t>Junio</t>
        </is>
      </c>
      <c r="I1275" t="inlineStr">
        <is>
          <t>2024-1</t>
        </is>
      </c>
      <c r="J1275" t="n">
        <v>100</v>
      </c>
      <c r="L1275" s="59" t="n"/>
      <c r="M1275" s="59" t="n"/>
      <c r="P1275" t="n">
        <v>0</v>
      </c>
      <c r="Q1275" t="n">
        <v>0</v>
      </c>
      <c r="R1275" t="inlineStr">
        <is>
          <t>408-2024-06-30</t>
        </is>
      </c>
    </row>
    <row r="1276">
      <c r="A1276" t="n">
        <v>408</v>
      </c>
      <c r="B1276" t="inlineStr">
        <is>
          <t>Programas nuevos radicados por facultad</t>
        </is>
      </c>
      <c r="C1276" t="inlineStr">
        <is>
          <t>Creación, modificación y cierre de programas académicos</t>
        </is>
      </c>
      <c r="D1276" t="inlineStr">
        <is>
          <t>Semestral</t>
        </is>
      </c>
      <c r="E1276" t="inlineStr">
        <is>
          <t>Positivo</t>
        </is>
      </c>
      <c r="F1276" s="148" t="n">
        <v>45657</v>
      </c>
      <c r="G1276" t="n">
        <v>2024</v>
      </c>
      <c r="H1276" t="inlineStr">
        <is>
          <t>Diciembre</t>
        </is>
      </c>
      <c r="I1276" t="inlineStr">
        <is>
          <t>2024-2</t>
        </is>
      </c>
      <c r="J1276" t="n">
        <v>100</v>
      </c>
      <c r="K1276" t="n">
        <v>100</v>
      </c>
      <c r="L1276" s="59">
        <f>IFERROR(IF(OR(J1276=0,K1276=""),"",IF(E1276="Positivo",MIN(MAX(K1276/J1276,0),1.3),MIN(MAX(J1276/K1276,0),1.3))),"") </f>
        <v/>
      </c>
      <c r="M1276" s="59">
        <f>IFERROR(IF(OR(J1276=0,K1276=""),"",IF(E1276="Positivo",MAX(K1276/J1276,0),MAX(J1276/K1276,0))),"") </f>
        <v/>
      </c>
      <c r="P1276" t="n">
        <v>0</v>
      </c>
      <c r="Q1276" t="n">
        <v>0</v>
      </c>
      <c r="R1276" t="inlineStr">
        <is>
          <t>408-2024-12-31</t>
        </is>
      </c>
    </row>
    <row r="1277">
      <c r="A1277" t="n">
        <v>408</v>
      </c>
      <c r="B1277" t="inlineStr">
        <is>
          <t>Programas nuevos radicados por facultad</t>
        </is>
      </c>
      <c r="C1277" t="inlineStr">
        <is>
          <t>Creación, modificación y cierre de programas académicos</t>
        </is>
      </c>
      <c r="D1277" t="inlineStr">
        <is>
          <t>Trimestral</t>
        </is>
      </c>
      <c r="E1277" t="inlineStr">
        <is>
          <t>Positivo</t>
        </is>
      </c>
      <c r="F1277" s="148" t="n">
        <v>45838</v>
      </c>
      <c r="G1277" t="n">
        <v>2025</v>
      </c>
      <c r="H1277" t="inlineStr">
        <is>
          <t>Junio</t>
        </is>
      </c>
      <c r="I1277" t="inlineStr">
        <is>
          <t>2025-1</t>
        </is>
      </c>
      <c r="J1277" t="n">
        <v>100</v>
      </c>
      <c r="K1277" t="n">
        <v>100</v>
      </c>
      <c r="L1277" s="59">
        <f>IFERROR(IF(OR(J1277=0,K1277=""),"",IF(E1277="Positivo",MIN(MAX(K1277/J1277,0),1.3),MIN(MAX(J1277/K1277,0),1.3))),"") </f>
        <v/>
      </c>
      <c r="M1277" s="59">
        <f>IFERROR(IF(OR(J1277=0,K1277=""),"",IF(E1277="Positivo",MAX(K1277/J1277,0),MAX(J1277/K1277,0))),"") </f>
        <v/>
      </c>
      <c r="N1277" t="inlineStr">
        <is>
          <t>ENT</t>
        </is>
      </c>
      <c r="O1277" t="inlineStr">
        <is>
          <t>ENT</t>
        </is>
      </c>
      <c r="P1277" t="n">
        <v>0</v>
      </c>
      <c r="Q1277" t="n">
        <v>0</v>
      </c>
      <c r="R1277" t="inlineStr">
        <is>
          <t>408-2025-06-30</t>
        </is>
      </c>
    </row>
    <row r="1278">
      <c r="A1278" t="n">
        <v>408</v>
      </c>
      <c r="B1278" t="inlineStr">
        <is>
          <t>Programas nuevos radicados por facultad</t>
        </is>
      </c>
      <c r="C1278" t="inlineStr">
        <is>
          <t>Creación, modificación y cierre de programas académicos</t>
        </is>
      </c>
      <c r="D1278" t="inlineStr">
        <is>
          <t>Trimestral</t>
        </is>
      </c>
      <c r="E1278" t="inlineStr">
        <is>
          <t>Positivo</t>
        </is>
      </c>
      <c r="F1278" s="148" t="n">
        <v>46022</v>
      </c>
      <c r="G1278" t="n">
        <v>2025</v>
      </c>
      <c r="H1278" t="inlineStr">
        <is>
          <t>Diciembre</t>
        </is>
      </c>
      <c r="I1278" t="inlineStr">
        <is>
          <t>2025-2</t>
        </is>
      </c>
      <c r="J1278" t="n">
        <v>100</v>
      </c>
      <c r="K1278" t="n">
        <v>100</v>
      </c>
      <c r="L1278" s="59">
        <f>IFERROR(IF(OR(J1278=0,K1278=""),"",IF(E1278="Positivo",MIN(MAX(K1278/J1278,0),1.3),MIN(MAX(J1278/K1278,0),1.3))),"") </f>
        <v/>
      </c>
      <c r="M1278" s="59">
        <f>IFERROR(IF(OR(J1278=0,K1278=""),"",IF(E1278="Positivo",MAX(K1278/J1278,0),MAX(J1278/K1278,0))),"") </f>
        <v/>
      </c>
      <c r="N1278" t="inlineStr">
        <is>
          <t>ENT</t>
        </is>
      </c>
      <c r="O1278" t="inlineStr">
        <is>
          <t>ENT</t>
        </is>
      </c>
      <c r="P1278" t="n">
        <v>0</v>
      </c>
      <c r="Q1278" t="n">
        <v>0</v>
      </c>
      <c r="R1278" t="inlineStr">
        <is>
          <t>408-2025-12-31</t>
        </is>
      </c>
    </row>
    <row r="1279">
      <c r="A1279" t="n">
        <v>409</v>
      </c>
      <c r="B1279" t="inlineStr">
        <is>
          <t>Oportunidad en tiempo de envios</t>
        </is>
      </c>
      <c r="C1279" t="inlineStr">
        <is>
          <t>GESTIÓN JURÍDICA Y NORMATIVA</t>
        </is>
      </c>
      <c r="D1279" t="inlineStr">
        <is>
          <t>Trimestral</t>
        </is>
      </c>
      <c r="E1279" t="inlineStr">
        <is>
          <t>Positivo</t>
        </is>
      </c>
      <c r="F1279" s="148" t="n">
        <v>45107</v>
      </c>
      <c r="G1279" t="n">
        <v>2023</v>
      </c>
      <c r="H1279" t="inlineStr">
        <is>
          <t>Junio</t>
        </is>
      </c>
      <c r="I1279" t="inlineStr">
        <is>
          <t>2023-1</t>
        </is>
      </c>
      <c r="J1279" t="n">
        <v>80</v>
      </c>
      <c r="K1279" t="n">
        <v>103.718854592785</v>
      </c>
      <c r="L1279" s="59">
        <f>IFERROR(IF(OR(J1279=0,K1279=""),"",IF(E1279="Positivo",MIN(MAX(K1279/J1279,0),1.3),MIN(MAX(J1279/K1279,0),1.3))),"") </f>
        <v/>
      </c>
      <c r="M1279" s="59">
        <f>IFERROR(IF(OR(J1279=0,K1279=""),"",IF(E1279="Positivo",MAX(K1279/J1279,0),MAX(J1279/K1279,0))),"") </f>
        <v/>
      </c>
      <c r="N1279" t="inlineStr">
        <is>
          <t>%</t>
        </is>
      </c>
      <c r="O1279" t="inlineStr">
        <is>
          <t>%</t>
        </is>
      </c>
      <c r="P1279" t="n">
        <v>0</v>
      </c>
      <c r="Q1279" t="n">
        <v>0</v>
      </c>
      <c r="R1279" t="inlineStr">
        <is>
          <t>409-2023-06-30</t>
        </is>
      </c>
    </row>
    <row r="1280">
      <c r="A1280" t="n">
        <v>409</v>
      </c>
      <c r="B1280" t="inlineStr">
        <is>
          <t>Oportunidad en tiempo de envios</t>
        </is>
      </c>
      <c r="C1280" t="inlineStr">
        <is>
          <t>GESTIÓN JURÍDICA Y NORMATIVA</t>
        </is>
      </c>
      <c r="D1280" t="inlineStr">
        <is>
          <t>Trimestral</t>
        </is>
      </c>
      <c r="E1280" t="inlineStr">
        <is>
          <t>Positivo</t>
        </is>
      </c>
      <c r="F1280" s="148" t="n">
        <v>45291</v>
      </c>
      <c r="G1280" t="n">
        <v>2023</v>
      </c>
      <c r="H1280" t="inlineStr">
        <is>
          <t>Diciembre</t>
        </is>
      </c>
      <c r="I1280" t="inlineStr">
        <is>
          <t>2023-2</t>
        </is>
      </c>
      <c r="J1280" t="n">
        <v>160</v>
      </c>
      <c r="K1280" t="n">
        <v>203.7188545927854</v>
      </c>
      <c r="L1280" s="59">
        <f>IFERROR(IF(OR(J1280=0,K1280=""),"",IF(E1280="Positivo",MIN(MAX(K1280/J1280,0),1.3),MIN(MAX(J1280/K1280,0),1.3))),"") </f>
        <v/>
      </c>
      <c r="M1280" s="59">
        <f>IFERROR(IF(OR(J1280=0,K1280=""),"",IF(E1280="Positivo",MAX(K1280/J1280,0),MAX(J1280/K1280,0))),"") </f>
        <v/>
      </c>
      <c r="N1280" t="inlineStr">
        <is>
          <t>%</t>
        </is>
      </c>
      <c r="O1280" t="inlineStr">
        <is>
          <t>%</t>
        </is>
      </c>
      <c r="P1280" t="n">
        <v>0</v>
      </c>
      <c r="Q1280" t="n">
        <v>0</v>
      </c>
      <c r="R1280" t="inlineStr">
        <is>
          <t>409-2023-12-31</t>
        </is>
      </c>
    </row>
    <row r="1281">
      <c r="A1281" t="n">
        <v>409</v>
      </c>
      <c r="B1281" t="inlineStr">
        <is>
          <t>Oportunidad en tiempo de envios</t>
        </is>
      </c>
      <c r="C1281" t="inlineStr">
        <is>
          <t>GESTIÓN JURÍDICA Y NORMATIVA</t>
        </is>
      </c>
      <c r="D1281" t="inlineStr">
        <is>
          <t>Trimestral</t>
        </is>
      </c>
      <c r="E1281" t="inlineStr">
        <is>
          <t>Positivo</t>
        </is>
      </c>
      <c r="F1281" s="148" t="n">
        <v>45473</v>
      </c>
      <c r="G1281" t="n">
        <v>2024</v>
      </c>
      <c r="H1281" t="inlineStr">
        <is>
          <t>Junio</t>
        </is>
      </c>
      <c r="I1281" t="inlineStr">
        <is>
          <t>2024-1</t>
        </is>
      </c>
      <c r="J1281" t="n">
        <v>190</v>
      </c>
      <c r="K1281" t="n">
        <v>196.5188394715603</v>
      </c>
      <c r="L1281" s="59">
        <f>IFERROR(IF(OR(J1281=0,K1281=""),"",IF(E1281="Positivo",MIN(MAX(K1281/J1281,0),1.3),MIN(MAX(J1281/K1281,0),1.3))),"") </f>
        <v/>
      </c>
      <c r="M1281" s="59">
        <f>IFERROR(IF(OR(J1281=0,K1281=""),"",IF(E1281="Positivo",MAX(K1281/J1281,0),MAX(J1281/K1281,0))),"") </f>
        <v/>
      </c>
      <c r="P1281" t="n">
        <v>0</v>
      </c>
      <c r="Q1281" t="n">
        <v>0</v>
      </c>
      <c r="R1281" t="inlineStr">
        <is>
          <t>409-2024-06-30</t>
        </is>
      </c>
    </row>
    <row r="1282">
      <c r="A1282" t="n">
        <v>409</v>
      </c>
      <c r="B1282" t="inlineStr">
        <is>
          <t>Oportunidad en tiempo de envios</t>
        </is>
      </c>
      <c r="C1282" t="inlineStr">
        <is>
          <t>GESTIÓN JURÍDICA Y NORMATIVA</t>
        </is>
      </c>
      <c r="D1282" t="inlineStr">
        <is>
          <t>Trimestral</t>
        </is>
      </c>
      <c r="E1282" t="inlineStr">
        <is>
          <t>Positivo</t>
        </is>
      </c>
      <c r="F1282" s="148" t="n">
        <v>45657</v>
      </c>
      <c r="G1282" t="n">
        <v>2024</v>
      </c>
      <c r="H1282" t="inlineStr">
        <is>
          <t>Diciembre</t>
        </is>
      </c>
      <c r="I1282" t="inlineStr">
        <is>
          <t>2024-2</t>
        </is>
      </c>
      <c r="J1282" t="n">
        <v>190</v>
      </c>
      <c r="K1282" t="n">
        <v>193.5796290503828</v>
      </c>
      <c r="L1282" s="59">
        <f>IFERROR(IF(OR(J1282=0,K1282=""),"",IF(E1282="Positivo",MIN(MAX(K1282/J1282,0),1.3),MIN(MAX(J1282/K1282,0),1.3))),"") </f>
        <v/>
      </c>
      <c r="M1282" s="59">
        <f>IFERROR(IF(OR(J1282=0,K1282=""),"",IF(E1282="Positivo",MAX(K1282/J1282,0),MAX(J1282/K1282,0))),"") </f>
        <v/>
      </c>
      <c r="P1282" t="n">
        <v>0</v>
      </c>
      <c r="Q1282" t="n">
        <v>0</v>
      </c>
      <c r="R1282" t="inlineStr">
        <is>
          <t>409-2024-12-31</t>
        </is>
      </c>
    </row>
    <row r="1283">
      <c r="A1283" t="n">
        <v>409</v>
      </c>
      <c r="B1283" t="inlineStr">
        <is>
          <t>Oportunidad en tiempo de envios</t>
        </is>
      </c>
      <c r="C1283" t="inlineStr">
        <is>
          <t>GESTIÓN JURÍDICA Y NORMATIVA</t>
        </is>
      </c>
      <c r="D1283" t="inlineStr">
        <is>
          <t>Semestral</t>
        </is>
      </c>
      <c r="E1283" t="inlineStr">
        <is>
          <t>Positivo</t>
        </is>
      </c>
      <c r="F1283" s="148" t="n">
        <v>45838</v>
      </c>
      <c r="G1283" t="n">
        <v>2025</v>
      </c>
      <c r="H1283" t="inlineStr">
        <is>
          <t>Junio</t>
        </is>
      </c>
      <c r="I1283" t="inlineStr">
        <is>
          <t>2025-1</t>
        </is>
      </c>
      <c r="J1283" t="n">
        <v>95</v>
      </c>
      <c r="K1283" t="n">
        <v>100</v>
      </c>
      <c r="L1283" s="59">
        <f>IFERROR(IF(OR(J1283=0,K1283=""),"",IF(E1283="Positivo",MIN(MAX(K1283/J1283,0),1.3),MIN(MAX(J1283/K1283,0),1.3))),"") </f>
        <v/>
      </c>
      <c r="M1283" s="59">
        <f>IFERROR(IF(OR(J1283=0,K1283=""),"",IF(E1283="Positivo",MAX(K1283/J1283,0),MAX(J1283/K1283,0))),"") </f>
        <v/>
      </c>
      <c r="N1283" t="inlineStr">
        <is>
          <t>%</t>
        </is>
      </c>
      <c r="O1283" t="inlineStr">
        <is>
          <t>%</t>
        </is>
      </c>
      <c r="P1283" t="n">
        <v>0</v>
      </c>
      <c r="Q1283" t="n">
        <v>0</v>
      </c>
      <c r="R1283" t="inlineStr">
        <is>
          <t>409-2025-06-30</t>
        </is>
      </c>
    </row>
    <row r="1284">
      <c r="A1284" t="n">
        <v>410</v>
      </c>
      <c r="B1284" t="inlineStr">
        <is>
          <t>Solicitudes de gestión documental</t>
        </is>
      </c>
      <c r="C1284" t="inlineStr">
        <is>
          <t>GESTIÓN JURÍDICA Y NORMATIVA</t>
        </is>
      </c>
      <c r="D1284" t="inlineStr">
        <is>
          <t>Trimestral</t>
        </is>
      </c>
      <c r="E1284" t="inlineStr">
        <is>
          <t>Positivo</t>
        </is>
      </c>
      <c r="F1284" s="148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90</v>
      </c>
      <c r="K1284" t="n">
        <v>100</v>
      </c>
      <c r="L1284" s="59">
        <f>IFERROR(IF(OR(J1284=0,K1284=""),"",IF(E1284="Positivo",MIN(MAX(K1284/J1284,0),1.3),MIN(MAX(J1284/K1284,0),1.3))),"") </f>
        <v/>
      </c>
      <c r="M1284" s="59">
        <f>IFERROR(IF(OR(J1284=0,K1284=""),"",IF(E1284="Positivo",MAX(K1284/J1284,0),MAX(J1284/K1284,0))),"") </f>
        <v/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410-2023-12-31</t>
        </is>
      </c>
    </row>
    <row r="1285">
      <c r="A1285" t="n">
        <v>411</v>
      </c>
      <c r="B1285" t="inlineStr">
        <is>
          <t>Cumplimiento Planes De Relacionamiento</t>
        </is>
      </c>
      <c r="C1285" t="inlineStr">
        <is>
          <t>Comunicaciones Externas</t>
        </is>
      </c>
      <c r="D1285" t="inlineStr">
        <is>
          <t>Semestral</t>
        </is>
      </c>
      <c r="E1285" t="inlineStr">
        <is>
          <t>Positivo</t>
        </is>
      </c>
      <c r="F1285" s="148" t="n">
        <v>45107</v>
      </c>
      <c r="G1285" t="n">
        <v>2023</v>
      </c>
      <c r="H1285" t="inlineStr">
        <is>
          <t>Junio</t>
        </is>
      </c>
      <c r="I1285" t="inlineStr">
        <is>
          <t>2023-1</t>
        </is>
      </c>
      <c r="P1285" t="n">
        <v>0</v>
      </c>
      <c r="Q1285" t="n">
        <v>0</v>
      </c>
      <c r="R1285" t="inlineStr">
        <is>
          <t>411-2023-06-30</t>
        </is>
      </c>
    </row>
    <row r="1286">
      <c r="A1286" t="n">
        <v>411</v>
      </c>
      <c r="B1286" t="inlineStr">
        <is>
          <t>Cumplimiento Planes De Relacionamiento</t>
        </is>
      </c>
      <c r="C1286" t="inlineStr">
        <is>
          <t>Comunicaciones Externas</t>
        </is>
      </c>
      <c r="D1286" t="inlineStr">
        <is>
          <t>Semestral</t>
        </is>
      </c>
      <c r="E1286" t="inlineStr">
        <is>
          <t>Positivo</t>
        </is>
      </c>
      <c r="F1286" s="148" t="n">
        <v>45291</v>
      </c>
      <c r="G1286" t="n">
        <v>2023</v>
      </c>
      <c r="H1286" t="inlineStr">
        <is>
          <t>Diciembre</t>
        </is>
      </c>
      <c r="I1286" t="inlineStr">
        <is>
          <t>2023-2</t>
        </is>
      </c>
      <c r="J1286" t="n">
        <v>100</v>
      </c>
      <c r="K1286" t="n">
        <v>100</v>
      </c>
      <c r="L1286" s="59">
        <f>IFERROR(IF(OR(J1286=0,K1286=""),"",IF(E1286="Positivo",MIN(MAX(K1286/J1286,0),1.3),MIN(MAX(J1286/K1286,0),1.3))),"") </f>
        <v/>
      </c>
      <c r="M1286" s="59">
        <f>IFERROR(IF(OR(J1286=0,K1286=""),"",IF(E1286="Positivo",MAX(K1286/J1286,0),MAX(J1286/K1286,0))),"") </f>
        <v/>
      </c>
      <c r="N1286" t="inlineStr">
        <is>
          <t>%</t>
        </is>
      </c>
      <c r="O1286" t="inlineStr">
        <is>
          <t>%</t>
        </is>
      </c>
      <c r="P1286" t="n">
        <v>0</v>
      </c>
      <c r="Q1286" t="n">
        <v>0</v>
      </c>
      <c r="R1286" t="inlineStr">
        <is>
          <t>411-2023-12-31</t>
        </is>
      </c>
    </row>
    <row r="1287">
      <c r="A1287" t="n">
        <v>412</v>
      </c>
      <c r="B1287" t="inlineStr">
        <is>
          <t>Participaciones en 2 eventos externos de impacto</t>
        </is>
      </c>
      <c r="C1287" t="inlineStr">
        <is>
          <t>Comunicaciones Externas</t>
        </is>
      </c>
      <c r="D1287" t="inlineStr">
        <is>
          <t>Anual</t>
        </is>
      </c>
      <c r="E1287" t="inlineStr">
        <is>
          <t>Positivo</t>
        </is>
      </c>
      <c r="F1287" s="148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J1287" t="n">
        <v>100</v>
      </c>
      <c r="K1287" t="n">
        <v>100</v>
      </c>
      <c r="L1287" s="59">
        <f>IFERROR(IF(OR(J1287=0,K1287=""),"",IF(E1287="Positivo",MIN(MAX(K1287/J1287,0),1.3),MIN(MAX(J1287/K1287,0),1.3))),"") </f>
        <v/>
      </c>
      <c r="M1287" s="59">
        <f>IFERROR(IF(OR(J1287=0,K1287=""),"",IF(E1287="Positivo",MAX(K1287/J1287,0),MAX(J1287/K1287,0))),"") </f>
        <v/>
      </c>
      <c r="N1287" t="inlineStr">
        <is>
          <t>%</t>
        </is>
      </c>
      <c r="O1287" t="inlineStr">
        <is>
          <t>%</t>
        </is>
      </c>
      <c r="P1287" t="n">
        <v>0</v>
      </c>
      <c r="Q1287" t="n">
        <v>0</v>
      </c>
      <c r="R1287" t="inlineStr">
        <is>
          <t>412-2023-12-31</t>
        </is>
      </c>
    </row>
    <row r="1288">
      <c r="A1288" t="n">
        <v>412</v>
      </c>
      <c r="B1288" t="inlineStr">
        <is>
          <t>Participación en eventos externos de impacto</t>
        </is>
      </c>
      <c r="C1288" t="inlineStr">
        <is>
          <t>Comunicaciones Externas</t>
        </is>
      </c>
      <c r="D1288" t="inlineStr">
        <is>
          <t>Anual</t>
        </is>
      </c>
      <c r="E1288" t="inlineStr">
        <is>
          <t>Positivo</t>
        </is>
      </c>
      <c r="F1288" s="148" t="n">
        <v>45657</v>
      </c>
      <c r="G1288" t="n">
        <v>2024</v>
      </c>
      <c r="H1288" t="inlineStr">
        <is>
          <t>Diciembre</t>
        </is>
      </c>
      <c r="I1288" t="inlineStr">
        <is>
          <t>2024-2</t>
        </is>
      </c>
      <c r="J1288" t="n">
        <v>100</v>
      </c>
      <c r="K1288" t="n">
        <v>100</v>
      </c>
      <c r="L1288" s="59">
        <f>IFERROR(IF(OR(J1288=0,K1288=""),"",IF(E1288="Positivo",MIN(MAX(K1288/J1288,0),1.3),MIN(MAX(J1288/K1288,0),1.3))),"") </f>
        <v/>
      </c>
      <c r="M1288" s="59">
        <f>IFERROR(IF(OR(J1288=0,K1288=""),"",IF(E1288="Positivo",MAX(K1288/J1288,0),MAX(J1288/K1288,0))),"") </f>
        <v/>
      </c>
      <c r="P1288" t="n">
        <v>0</v>
      </c>
      <c r="Q1288" t="n">
        <v>0</v>
      </c>
      <c r="R1288" t="inlineStr">
        <is>
          <t>412-2024-12-31</t>
        </is>
      </c>
    </row>
    <row r="1289">
      <c r="A1289" t="n">
        <v>413</v>
      </c>
      <c r="B1289" t="inlineStr">
        <is>
          <t>Participaciones del Poli como sede o patrocinador</t>
        </is>
      </c>
      <c r="C1289" t="inlineStr">
        <is>
          <t>Comunicaciones Externas</t>
        </is>
      </c>
      <c r="D1289" t="inlineStr">
        <is>
          <t>Anual</t>
        </is>
      </c>
      <c r="E1289" t="inlineStr">
        <is>
          <t>Positivo</t>
        </is>
      </c>
      <c r="F1289" s="148" t="n">
        <v>45291</v>
      </c>
      <c r="G1289" t="n">
        <v>2023</v>
      </c>
      <c r="H1289" t="inlineStr">
        <is>
          <t>Diciembre</t>
        </is>
      </c>
      <c r="I1289" t="inlineStr">
        <is>
          <t>2023-2</t>
        </is>
      </c>
      <c r="K1289" t="n">
        <v>100</v>
      </c>
      <c r="L1289" s="59" t="n"/>
      <c r="M1289" s="59" t="n"/>
      <c r="N1289" t="inlineStr">
        <is>
          <t>Linea base</t>
        </is>
      </c>
      <c r="P1289" t="n">
        <v>0</v>
      </c>
      <c r="Q1289" t="n">
        <v>0</v>
      </c>
      <c r="R1289" t="inlineStr">
        <is>
          <t>413-2023-12-31</t>
        </is>
      </c>
    </row>
    <row r="1290">
      <c r="A1290" t="n">
        <v>413</v>
      </c>
      <c r="B1290" t="inlineStr">
        <is>
          <t>Participación del Poli como sede o patrocinador</t>
        </is>
      </c>
      <c r="C1290" t="inlineStr">
        <is>
          <t>Comunicaciones Externas</t>
        </is>
      </c>
      <c r="D1290" t="inlineStr">
        <is>
          <t>Anual</t>
        </is>
      </c>
      <c r="E1290" t="inlineStr">
        <is>
          <t>Positivo</t>
        </is>
      </c>
      <c r="F1290" s="148" t="n">
        <v>45657</v>
      </c>
      <c r="G1290" t="n">
        <v>2024</v>
      </c>
      <c r="H1290" t="inlineStr">
        <is>
          <t>Diciembre</t>
        </is>
      </c>
      <c r="I1290" t="inlineStr">
        <is>
          <t>2024-2</t>
        </is>
      </c>
      <c r="J1290" t="n">
        <v>100</v>
      </c>
      <c r="K1290" t="n">
        <v>100</v>
      </c>
      <c r="L1290" s="59">
        <f>IFERROR(IF(OR(J1290=0,K1290=""),"",IF(E1290="Positivo",MIN(MAX(K1290/J1290,0),1.3),MIN(MAX(J1290/K1290,0),1.3))),"") </f>
        <v/>
      </c>
      <c r="M1290" s="59">
        <f>IFERROR(IF(OR(J1290=0,K1290=""),"",IF(E1290="Positivo",MAX(K1290/J1290,0),MAX(J1290/K1290,0))),"") </f>
        <v/>
      </c>
      <c r="P1290" t="n">
        <v>0</v>
      </c>
      <c r="Q1290" t="n">
        <v>0</v>
      </c>
      <c r="R1290" t="inlineStr">
        <is>
          <t>413-2024-12-31</t>
        </is>
      </c>
    </row>
    <row r="1291">
      <c r="A1291" t="n">
        <v>413</v>
      </c>
      <c r="B1291" t="inlineStr">
        <is>
          <t>Participación del Poli como sede o patrocinador</t>
        </is>
      </c>
      <c r="C1291" t="inlineStr">
        <is>
          <t>Comunicaciones Externas</t>
        </is>
      </c>
      <c r="D1291" t="inlineStr">
        <is>
          <t>Anual</t>
        </is>
      </c>
      <c r="E1291" t="inlineStr">
        <is>
          <t>Positivo</t>
        </is>
      </c>
      <c r="F1291" s="148" t="n">
        <v>46022</v>
      </c>
      <c r="G1291" t="n">
        <v>2025</v>
      </c>
      <c r="H1291" t="inlineStr">
        <is>
          <t>Diciembre</t>
        </is>
      </c>
      <c r="I1291" t="inlineStr">
        <is>
          <t>2025-2</t>
        </is>
      </c>
      <c r="J1291" t="n">
        <v>100</v>
      </c>
      <c r="K1291" t="n">
        <v>100</v>
      </c>
      <c r="L1291" s="59">
        <f>IFERROR(IF(OR(J1291=0,K1291=""),"",IF(E1291="Positivo",MIN(MAX(K1291/J1291,0),1.3),MIN(MAX(J1291/K1291,0),1.3))),"") </f>
        <v/>
      </c>
      <c r="M1291" s="59">
        <f>IFERROR(IF(OR(J1291=0,K1291=""),"",IF(E1291="Positivo",MAX(K1291/J1291,0),MAX(J1291/K1291,0))),"") </f>
        <v/>
      </c>
      <c r="N1291" t="inlineStr">
        <is>
          <t>Linea Base</t>
        </is>
      </c>
      <c r="O1291" t="inlineStr">
        <is>
          <t>ENT</t>
        </is>
      </c>
      <c r="P1291" t="n">
        <v>0</v>
      </c>
      <c r="Q1291" t="n">
        <v>0</v>
      </c>
      <c r="R1291" t="inlineStr">
        <is>
          <t>413-2025-12-31</t>
        </is>
      </c>
    </row>
    <row r="1292">
      <c r="A1292" t="n">
        <v>414</v>
      </c>
      <c r="B1292" t="inlineStr">
        <is>
          <t>Cumplimiento Plan Anual Rectoría</t>
        </is>
      </c>
      <c r="C1292" t="inlineStr">
        <is>
          <t>Planeación Estratégica</t>
        </is>
      </c>
      <c r="D1292" t="inlineStr">
        <is>
          <t>Trimestral</t>
        </is>
      </c>
      <c r="E1292" t="inlineStr">
        <is>
          <t>Positivo</t>
        </is>
      </c>
      <c r="F1292" s="148" t="n">
        <v>45016</v>
      </c>
      <c r="G1292" t="n">
        <v>2023</v>
      </c>
      <c r="H1292" t="inlineStr">
        <is>
          <t>Marzo</t>
        </is>
      </c>
      <c r="I1292" t="inlineStr">
        <is>
          <t>2023-1</t>
        </is>
      </c>
      <c r="J1292" t="n">
        <v>100</v>
      </c>
      <c r="K1292" t="n">
        <v>0</v>
      </c>
      <c r="L1292" s="59">
        <f>IFERROR(IF(OR(J1292=0,K1292=""),"",IF(E1292="Positivo",MIN(MAX(K1292/J1292,0),1.0),MIN(MAX(J1292/K1292,0),1.0))),"") </f>
        <v/>
      </c>
      <c r="M1292" s="59">
        <f>IFERROR(IF(OR(J1292=0,K1292=""),"",IF(E1292="Positivo",MAX(K1292/J1292,0),MAX(J1292/K1292,0))),"") </f>
        <v/>
      </c>
      <c r="P1292" t="n">
        <v>0</v>
      </c>
      <c r="Q1292" t="n">
        <v>0</v>
      </c>
      <c r="R1292" t="inlineStr">
        <is>
          <t>414-2023-03-31</t>
        </is>
      </c>
    </row>
    <row r="1293">
      <c r="A1293" t="n">
        <v>414</v>
      </c>
      <c r="B1293" t="inlineStr">
        <is>
          <t>Cumplimiento Plan Anual Rectoría</t>
        </is>
      </c>
      <c r="C1293" t="inlineStr">
        <is>
          <t>Planeación Estratégica</t>
        </is>
      </c>
      <c r="D1293" t="inlineStr">
        <is>
          <t>Trimestral</t>
        </is>
      </c>
      <c r="E1293" t="inlineStr">
        <is>
          <t>Positivo</t>
        </is>
      </c>
      <c r="F1293" s="148" t="n">
        <v>45107</v>
      </c>
      <c r="G1293" t="n">
        <v>2023</v>
      </c>
      <c r="H1293" t="inlineStr">
        <is>
          <t>Junio</t>
        </is>
      </c>
      <c r="I1293" t="inlineStr">
        <is>
          <t>2023-1</t>
        </is>
      </c>
      <c r="J1293" t="n">
        <v>100</v>
      </c>
      <c r="K1293" t="n">
        <v>110.01</v>
      </c>
      <c r="L1293" s="59">
        <f>IFERROR(IF(OR(J1293=0,K1293=""),"",IF(E1293="Positivo",MIN(MAX(K1293/J1293,0),1.0),MIN(MAX(J1293/K1293,0),1.0))),"") </f>
        <v/>
      </c>
      <c r="M1293" s="59">
        <f>IFERROR(IF(OR(J1293=0,K1293=""),"",IF(E1293="Positivo",MAX(K1293/J1293,0),MAX(J1293/K1293,0))),"") </f>
        <v/>
      </c>
      <c r="P1293" t="n">
        <v>0</v>
      </c>
      <c r="Q1293" t="n">
        <v>0</v>
      </c>
      <c r="R1293" t="inlineStr">
        <is>
          <t>414-2023-06-30</t>
        </is>
      </c>
    </row>
    <row r="1294">
      <c r="A1294" t="n">
        <v>414</v>
      </c>
      <c r="B1294" t="inlineStr">
        <is>
          <t>Cumplimiento Plan Anual Rectoría</t>
        </is>
      </c>
      <c r="C1294" t="inlineStr">
        <is>
          <t>Planeación Estratégica</t>
        </is>
      </c>
      <c r="D1294" t="inlineStr">
        <is>
          <t>Trimestral</t>
        </is>
      </c>
      <c r="E1294" t="inlineStr">
        <is>
          <t>Positivo</t>
        </is>
      </c>
      <c r="F1294" s="148" t="n">
        <v>45199</v>
      </c>
      <c r="G1294" t="n">
        <v>2023</v>
      </c>
      <c r="H1294" t="inlineStr">
        <is>
          <t>Septiembre</t>
        </is>
      </c>
      <c r="I1294" t="inlineStr">
        <is>
          <t>2023-2</t>
        </is>
      </c>
      <c r="J1294" t="n">
        <v>100</v>
      </c>
      <c r="K1294" t="n">
        <v>93.54000000000001</v>
      </c>
      <c r="L1294" s="59">
        <f>IFERROR(IF(OR(J1294=0,K1294=""),"",IF(E1294="Positivo",MIN(MAX(K1294/J1294,0),1.0),MIN(MAX(J1294/K1294,0),1.0))),"") </f>
        <v/>
      </c>
      <c r="M1294" s="59">
        <f>IFERROR(IF(OR(J1294=0,K1294=""),"",IF(E1294="Positivo",MAX(K1294/J1294,0),MAX(J1294/K1294,0))),"") </f>
        <v/>
      </c>
      <c r="P1294" t="n">
        <v>0</v>
      </c>
      <c r="Q1294" t="n">
        <v>0</v>
      </c>
      <c r="R1294" t="inlineStr">
        <is>
          <t>414-2023-09-30</t>
        </is>
      </c>
    </row>
    <row r="1295">
      <c r="A1295" t="n">
        <v>414</v>
      </c>
      <c r="B1295" t="inlineStr">
        <is>
          <t>Cumplimiento Plan Anual Rectoría</t>
        </is>
      </c>
      <c r="C1295" t="inlineStr">
        <is>
          <t>Planeación Estratégica</t>
        </is>
      </c>
      <c r="D1295" t="inlineStr">
        <is>
          <t>Trimestral</t>
        </is>
      </c>
      <c r="E1295" t="inlineStr">
        <is>
          <t>Positivo</t>
        </is>
      </c>
      <c r="F1295" s="148" t="n">
        <v>45291</v>
      </c>
      <c r="G1295" t="n">
        <v>2023</v>
      </c>
      <c r="H1295" t="inlineStr">
        <is>
          <t>Diciembre</t>
        </is>
      </c>
      <c r="I1295" t="inlineStr">
        <is>
          <t>2023-2</t>
        </is>
      </c>
      <c r="J1295" t="n">
        <v>100</v>
      </c>
      <c r="K1295" t="n">
        <v>96.28</v>
      </c>
      <c r="L1295" s="59">
        <f>IFERROR(IF(OR(J1295=0,K1295=""),"",IF(E1295="Positivo",MIN(MAX(K1295/J1295,0),1.0),MIN(MAX(J1295/K1295,0),1.0))),"") </f>
        <v/>
      </c>
      <c r="M1295" s="59">
        <f>IFERROR(IF(OR(J1295=0,K1295=""),"",IF(E1295="Positivo",MAX(K1295/J1295,0),MAX(J1295/K1295,0))),"") </f>
        <v/>
      </c>
      <c r="P1295" t="n">
        <v>0</v>
      </c>
      <c r="Q1295" t="n">
        <v>0</v>
      </c>
      <c r="R1295" t="inlineStr">
        <is>
          <t>414-2023-12-31</t>
        </is>
      </c>
    </row>
    <row r="1296">
      <c r="A1296" t="n">
        <v>414</v>
      </c>
      <c r="B1296" t="inlineStr">
        <is>
          <t>Cumplimiento Plan Anual Rectoría</t>
        </is>
      </c>
      <c r="C1296" t="inlineStr">
        <is>
          <t>Planeación Estratégica</t>
        </is>
      </c>
      <c r="D1296" t="inlineStr">
        <is>
          <t>Trimestral</t>
        </is>
      </c>
      <c r="E1296" t="inlineStr">
        <is>
          <t>Positivo</t>
        </is>
      </c>
      <c r="F1296" s="148" t="n">
        <v>45473</v>
      </c>
      <c r="G1296" t="n">
        <v>2024</v>
      </c>
      <c r="H1296" t="inlineStr">
        <is>
          <t>Junio</t>
        </is>
      </c>
      <c r="I1296" t="inlineStr">
        <is>
          <t>2024-1</t>
        </is>
      </c>
      <c r="J1296" t="n">
        <v>100</v>
      </c>
      <c r="K1296" t="n">
        <v>100.06</v>
      </c>
      <c r="L1296" s="59">
        <f>IFERROR(IF(OR(J1296=0,K1296=""),"",IF(E1296="Positivo",MIN(MAX(K1296/J1296,0),1.0),MIN(MAX(J1296/K1296,0),1.0))),"") </f>
        <v/>
      </c>
      <c r="M1296" s="59">
        <f>IFERROR(IF(OR(J1296=0,K1296=""),"",IF(E1296="Positivo",MAX(K1296/J1296,0),MAX(J1296/K1296,0))),"") </f>
        <v/>
      </c>
      <c r="P1296" t="n">
        <v>0</v>
      </c>
      <c r="Q1296" t="n">
        <v>0</v>
      </c>
      <c r="R1296" t="inlineStr">
        <is>
          <t>414-2024-06-30</t>
        </is>
      </c>
    </row>
    <row r="1297">
      <c r="A1297" t="n">
        <v>414</v>
      </c>
      <c r="B1297" t="inlineStr">
        <is>
          <t>Cumplimiento Plan Anual Rectoría</t>
        </is>
      </c>
      <c r="C1297" t="inlineStr">
        <is>
          <t>Planeación Estratégica</t>
        </is>
      </c>
      <c r="D1297" t="inlineStr">
        <is>
          <t>Trimestral</t>
        </is>
      </c>
      <c r="E1297" t="inlineStr">
        <is>
          <t>Positivo</t>
        </is>
      </c>
      <c r="F1297" s="148" t="n">
        <v>45657</v>
      </c>
      <c r="G1297" t="n">
        <v>2024</v>
      </c>
      <c r="H1297" t="inlineStr">
        <is>
          <t>Diciembre</t>
        </is>
      </c>
      <c r="I1297" t="inlineStr">
        <is>
          <t>2024-2</t>
        </is>
      </c>
      <c r="J1297" t="n">
        <v>100</v>
      </c>
      <c r="K1297" t="n">
        <v>98.78</v>
      </c>
      <c r="L1297" s="59">
        <f>IFERROR(IF(OR(J1297=0,K1297=""),"",IF(E1297="Positivo",MIN(MAX(K1297/J1297,0),1.0),MIN(MAX(J1297/K1297,0),1.0))),"") </f>
        <v/>
      </c>
      <c r="M1297" s="59">
        <f>IFERROR(IF(OR(J1297=0,K1297=""),"",IF(E1297="Positivo",MAX(K1297/J1297,0),MAX(J1297/K1297,0))),"") </f>
        <v/>
      </c>
      <c r="P1297" t="n">
        <v>0</v>
      </c>
      <c r="Q1297" t="n">
        <v>0</v>
      </c>
      <c r="R1297" t="inlineStr">
        <is>
          <t>414-2024-12-31</t>
        </is>
      </c>
    </row>
    <row r="1298">
      <c r="A1298" t="n">
        <v>414</v>
      </c>
      <c r="B1298" t="inlineStr">
        <is>
          <t>Cumplimiento Plan Anual Rectoría</t>
        </is>
      </c>
      <c r="C1298" t="inlineStr">
        <is>
          <t>Planeación Estratégica</t>
        </is>
      </c>
      <c r="D1298" t="inlineStr">
        <is>
          <t>Semestral</t>
        </is>
      </c>
      <c r="E1298" t="inlineStr">
        <is>
          <t>Positivo</t>
        </is>
      </c>
      <c r="F1298" s="148" t="n">
        <v>45838</v>
      </c>
      <c r="G1298" t="n">
        <v>2025</v>
      </c>
      <c r="H1298" t="inlineStr">
        <is>
          <t>Junio</t>
        </is>
      </c>
      <c r="I1298" t="inlineStr">
        <is>
          <t>2025-1</t>
        </is>
      </c>
      <c r="J1298" t="n">
        <v>100</v>
      </c>
      <c r="K1298" t="n">
        <v>108.55</v>
      </c>
      <c r="L1298" s="59">
        <f>IFERROR(IF(OR(J1298=0,K1298=""),"",IF(E1298="Positivo",MIN(MAX(K1298/J1298,0),1.0),MIN(MAX(J1298/K1298,0),1.0))),"") </f>
        <v/>
      </c>
      <c r="M1298" s="59">
        <f>IFERROR(IF(OR(J1298=0,K1298=""),"",IF(E1298="Positivo",MAX(K1298/J1298,0),MAX(J1298/K1298,0))),"") </f>
        <v/>
      </c>
      <c r="N1298" t="inlineStr">
        <is>
          <t>%</t>
        </is>
      </c>
      <c r="O1298" t="inlineStr">
        <is>
          <t>%</t>
        </is>
      </c>
      <c r="P1298" t="n">
        <v>0</v>
      </c>
      <c r="Q1298" t="n">
        <v>0</v>
      </c>
      <c r="R1298" t="inlineStr">
        <is>
          <t>414-2025-06-30</t>
        </is>
      </c>
    </row>
    <row r="1299">
      <c r="A1299" t="n">
        <v>414</v>
      </c>
      <c r="B1299" t="inlineStr">
        <is>
          <t>Cumplimiento Plan Anual Rectoría</t>
        </is>
      </c>
      <c r="C1299" t="inlineStr">
        <is>
          <t>Planeación Estratégica</t>
        </is>
      </c>
      <c r="D1299" t="inlineStr">
        <is>
          <t>Semestral</t>
        </is>
      </c>
      <c r="E1299" t="inlineStr">
        <is>
          <t>Positivo</t>
        </is>
      </c>
      <c r="F1299" s="148" t="n">
        <v>46022</v>
      </c>
      <c r="G1299" t="n">
        <v>2025</v>
      </c>
      <c r="H1299" t="inlineStr">
        <is>
          <t>Diciembre</t>
        </is>
      </c>
      <c r="I1299" t="inlineStr">
        <is>
          <t>2025-2</t>
        </is>
      </c>
      <c r="J1299" t="n">
        <v>100</v>
      </c>
      <c r="K1299" t="n">
        <v>98.87</v>
      </c>
      <c r="L1299" s="59">
        <f>IFERROR(IF(OR(J1299=0,K1299=""),"",IF(E1299="Positivo",MIN(MAX(K1299/J1299,0),1.0),MIN(MAX(J1299/K1299,0),1.0))),"") </f>
        <v/>
      </c>
      <c r="M1299" s="59">
        <f>IFERROR(IF(OR(J1299=0,K1299=""),"",IF(E1299="Positivo",MAX(K1299/J1299,0),MAX(J1299/K1299,0))),"") </f>
        <v/>
      </c>
      <c r="N1299" t="inlineStr">
        <is>
          <t>%</t>
        </is>
      </c>
      <c r="O1299" t="inlineStr">
        <is>
          <t>%</t>
        </is>
      </c>
      <c r="P1299" t="n">
        <v>0</v>
      </c>
      <c r="Q1299" t="n">
        <v>0</v>
      </c>
      <c r="R1299" t="inlineStr">
        <is>
          <t>414-2025-12-31</t>
        </is>
      </c>
    </row>
    <row r="1300">
      <c r="A1300" t="n">
        <v>415</v>
      </c>
      <c r="B1300" t="inlineStr">
        <is>
          <t>Cumplimiento Plan Anual Vicerrectoría del estudiante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48" t="n">
        <v>45016</v>
      </c>
      <c r="G1300" t="n">
        <v>2023</v>
      </c>
      <c r="H1300" t="inlineStr">
        <is>
          <t>Marzo</t>
        </is>
      </c>
      <c r="I1300" t="inlineStr">
        <is>
          <t>2023-1</t>
        </is>
      </c>
      <c r="J1300" t="n">
        <v>100</v>
      </c>
      <c r="K1300" t="n">
        <v>0</v>
      </c>
      <c r="L1300" s="59">
        <f>IFERROR(IF(OR(J1300=0,K1300=""),"",IF(E1300="Positivo",MIN(MAX(K1300/J1300,0),1.0),MIN(MAX(J1300/K1300,0),1.0))),"") </f>
        <v/>
      </c>
      <c r="M1300" s="59">
        <f>IFERROR(IF(OR(J1300=0,K1300=""),"",IF(E1300="Positivo",MAX(K1300/J1300,0),MAX(J1300/K1300,0))),"") </f>
        <v/>
      </c>
      <c r="P1300" t="n">
        <v>0</v>
      </c>
      <c r="Q1300" t="n">
        <v>0</v>
      </c>
      <c r="R1300" t="inlineStr">
        <is>
          <t>415-2023-03-31</t>
        </is>
      </c>
    </row>
    <row r="1301">
      <c r="A1301" t="n">
        <v>415</v>
      </c>
      <c r="B1301" t="inlineStr">
        <is>
          <t>Cumplimiento Plan Anual Vicerrectoría del estudiante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48" t="n">
        <v>45107</v>
      </c>
      <c r="G1301" t="n">
        <v>2023</v>
      </c>
      <c r="H1301" t="inlineStr">
        <is>
          <t>Junio</t>
        </is>
      </c>
      <c r="I1301" t="inlineStr">
        <is>
          <t>2023-1</t>
        </is>
      </c>
      <c r="J1301" t="n">
        <v>100</v>
      </c>
      <c r="K1301" t="n">
        <v>94.04000000000001</v>
      </c>
      <c r="L1301" s="59">
        <f>IFERROR(IF(OR(J1301=0,K1301=""),"",IF(E1301="Positivo",MIN(MAX(K1301/J1301,0),1.0),MIN(MAX(J1301/K1301,0),1.0))),"") </f>
        <v/>
      </c>
      <c r="M1301" s="59">
        <f>IFERROR(IF(OR(J1301=0,K1301=""),"",IF(E1301="Positivo",MAX(K1301/J1301,0),MAX(J1301/K1301,0))),"") </f>
        <v/>
      </c>
      <c r="P1301" t="n">
        <v>0</v>
      </c>
      <c r="Q1301" t="n">
        <v>0</v>
      </c>
      <c r="R1301" t="inlineStr">
        <is>
          <t>415-2023-06-30</t>
        </is>
      </c>
    </row>
    <row r="1302">
      <c r="A1302" t="n">
        <v>415</v>
      </c>
      <c r="B1302" t="inlineStr">
        <is>
          <t>Cumplimiento Plan Anual Vicerrectoría del estudiante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48" t="n">
        <v>45199</v>
      </c>
      <c r="G1302" t="n">
        <v>2023</v>
      </c>
      <c r="H1302" t="inlineStr">
        <is>
          <t>Septiembre</t>
        </is>
      </c>
      <c r="I1302" t="inlineStr">
        <is>
          <t>2023-2</t>
        </is>
      </c>
      <c r="J1302" t="n">
        <v>100</v>
      </c>
      <c r="K1302" t="n">
        <v>93.94</v>
      </c>
      <c r="L1302" s="59">
        <f>IFERROR(IF(OR(J1302=0,K1302=""),"",IF(E1302="Positivo",MIN(MAX(K1302/J1302,0),1.0),MIN(MAX(J1302/K1302,0),1.0))),"") </f>
        <v/>
      </c>
      <c r="M1302" s="59">
        <f>IFERROR(IF(OR(J1302=0,K1302=""),"",IF(E1302="Positivo",MAX(K1302/J1302,0),MAX(J1302/K1302,0))),"") </f>
        <v/>
      </c>
      <c r="P1302" t="n">
        <v>0</v>
      </c>
      <c r="Q1302" t="n">
        <v>0</v>
      </c>
      <c r="R1302" t="inlineStr">
        <is>
          <t>415-2023-09-30</t>
        </is>
      </c>
    </row>
    <row r="1303">
      <c r="A1303" t="n">
        <v>415</v>
      </c>
      <c r="B1303" t="inlineStr">
        <is>
          <t>Cumplimiento Plan Anual Vicerrectoría del estudiante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48" t="n">
        <v>45291</v>
      </c>
      <c r="G1303" t="n">
        <v>2023</v>
      </c>
      <c r="H1303" t="inlineStr">
        <is>
          <t>Diciembre</t>
        </is>
      </c>
      <c r="I1303" t="inlineStr">
        <is>
          <t>2023-2</t>
        </is>
      </c>
      <c r="J1303" t="n">
        <v>100</v>
      </c>
      <c r="K1303" t="n">
        <v>96</v>
      </c>
      <c r="L1303" s="59">
        <f>IFERROR(IF(OR(J1303=0,K1303=""),"",IF(E1303="Positivo",MIN(MAX(K1303/J1303,0),1.0),MIN(MAX(J1303/K1303,0),1.0))),"") </f>
        <v/>
      </c>
      <c r="M1303" s="59">
        <f>IFERROR(IF(OR(J1303=0,K1303=""),"",IF(E1303="Positivo",MAX(K1303/J1303,0),MAX(J1303/K1303,0))),"") </f>
        <v/>
      </c>
      <c r="P1303" t="n">
        <v>0</v>
      </c>
      <c r="Q1303" t="n">
        <v>0</v>
      </c>
      <c r="R1303" t="inlineStr">
        <is>
          <t>415-2023-12-31</t>
        </is>
      </c>
    </row>
    <row r="1304">
      <c r="A1304" t="n">
        <v>415</v>
      </c>
      <c r="B1304" t="inlineStr">
        <is>
          <t>Cumplimiento Plan Anual Vicerrectoría del estudiante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148" t="n">
        <v>45473</v>
      </c>
      <c r="G1304" t="n">
        <v>2024</v>
      </c>
      <c r="H1304" t="inlineStr">
        <is>
          <t>Junio</t>
        </is>
      </c>
      <c r="I1304" t="inlineStr">
        <is>
          <t>2024-1</t>
        </is>
      </c>
      <c r="J1304" t="n">
        <v>100</v>
      </c>
      <c r="K1304" t="n">
        <v>93.04000000000001</v>
      </c>
      <c r="L1304" s="59">
        <f>IFERROR(IF(OR(J1304=0,K1304=""),"",IF(E1304="Positivo",MIN(MAX(K1304/J1304,0),1.0),MIN(MAX(J1304/K1304,0),1.0))),"") </f>
        <v/>
      </c>
      <c r="M1304" s="59">
        <f>IFERROR(IF(OR(J1304=0,K1304=""),"",IF(E1304="Positivo",MAX(K1304/J1304,0),MAX(J1304/K1304,0))),"") </f>
        <v/>
      </c>
      <c r="P1304" t="n">
        <v>0</v>
      </c>
      <c r="Q1304" t="n">
        <v>0</v>
      </c>
      <c r="R1304" t="inlineStr">
        <is>
          <t>415-2024-06-30</t>
        </is>
      </c>
    </row>
    <row r="1305">
      <c r="A1305" t="n">
        <v>415</v>
      </c>
      <c r="B1305" t="inlineStr">
        <is>
          <t>Cumplimiento Plan Anual Vicerrectoría del estudiante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148" t="n">
        <v>45657</v>
      </c>
      <c r="G1305" t="n">
        <v>2024</v>
      </c>
      <c r="H1305" t="inlineStr">
        <is>
          <t>Diciembre</t>
        </is>
      </c>
      <c r="I1305" t="inlineStr">
        <is>
          <t>2024-2</t>
        </is>
      </c>
      <c r="J1305" t="n">
        <v>100</v>
      </c>
      <c r="K1305" t="n">
        <v>98.36</v>
      </c>
      <c r="L1305" s="59">
        <f>IFERROR(IF(OR(J1305=0,K1305=""),"",IF(E1305="Positivo",MIN(MAX(K1305/J1305,0),1.0),MIN(MAX(J1305/K1305,0),1.0))),"") </f>
        <v/>
      </c>
      <c r="M1305" s="59">
        <f>IFERROR(IF(OR(J1305=0,K1305=""),"",IF(E1305="Positivo",MAX(K1305/J1305,0),MAX(J1305/K1305,0))),"") </f>
        <v/>
      </c>
      <c r="P1305" t="n">
        <v>0</v>
      </c>
      <c r="Q1305" t="n">
        <v>0</v>
      </c>
      <c r="R1305" t="inlineStr">
        <is>
          <t>415-2024-12-31</t>
        </is>
      </c>
    </row>
    <row r="1306">
      <c r="A1306" t="n">
        <v>415</v>
      </c>
      <c r="B1306" t="inlineStr">
        <is>
          <t>Cumplimiento Plan Anual Vicerrectoría del estudiante</t>
        </is>
      </c>
      <c r="C1306" t="inlineStr">
        <is>
          <t>Planeación Estratégica</t>
        </is>
      </c>
      <c r="D1306" t="inlineStr">
        <is>
          <t>Semestral</t>
        </is>
      </c>
      <c r="E1306" t="inlineStr">
        <is>
          <t>Positivo</t>
        </is>
      </c>
      <c r="F1306" s="148" t="n">
        <v>45838</v>
      </c>
      <c r="G1306" t="n">
        <v>2025</v>
      </c>
      <c r="H1306" t="inlineStr">
        <is>
          <t>Junio</t>
        </is>
      </c>
      <c r="I1306" t="inlineStr">
        <is>
          <t>2025-1</t>
        </is>
      </c>
      <c r="J1306" t="n">
        <v>100</v>
      </c>
      <c r="K1306" t="n">
        <v>96.44</v>
      </c>
      <c r="L1306" s="59">
        <f>IFERROR(IF(OR(J1306=0,K1306=""),"",IF(E1306="Positivo",MIN(MAX(K1306/J1306,0),1.0),MIN(MAX(J1306/K1306,0),1.0))),"") </f>
        <v/>
      </c>
      <c r="M1306" s="59">
        <f>IFERROR(IF(OR(J1306=0,K1306=""),"",IF(E1306="Positivo",MAX(K1306/J1306,0),MAX(J1306/K1306,0))),"") </f>
        <v/>
      </c>
      <c r="N1306" t="inlineStr">
        <is>
          <t>%</t>
        </is>
      </c>
      <c r="O1306" t="inlineStr">
        <is>
          <t>%</t>
        </is>
      </c>
      <c r="P1306" t="n">
        <v>0</v>
      </c>
      <c r="Q1306" t="n">
        <v>0</v>
      </c>
      <c r="R1306" t="inlineStr">
        <is>
          <t>415-2025-06-30</t>
        </is>
      </c>
    </row>
    <row r="1307">
      <c r="A1307" t="n">
        <v>415</v>
      </c>
      <c r="B1307" t="inlineStr">
        <is>
          <t>Cumplimiento Plan Anual Vicerrectoría del estudiante</t>
        </is>
      </c>
      <c r="C1307" t="inlineStr">
        <is>
          <t>Planeación Estratégica</t>
        </is>
      </c>
      <c r="D1307" t="inlineStr">
        <is>
          <t>Semestral</t>
        </is>
      </c>
      <c r="E1307" t="inlineStr">
        <is>
          <t>Positivo</t>
        </is>
      </c>
      <c r="F1307" s="148" t="n">
        <v>46022</v>
      </c>
      <c r="G1307" t="n">
        <v>2025</v>
      </c>
      <c r="H1307" t="inlineStr">
        <is>
          <t>Diciembre</t>
        </is>
      </c>
      <c r="I1307" t="inlineStr">
        <is>
          <t>2025-2</t>
        </is>
      </c>
      <c r="J1307" t="n">
        <v>100</v>
      </c>
      <c r="K1307" t="n">
        <v>99.3</v>
      </c>
      <c r="L1307" s="59">
        <f>IFERROR(IF(OR(J1307=0,K1307=""),"",IF(E1307="Positivo",MIN(MAX(K1307/J1307,0),1.0),MIN(MAX(J1307/K1307,0),1.0))),"") </f>
        <v/>
      </c>
      <c r="M1307" s="59">
        <f>IFERROR(IF(OR(J1307=0,K1307=""),"",IF(E1307="Positivo",MAX(K1307/J1307,0),MAX(J1307/K1307,0))),"") </f>
        <v/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415-2025-12-31</t>
        </is>
      </c>
    </row>
    <row r="1308">
      <c r="A1308" t="n">
        <v>416</v>
      </c>
      <c r="B1308" t="inlineStr">
        <is>
          <t>Cumplimiento Plan Anual Vicerrectoría de crecimiento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48" t="n">
        <v>45016</v>
      </c>
      <c r="G1308" t="n">
        <v>2023</v>
      </c>
      <c r="H1308" t="inlineStr">
        <is>
          <t>Marzo</t>
        </is>
      </c>
      <c r="I1308" t="inlineStr">
        <is>
          <t>2023-1</t>
        </is>
      </c>
      <c r="J1308" t="n">
        <v>100</v>
      </c>
      <c r="K1308" t="n">
        <v>0</v>
      </c>
      <c r="L1308" s="59">
        <f>IFERROR(IF(OR(J1308=0,K1308=""),"",IF(E1308="Positivo",MIN(MAX(K1308/J1308,0),1.0),MIN(MAX(J1308/K1308,0),1.0))),"") </f>
        <v/>
      </c>
      <c r="M1308" s="59">
        <f>IFERROR(IF(OR(J1308=0,K1308=""),"",IF(E1308="Positivo",MAX(K1308/J1308,0),MAX(J1308/K1308,0))),"") </f>
        <v/>
      </c>
      <c r="P1308" t="n">
        <v>0</v>
      </c>
      <c r="Q1308" t="n">
        <v>0</v>
      </c>
      <c r="R1308" t="inlineStr">
        <is>
          <t>416-2023-03-31</t>
        </is>
      </c>
    </row>
    <row r="1309">
      <c r="A1309" t="n">
        <v>416</v>
      </c>
      <c r="B1309" t="inlineStr">
        <is>
          <t>Cumplimiento Plan Anual Vicerrectoría de crecimiento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48" t="n">
        <v>45107</v>
      </c>
      <c r="G1309" t="n">
        <v>2023</v>
      </c>
      <c r="H1309" t="inlineStr">
        <is>
          <t>Junio</t>
        </is>
      </c>
      <c r="I1309" t="inlineStr">
        <is>
          <t>2023-1</t>
        </is>
      </c>
      <c r="J1309" t="n">
        <v>100</v>
      </c>
      <c r="K1309" t="n">
        <v>95.73999999999999</v>
      </c>
      <c r="L1309" s="59">
        <f>IFERROR(IF(OR(J1309=0,K1309=""),"",IF(E1309="Positivo",MIN(MAX(K1309/J1309,0),1.0),MIN(MAX(J1309/K1309,0),1.0))),"") </f>
        <v/>
      </c>
      <c r="M1309" s="59">
        <f>IFERROR(IF(OR(J1309=0,K1309=""),"",IF(E1309="Positivo",MAX(K1309/J1309,0),MAX(J1309/K1309,0))),"") </f>
        <v/>
      </c>
      <c r="P1309" t="n">
        <v>0</v>
      </c>
      <c r="Q1309" t="n">
        <v>0</v>
      </c>
      <c r="R1309" t="inlineStr">
        <is>
          <t>416-2023-06-30</t>
        </is>
      </c>
    </row>
    <row r="1310">
      <c r="A1310" t="n">
        <v>416</v>
      </c>
      <c r="B1310" t="inlineStr">
        <is>
          <t>Cumplimiento Plan Anual Vicerrectoría de crecimiento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48" t="n">
        <v>45199</v>
      </c>
      <c r="G1310" t="n">
        <v>2023</v>
      </c>
      <c r="H1310" t="inlineStr">
        <is>
          <t>Septiembre</t>
        </is>
      </c>
      <c r="I1310" t="inlineStr">
        <is>
          <t>2023-2</t>
        </is>
      </c>
      <c r="J1310" t="n">
        <v>100</v>
      </c>
      <c r="K1310" t="n">
        <v>87.94</v>
      </c>
      <c r="L1310" s="59">
        <f>IFERROR(IF(OR(J1310=0,K1310=""),"",IF(E1310="Positivo",MIN(MAX(K1310/J1310,0),1.0),MIN(MAX(J1310/K1310,0),1.0))),"") </f>
        <v/>
      </c>
      <c r="M1310" s="59">
        <f>IFERROR(IF(OR(J1310=0,K1310=""),"",IF(E1310="Positivo",MAX(K1310/J1310,0),MAX(J1310/K1310,0))),"") </f>
        <v/>
      </c>
      <c r="P1310" t="n">
        <v>0</v>
      </c>
      <c r="Q1310" t="n">
        <v>0</v>
      </c>
      <c r="R1310" t="inlineStr">
        <is>
          <t>416-2023-09-30</t>
        </is>
      </c>
    </row>
    <row r="1311">
      <c r="A1311" t="n">
        <v>416</v>
      </c>
      <c r="B1311" t="inlineStr">
        <is>
          <t>Cumplimiento Plan Anual Vicerrectoría de crecimiento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48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100</v>
      </c>
      <c r="K1311" t="n">
        <v>98</v>
      </c>
      <c r="L1311" s="59">
        <f>IFERROR(IF(OR(J1311=0,K1311=""),"",IF(E1311="Positivo",MIN(MAX(K1311/J1311,0),1.0),MIN(MAX(J1311/K1311,0),1.0))),"") </f>
        <v/>
      </c>
      <c r="M1311" s="59">
        <f>IFERROR(IF(OR(J1311=0,K1311=""),"",IF(E1311="Positivo",MAX(K1311/J1311,0),MAX(J1311/K1311,0))),"") </f>
        <v/>
      </c>
      <c r="P1311" t="n">
        <v>0</v>
      </c>
      <c r="Q1311" t="n">
        <v>0</v>
      </c>
      <c r="R1311" t="inlineStr">
        <is>
          <t>416-2023-12-31</t>
        </is>
      </c>
    </row>
    <row r="1312">
      <c r="A1312" t="n">
        <v>416</v>
      </c>
      <c r="B1312" t="inlineStr">
        <is>
          <t>Cumplimiento Plan Anual Vicerrectoría de crecimiento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48" t="n">
        <v>45473</v>
      </c>
      <c r="G1312" t="n">
        <v>2024</v>
      </c>
      <c r="H1312" t="inlineStr">
        <is>
          <t>Junio</t>
        </is>
      </c>
      <c r="I1312" t="inlineStr">
        <is>
          <t>2024-1</t>
        </is>
      </c>
      <c r="J1312" t="n">
        <v>100</v>
      </c>
      <c r="K1312" t="n">
        <v>117.1</v>
      </c>
      <c r="L1312" s="59">
        <f>IFERROR(IF(OR(J1312=0,K1312=""),"",IF(E1312="Positivo",MIN(MAX(K1312/J1312,0),1.0),MIN(MAX(J1312/K1312,0),1.0))),"") </f>
        <v/>
      </c>
      <c r="M1312" s="59">
        <f>IFERROR(IF(OR(J1312=0,K1312=""),"",IF(E1312="Positivo",MAX(K1312/J1312,0),MAX(J1312/K1312,0))),"") </f>
        <v/>
      </c>
      <c r="P1312" t="n">
        <v>0</v>
      </c>
      <c r="Q1312" t="n">
        <v>0</v>
      </c>
      <c r="R1312" t="inlineStr">
        <is>
          <t>416-2024-06-30</t>
        </is>
      </c>
    </row>
    <row r="1313">
      <c r="A1313" t="n">
        <v>416</v>
      </c>
      <c r="B1313" t="inlineStr">
        <is>
          <t>Cumplimiento Plan Anual Vicerrectoría de crecimiento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48" t="n">
        <v>45657</v>
      </c>
      <c r="G1313" t="n">
        <v>2024</v>
      </c>
      <c r="H1313" t="inlineStr">
        <is>
          <t>Diciembre</t>
        </is>
      </c>
      <c r="I1313" t="inlineStr">
        <is>
          <t>2024-2</t>
        </is>
      </c>
      <c r="J1313" t="n">
        <v>100</v>
      </c>
      <c r="K1313" t="n">
        <v>100</v>
      </c>
      <c r="L1313" s="59">
        <f>IFERROR(IF(OR(J1313=0,K1313=""),"",IF(E1313="Positivo",MIN(MAX(K1313/J1313,0),1.0),MIN(MAX(J1313/K1313,0),1.0))),"") </f>
        <v/>
      </c>
      <c r="M1313" s="59">
        <f>IFERROR(IF(OR(J1313=0,K1313=""),"",IF(E1313="Positivo",MAX(K1313/J1313,0),MAX(J1313/K1313,0))),"") </f>
        <v/>
      </c>
      <c r="P1313" t="n">
        <v>0</v>
      </c>
      <c r="Q1313" t="n">
        <v>0</v>
      </c>
      <c r="R1313" t="inlineStr">
        <is>
          <t>416-2024-12-31</t>
        </is>
      </c>
    </row>
    <row r="1314">
      <c r="A1314" t="n">
        <v>416</v>
      </c>
      <c r="B1314" t="inlineStr">
        <is>
          <t>Cumplimiento Plan Anual Vicerrectoría de crecimiento</t>
        </is>
      </c>
      <c r="C1314" t="inlineStr">
        <is>
          <t>Planeación Estratégica</t>
        </is>
      </c>
      <c r="D1314" t="inlineStr">
        <is>
          <t>Semestral</t>
        </is>
      </c>
      <c r="E1314" t="inlineStr">
        <is>
          <t>Positivo</t>
        </is>
      </c>
      <c r="F1314" s="148" t="n">
        <v>45838</v>
      </c>
      <c r="G1314" t="n">
        <v>2025</v>
      </c>
      <c r="H1314" t="inlineStr">
        <is>
          <t>Junio</t>
        </is>
      </c>
      <c r="I1314" t="inlineStr">
        <is>
          <t>2025-1</t>
        </is>
      </c>
      <c r="J1314" t="n">
        <v>100</v>
      </c>
      <c r="K1314" t="n">
        <v>109.24</v>
      </c>
      <c r="L1314" s="59">
        <f>IFERROR(IF(OR(J1314=0,K1314=""),"",IF(E1314="Positivo",MIN(MAX(K1314/J1314,0),1.0),MIN(MAX(J1314/K1314,0),1.0))),"") </f>
        <v/>
      </c>
      <c r="M1314" s="59">
        <f>IFERROR(IF(OR(J1314=0,K1314=""),"",IF(E1314="Positivo",MAX(K1314/J1314,0),MAX(J1314/K1314,0))),"") </f>
        <v/>
      </c>
      <c r="N1314" t="inlineStr">
        <is>
          <t>%</t>
        </is>
      </c>
      <c r="O1314" t="inlineStr">
        <is>
          <t>%</t>
        </is>
      </c>
      <c r="P1314" t="n">
        <v>0</v>
      </c>
      <c r="Q1314" t="n">
        <v>0</v>
      </c>
      <c r="R1314" t="inlineStr">
        <is>
          <t>416-2025-06-30</t>
        </is>
      </c>
    </row>
    <row r="1315">
      <c r="A1315" t="n">
        <v>416</v>
      </c>
      <c r="B1315" t="inlineStr">
        <is>
          <t>Cumplimiento Plan Anual Vicerrectoría de crecimiento</t>
        </is>
      </c>
      <c r="C1315" t="inlineStr">
        <is>
          <t>Planeación Estratégica</t>
        </is>
      </c>
      <c r="D1315" t="inlineStr">
        <is>
          <t>Semestral</t>
        </is>
      </c>
      <c r="E1315" t="inlineStr">
        <is>
          <t>Positivo</t>
        </is>
      </c>
      <c r="F1315" s="148" t="n">
        <v>46022</v>
      </c>
      <c r="G1315" t="n">
        <v>2025</v>
      </c>
      <c r="H1315" t="inlineStr">
        <is>
          <t>Diciembre</t>
        </is>
      </c>
      <c r="I1315" t="inlineStr">
        <is>
          <t>2025-2</t>
        </is>
      </c>
      <c r="J1315" t="n">
        <v>100</v>
      </c>
      <c r="K1315" t="n">
        <v>100</v>
      </c>
      <c r="L1315" s="59">
        <f>IFERROR(IF(OR(J1315=0,K1315=""),"",IF(E1315="Positivo",MIN(MAX(K1315/J1315,0),1.0),MIN(MAX(J1315/K1315,0),1.0))),"") </f>
        <v/>
      </c>
      <c r="M1315" s="59">
        <f>IFERROR(IF(OR(J1315=0,K1315=""),"",IF(E1315="Positivo",MAX(K1315/J1315,0),MAX(J1315/K1315,0))),"") </f>
        <v/>
      </c>
      <c r="N1315" t="inlineStr">
        <is>
          <t>%</t>
        </is>
      </c>
      <c r="O1315" t="inlineStr">
        <is>
          <t>%</t>
        </is>
      </c>
      <c r="P1315" t="n">
        <v>0</v>
      </c>
      <c r="Q1315" t="n">
        <v>0</v>
      </c>
      <c r="R1315" t="inlineStr">
        <is>
          <t>416-2025-12-31</t>
        </is>
      </c>
    </row>
    <row r="1316">
      <c r="A1316" t="n">
        <v>417</v>
      </c>
      <c r="B1316" t="inlineStr">
        <is>
          <t>Cumplimiento Plan Anual Vicerrectoría Financiera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48" t="n">
        <v>45016</v>
      </c>
      <c r="G1316" t="n">
        <v>2023</v>
      </c>
      <c r="H1316" t="inlineStr">
        <is>
          <t>Marzo</t>
        </is>
      </c>
      <c r="I1316" t="inlineStr">
        <is>
          <t>2023-1</t>
        </is>
      </c>
      <c r="J1316" t="n">
        <v>100</v>
      </c>
      <c r="K1316" t="n">
        <v>0</v>
      </c>
      <c r="L1316" s="59">
        <f>IFERROR(IF(OR(J1316=0,K1316=""),"",IF(E1316="Positivo",MIN(MAX(K1316/J1316,0),1.0),MIN(MAX(J1316/K1316,0),1.0))),"") </f>
        <v/>
      </c>
      <c r="M1316" s="59">
        <f>IFERROR(IF(OR(J1316=0,K1316=""),"",IF(E1316="Positivo",MAX(K1316/J1316,0),MAX(J1316/K1316,0))),"") </f>
        <v/>
      </c>
      <c r="P1316" t="n">
        <v>0</v>
      </c>
      <c r="Q1316" t="n">
        <v>0</v>
      </c>
      <c r="R1316" t="inlineStr">
        <is>
          <t>417-2023-03-31</t>
        </is>
      </c>
    </row>
    <row r="1317">
      <c r="A1317" t="n">
        <v>417</v>
      </c>
      <c r="B1317" t="inlineStr">
        <is>
          <t>Cumplimiento Plan Anual Vicerrectoría Financiera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48" t="n">
        <v>45107</v>
      </c>
      <c r="G1317" t="n">
        <v>2023</v>
      </c>
      <c r="H1317" t="inlineStr">
        <is>
          <t>Junio</t>
        </is>
      </c>
      <c r="I1317" t="inlineStr">
        <is>
          <t>2023-1</t>
        </is>
      </c>
      <c r="J1317" t="n">
        <v>100</v>
      </c>
      <c r="K1317" t="n">
        <v>110.66833333333</v>
      </c>
      <c r="L1317" s="59">
        <f>IFERROR(IF(OR(J1317=0,K1317=""),"",IF(E1317="Positivo",MIN(MAX(K1317/J1317,0),1.0),MIN(MAX(J1317/K1317,0),1.0))),"") </f>
        <v/>
      </c>
      <c r="M1317" s="59">
        <f>IFERROR(IF(OR(J1317=0,K1317=""),"",IF(E1317="Positivo",MAX(K1317/J1317,0),MAX(J1317/K1317,0))),"") </f>
        <v/>
      </c>
      <c r="P1317" t="n">
        <v>0</v>
      </c>
      <c r="Q1317" t="n">
        <v>0</v>
      </c>
      <c r="R1317" t="inlineStr">
        <is>
          <t>417-2023-06-30</t>
        </is>
      </c>
    </row>
    <row r="1318">
      <c r="A1318" t="n">
        <v>417</v>
      </c>
      <c r="B1318" t="inlineStr">
        <is>
          <t>Cumplimiento Plan Anual Vicerrectoría Financiera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48" t="n">
        <v>45199</v>
      </c>
      <c r="G1318" t="n">
        <v>2023</v>
      </c>
      <c r="H1318" t="inlineStr">
        <is>
          <t>Septiembre</t>
        </is>
      </c>
      <c r="I1318" t="inlineStr">
        <is>
          <t>2023-2</t>
        </is>
      </c>
      <c r="J1318" t="n">
        <v>100</v>
      </c>
      <c r="K1318" t="n">
        <v>93.756666666667</v>
      </c>
      <c r="L1318" s="59">
        <f>IFERROR(IF(OR(J1318=0,K1318=""),"",IF(E1318="Positivo",MIN(MAX(K1318/J1318,0),1.0),MIN(MAX(J1318/K1318,0),1.0))),"") </f>
        <v/>
      </c>
      <c r="M1318" s="59">
        <f>IFERROR(IF(OR(J1318=0,K1318=""),"",IF(E1318="Positivo",MAX(K1318/J1318,0),MAX(J1318/K1318,0))),"") </f>
        <v/>
      </c>
      <c r="P1318" t="n">
        <v>0</v>
      </c>
      <c r="Q1318" t="n">
        <v>0</v>
      </c>
      <c r="R1318" t="inlineStr">
        <is>
          <t>417-2023-09-30</t>
        </is>
      </c>
    </row>
    <row r="1319">
      <c r="A1319" t="n">
        <v>417</v>
      </c>
      <c r="B1319" t="inlineStr">
        <is>
          <t>Cumplimiento Plan Anual Vicerrectoría Financiera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48" t="n">
        <v>45291</v>
      </c>
      <c r="G1319" t="n">
        <v>2023</v>
      </c>
      <c r="H1319" t="inlineStr">
        <is>
          <t>Diciembre</t>
        </is>
      </c>
      <c r="I1319" t="inlineStr">
        <is>
          <t>2023-2</t>
        </is>
      </c>
      <c r="J1319" t="n">
        <v>100</v>
      </c>
      <c r="K1319" t="n">
        <v>94.39</v>
      </c>
      <c r="L1319" s="59">
        <f>IFERROR(IF(OR(J1319=0,K1319=""),"",IF(E1319="Positivo",MIN(MAX(K1319/J1319,0),1.0),MIN(MAX(J1319/K1319,0),1.0))),"") </f>
        <v/>
      </c>
      <c r="M1319" s="59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417-2023-12-31</t>
        </is>
      </c>
    </row>
    <row r="1320">
      <c r="A1320" t="n">
        <v>417</v>
      </c>
      <c r="B1320" t="inlineStr">
        <is>
          <t>Cumplimiento Plan Anual Vicerrectoría Financiera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48" t="n">
        <v>45473</v>
      </c>
      <c r="G1320" t="n">
        <v>2024</v>
      </c>
      <c r="H1320" t="inlineStr">
        <is>
          <t>Junio</t>
        </is>
      </c>
      <c r="I1320" t="inlineStr">
        <is>
          <t>2024-1</t>
        </is>
      </c>
      <c r="J1320" t="n">
        <v>100</v>
      </c>
      <c r="K1320" t="n">
        <v>112.12</v>
      </c>
      <c r="L1320" s="59">
        <f>IFERROR(IF(OR(J1320=0,K1320=""),"",IF(E1320="Positivo",MIN(MAX(K1320/J1320,0),1.0),MIN(MAX(J1320/K1320,0),1.0))),"") </f>
        <v/>
      </c>
      <c r="M1320" s="59">
        <f>IFERROR(IF(OR(J1320=0,K1320=""),"",IF(E1320="Positivo",MAX(K1320/J1320,0),MAX(J1320/K1320,0))),"") </f>
        <v/>
      </c>
      <c r="P1320" t="n">
        <v>0</v>
      </c>
      <c r="Q1320" t="n">
        <v>0</v>
      </c>
      <c r="R1320" t="inlineStr">
        <is>
          <t>417-2024-06-30</t>
        </is>
      </c>
    </row>
    <row r="1321">
      <c r="A1321" t="n">
        <v>417</v>
      </c>
      <c r="B1321" t="inlineStr">
        <is>
          <t>Cumplimiento Plan Anual Vicerrectoría Financiera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48" t="n">
        <v>45657</v>
      </c>
      <c r="G1321" t="n">
        <v>2024</v>
      </c>
      <c r="H1321" t="inlineStr">
        <is>
          <t>Diciembre</t>
        </is>
      </c>
      <c r="I1321" t="inlineStr">
        <is>
          <t>2024-2</t>
        </is>
      </c>
      <c r="J1321" t="n">
        <v>100</v>
      </c>
      <c r="K1321" t="n">
        <v>98.83</v>
      </c>
      <c r="L1321" s="59">
        <f>IFERROR(IF(OR(J1321=0,K1321=""),"",IF(E1321="Positivo",MIN(MAX(K1321/J1321,0),1.0),MIN(MAX(J1321/K1321,0),1.0))),"") </f>
        <v/>
      </c>
      <c r="M1321" s="59">
        <f>IFERROR(IF(OR(J1321=0,K1321=""),"",IF(E1321="Positivo",MAX(K1321/J1321,0),MAX(J1321/K1321,0))),"") </f>
        <v/>
      </c>
      <c r="P1321" t="n">
        <v>0</v>
      </c>
      <c r="Q1321" t="n">
        <v>0</v>
      </c>
      <c r="R1321" t="inlineStr">
        <is>
          <t>417-2024-12-31</t>
        </is>
      </c>
    </row>
    <row r="1322">
      <c r="A1322" t="n">
        <v>417</v>
      </c>
      <c r="B1322" t="inlineStr">
        <is>
          <t>Cumplimiento Plan Anual Vicerrectoría Financiera</t>
        </is>
      </c>
      <c r="C1322" t="inlineStr">
        <is>
          <t>Planeación Estratégica</t>
        </is>
      </c>
      <c r="D1322" t="inlineStr">
        <is>
          <t>Semestral</t>
        </is>
      </c>
      <c r="E1322" t="inlineStr">
        <is>
          <t>Positivo</t>
        </is>
      </c>
      <c r="F1322" s="148" t="n">
        <v>45838</v>
      </c>
      <c r="G1322" t="n">
        <v>2025</v>
      </c>
      <c r="H1322" t="inlineStr">
        <is>
          <t>Junio</t>
        </is>
      </c>
      <c r="I1322" t="inlineStr">
        <is>
          <t>2025-1</t>
        </is>
      </c>
      <c r="J1322" t="n">
        <v>100</v>
      </c>
      <c r="K1322" t="n">
        <v>101.28</v>
      </c>
      <c r="L1322" s="59">
        <f>IFERROR(IF(OR(J1322=0,K1322=""),"",IF(E1322="Positivo",MIN(MAX(K1322/J1322,0),1.0),MIN(MAX(J1322/K1322,0),1.0))),"") </f>
        <v/>
      </c>
      <c r="M1322" s="59">
        <f>IFERROR(IF(OR(J1322=0,K1322=""),"",IF(E1322="Positivo",MAX(K1322/J1322,0),MAX(J1322/K1322,0))),"") </f>
        <v/>
      </c>
      <c r="N1322" t="inlineStr">
        <is>
          <t>%</t>
        </is>
      </c>
      <c r="O1322" t="inlineStr">
        <is>
          <t>%</t>
        </is>
      </c>
      <c r="P1322" t="n">
        <v>0</v>
      </c>
      <c r="Q1322" t="n">
        <v>0</v>
      </c>
      <c r="R1322" t="inlineStr">
        <is>
          <t>417-2025-06-30</t>
        </is>
      </c>
    </row>
    <row r="1323">
      <c r="A1323" t="n">
        <v>417</v>
      </c>
      <c r="B1323" t="inlineStr">
        <is>
          <t>Cumplimiento Plan Anual Vicerrectoría Financiera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148" t="n">
        <v>46022</v>
      </c>
      <c r="G1323" t="n">
        <v>2025</v>
      </c>
      <c r="H1323" t="inlineStr">
        <is>
          <t>Diciembre</t>
        </is>
      </c>
      <c r="I1323" t="inlineStr">
        <is>
          <t>2025-2</t>
        </is>
      </c>
      <c r="J1323" t="n">
        <v>100</v>
      </c>
      <c r="K1323" t="n">
        <v>97.98999999999999</v>
      </c>
      <c r="L1323" s="59">
        <f>IFERROR(IF(OR(J1323=0,K1323=""),"",IF(E1323="Positivo",MIN(MAX(K1323/J1323,0),1.0),MIN(MAX(J1323/K1323,0),1.0))),"") </f>
        <v/>
      </c>
      <c r="M1323" s="59">
        <f>IFERROR(IF(OR(J1323=0,K1323=""),"",IF(E1323="Positivo",MAX(K1323/J1323,0),MAX(J1323/K1323,0))),"") </f>
        <v/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417-2025-12-31</t>
        </is>
      </c>
    </row>
    <row r="1324">
      <c r="A1324" t="n">
        <v>418</v>
      </c>
      <c r="B1324" t="inlineStr">
        <is>
          <t>Cumplimiento Plan Anual Vicerrectoría Académica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48" t="n">
        <v>45016</v>
      </c>
      <c r="G1324" t="n">
        <v>2023</v>
      </c>
      <c r="H1324" t="inlineStr">
        <is>
          <t>Marzo</t>
        </is>
      </c>
      <c r="I1324" t="inlineStr">
        <is>
          <t>2023-1</t>
        </is>
      </c>
      <c r="J1324" t="n">
        <v>100</v>
      </c>
      <c r="K1324" t="n">
        <v>0</v>
      </c>
      <c r="L1324" s="59">
        <f>IFERROR(IF(OR(J1324=0,K1324=""),"",IF(E1324="Positivo",MIN(MAX(K1324/J1324,0),1.0),MIN(MAX(J1324/K1324,0),1.0))),"") </f>
        <v/>
      </c>
      <c r="M1324" s="59">
        <f>IFERROR(IF(OR(J1324=0,K1324=""),"",IF(E1324="Positivo",MAX(K1324/J1324,0),MAX(J1324/K1324,0))),"") </f>
        <v/>
      </c>
      <c r="P1324" t="n">
        <v>0</v>
      </c>
      <c r="Q1324" t="n">
        <v>0</v>
      </c>
      <c r="R1324" t="inlineStr">
        <is>
          <t>418-2023-03-31</t>
        </is>
      </c>
    </row>
    <row r="1325">
      <c r="A1325" t="n">
        <v>418</v>
      </c>
      <c r="B1325" t="inlineStr">
        <is>
          <t>Cumplimiento Plan Anual Vicerrectoría Académica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48" t="n">
        <v>45107</v>
      </c>
      <c r="G1325" t="n">
        <v>2023</v>
      </c>
      <c r="H1325" t="inlineStr">
        <is>
          <t>Junio</t>
        </is>
      </c>
      <c r="I1325" t="inlineStr">
        <is>
          <t>2023-1</t>
        </is>
      </c>
      <c r="J1325" t="n">
        <v>100</v>
      </c>
      <c r="K1325" t="n">
        <v>104.35666666667</v>
      </c>
      <c r="L1325" s="59">
        <f>IFERROR(IF(OR(J1325=0,K1325=""),"",IF(E1325="Positivo",MIN(MAX(K1325/J1325,0),1.0),MIN(MAX(J1325/K1325,0),1.0))),"") </f>
        <v/>
      </c>
      <c r="M1325" s="59">
        <f>IFERROR(IF(OR(J1325=0,K1325=""),"",IF(E1325="Positivo",MAX(K1325/J1325,0),MAX(J1325/K1325,0))),"") </f>
        <v/>
      </c>
      <c r="P1325" t="n">
        <v>0</v>
      </c>
      <c r="Q1325" t="n">
        <v>0</v>
      </c>
      <c r="R1325" t="inlineStr">
        <is>
          <t>418-2023-06-30</t>
        </is>
      </c>
    </row>
    <row r="1326">
      <c r="A1326" t="n">
        <v>418</v>
      </c>
      <c r="B1326" t="inlineStr">
        <is>
          <t>Cumplimiento Plan Anual Vicerrectoría Académica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48" t="n">
        <v>45199</v>
      </c>
      <c r="G1326" t="n">
        <v>2023</v>
      </c>
      <c r="H1326" t="inlineStr">
        <is>
          <t>Septiembre</t>
        </is>
      </c>
      <c r="I1326" t="inlineStr">
        <is>
          <t>2023-2</t>
        </is>
      </c>
      <c r="J1326" t="n">
        <v>100</v>
      </c>
      <c r="K1326" t="n">
        <v>85.611111111111</v>
      </c>
      <c r="L1326" s="59">
        <f>IFERROR(IF(OR(J1326=0,K1326=""),"",IF(E1326="Positivo",MIN(MAX(K1326/J1326,0),1.0),MIN(MAX(J1326/K1326,0),1.0))),"") </f>
        <v/>
      </c>
      <c r="M1326" s="59">
        <f>IFERROR(IF(OR(J1326=0,K1326=""),"",IF(E1326="Positivo",MAX(K1326/J1326,0),MAX(J1326/K1326,0))),"") </f>
        <v/>
      </c>
      <c r="P1326" t="n">
        <v>0</v>
      </c>
      <c r="Q1326" t="n">
        <v>0</v>
      </c>
      <c r="R1326" t="inlineStr">
        <is>
          <t>418-2023-09-30</t>
        </is>
      </c>
    </row>
    <row r="1327">
      <c r="A1327" t="n">
        <v>418</v>
      </c>
      <c r="B1327" t="inlineStr">
        <is>
          <t>Cumplimiento Plan Anual Vicerrectoría Académica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48" t="n">
        <v>45291</v>
      </c>
      <c r="G1327" t="n">
        <v>2023</v>
      </c>
      <c r="H1327" t="inlineStr">
        <is>
          <t>Diciembre</t>
        </is>
      </c>
      <c r="I1327" t="inlineStr">
        <is>
          <t>2023-2</t>
        </is>
      </c>
      <c r="J1327" t="n">
        <v>100</v>
      </c>
      <c r="K1327" t="n">
        <v>95.802222222222</v>
      </c>
      <c r="L1327" s="59">
        <f>IFERROR(IF(OR(J1327=0,K1327=""),"",IF(E1327="Positivo",MIN(MAX(K1327/J1327,0),1.0),MIN(MAX(J1327/K1327,0),1.0))),"") </f>
        <v/>
      </c>
      <c r="M1327" s="59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418-2023-12-31</t>
        </is>
      </c>
    </row>
    <row r="1328">
      <c r="A1328" t="n">
        <v>418</v>
      </c>
      <c r="B1328" t="inlineStr">
        <is>
          <t>Cumplimiento Plan Anual Vicerrectoría Académica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48" t="n">
        <v>45473</v>
      </c>
      <c r="G1328" t="n">
        <v>2024</v>
      </c>
      <c r="H1328" t="inlineStr">
        <is>
          <t>Junio</t>
        </is>
      </c>
      <c r="I1328" t="inlineStr">
        <is>
          <t>2024-1</t>
        </is>
      </c>
      <c r="J1328" t="n">
        <v>100</v>
      </c>
      <c r="K1328" t="n">
        <v>100.79</v>
      </c>
      <c r="L1328" s="59">
        <f>IFERROR(IF(OR(J1328=0,K1328=""),"",IF(E1328="Positivo",MIN(MAX(K1328/J1328,0),1.0),MIN(MAX(J1328/K1328,0),1.0))),"") </f>
        <v/>
      </c>
      <c r="M1328" s="59">
        <f>IFERROR(IF(OR(J1328=0,K1328=""),"",IF(E1328="Positivo",MAX(K1328/J1328,0),MAX(J1328/K1328,0))),"") </f>
        <v/>
      </c>
      <c r="P1328" t="n">
        <v>0</v>
      </c>
      <c r="Q1328" t="n">
        <v>0</v>
      </c>
      <c r="R1328" t="inlineStr">
        <is>
          <t>418-2024-06-30</t>
        </is>
      </c>
    </row>
    <row r="1329">
      <c r="A1329" t="n">
        <v>418</v>
      </c>
      <c r="B1329" t="inlineStr">
        <is>
          <t>Cumplimiento Plan Anual Vicerrectoría Académica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48" t="n">
        <v>45657</v>
      </c>
      <c r="G1329" t="n">
        <v>2024</v>
      </c>
      <c r="H1329" t="inlineStr">
        <is>
          <t>Diciembre</t>
        </is>
      </c>
      <c r="I1329" t="inlineStr">
        <is>
          <t>2024-2</t>
        </is>
      </c>
      <c r="J1329" t="n">
        <v>100</v>
      </c>
      <c r="K1329" t="n">
        <v>97.78</v>
      </c>
      <c r="L1329" s="59">
        <f>IFERROR(IF(OR(J1329=0,K1329=""),"",IF(E1329="Positivo",MIN(MAX(K1329/J1329,0),1.0),MIN(MAX(J1329/K1329,0),1.0))),"") </f>
        <v/>
      </c>
      <c r="M1329" s="59">
        <f>IFERROR(IF(OR(J1329=0,K1329=""),"",IF(E1329="Positivo",MAX(K1329/J1329,0),MAX(J1329/K1329,0))),"") </f>
        <v/>
      </c>
      <c r="P1329" t="n">
        <v>0</v>
      </c>
      <c r="Q1329" t="n">
        <v>0</v>
      </c>
      <c r="R1329" t="inlineStr">
        <is>
          <t>418-2024-12-31</t>
        </is>
      </c>
    </row>
    <row r="1330">
      <c r="A1330" t="n">
        <v>418</v>
      </c>
      <c r="B1330" t="inlineStr">
        <is>
          <t>Cumplimiento Plan Anual Vicerrectoría Académica</t>
        </is>
      </c>
      <c r="C1330" t="inlineStr">
        <is>
          <t>Planeación Estratégica</t>
        </is>
      </c>
      <c r="D1330" t="inlineStr">
        <is>
          <t>Semestral</t>
        </is>
      </c>
      <c r="E1330" t="inlineStr">
        <is>
          <t>Positivo</t>
        </is>
      </c>
      <c r="F1330" s="148" t="n">
        <v>45838</v>
      </c>
      <c r="G1330" t="n">
        <v>2025</v>
      </c>
      <c r="H1330" t="inlineStr">
        <is>
          <t>Junio</t>
        </is>
      </c>
      <c r="I1330" t="inlineStr">
        <is>
          <t>2025-1</t>
        </is>
      </c>
      <c r="J1330" t="n">
        <v>100</v>
      </c>
      <c r="K1330" t="n">
        <v>105.83</v>
      </c>
      <c r="L1330" s="59">
        <f>IFERROR(IF(OR(J1330=0,K1330=""),"",IF(E1330="Positivo",MIN(MAX(K1330/J1330,0),1.0),MIN(MAX(J1330/K1330,0),1.0))),"") </f>
        <v/>
      </c>
      <c r="M1330" s="59">
        <f>IFERROR(IF(OR(J1330=0,K1330=""),"",IF(E1330="Positivo",MAX(K1330/J1330,0),MAX(J1330/K1330,0))),"") </f>
        <v/>
      </c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418-2025-06-30</t>
        </is>
      </c>
    </row>
    <row r="1331">
      <c r="A1331" t="n">
        <v>418</v>
      </c>
      <c r="B1331" t="inlineStr">
        <is>
          <t>Cumplimiento Plan Anual Vicerrectoría Académica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148" t="n">
        <v>46022</v>
      </c>
      <c r="G1331" t="n">
        <v>2025</v>
      </c>
      <c r="H1331" t="inlineStr">
        <is>
          <t>Diciembre</t>
        </is>
      </c>
      <c r="I1331" t="inlineStr">
        <is>
          <t>2025-2</t>
        </is>
      </c>
      <c r="J1331" t="n">
        <v>100</v>
      </c>
      <c r="K1331" t="n">
        <v>99.61</v>
      </c>
      <c r="L1331" s="59">
        <f>IFERROR(IF(OR(J1331=0,K1331=""),"",IF(E1331="Positivo",MIN(MAX(K1331/J1331,0),1.0),MIN(MAX(J1331/K1331,0),1.0))),"") </f>
        <v/>
      </c>
      <c r="M1331" s="59">
        <f>IFERROR(IF(OR(J1331=0,K1331=""),"",IF(E1331="Positivo",MAX(K1331/J1331,0),MAX(J1331/K1331,0))),"") </f>
        <v/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418-2025-12-31</t>
        </is>
      </c>
    </row>
    <row r="1332">
      <c r="A1332" t="n">
        <v>419</v>
      </c>
      <c r="B1332" t="inlineStr">
        <is>
          <t>Cumplimiento Plan Anual Áreas sede Medellín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48" t="n">
        <v>45016</v>
      </c>
      <c r="G1332" t="n">
        <v>2023</v>
      </c>
      <c r="H1332" t="inlineStr">
        <is>
          <t>Marzo</t>
        </is>
      </c>
      <c r="I1332" t="inlineStr">
        <is>
          <t>2023-1</t>
        </is>
      </c>
      <c r="L1332" s="59" t="n"/>
      <c r="M1332" s="59" t="n"/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419-2023-03-31</t>
        </is>
      </c>
    </row>
    <row r="1333">
      <c r="A1333" t="n">
        <v>419</v>
      </c>
      <c r="B1333" t="inlineStr">
        <is>
          <t>Cumplimiento Plan Anual Áreas sede Medellín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48" t="n">
        <v>45107</v>
      </c>
      <c r="G1333" t="n">
        <v>2023</v>
      </c>
      <c r="H1333" t="inlineStr">
        <is>
          <t>Junio</t>
        </is>
      </c>
      <c r="I1333" t="inlineStr">
        <is>
          <t>2023-1</t>
        </is>
      </c>
      <c r="J1333" t="n">
        <v>100</v>
      </c>
      <c r="K1333" t="n">
        <v>108.3</v>
      </c>
      <c r="L1333" s="59">
        <f>IFERROR(IF(OR(J1333=0,K1333=""),"",IF(E1333="Positivo",MIN(MAX(K1333/J1333,0),1.3),MIN(MAX(J1333/K1333,0),1.3))),"") </f>
        <v/>
      </c>
      <c r="M1333" s="59">
        <f>IFERROR(IF(OR(J1333=0,K1333=""),"",IF(E1333="Positivo",MAX(K1333/J1333,0),MAX(J1333/K1333,0))),"") </f>
        <v/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419-2023-06-30</t>
        </is>
      </c>
    </row>
    <row r="1334">
      <c r="A1334" t="n">
        <v>419</v>
      </c>
      <c r="B1334" t="inlineStr">
        <is>
          <t>Cumplimiento Plan Anual Áreas sede Medellín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48" t="n">
        <v>45199</v>
      </c>
      <c r="G1334" t="n">
        <v>2023</v>
      </c>
      <c r="H1334" t="inlineStr">
        <is>
          <t>Septiembre</t>
        </is>
      </c>
      <c r="I1334" t="inlineStr">
        <is>
          <t>2023-2</t>
        </is>
      </c>
      <c r="J1334" t="n">
        <v>100</v>
      </c>
      <c r="K1334" t="n">
        <v>88.34999999999999</v>
      </c>
      <c r="L1334" s="59">
        <f>IFERROR(IF(OR(J1334=0,K1334=""),"",IF(E1334="Positivo",MIN(MAX(K1334/J1334,0),1.3),MIN(MAX(J1334/K1334,0),1.3))),"") </f>
        <v/>
      </c>
      <c r="M1334" s="59">
        <f>IFERROR(IF(OR(J1334=0,K1334=""),"",IF(E1334="Positivo",MAX(K1334/J1334,0),MAX(J1334/K1334,0))),"") </f>
        <v/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419-2023-09-30</t>
        </is>
      </c>
    </row>
    <row r="1335">
      <c r="A1335" t="n">
        <v>419</v>
      </c>
      <c r="B1335" t="inlineStr">
        <is>
          <t>Cumplimiento Plan Anual Áreas sede Medellín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48" t="n">
        <v>45291</v>
      </c>
      <c r="G1335" t="n">
        <v>2023</v>
      </c>
      <c r="H1335" t="inlineStr">
        <is>
          <t>Diciembre</t>
        </is>
      </c>
      <c r="I1335" t="inlineStr">
        <is>
          <t>2023-2</t>
        </is>
      </c>
      <c r="J1335" t="n">
        <v>100</v>
      </c>
      <c r="K1335" t="n">
        <v>93.56</v>
      </c>
      <c r="L1335" s="59">
        <f>IFERROR(IF(OR(J1335=0,K1335=""),"",IF(E1335="Positivo",MIN(MAX(K1335/J1335,0),1.3),MIN(MAX(J1335/K1335,0),1.3))),"") </f>
        <v/>
      </c>
      <c r="M1335" s="59">
        <f>IFERROR(IF(OR(J1335=0,K1335=""),"",IF(E1335="Positivo",MAX(K1335/J1335,0),MAX(J1335/K1335,0))),"") </f>
        <v/>
      </c>
      <c r="N1335" t="inlineStr">
        <is>
          <t>%</t>
        </is>
      </c>
      <c r="O1335" t="inlineStr">
        <is>
          <t>%</t>
        </is>
      </c>
      <c r="P1335" t="n">
        <v>0</v>
      </c>
      <c r="Q1335" t="n">
        <v>0</v>
      </c>
      <c r="R1335" t="inlineStr">
        <is>
          <t>419-2023-12-31</t>
        </is>
      </c>
    </row>
    <row r="1336">
      <c r="A1336" t="n">
        <v>420</v>
      </c>
      <c r="B1336" t="inlineStr">
        <is>
          <t>Cumplimiento Plan Anual Gerencia de estrategia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48" t="n">
        <v>45016</v>
      </c>
      <c r="G1336" t="n">
        <v>2023</v>
      </c>
      <c r="H1336" t="inlineStr">
        <is>
          <t>Marzo</t>
        </is>
      </c>
      <c r="I1336" t="inlineStr">
        <is>
          <t>2023-1</t>
        </is>
      </c>
      <c r="J1336" t="n">
        <v>100</v>
      </c>
      <c r="K1336" t="n">
        <v>0</v>
      </c>
      <c r="L1336" s="59">
        <f>IFERROR(IF(OR(J1336=0,K1336=""),"",IF(E1336="Positivo",MIN(MAX(K1336/J1336,0),1.0),MIN(MAX(J1336/K1336,0),1.0))),"") </f>
        <v/>
      </c>
      <c r="M1336" s="59">
        <f>IFERROR(IF(OR(J1336=0,K1336=""),"",IF(E1336="Positivo",MAX(K1336/J1336,0),MAX(J1336/K1336,0))),"") </f>
        <v/>
      </c>
      <c r="N1336" t="inlineStr">
        <is>
          <t>%</t>
        </is>
      </c>
      <c r="O1336" t="inlineStr">
        <is>
          <t>%</t>
        </is>
      </c>
      <c r="P1336" t="n">
        <v>0</v>
      </c>
      <c r="Q1336" t="n">
        <v>0</v>
      </c>
      <c r="R1336" t="inlineStr">
        <is>
          <t>420-2023-03-31</t>
        </is>
      </c>
    </row>
    <row r="1337">
      <c r="A1337" t="n">
        <v>420</v>
      </c>
      <c r="B1337" t="inlineStr">
        <is>
          <t>Cumplimiento Plan Anual Gerencia de estrategia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48" t="n">
        <v>45107</v>
      </c>
      <c r="G1337" t="n">
        <v>2023</v>
      </c>
      <c r="H1337" t="inlineStr">
        <is>
          <t>Junio</t>
        </is>
      </c>
      <c r="I1337" t="inlineStr">
        <is>
          <t>2023-1</t>
        </is>
      </c>
      <c r="J1337" t="n">
        <v>100</v>
      </c>
      <c r="K1337" t="n">
        <v>106.53</v>
      </c>
      <c r="L1337" s="59">
        <f>IFERROR(IF(OR(J1337=0,K1337=""),"",IF(E1337="Positivo",MIN(MAX(K1337/J1337,0),1.0),MIN(MAX(J1337/K1337,0),1.0))),"") </f>
        <v/>
      </c>
      <c r="M1337" s="59">
        <f>IFERROR(IF(OR(J1337=0,K1337=""),"",IF(E1337="Positivo",MAX(K1337/J1337,0),MAX(J1337/K1337,0))),"") </f>
        <v/>
      </c>
      <c r="N1337" t="inlineStr">
        <is>
          <t>%</t>
        </is>
      </c>
      <c r="O1337" t="inlineStr">
        <is>
          <t>%</t>
        </is>
      </c>
      <c r="P1337" t="n">
        <v>0</v>
      </c>
      <c r="Q1337" t="n">
        <v>0</v>
      </c>
      <c r="R1337" t="inlineStr">
        <is>
          <t>420-2023-06-30</t>
        </is>
      </c>
    </row>
    <row r="1338">
      <c r="A1338" t="n">
        <v>420</v>
      </c>
      <c r="B1338" t="inlineStr">
        <is>
          <t>Cumplimiento Plan Anual Gerencia de estrategia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48" t="n">
        <v>45199</v>
      </c>
      <c r="G1338" t="n">
        <v>2023</v>
      </c>
      <c r="H1338" t="inlineStr">
        <is>
          <t>Septiembre</t>
        </is>
      </c>
      <c r="I1338" t="inlineStr">
        <is>
          <t>2023-2</t>
        </is>
      </c>
      <c r="J1338" t="n">
        <v>100</v>
      </c>
      <c r="K1338" t="n">
        <v>94.69</v>
      </c>
      <c r="L1338" s="59">
        <f>IFERROR(IF(OR(J1338=0,K1338=""),"",IF(E1338="Positivo",MIN(MAX(K1338/J1338,0),1.0),MIN(MAX(J1338/K1338,0),1.0))),"") </f>
        <v/>
      </c>
      <c r="M1338" s="59">
        <f>IFERROR(IF(OR(J1338=0,K1338=""),"",IF(E1338="Positivo",MAX(K1338/J1338,0),MAX(J1338/K1338,0))),"") </f>
        <v/>
      </c>
      <c r="N1338" t="inlineStr">
        <is>
          <t>%</t>
        </is>
      </c>
      <c r="O1338" t="inlineStr">
        <is>
          <t>%</t>
        </is>
      </c>
      <c r="P1338" t="n">
        <v>0</v>
      </c>
      <c r="Q1338" t="n">
        <v>0</v>
      </c>
      <c r="R1338" t="inlineStr">
        <is>
          <t>420-2023-09-30</t>
        </is>
      </c>
    </row>
    <row r="1339">
      <c r="A1339" t="n">
        <v>420</v>
      </c>
      <c r="B1339" t="inlineStr">
        <is>
          <t>Cumplimiento Plan Anual Gerencia de estrategia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48" t="n">
        <v>45291</v>
      </c>
      <c r="G1339" t="n">
        <v>2023</v>
      </c>
      <c r="H1339" t="inlineStr">
        <is>
          <t>Diciembre</t>
        </is>
      </c>
      <c r="I1339" t="inlineStr">
        <is>
          <t>2023-2</t>
        </is>
      </c>
      <c r="J1339" t="n">
        <v>100</v>
      </c>
      <c r="K1339" t="n">
        <v>100</v>
      </c>
      <c r="L1339" s="59">
        <f>IFERROR(IF(OR(J1339=0,K1339=""),"",IF(E1339="Positivo",MIN(MAX(K1339/J1339,0),1.0),MIN(MAX(J1339/K1339,0),1.0))),"") </f>
        <v/>
      </c>
      <c r="M1339" s="59">
        <f>IFERROR(IF(OR(J1339=0,K1339=""),"",IF(E1339="Positivo",MAX(K1339/J1339,0),MAX(J1339/K1339,0))),"") </f>
        <v/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420-2023-12-31</t>
        </is>
      </c>
    </row>
    <row r="1340">
      <c r="A1340" t="n">
        <v>420</v>
      </c>
      <c r="B1340" t="inlineStr">
        <is>
          <t>Cumplimiento Plan Anual Gerencia de estrategia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148" t="n">
        <v>45473</v>
      </c>
      <c r="G1340" t="n">
        <v>2024</v>
      </c>
      <c r="H1340" t="inlineStr">
        <is>
          <t>Junio</t>
        </is>
      </c>
      <c r="I1340" t="inlineStr">
        <is>
          <t>2024-1</t>
        </is>
      </c>
      <c r="J1340" t="n">
        <v>100</v>
      </c>
      <c r="K1340" t="n">
        <v>89.33</v>
      </c>
      <c r="L1340" s="59">
        <f>IFERROR(IF(OR(J1340=0,K1340=""),"",IF(E1340="Positivo",MIN(MAX(K1340/J1340,0),1.0),MIN(MAX(J1340/K1340,0),1.0))),"") </f>
        <v/>
      </c>
      <c r="M1340" s="59">
        <f>IFERROR(IF(OR(J1340=0,K1340=""),"",IF(E1340="Positivo",MAX(K1340/J1340,0),MAX(J1340/K1340,0))),"") </f>
        <v/>
      </c>
      <c r="P1340" t="n">
        <v>0</v>
      </c>
      <c r="Q1340" t="n">
        <v>0</v>
      </c>
      <c r="R1340" t="inlineStr">
        <is>
          <t>420-2024-06-30</t>
        </is>
      </c>
    </row>
    <row r="1341">
      <c r="A1341" t="n">
        <v>420</v>
      </c>
      <c r="B1341" t="inlineStr">
        <is>
          <t>Cumplimiento Plan Anual Gerencia de estrategia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148" t="n">
        <v>45657</v>
      </c>
      <c r="G1341" t="n">
        <v>2024</v>
      </c>
      <c r="H1341" t="inlineStr">
        <is>
          <t>Diciembre</t>
        </is>
      </c>
      <c r="I1341" t="inlineStr">
        <is>
          <t>2024-2</t>
        </is>
      </c>
      <c r="J1341" t="n">
        <v>100</v>
      </c>
      <c r="K1341" t="n">
        <v>96.67</v>
      </c>
      <c r="L1341" s="59">
        <f>IFERROR(IF(OR(J1341=0,K1341=""),"",IF(E1341="Positivo",MIN(MAX(K1341/J1341,0),1.0),MIN(MAX(J1341/K1341,0),1.0))),"") </f>
        <v/>
      </c>
      <c r="M1341" s="59">
        <f>IFERROR(IF(OR(J1341=0,K1341=""),"",IF(E1341="Positivo",MAX(K1341/J1341,0),MAX(J1341/K1341,0))),"") </f>
        <v/>
      </c>
      <c r="P1341" t="n">
        <v>0</v>
      </c>
      <c r="Q1341" t="n">
        <v>0</v>
      </c>
      <c r="R1341" t="inlineStr">
        <is>
          <t>420-2024-12-31</t>
        </is>
      </c>
    </row>
    <row r="1342">
      <c r="A1342" t="n">
        <v>420</v>
      </c>
      <c r="B1342" t="inlineStr">
        <is>
          <t>Cumplimiento Plan Anual Gerencia de estrategia</t>
        </is>
      </c>
      <c r="C1342" t="inlineStr">
        <is>
          <t>Planeación Estratégica</t>
        </is>
      </c>
      <c r="D1342" t="inlineStr">
        <is>
          <t>Semestral</t>
        </is>
      </c>
      <c r="E1342" t="inlineStr">
        <is>
          <t>Positivo</t>
        </is>
      </c>
      <c r="F1342" s="148" t="n">
        <v>45838</v>
      </c>
      <c r="G1342" t="n">
        <v>2025</v>
      </c>
      <c r="H1342" t="inlineStr">
        <is>
          <t>Junio</t>
        </is>
      </c>
      <c r="I1342" t="inlineStr">
        <is>
          <t>2025-1</t>
        </is>
      </c>
      <c r="J1342" t="n">
        <v>100</v>
      </c>
      <c r="K1342" t="n">
        <v>108.52</v>
      </c>
      <c r="L1342" s="59">
        <f>IFERROR(IF(OR(J1342=0,K1342=""),"",IF(E1342="Positivo",MIN(MAX(K1342/J1342,0),1.0),MIN(MAX(J1342/K1342,0),1.0))),"") </f>
        <v/>
      </c>
      <c r="M1342" s="59">
        <f>IFERROR(IF(OR(J1342=0,K1342=""),"",IF(E1342="Positivo",MAX(K1342/J1342,0),MAX(J1342/K1342,0))),"") </f>
        <v/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420-2025-06-30</t>
        </is>
      </c>
    </row>
    <row r="1343">
      <c r="A1343" t="n">
        <v>420</v>
      </c>
      <c r="B1343" t="inlineStr">
        <is>
          <t>Cumplimiento Plan Anual Gerencia de estrategia</t>
        </is>
      </c>
      <c r="C1343" t="inlineStr">
        <is>
          <t>Planeación Estratégica</t>
        </is>
      </c>
      <c r="D1343" t="inlineStr">
        <is>
          <t>Semestral</t>
        </is>
      </c>
      <c r="E1343" t="inlineStr">
        <is>
          <t>Positivo</t>
        </is>
      </c>
      <c r="F1343" s="148" t="n">
        <v>46022</v>
      </c>
      <c r="G1343" t="n">
        <v>2025</v>
      </c>
      <c r="H1343" t="inlineStr">
        <is>
          <t>Diciembre</t>
        </is>
      </c>
      <c r="I1343" t="inlineStr">
        <is>
          <t>2025-2</t>
        </is>
      </c>
      <c r="J1343" t="n">
        <v>100</v>
      </c>
      <c r="K1343" t="n">
        <v>100</v>
      </c>
      <c r="L1343" s="59">
        <f>IFERROR(IF(OR(J1343=0,K1343=""),"",IF(E1343="Positivo",MIN(MAX(K1343/J1343,0),1.0),MIN(MAX(J1343/K1343,0),1.0))),"") </f>
        <v/>
      </c>
      <c r="M1343" s="59">
        <f>IFERROR(IF(OR(J1343=0,K1343=""),"",IF(E1343="Positivo",MAX(K1343/J1343,0),MAX(J1343/K1343,0))),"") </f>
        <v/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420-2025-12-31</t>
        </is>
      </c>
    </row>
    <row r="1344">
      <c r="A1344" t="n">
        <v>421</v>
      </c>
      <c r="B1344" t="inlineStr">
        <is>
          <t>Total Leads por canales de captación</t>
        </is>
      </c>
      <c r="C1344" t="inlineStr">
        <is>
          <t>Mercadeo de programas académicos</t>
        </is>
      </c>
      <c r="D1344" t="inlineStr">
        <is>
          <t>Semestral</t>
        </is>
      </c>
      <c r="E1344" t="inlineStr">
        <is>
          <t>Positivo</t>
        </is>
      </c>
      <c r="F1344" s="148" t="n">
        <v>45107</v>
      </c>
      <c r="G1344" t="n">
        <v>2023</v>
      </c>
      <c r="H1344" t="inlineStr">
        <is>
          <t>Junio</t>
        </is>
      </c>
      <c r="I1344" t="inlineStr">
        <is>
          <t>2023-1</t>
        </is>
      </c>
      <c r="J1344" t="n">
        <v>104072</v>
      </c>
      <c r="K1344" t="n">
        <v>140002</v>
      </c>
      <c r="L1344" s="59">
        <f>IFERROR(IF(OR(J1344=0,K1344=""),"",IF(E1344="Positivo",MIN(MAX(K1344/J1344,0),1.3),MIN(MAX(J1344/K1344,0),1.3))),"") </f>
        <v/>
      </c>
      <c r="M1344" s="59">
        <f>IFERROR(IF(OR(J1344=0,K1344=""),"",IF(E1344="Positivo",MAX(K1344/J1344,0),MAX(J1344/K1344,0))),"") </f>
        <v/>
      </c>
      <c r="P1344" t="n">
        <v>0</v>
      </c>
      <c r="Q1344" t="n">
        <v>0</v>
      </c>
      <c r="R1344" t="inlineStr">
        <is>
          <t>421-2023-06-30</t>
        </is>
      </c>
    </row>
    <row r="1345">
      <c r="A1345" t="n">
        <v>421</v>
      </c>
      <c r="B1345" t="inlineStr">
        <is>
          <t>Total Leads por canales de captación</t>
        </is>
      </c>
      <c r="C1345" t="inlineStr">
        <is>
          <t>Mercadeo de programas académicos</t>
        </is>
      </c>
      <c r="D1345" t="inlineStr">
        <is>
          <t>Semestral</t>
        </is>
      </c>
      <c r="E1345" t="inlineStr">
        <is>
          <t>Positivo</t>
        </is>
      </c>
      <c r="F1345" s="148" t="n">
        <v>45291</v>
      </c>
      <c r="G1345" t="n">
        <v>2023</v>
      </c>
      <c r="H1345" t="inlineStr">
        <is>
          <t>Diciembre</t>
        </is>
      </c>
      <c r="I1345" t="inlineStr">
        <is>
          <t>2023-2</t>
        </is>
      </c>
      <c r="J1345" t="n">
        <v>97200</v>
      </c>
      <c r="K1345" t="n">
        <v>136199</v>
      </c>
      <c r="L1345" s="59">
        <f>IFERROR(IF(OR(J1345=0,K1345=""),"",IF(E1345="Positivo",MIN(MAX(K1345/J1345,0),1.3),MIN(MAX(J1345/K1345,0),1.3))),"") </f>
        <v/>
      </c>
      <c r="M1345" s="59">
        <f>IFERROR(IF(OR(J1345=0,K1345=""),"",IF(E1345="Positivo",MAX(K1345/J1345,0),MAX(J1345/K1345,0))),"") </f>
        <v/>
      </c>
      <c r="P1345" t="n">
        <v>0</v>
      </c>
      <c r="Q1345" t="n">
        <v>0</v>
      </c>
      <c r="R1345" t="inlineStr">
        <is>
          <t>421-2023-12-31</t>
        </is>
      </c>
    </row>
    <row r="1346">
      <c r="A1346" t="n">
        <v>421</v>
      </c>
      <c r="B1346" t="inlineStr">
        <is>
          <t>Total Leads por canales de captación</t>
        </is>
      </c>
      <c r="C1346" t="inlineStr">
        <is>
          <t>Mercadeo de programas académicos</t>
        </is>
      </c>
      <c r="D1346" t="inlineStr">
        <is>
          <t>Semestral</t>
        </is>
      </c>
      <c r="E1346" t="inlineStr">
        <is>
          <t>Positivo</t>
        </is>
      </c>
      <c r="F1346" s="148" t="n">
        <v>45473</v>
      </c>
      <c r="G1346" t="n">
        <v>2024</v>
      </c>
      <c r="H1346" t="inlineStr">
        <is>
          <t>Junio</t>
        </is>
      </c>
      <c r="I1346" t="inlineStr">
        <is>
          <t>2024-1</t>
        </is>
      </c>
      <c r="J1346" t="n">
        <v>147043</v>
      </c>
      <c r="K1346" t="n">
        <v>177740</v>
      </c>
      <c r="L1346" s="59">
        <f>IFERROR(IF(OR(J1346=0,K1346=""),"",IF(E1346="Positivo",MIN(MAX(K1346/J1346,0),1.3),MIN(MAX(J1346/K1346,0),1.3))),"") </f>
        <v/>
      </c>
      <c r="M1346" s="59">
        <f>IFERROR(IF(OR(J1346=0,K1346=""),"",IF(E1346="Positivo",MAX(K1346/J1346,0),MAX(J1346/K1346,0))),"") </f>
        <v/>
      </c>
      <c r="P1346" t="n">
        <v>0</v>
      </c>
      <c r="Q1346" t="n">
        <v>0</v>
      </c>
      <c r="R1346" t="inlineStr">
        <is>
          <t>421-2024-06-30</t>
        </is>
      </c>
    </row>
    <row r="1347">
      <c r="A1347" t="n">
        <v>421</v>
      </c>
      <c r="B1347" t="inlineStr">
        <is>
          <t>Total Leads por canales de captación</t>
        </is>
      </c>
      <c r="C1347" t="inlineStr">
        <is>
          <t>Mercadeo de programas académicos</t>
        </is>
      </c>
      <c r="D1347" t="inlineStr">
        <is>
          <t>Semestral</t>
        </is>
      </c>
      <c r="E1347" t="inlineStr">
        <is>
          <t>Positivo</t>
        </is>
      </c>
      <c r="F1347" s="148" t="n">
        <v>45657</v>
      </c>
      <c r="G1347" t="n">
        <v>2024</v>
      </c>
      <c r="H1347" t="inlineStr">
        <is>
          <t>Diciembre</t>
        </is>
      </c>
      <c r="I1347" t="inlineStr">
        <is>
          <t>2024-2</t>
        </is>
      </c>
      <c r="J1347" t="n">
        <v>100</v>
      </c>
      <c r="K1347" t="n">
        <v>121.44</v>
      </c>
      <c r="L1347" s="59">
        <f>IFERROR(IF(OR(J1347=0,K1347=""),"",IF(E1347="Positivo",MIN(MAX(K1347/J1347,0),1.3),MIN(MAX(J1347/K1347,0),1.3))),"") </f>
        <v/>
      </c>
      <c r="M1347" s="59">
        <f>IFERROR(IF(OR(J1347=0,K1347=""),"",IF(E1347="Positivo",MAX(K1347/J1347,0),MAX(J1347/K1347,0))),"") </f>
        <v/>
      </c>
      <c r="P1347" t="n">
        <v>0</v>
      </c>
      <c r="Q1347" t="n">
        <v>0</v>
      </c>
      <c r="R1347" t="inlineStr">
        <is>
          <t>421-2024-12-31</t>
        </is>
      </c>
    </row>
    <row r="1348">
      <c r="A1348" t="n">
        <v>422</v>
      </c>
      <c r="B1348" t="inlineStr">
        <is>
          <t>Total conversión</t>
        </is>
      </c>
      <c r="C1348" t="inlineStr">
        <is>
          <t>Mercadeo de programas académicos</t>
        </is>
      </c>
      <c r="D1348" t="inlineStr">
        <is>
          <t>Semestral</t>
        </is>
      </c>
      <c r="E1348" t="inlineStr">
        <is>
          <t>Positivo</t>
        </is>
      </c>
      <c r="F1348" s="148" t="n">
        <v>45107</v>
      </c>
      <c r="G1348" t="n">
        <v>2023</v>
      </c>
      <c r="H1348" t="inlineStr">
        <is>
          <t>Junio</t>
        </is>
      </c>
      <c r="I1348" t="inlineStr">
        <is>
          <t>2023-1</t>
        </is>
      </c>
      <c r="J1348" t="n">
        <v>11.7</v>
      </c>
      <c r="K1348" t="n">
        <v>11.973211368834</v>
      </c>
      <c r="L1348" s="59">
        <f>IFERROR(IF(OR(J1348=0,K1348=""),"",IF(E1348="Positivo",MIN(MAX(K1348/J1348,0),1.3),MIN(MAX(J1348/K1348,0),1.3))),"") </f>
        <v/>
      </c>
      <c r="M1348" s="59">
        <f>IFERROR(IF(OR(J1348=0,K1348=""),"",IF(E1348="Positivo",MAX(K1348/J1348,0),MAX(J1348/K1348,0))),"") </f>
        <v/>
      </c>
      <c r="N1348" t="inlineStr">
        <is>
          <t>%</t>
        </is>
      </c>
      <c r="O1348" t="inlineStr">
        <is>
          <t>%</t>
        </is>
      </c>
      <c r="P1348" t="n">
        <v>2</v>
      </c>
      <c r="Q1348" t="n">
        <v>2</v>
      </c>
      <c r="R1348" t="inlineStr">
        <is>
          <t>422-2023-06-30</t>
        </is>
      </c>
    </row>
    <row r="1349">
      <c r="A1349" t="n">
        <v>422</v>
      </c>
      <c r="B1349" t="inlineStr">
        <is>
          <t>Total conversión</t>
        </is>
      </c>
      <c r="C1349" t="inlineStr">
        <is>
          <t>Mercadeo de programas académicos</t>
        </is>
      </c>
      <c r="D1349" t="inlineStr">
        <is>
          <t>Semestral</t>
        </is>
      </c>
      <c r="E1349" t="inlineStr">
        <is>
          <t>Positivo</t>
        </is>
      </c>
      <c r="F1349" s="148" t="n">
        <v>45291</v>
      </c>
      <c r="G1349" t="n">
        <v>2023</v>
      </c>
      <c r="H1349" t="inlineStr">
        <is>
          <t>Diciembre</t>
        </is>
      </c>
      <c r="I1349" t="inlineStr">
        <is>
          <t>2023-2</t>
        </is>
      </c>
      <c r="J1349" t="n">
        <v>10.5</v>
      </c>
      <c r="K1349" t="n">
        <v>11.04</v>
      </c>
      <c r="L1349" s="59">
        <f>IFERROR(IF(OR(J1349=0,K1349=""),"",IF(E1349="Positivo",MIN(MAX(K1349/J1349,0),1.3),MIN(MAX(J1349/K1349,0),1.3))),"") </f>
        <v/>
      </c>
      <c r="M1349" s="59">
        <f>IFERROR(IF(OR(J1349=0,K1349=""),"",IF(E1349="Positivo",MAX(K1349/J1349,0),MAX(J1349/K1349,0))),"") </f>
        <v/>
      </c>
      <c r="N1349" t="inlineStr">
        <is>
          <t>%</t>
        </is>
      </c>
      <c r="O1349" t="inlineStr">
        <is>
          <t>%</t>
        </is>
      </c>
      <c r="P1349" t="n">
        <v>2</v>
      </c>
      <c r="Q1349" t="n">
        <v>2</v>
      </c>
      <c r="R1349" t="inlineStr">
        <is>
          <t>422-2023-12-31</t>
        </is>
      </c>
    </row>
    <row r="1350">
      <c r="A1350" t="n">
        <v>422</v>
      </c>
      <c r="B1350" t="inlineStr">
        <is>
          <t>Total conversión</t>
        </is>
      </c>
      <c r="C1350" t="inlineStr">
        <is>
          <t>Mercadeo de programas académicos</t>
        </is>
      </c>
      <c r="D1350" t="inlineStr">
        <is>
          <t>Semestral</t>
        </is>
      </c>
      <c r="E1350" t="inlineStr">
        <is>
          <t>Positivo</t>
        </is>
      </c>
      <c r="F1350" s="148" t="n">
        <v>45473</v>
      </c>
      <c r="G1350" t="n">
        <v>2024</v>
      </c>
      <c r="H1350" t="inlineStr">
        <is>
          <t>Junio</t>
        </is>
      </c>
      <c r="I1350" t="inlineStr">
        <is>
          <t>2024-1</t>
        </is>
      </c>
      <c r="J1350" t="n">
        <v>9.25</v>
      </c>
      <c r="K1350" t="n">
        <v>8.859999999999999</v>
      </c>
      <c r="L1350" s="59">
        <f>IFERROR(IF(OR(J1350=0,K1350=""),"",IF(E1350="Positivo",MIN(MAX(K1350/J1350,0),1.3),MIN(MAX(J1350/K1350,0),1.3))),"") </f>
        <v/>
      </c>
      <c r="M1350" s="59">
        <f>IFERROR(IF(OR(J1350=0,K1350=""),"",IF(E1350="Positivo",MAX(K1350/J1350,0),MAX(J1350/K1350,0))),"") </f>
        <v/>
      </c>
      <c r="P1350" t="n">
        <v>0</v>
      </c>
      <c r="Q1350" t="n">
        <v>0</v>
      </c>
      <c r="R1350" t="inlineStr">
        <is>
          <t>422-2024-06-30</t>
        </is>
      </c>
    </row>
    <row r="1351">
      <c r="A1351" t="n">
        <v>422</v>
      </c>
      <c r="B1351" t="inlineStr">
        <is>
          <t>Total conversión</t>
        </is>
      </c>
      <c r="C1351" t="inlineStr">
        <is>
          <t>Mercadeo de programas académicos</t>
        </is>
      </c>
      <c r="D1351" t="inlineStr">
        <is>
          <t>Semestral</t>
        </is>
      </c>
      <c r="E1351" t="inlineStr">
        <is>
          <t>Positivo</t>
        </is>
      </c>
      <c r="F1351" s="148" t="n">
        <v>45657</v>
      </c>
      <c r="G1351" t="n">
        <v>2024</v>
      </c>
      <c r="H1351" t="inlineStr">
        <is>
          <t>Diciembre</t>
        </is>
      </c>
      <c r="I1351" t="inlineStr">
        <is>
          <t>2024-2</t>
        </is>
      </c>
      <c r="J1351" t="n">
        <v>8.01</v>
      </c>
      <c r="K1351" t="n">
        <v>7.91</v>
      </c>
      <c r="L1351" s="59">
        <f>IFERROR(IF(OR(J1351=0,K1351=""),"",IF(E1351="Positivo",MIN(MAX(K1351/J1351,0),1.3),MIN(MAX(J1351/K1351,0),1.3))),"") </f>
        <v/>
      </c>
      <c r="M1351" s="59">
        <f>IFERROR(IF(OR(J1351=0,K1351=""),"",IF(E1351="Positivo",MAX(K1351/J1351,0),MAX(J1351/K1351,0))),"") </f>
        <v/>
      </c>
      <c r="P1351" t="n">
        <v>0</v>
      </c>
      <c r="Q1351" t="n">
        <v>0</v>
      </c>
      <c r="R1351" t="inlineStr">
        <is>
          <t>422-2024-12-31</t>
        </is>
      </c>
    </row>
    <row r="1352">
      <c r="A1352" t="n">
        <v>422</v>
      </c>
      <c r="B1352" t="inlineStr">
        <is>
          <t>Total conversión</t>
        </is>
      </c>
      <c r="C1352" t="inlineStr">
        <is>
          <t>Mercadeo de programas académicos</t>
        </is>
      </c>
      <c r="D1352" t="inlineStr">
        <is>
          <t>Trimestral</t>
        </is>
      </c>
      <c r="E1352" t="inlineStr">
        <is>
          <t>Positivo</t>
        </is>
      </c>
      <c r="F1352" s="148" t="n">
        <v>45838</v>
      </c>
      <c r="G1352" t="n">
        <v>2025</v>
      </c>
      <c r="H1352" t="inlineStr">
        <is>
          <t>Junio</t>
        </is>
      </c>
      <c r="I1352" t="inlineStr">
        <is>
          <t>2025-1</t>
        </is>
      </c>
      <c r="J1352" t="n">
        <v>7.83</v>
      </c>
      <c r="K1352" t="n">
        <v>8.199999999999999</v>
      </c>
      <c r="L1352" s="59">
        <f>IFERROR(IF(OR(J1352=0,K1352=""),"",IF(E1352="Positivo",MIN(MAX(K1352/J1352,0),1.3),MIN(MAX(J1352/K1352,0),1.3))),"") </f>
        <v/>
      </c>
      <c r="M1352" s="59">
        <f>IFERROR(IF(OR(J1352=0,K1352=""),"",IF(E1352="Positivo",MAX(K1352/J1352,0),MAX(J1352/K1352,0))),"") </f>
        <v/>
      </c>
      <c r="N1352" t="inlineStr">
        <is>
          <t>%</t>
        </is>
      </c>
      <c r="O1352" t="inlineStr">
        <is>
          <t>%</t>
        </is>
      </c>
      <c r="P1352" t="n">
        <v>2</v>
      </c>
      <c r="Q1352" t="n">
        <v>2</v>
      </c>
      <c r="R1352" t="inlineStr">
        <is>
          <t>422-2025-06-30</t>
        </is>
      </c>
    </row>
    <row r="1353">
      <c r="A1353" t="n">
        <v>422</v>
      </c>
      <c r="B1353" t="inlineStr">
        <is>
          <t>Total conversión</t>
        </is>
      </c>
      <c r="C1353" t="inlineStr">
        <is>
          <t>Mercadeo de programas académicos</t>
        </is>
      </c>
      <c r="D1353" t="inlineStr">
        <is>
          <t>Trimestral</t>
        </is>
      </c>
      <c r="E1353" t="inlineStr">
        <is>
          <t>Positivo</t>
        </is>
      </c>
      <c r="F1353" s="148" t="n">
        <v>46022</v>
      </c>
      <c r="G1353" t="n">
        <v>2025</v>
      </c>
      <c r="H1353" t="inlineStr">
        <is>
          <t>Diciembre</t>
        </is>
      </c>
      <c r="I1353" t="inlineStr">
        <is>
          <t>2025-2</t>
        </is>
      </c>
      <c r="J1353" t="n">
        <v>7.68</v>
      </c>
      <c r="K1353" t="n">
        <v>7.87</v>
      </c>
      <c r="L1353" s="59">
        <f>IFERROR(IF(OR(J1353=0,K1353=""),"",IF(E1353="Positivo",MIN(MAX(K1353/J1353,0),1.3),MIN(MAX(J1353/K1353,0),1.3))),"") </f>
        <v/>
      </c>
      <c r="M1353" s="59">
        <f>IFERROR(IF(OR(J1353=0,K1353=""),"",IF(E1353="Positivo",MAX(K1353/J1353,0),MAX(J1353/K1353,0))),"") </f>
        <v/>
      </c>
      <c r="N1353" t="inlineStr">
        <is>
          <t>%</t>
        </is>
      </c>
      <c r="O1353" t="inlineStr">
        <is>
          <t>%</t>
        </is>
      </c>
      <c r="P1353" t="n">
        <v>2</v>
      </c>
      <c r="Q1353" t="n">
        <v>2</v>
      </c>
      <c r="R1353" t="inlineStr">
        <is>
          <t>422-2025-12-31</t>
        </is>
      </c>
    </row>
    <row r="1354">
      <c r="A1354" t="n">
        <v>423</v>
      </c>
      <c r="B1354" t="inlineStr">
        <is>
          <t>Brand equity</t>
        </is>
      </c>
      <c r="C1354" t="inlineStr">
        <is>
          <t>Mercadeo de programas académicos</t>
        </is>
      </c>
      <c r="D1354" t="inlineStr">
        <is>
          <t>Anual</t>
        </is>
      </c>
      <c r="E1354" t="inlineStr">
        <is>
          <t>Positivo</t>
        </is>
      </c>
      <c r="F1354" s="148" t="n">
        <v>45291</v>
      </c>
      <c r="G1354" t="n">
        <v>2023</v>
      </c>
      <c r="H1354" t="inlineStr">
        <is>
          <t>Diciembre</t>
        </is>
      </c>
      <c r="I1354" t="inlineStr">
        <is>
          <t>2023-2</t>
        </is>
      </c>
      <c r="J1354" t="n">
        <v>8.4</v>
      </c>
      <c r="K1354" t="n">
        <v>7.9</v>
      </c>
      <c r="L1354" s="59">
        <f>IFERROR(IF(OR(J1354=0,K1354=""),"",IF(E1354="Positivo",MIN(MAX(K1354/J1354,0),1.3),MIN(MAX(J1354/K1354,0),1.3))),"") </f>
        <v/>
      </c>
      <c r="M1354" s="59">
        <f>IFERROR(IF(OR(J1354=0,K1354=""),"",IF(E1354="Positivo",MAX(K1354/J1354,0),MAX(J1354/K1354,0))),"") </f>
        <v/>
      </c>
      <c r="N1354" t="inlineStr">
        <is>
          <t>DEC</t>
        </is>
      </c>
      <c r="O1354" t="inlineStr">
        <is>
          <t>DEC</t>
        </is>
      </c>
      <c r="P1354" t="n">
        <v>1</v>
      </c>
      <c r="Q1354" t="n">
        <v>1</v>
      </c>
      <c r="R1354" t="inlineStr">
        <is>
          <t>423-2023-12-31</t>
        </is>
      </c>
    </row>
    <row r="1355">
      <c r="A1355" t="n">
        <v>423</v>
      </c>
      <c r="B1355" t="inlineStr">
        <is>
          <t>Brand equity</t>
        </is>
      </c>
      <c r="C1355" t="inlineStr">
        <is>
          <t>Mercadeo de programas académicos</t>
        </is>
      </c>
      <c r="D1355" t="inlineStr">
        <is>
          <t>Anual</t>
        </is>
      </c>
      <c r="E1355" t="inlineStr">
        <is>
          <t>Positivo</t>
        </is>
      </c>
      <c r="F1355" s="148" t="n">
        <v>45657</v>
      </c>
      <c r="G1355" t="n">
        <v>2024</v>
      </c>
      <c r="H1355" t="inlineStr">
        <is>
          <t>Diciembre</t>
        </is>
      </c>
      <c r="I1355" t="inlineStr">
        <is>
          <t>2024-2</t>
        </is>
      </c>
      <c r="J1355" t="n">
        <v>8.300000000000001</v>
      </c>
      <c r="K1355" t="n">
        <v>12.3</v>
      </c>
      <c r="L1355" s="59">
        <f>IFERROR(IF(OR(J1355=0,K1355=""),"",IF(E1355="Positivo",MIN(MAX(K1355/J1355,0),1.3),MIN(MAX(J1355/K1355,0),1.3))),"") </f>
        <v/>
      </c>
      <c r="M1355" s="59">
        <f>IFERROR(IF(OR(J1355=0,K1355=""),"",IF(E1355="Positivo",MAX(K1355/J1355,0),MAX(J1355/K1355,0))),"") </f>
        <v/>
      </c>
      <c r="N1355" t="inlineStr">
        <is>
          <t>DEC</t>
        </is>
      </c>
      <c r="O1355" t="inlineStr">
        <is>
          <t>DEC</t>
        </is>
      </c>
      <c r="P1355" t="n">
        <v>1</v>
      </c>
      <c r="Q1355" t="n">
        <v>1</v>
      </c>
      <c r="R1355" t="inlineStr">
        <is>
          <t>423-2024-12-31</t>
        </is>
      </c>
    </row>
    <row r="1356">
      <c r="A1356" t="n">
        <v>423</v>
      </c>
      <c r="B1356" t="inlineStr">
        <is>
          <t>Brand equity</t>
        </is>
      </c>
      <c r="C1356" t="inlineStr">
        <is>
          <t>Mercadeo de programas académicos</t>
        </is>
      </c>
      <c r="D1356" t="inlineStr">
        <is>
          <t>Anual</t>
        </is>
      </c>
      <c r="E1356" t="inlineStr">
        <is>
          <t>Positivo</t>
        </is>
      </c>
      <c r="F1356" s="148" t="n">
        <v>46022</v>
      </c>
      <c r="G1356" t="n">
        <v>2025</v>
      </c>
      <c r="H1356" t="inlineStr">
        <is>
          <t>Diciembre</t>
        </is>
      </c>
      <c r="I1356" t="inlineStr">
        <is>
          <t>2025-2</t>
        </is>
      </c>
      <c r="J1356" t="n">
        <v>12.3</v>
      </c>
      <c r="K1356" t="n">
        <v>15.1</v>
      </c>
      <c r="L1356" s="59">
        <f>IFERROR(IF(OR(J1356=0,K1356=""),"",IF(E1356="Positivo",MIN(MAX(K1356/J1356,0),1.3),MIN(MAX(J1356/K1356,0),1.3))),"") </f>
        <v/>
      </c>
      <c r="M1356" s="59">
        <f>IFERROR(IF(OR(J1356=0,K1356=""),"",IF(E1356="Positivo",MAX(K1356/J1356,0),MAX(J1356/K1356,0))),"") </f>
        <v/>
      </c>
      <c r="N1356" t="inlineStr">
        <is>
          <t>DEC</t>
        </is>
      </c>
      <c r="O1356" t="inlineStr">
        <is>
          <t>DEC</t>
        </is>
      </c>
      <c r="P1356" t="n">
        <v>1</v>
      </c>
      <c r="Q1356" t="n">
        <v>1</v>
      </c>
      <c r="R1356" t="inlineStr">
        <is>
          <t>423-2025-12-31</t>
        </is>
      </c>
    </row>
    <row r="1357">
      <c r="A1357" t="n">
        <v>424</v>
      </c>
      <c r="B1357" t="inlineStr">
        <is>
          <t>Conocimiento espontaneo</t>
        </is>
      </c>
      <c r="C1357" t="inlineStr">
        <is>
          <t>Mercadeo de programas académicos</t>
        </is>
      </c>
      <c r="D1357" t="inlineStr">
        <is>
          <t>Anual</t>
        </is>
      </c>
      <c r="E1357" t="inlineStr">
        <is>
          <t>Positivo</t>
        </is>
      </c>
      <c r="F1357" s="148" t="n">
        <v>45291</v>
      </c>
      <c r="G1357" t="n">
        <v>2023</v>
      </c>
      <c r="H1357" t="inlineStr">
        <is>
          <t>Diciembre</t>
        </is>
      </c>
      <c r="I1357" t="inlineStr">
        <is>
          <t>2023-2</t>
        </is>
      </c>
      <c r="J1357" t="n">
        <v>92</v>
      </c>
      <c r="K1357" t="n">
        <v>6</v>
      </c>
      <c r="L1357" s="59">
        <f>IFERROR(IF(OR(J1357=0,K1357=""),"",IF(E1357="Positivo",MIN(MAX(K1357/J1357,0),1.3),MIN(MAX(J1357/K1357,0),1.3))),"") </f>
        <v/>
      </c>
      <c r="M1357" s="59">
        <f>IFERROR(IF(OR(J1357=0,K1357=""),"",IF(E1357="Positivo",MAX(K1357/J1357,0),MAX(J1357/K1357,0))),"") </f>
        <v/>
      </c>
      <c r="N1357" t="inlineStr">
        <is>
          <t>ENT</t>
        </is>
      </c>
      <c r="O1357" t="inlineStr">
        <is>
          <t>ENT</t>
        </is>
      </c>
      <c r="P1357" t="n">
        <v>0</v>
      </c>
      <c r="Q1357" t="n">
        <v>0</v>
      </c>
      <c r="R1357" t="inlineStr">
        <is>
          <t>424-2023-12-31</t>
        </is>
      </c>
    </row>
    <row r="1358">
      <c r="A1358" t="n">
        <v>424</v>
      </c>
      <c r="B1358" t="inlineStr">
        <is>
          <t>Conocimiento espontaneo</t>
        </is>
      </c>
      <c r="C1358" t="inlineStr">
        <is>
          <t>Mercadeo de programas académicos</t>
        </is>
      </c>
      <c r="D1358" t="inlineStr">
        <is>
          <t>Anual</t>
        </is>
      </c>
      <c r="E1358" t="inlineStr">
        <is>
          <t>Positivo</t>
        </is>
      </c>
      <c r="F1358" s="148" t="n">
        <v>45657</v>
      </c>
      <c r="G1358" t="n">
        <v>2024</v>
      </c>
      <c r="H1358" t="inlineStr">
        <is>
          <t>Diciembre</t>
        </is>
      </c>
      <c r="I1358" t="inlineStr">
        <is>
          <t>2024-2</t>
        </is>
      </c>
      <c r="J1358" t="n">
        <v>7</v>
      </c>
      <c r="K1358" t="n">
        <v>9</v>
      </c>
      <c r="L1358" s="59">
        <f>IFERROR(IF(OR(J1358=0,K1358=""),"",IF(E1358="Positivo",MIN(MAX(K1358/J1358,0),1.3),MIN(MAX(J1358/K1358,0),1.3))),"") </f>
        <v/>
      </c>
      <c r="M1358" s="59">
        <f>IFERROR(IF(OR(J1358=0,K1358=""),"",IF(E1358="Positivo",MAX(K1358/J1358,0),MAX(J1358/K1358,0))),"") </f>
        <v/>
      </c>
      <c r="N1358" t="inlineStr">
        <is>
          <t>ENT</t>
        </is>
      </c>
      <c r="O1358" t="inlineStr">
        <is>
          <t>ENT</t>
        </is>
      </c>
      <c r="P1358" t="n">
        <v>0</v>
      </c>
      <c r="Q1358" t="n">
        <v>0</v>
      </c>
      <c r="R1358" t="inlineStr">
        <is>
          <t>424-2024-12-31</t>
        </is>
      </c>
    </row>
    <row r="1359">
      <c r="A1359" t="n">
        <v>424</v>
      </c>
      <c r="B1359" t="inlineStr">
        <is>
          <t>Conocimiento espontaneo</t>
        </is>
      </c>
      <c r="C1359" t="inlineStr">
        <is>
          <t>Mercadeo de programas académicos</t>
        </is>
      </c>
      <c r="D1359" t="inlineStr">
        <is>
          <t>Anual</t>
        </is>
      </c>
      <c r="E1359" t="inlineStr">
        <is>
          <t>Positivo</t>
        </is>
      </c>
      <c r="F1359" s="148" t="n">
        <v>46022</v>
      </c>
      <c r="G1359" t="n">
        <v>2025</v>
      </c>
      <c r="H1359" t="inlineStr">
        <is>
          <t>Diciembre</t>
        </is>
      </c>
      <c r="I1359" t="inlineStr">
        <is>
          <t>2025-2</t>
        </is>
      </c>
      <c r="J1359" t="n">
        <v>9</v>
      </c>
      <c r="K1359" t="n">
        <v>11</v>
      </c>
      <c r="L1359" s="59">
        <f>IFERROR(IF(OR(J1359=0,K1359=""),"",IF(E1359="Positivo",MIN(MAX(K1359/J1359,0),1.3),MIN(MAX(J1359/K1359,0),1.3))),"") </f>
        <v/>
      </c>
      <c r="M1359" s="59">
        <f>IFERROR(IF(OR(J1359=0,K1359=""),"",IF(E1359="Positivo",MAX(K1359/J1359,0),MAX(J1359/K1359,0))),"") </f>
        <v/>
      </c>
      <c r="N1359" t="inlineStr">
        <is>
          <t>ENT</t>
        </is>
      </c>
      <c r="O1359" t="inlineStr">
        <is>
          <t>ENT</t>
        </is>
      </c>
      <c r="P1359" t="n">
        <v>0</v>
      </c>
      <c r="Q1359" t="n">
        <v>0</v>
      </c>
      <c r="R1359" t="inlineStr">
        <is>
          <t>424-2025-12-31</t>
        </is>
      </c>
    </row>
    <row r="1360">
      <c r="A1360" t="n">
        <v>425</v>
      </c>
      <c r="B1360" t="inlineStr">
        <is>
          <t>Cumplimiento Leads Educación para la vida</t>
        </is>
      </c>
      <c r="C1360" t="inlineStr">
        <is>
          <t>Mercadeo y venta de educación para la vida</t>
        </is>
      </c>
      <c r="D1360" t="inlineStr">
        <is>
          <t>Anual</t>
        </is>
      </c>
      <c r="E1360" t="inlineStr">
        <is>
          <t>Positivo</t>
        </is>
      </c>
      <c r="F1360" s="148" t="n">
        <v>45291</v>
      </c>
      <c r="G1360" t="n">
        <v>2023</v>
      </c>
      <c r="H1360" t="inlineStr">
        <is>
          <t>Diciembre</t>
        </is>
      </c>
      <c r="I1360" t="inlineStr">
        <is>
          <t>2023-2</t>
        </is>
      </c>
      <c r="J1360" t="n">
        <v>5500</v>
      </c>
      <c r="K1360" t="n">
        <v>5785</v>
      </c>
      <c r="L1360" s="59">
        <f>IFERROR(IF(OR(J1360=0,K1360=""),"",IF(E1360="Positivo",MIN(MAX(K1360/J1360,0),1.3),MIN(MAX(J1360/K1360,0),1.3))),"") </f>
        <v/>
      </c>
      <c r="M1360" s="59">
        <f>IFERROR(IF(OR(J1360=0,K1360=""),"",IF(E1360="Positivo",MAX(K1360/J1360,0),MAX(J1360/K1360,0))),"") </f>
        <v/>
      </c>
      <c r="P1360" t="n">
        <v>0</v>
      </c>
      <c r="Q1360" t="n">
        <v>0</v>
      </c>
      <c r="R1360" t="inlineStr">
        <is>
          <t>425-2023-12-31</t>
        </is>
      </c>
    </row>
    <row r="1361">
      <c r="A1361" t="n">
        <v>425</v>
      </c>
      <c r="B1361" t="inlineStr">
        <is>
          <t>Cumplimiento Leads Educación para la vida</t>
        </is>
      </c>
      <c r="C1361" t="inlineStr">
        <is>
          <t>Mercadeo y venta de educación para la vida</t>
        </is>
      </c>
      <c r="D1361" t="inlineStr">
        <is>
          <t>Semestral</t>
        </is>
      </c>
      <c r="E1361" t="inlineStr">
        <is>
          <t>Positivo</t>
        </is>
      </c>
      <c r="F1361" s="148" t="n">
        <v>45473</v>
      </c>
      <c r="G1361" t="n">
        <v>2024</v>
      </c>
      <c r="H1361" t="inlineStr">
        <is>
          <t>Junio</t>
        </is>
      </c>
      <c r="I1361" t="inlineStr">
        <is>
          <t>2024-1</t>
        </is>
      </c>
      <c r="J1361" t="n">
        <v>100</v>
      </c>
      <c r="K1361" t="n">
        <v>60.69</v>
      </c>
      <c r="L1361" s="59">
        <f>IFERROR(IF(OR(J1361=0,K1361=""),"",IF(E1361="Positivo",MIN(MAX(K1361/J1361,0),1.3),MIN(MAX(J1361/K1361,0),1.3))),"") </f>
        <v/>
      </c>
      <c r="M1361" s="59">
        <f>IFERROR(IF(OR(J1361=0,K1361=""),"",IF(E1361="Positivo",MAX(K1361/J1361,0),MAX(J1361/K1361,0))),"") </f>
        <v/>
      </c>
      <c r="P1361" t="n">
        <v>0</v>
      </c>
      <c r="Q1361" t="n">
        <v>0</v>
      </c>
      <c r="R1361" t="inlineStr">
        <is>
          <t>425-2024-06-30</t>
        </is>
      </c>
    </row>
    <row r="1362">
      <c r="A1362" t="n">
        <v>425</v>
      </c>
      <c r="B1362" t="inlineStr">
        <is>
          <t>Cumplimiento Leads Educación para la vida</t>
        </is>
      </c>
      <c r="C1362" t="inlineStr">
        <is>
          <t>Mercadeo y venta de educación para la vida</t>
        </is>
      </c>
      <c r="D1362" t="inlineStr">
        <is>
          <t>Semestral</t>
        </is>
      </c>
      <c r="E1362" t="inlineStr">
        <is>
          <t>Positivo</t>
        </is>
      </c>
      <c r="F1362" s="148" t="n">
        <v>45657</v>
      </c>
      <c r="G1362" t="n">
        <v>2024</v>
      </c>
      <c r="H1362" t="inlineStr">
        <is>
          <t>Diciembre</t>
        </is>
      </c>
      <c r="I1362" t="inlineStr">
        <is>
          <t>2024-2</t>
        </is>
      </c>
      <c r="J1362" t="n">
        <v>100</v>
      </c>
      <c r="K1362" t="n">
        <v>164.69</v>
      </c>
      <c r="L1362" s="59">
        <f>IFERROR(IF(OR(J1362=0,K1362=""),"",IF(E1362="Positivo",MIN(MAX(K1362/J1362,0),1.3),MIN(MAX(J1362/K1362,0),1.3))),"") </f>
        <v/>
      </c>
      <c r="M1362" s="59">
        <f>IFERROR(IF(OR(J1362=0,K1362=""),"",IF(E1362="Positivo",MAX(K1362/J1362,0),MAX(J1362/K1362,0))),"") </f>
        <v/>
      </c>
      <c r="P1362" t="n">
        <v>0</v>
      </c>
      <c r="Q1362" t="n">
        <v>0</v>
      </c>
      <c r="R1362" t="inlineStr">
        <is>
          <t>425-2024-12-31</t>
        </is>
      </c>
    </row>
    <row r="1363">
      <c r="A1363" t="n">
        <v>426</v>
      </c>
      <c r="B1363" t="inlineStr">
        <is>
          <t>Cumplimiento en la respuesta a solicitudes de comunicaciones internas</t>
        </is>
      </c>
      <c r="C1363" t="inlineStr">
        <is>
          <t>Comunicaciones Internas</t>
        </is>
      </c>
      <c r="D1363" t="inlineStr">
        <is>
          <t>Semestral</t>
        </is>
      </c>
      <c r="E1363" t="inlineStr">
        <is>
          <t>Positivo</t>
        </is>
      </c>
      <c r="F1363" s="148" t="n">
        <v>45107</v>
      </c>
      <c r="G1363" t="n">
        <v>2023</v>
      </c>
      <c r="H1363" t="inlineStr">
        <is>
          <t>Junio</t>
        </is>
      </c>
      <c r="I1363" t="inlineStr">
        <is>
          <t>2023-1</t>
        </is>
      </c>
      <c r="K1363" t="n">
        <v>86.98</v>
      </c>
      <c r="L1363" s="59" t="n"/>
      <c r="M1363" s="59" t="n"/>
      <c r="N1363" t="inlineStr">
        <is>
          <t>Linea Base</t>
        </is>
      </c>
      <c r="O1363" t="inlineStr">
        <is>
          <t>%</t>
        </is>
      </c>
      <c r="P1363" t="n">
        <v>0</v>
      </c>
      <c r="Q1363" t="n">
        <v>0</v>
      </c>
      <c r="R1363" t="inlineStr">
        <is>
          <t>426-2023-06-30</t>
        </is>
      </c>
    </row>
    <row r="1364">
      <c r="A1364" t="n">
        <v>426</v>
      </c>
      <c r="B1364" t="inlineStr">
        <is>
          <t>Cumplimiento en la respuesta a solicitudes de comunicaciones internas</t>
        </is>
      </c>
      <c r="C1364" t="inlineStr">
        <is>
          <t>Comunicaciones Internas</t>
        </is>
      </c>
      <c r="D1364" t="inlineStr">
        <is>
          <t>Semestral</t>
        </is>
      </c>
      <c r="E1364" t="inlineStr">
        <is>
          <t>Positivo</t>
        </is>
      </c>
      <c r="F1364" s="148" t="n">
        <v>45291</v>
      </c>
      <c r="G1364" t="n">
        <v>2023</v>
      </c>
      <c r="H1364" t="inlineStr">
        <is>
          <t>Diciembre</t>
        </is>
      </c>
      <c r="I1364" t="inlineStr">
        <is>
          <t>2023-2</t>
        </is>
      </c>
      <c r="K1364" t="n">
        <v>92.31</v>
      </c>
      <c r="L1364" s="59" t="n"/>
      <c r="M1364" s="59" t="n"/>
      <c r="N1364" t="inlineStr">
        <is>
          <t>Linea Base</t>
        </is>
      </c>
      <c r="O1364" t="inlineStr">
        <is>
          <t>%</t>
        </is>
      </c>
      <c r="P1364" t="n">
        <v>0</v>
      </c>
      <c r="Q1364" t="n">
        <v>0</v>
      </c>
      <c r="R1364" t="inlineStr">
        <is>
          <t>426-2023-12-31</t>
        </is>
      </c>
    </row>
    <row r="1365">
      <c r="A1365" t="n">
        <v>426</v>
      </c>
      <c r="B1365" t="inlineStr">
        <is>
          <t>Cumplimiento en la respuesta a solicitudes de comunicaciones internas</t>
        </is>
      </c>
      <c r="C1365" t="inlineStr">
        <is>
          <t>Comunicaciones Internas</t>
        </is>
      </c>
      <c r="D1365" t="inlineStr">
        <is>
          <t>Semestral</t>
        </is>
      </c>
      <c r="E1365" t="inlineStr">
        <is>
          <t>Positivo</t>
        </is>
      </c>
      <c r="F1365" s="148" t="n">
        <v>45473</v>
      </c>
      <c r="G1365" t="n">
        <v>2024</v>
      </c>
      <c r="H1365" t="inlineStr">
        <is>
          <t>Junio</t>
        </is>
      </c>
      <c r="I1365" t="inlineStr">
        <is>
          <t>2024-1</t>
        </is>
      </c>
      <c r="J1365" t="n">
        <v>80</v>
      </c>
      <c r="K1365" t="n">
        <v>60.27</v>
      </c>
      <c r="L1365" s="59">
        <f>IFERROR(IF(OR(J1365=0,K1365=""),"",IF(E1365="Positivo",MIN(MAX(K1365/J1365,0),1.3),MIN(MAX(J1365/K1365,0),1.3))),"") </f>
        <v/>
      </c>
      <c r="M1365" s="59">
        <f>IFERROR(IF(OR(J1365=0,K1365=""),"",IF(E1365="Positivo",MAX(K1365/J1365,0),MAX(J1365/K1365,0))),"") </f>
        <v/>
      </c>
      <c r="P1365" t="n">
        <v>0</v>
      </c>
      <c r="Q1365" t="n">
        <v>0</v>
      </c>
      <c r="R1365" t="inlineStr">
        <is>
          <t>426-2024-06-30</t>
        </is>
      </c>
    </row>
    <row r="1366">
      <c r="A1366" t="n">
        <v>426</v>
      </c>
      <c r="B1366" t="inlineStr">
        <is>
          <t>Cumplimiento en la respuesta a solicitudes de comunicaciones internas</t>
        </is>
      </c>
      <c r="C1366" t="inlineStr">
        <is>
          <t>Comunicaciones Internas</t>
        </is>
      </c>
      <c r="D1366" t="inlineStr">
        <is>
          <t>Semestral</t>
        </is>
      </c>
      <c r="E1366" t="inlineStr">
        <is>
          <t>Positivo</t>
        </is>
      </c>
      <c r="F1366" s="148" t="n">
        <v>45657</v>
      </c>
      <c r="G1366" t="n">
        <v>2024</v>
      </c>
      <c r="H1366" t="inlineStr">
        <is>
          <t>Diciembre</t>
        </is>
      </c>
      <c r="I1366" t="inlineStr">
        <is>
          <t>2024-2</t>
        </is>
      </c>
      <c r="J1366" t="n">
        <v>80</v>
      </c>
      <c r="K1366" t="n">
        <v>86.72</v>
      </c>
      <c r="L1366" s="59">
        <f>IFERROR(IF(OR(J1366=0,K1366=""),"",IF(E1366="Positivo",MIN(MAX(K1366/J1366,0),1.3),MIN(MAX(J1366/K1366,0),1.3))),"") </f>
        <v/>
      </c>
      <c r="M1366" s="59">
        <f>IFERROR(IF(OR(J1366=0,K1366=""),"",IF(E1366="Positivo",MAX(K1366/J1366,0),MAX(J1366/K1366,0))),"") </f>
        <v/>
      </c>
      <c r="P1366" t="n">
        <v>0</v>
      </c>
      <c r="Q1366" t="n">
        <v>0</v>
      </c>
      <c r="R1366" t="inlineStr">
        <is>
          <t>426-2024-12-31</t>
        </is>
      </c>
    </row>
    <row r="1367">
      <c r="A1367" t="n">
        <v>427</v>
      </c>
      <c r="B1367" t="inlineStr">
        <is>
          <t>Consumo de Agua per Cápita Semestral</t>
        </is>
      </c>
      <c r="C1367" t="inlineStr">
        <is>
          <t>GESTIÓN AMBIENTAL</t>
        </is>
      </c>
      <c r="D1367" t="inlineStr">
        <is>
          <t>Semestral</t>
        </is>
      </c>
      <c r="E1367" t="inlineStr">
        <is>
          <t>Negativo</t>
        </is>
      </c>
      <c r="F1367" s="148" t="n">
        <v>45107</v>
      </c>
      <c r="G1367" t="n">
        <v>2023</v>
      </c>
      <c r="H1367" t="inlineStr">
        <is>
          <t>Junio</t>
        </is>
      </c>
      <c r="I1367" t="inlineStr">
        <is>
          <t>2023-1</t>
        </is>
      </c>
      <c r="J1367" t="n">
        <v>0.2</v>
      </c>
      <c r="K1367" t="n">
        <v>0.13666666666667</v>
      </c>
      <c r="L1367" s="59">
        <f>IFERROR(IF(OR(J1367=0,K1367=""),"",IF(E1367="Positivo",MIN(MAX(K1367/J1367,0),1.3),MIN(MAX(J1367/K1367,0),1.3))),"") </f>
        <v/>
      </c>
      <c r="M1367" s="59">
        <f>IFERROR(IF(OR(J1367=0,K1367=""),"",IF(E1367="Positivo",MAX(K1367/J1367,0),MAX(J1367/K1367,0))),"") </f>
        <v/>
      </c>
      <c r="N1367" t="inlineStr">
        <is>
          <t>DEC</t>
        </is>
      </c>
      <c r="O1367" t="inlineStr">
        <is>
          <t>DEC</t>
        </is>
      </c>
      <c r="P1367" t="n">
        <v>2</v>
      </c>
      <c r="Q1367" t="n">
        <v>2</v>
      </c>
      <c r="R1367" t="inlineStr">
        <is>
          <t>427-2023-06-30</t>
        </is>
      </c>
    </row>
    <row r="1368">
      <c r="A1368" t="n">
        <v>427</v>
      </c>
      <c r="B1368" t="inlineStr">
        <is>
          <t>Consumo de Agua per Cápita Semestral</t>
        </is>
      </c>
      <c r="C1368" t="inlineStr">
        <is>
          <t>GESTIÓN AMBIENTAL</t>
        </is>
      </c>
      <c r="D1368" t="inlineStr">
        <is>
          <t>Semestral</t>
        </is>
      </c>
      <c r="E1368" t="inlineStr">
        <is>
          <t>Negativo</t>
        </is>
      </c>
      <c r="F1368" s="148" t="n">
        <v>45291</v>
      </c>
      <c r="G1368" t="n">
        <v>2023</v>
      </c>
      <c r="H1368" t="inlineStr">
        <is>
          <t>Diciembre</t>
        </is>
      </c>
      <c r="I1368" t="inlineStr">
        <is>
          <t>2023-2</t>
        </is>
      </c>
      <c r="J1368" t="n">
        <v>0.2</v>
      </c>
      <c r="K1368" t="n">
        <v>0.2</v>
      </c>
      <c r="L1368" s="59">
        <f>IFERROR(IF(OR(J1368=0,K1368=""),"",IF(E1368="Positivo",MIN(MAX(K1368/J1368,0),1.3),MIN(MAX(J1368/K1368,0),1.3))),"") </f>
        <v/>
      </c>
      <c r="M1368" s="59">
        <f>IFERROR(IF(OR(J1368=0,K1368=""),"",IF(E1368="Positivo",MAX(K1368/J1368,0),MAX(J1368/K1368,0))),"") </f>
        <v/>
      </c>
      <c r="N1368" t="inlineStr">
        <is>
          <t>DEC</t>
        </is>
      </c>
      <c r="O1368" t="inlineStr">
        <is>
          <t>DEC</t>
        </is>
      </c>
      <c r="P1368" t="n">
        <v>2</v>
      </c>
      <c r="Q1368" t="n">
        <v>2</v>
      </c>
      <c r="R1368" t="inlineStr">
        <is>
          <t>427-2023-12-31</t>
        </is>
      </c>
    </row>
    <row r="1369">
      <c r="A1369" t="n">
        <v>427</v>
      </c>
      <c r="B1369" t="inlineStr">
        <is>
          <t>Consumo de Agua per Cápita Semestral</t>
        </is>
      </c>
      <c r="C1369" t="inlineStr">
        <is>
          <t>GESTIÓN AMBIENTAL</t>
        </is>
      </c>
      <c r="D1369" t="inlineStr">
        <is>
          <t>Semestral</t>
        </is>
      </c>
      <c r="E1369" t="inlineStr">
        <is>
          <t>Negativo</t>
        </is>
      </c>
      <c r="F1369" s="148" t="n">
        <v>45473</v>
      </c>
      <c r="G1369" t="n">
        <v>2024</v>
      </c>
      <c r="H1369" t="inlineStr">
        <is>
          <t>Junio</t>
        </is>
      </c>
      <c r="I1369" t="inlineStr">
        <is>
          <t>2024-1</t>
        </is>
      </c>
      <c r="J1369" t="n">
        <v>0.2</v>
      </c>
      <c r="K1369" t="n">
        <v>0.17</v>
      </c>
      <c r="L1369" s="59">
        <f>IFERROR(IF(OR(J1369=0,K1369=""),"",IF(E1369="Positivo",MIN(MAX(K1369/J1369,0),1.3),MIN(MAX(J1369/K1369,0),1.3))),"") </f>
        <v/>
      </c>
      <c r="M1369" s="59">
        <f>IFERROR(IF(OR(J1369=0,K1369=""),"",IF(E1369="Positivo",MAX(K1369/J1369,0),MAX(J1369/K1369,0))),"") </f>
        <v/>
      </c>
      <c r="P1369" t="n">
        <v>0</v>
      </c>
      <c r="Q1369" t="n">
        <v>0</v>
      </c>
      <c r="R1369" t="inlineStr">
        <is>
          <t>427-2024-06-30</t>
        </is>
      </c>
    </row>
    <row r="1370">
      <c r="A1370" t="n">
        <v>427</v>
      </c>
      <c r="B1370" t="inlineStr">
        <is>
          <t>Consumo de Agua per Cápita Semestral</t>
        </is>
      </c>
      <c r="C1370" t="inlineStr">
        <is>
          <t>GESTIÓN AMBIENTAL</t>
        </is>
      </c>
      <c r="D1370" t="inlineStr">
        <is>
          <t>Semestral</t>
        </is>
      </c>
      <c r="E1370" t="inlineStr">
        <is>
          <t>Negativo</t>
        </is>
      </c>
      <c r="F1370" s="148" t="n">
        <v>45657</v>
      </c>
      <c r="G1370" t="n">
        <v>2024</v>
      </c>
      <c r="H1370" t="inlineStr">
        <is>
          <t>Diciembre</t>
        </is>
      </c>
      <c r="I1370" t="inlineStr">
        <is>
          <t>2024-2</t>
        </is>
      </c>
      <c r="J1370" t="n">
        <v>0.2</v>
      </c>
      <c r="K1370" t="n">
        <v>0.17</v>
      </c>
      <c r="L1370" s="59">
        <f>IFERROR(IF(OR(J1370=0,K1370=""),"",IF(E1370="Positivo",MIN(MAX(K1370/J1370,0),1.3),MIN(MAX(J1370/K1370,0),1.3))),"") </f>
        <v/>
      </c>
      <c r="M1370" s="59">
        <f>IFERROR(IF(OR(J1370=0,K1370=""),"",IF(E1370="Positivo",MAX(K1370/J1370,0),MAX(J1370/K1370,0))),"") </f>
        <v/>
      </c>
      <c r="P1370" t="n">
        <v>0</v>
      </c>
      <c r="Q1370" t="n">
        <v>0</v>
      </c>
      <c r="R1370" t="inlineStr">
        <is>
          <t>427-2024-12-31</t>
        </is>
      </c>
    </row>
    <row r="1371">
      <c r="A1371" t="n">
        <v>427</v>
      </c>
      <c r="B1371" t="inlineStr">
        <is>
          <t>Consumo de Agua per Cápita Semestral</t>
        </is>
      </c>
      <c r="C1371" t="inlineStr">
        <is>
          <t>GESTIÓN AMBIENTAL</t>
        </is>
      </c>
      <c r="D1371" t="inlineStr">
        <is>
          <t>Trimestral</t>
        </is>
      </c>
      <c r="E1371" t="inlineStr">
        <is>
          <t>Negativo</t>
        </is>
      </c>
      <c r="F1371" s="148" t="n">
        <v>45838</v>
      </c>
      <c r="G1371" t="n">
        <v>2025</v>
      </c>
      <c r="H1371" t="inlineStr">
        <is>
          <t>Junio</t>
        </is>
      </c>
      <c r="I1371" t="inlineStr">
        <is>
          <t>2025-1</t>
        </is>
      </c>
      <c r="J1371" t="n">
        <v>0.2</v>
      </c>
      <c r="K1371" t="n">
        <v>0.14</v>
      </c>
      <c r="L1371" s="59">
        <f>IFERROR(IF(OR(J1371=0,K1371=""),"",IF(E1371="Positivo",MIN(MAX(K1371/J1371,0),1.3),MIN(MAX(J1371/K1371,0),1.3))),"") </f>
        <v/>
      </c>
      <c r="M1371" s="59">
        <f>IFERROR(IF(OR(J1371=0,K1371=""),"",IF(E1371="Positivo",MAX(K1371/J1371,0),MAX(J1371/K1371,0))),"") </f>
        <v/>
      </c>
      <c r="N1371" t="inlineStr">
        <is>
          <t>DEC</t>
        </is>
      </c>
      <c r="O1371" t="inlineStr">
        <is>
          <t>DEC</t>
        </is>
      </c>
      <c r="P1371" t="n">
        <v>2</v>
      </c>
      <c r="Q1371" t="n">
        <v>2</v>
      </c>
      <c r="R1371" t="inlineStr">
        <is>
          <t>427-2025-06-30</t>
        </is>
      </c>
    </row>
    <row r="1372">
      <c r="A1372" t="n">
        <v>427</v>
      </c>
      <c r="B1372" t="inlineStr">
        <is>
          <t>Consumo de Agua per Cápita Semestral</t>
        </is>
      </c>
      <c r="C1372" t="inlineStr">
        <is>
          <t>GESTIÓN AMBIENTAL</t>
        </is>
      </c>
      <c r="D1372" t="inlineStr">
        <is>
          <t>Trimestral</t>
        </is>
      </c>
      <c r="E1372" t="inlineStr">
        <is>
          <t>Negativo</t>
        </is>
      </c>
      <c r="F1372" s="148" t="n">
        <v>46022</v>
      </c>
      <c r="G1372" t="n">
        <v>2025</v>
      </c>
      <c r="H1372" t="inlineStr">
        <is>
          <t>Diciembre</t>
        </is>
      </c>
      <c r="I1372" t="inlineStr">
        <is>
          <t>2025-2</t>
        </is>
      </c>
      <c r="J1372" t="n">
        <v>0.2</v>
      </c>
      <c r="K1372" t="n">
        <v>0.15</v>
      </c>
      <c r="L1372" s="59">
        <f>IFERROR(IF(OR(J1372=0,K1372=""),"",IF(E1372="Positivo",MIN(MAX(K1372/J1372,0),1.3),MIN(MAX(J1372/K1372,0),1.3))),"") </f>
        <v/>
      </c>
      <c r="M1372" s="59">
        <f>IFERROR(IF(OR(J1372=0,K1372=""),"",IF(E1372="Positivo",MAX(K1372/J1372,0),MAX(J1372/K1372,0))),"") </f>
        <v/>
      </c>
      <c r="N1372" t="inlineStr">
        <is>
          <t>DEC</t>
        </is>
      </c>
      <c r="O1372" t="inlineStr">
        <is>
          <t>DEC</t>
        </is>
      </c>
      <c r="P1372" t="n">
        <v>2</v>
      </c>
      <c r="Q1372" t="n">
        <v>2</v>
      </c>
      <c r="R1372" t="inlineStr">
        <is>
          <t>427-2025-12-31</t>
        </is>
      </c>
    </row>
    <row r="1373">
      <c r="A1373" t="n">
        <v>428</v>
      </c>
      <c r="B1373" t="inlineStr">
        <is>
          <t>Consumo de Energía Eléctrica per Cápita Semestral</t>
        </is>
      </c>
      <c r="C1373" t="inlineStr">
        <is>
          <t>GESTIÓN AMBIENTAL</t>
        </is>
      </c>
      <c r="D1373" t="inlineStr">
        <is>
          <t>Semestral</t>
        </is>
      </c>
      <c r="E1373" t="inlineStr">
        <is>
          <t>Negativo</t>
        </is>
      </c>
      <c r="F1373" s="148" t="n">
        <v>45107</v>
      </c>
      <c r="G1373" t="n">
        <v>2023</v>
      </c>
      <c r="H1373" t="inlineStr">
        <is>
          <t>Junio</t>
        </is>
      </c>
      <c r="I1373" t="inlineStr">
        <is>
          <t>2023-1</t>
        </is>
      </c>
      <c r="J1373" t="n">
        <v>1</v>
      </c>
      <c r="K1373" t="n">
        <v>17.59</v>
      </c>
      <c r="L1373" s="59">
        <f>IFERROR(IF(OR(J1373=0,K1373=""),"",IF(E1373="Positivo",MIN(MAX(K1373/J1373,0),1.3),MIN(MAX(J1373/K1373,0),1.3))),"") </f>
        <v/>
      </c>
      <c r="M1373" s="59">
        <f>IFERROR(IF(OR(J1373=0,K1373=""),"",IF(E1373="Positivo",MAX(K1373/J1373,0),MAX(J1373/K1373,0))),"") </f>
        <v/>
      </c>
      <c r="P1373" t="n">
        <v>0</v>
      </c>
      <c r="Q1373" t="n">
        <v>0</v>
      </c>
      <c r="R1373" t="inlineStr">
        <is>
          <t>428-2023-06-30</t>
        </is>
      </c>
    </row>
    <row r="1374">
      <c r="A1374" t="n">
        <v>428</v>
      </c>
      <c r="B1374" t="inlineStr">
        <is>
          <t>Consumo de Energía Eléctrica per Cápita Semestral</t>
        </is>
      </c>
      <c r="C1374" t="inlineStr">
        <is>
          <t>GESTIÓN AMBIENTAL</t>
        </is>
      </c>
      <c r="D1374" t="inlineStr">
        <is>
          <t>Semestral</t>
        </is>
      </c>
      <c r="E1374" t="inlineStr">
        <is>
          <t>Negativo</t>
        </is>
      </c>
      <c r="F1374" s="148" t="n">
        <v>45291</v>
      </c>
      <c r="G1374" t="n">
        <v>2023</v>
      </c>
      <c r="H1374" t="inlineStr">
        <is>
          <t>Diciembre</t>
        </is>
      </c>
      <c r="I1374" t="inlineStr">
        <is>
          <t>2023-2</t>
        </is>
      </c>
      <c r="J1374" t="n">
        <v>1</v>
      </c>
      <c r="K1374" t="n">
        <v>18.63</v>
      </c>
      <c r="L1374" s="59">
        <f>IFERROR(IF(OR(J1374=0,K1374=""),"",IF(E1374="Positivo",MIN(MAX(K1374/J1374,0),1.3),MIN(MAX(J1374/K1374,0),1.3))),"") </f>
        <v/>
      </c>
      <c r="M1374" s="59">
        <f>IFERROR(IF(OR(J1374=0,K1374=""),"",IF(E1374="Positivo",MAX(K1374/J1374,0),MAX(J1374/K1374,0))),"") </f>
        <v/>
      </c>
      <c r="P1374" t="n">
        <v>0</v>
      </c>
      <c r="Q1374" t="n">
        <v>0</v>
      </c>
      <c r="R1374" t="inlineStr">
        <is>
          <t>428-2023-12-31</t>
        </is>
      </c>
    </row>
    <row r="1375">
      <c r="A1375" t="n">
        <v>428</v>
      </c>
      <c r="B1375" t="inlineStr">
        <is>
          <t>Consumo de Energía Eléctrica per Cápita Semestral</t>
        </is>
      </c>
      <c r="C1375" t="inlineStr">
        <is>
          <t>GESTIÓN AMBIENTAL</t>
        </is>
      </c>
      <c r="D1375" t="inlineStr">
        <is>
          <t>Semestral</t>
        </is>
      </c>
      <c r="E1375" t="inlineStr">
        <is>
          <t>Negativo</t>
        </is>
      </c>
      <c r="F1375" s="148" t="n">
        <v>45473</v>
      </c>
      <c r="G1375" t="n">
        <v>2024</v>
      </c>
      <c r="H1375" t="inlineStr">
        <is>
          <t>Junio</t>
        </is>
      </c>
      <c r="I1375" t="inlineStr">
        <is>
          <t>2024-1</t>
        </is>
      </c>
      <c r="J1375" t="n">
        <v>1</v>
      </c>
      <c r="K1375" t="n">
        <v>16.58</v>
      </c>
      <c r="L1375" s="59">
        <f>IFERROR(IF(OR(J1375=0,K1375=""),"",IF(E1375="Positivo",MIN(MAX(K1375/J1375,0),1.3),MIN(MAX(J1375/K1375,0),1.3))),"") </f>
        <v/>
      </c>
      <c r="M1375" s="59">
        <f>IFERROR(IF(OR(J1375=0,K1375=""),"",IF(E1375="Positivo",MAX(K1375/J1375,0),MAX(J1375/K1375,0))),"") </f>
        <v/>
      </c>
      <c r="P1375" t="n">
        <v>0</v>
      </c>
      <c r="Q1375" t="n">
        <v>0</v>
      </c>
      <c r="R1375" t="inlineStr">
        <is>
          <t>428-2024-06-30</t>
        </is>
      </c>
    </row>
    <row r="1376">
      <c r="A1376" t="n">
        <v>428</v>
      </c>
      <c r="B1376" t="inlineStr">
        <is>
          <t>Consumo de Energía Eléctrica per Cápita Semestral</t>
        </is>
      </c>
      <c r="C1376" t="inlineStr">
        <is>
          <t>GESTIÓN AMBIENTAL</t>
        </is>
      </c>
      <c r="D1376" t="inlineStr">
        <is>
          <t>Semestral</t>
        </is>
      </c>
      <c r="E1376" t="inlineStr">
        <is>
          <t>Negativo</t>
        </is>
      </c>
      <c r="F1376" s="148" t="n">
        <v>45657</v>
      </c>
      <c r="G1376" t="n">
        <v>2024</v>
      </c>
      <c r="H1376" t="inlineStr">
        <is>
          <t>Diciembre</t>
        </is>
      </c>
      <c r="I1376" t="inlineStr">
        <is>
          <t>2024-2</t>
        </is>
      </c>
      <c r="J1376" t="n">
        <v>1</v>
      </c>
      <c r="K1376" t="n">
        <v>18.53</v>
      </c>
      <c r="L1376" s="59">
        <f>IFERROR(IF(OR(J1376=0,K1376=""),"",IF(E1376="Positivo",MIN(MAX(K1376/J1376,0),1.3),MIN(MAX(J1376/K1376,0),1.3))),"") </f>
        <v/>
      </c>
      <c r="M1376" s="59">
        <f>IFERROR(IF(OR(J1376=0,K1376=""),"",IF(E1376="Positivo",MAX(K1376/J1376,0),MAX(J1376/K1376,0))),"") </f>
        <v/>
      </c>
      <c r="P1376" t="n">
        <v>0</v>
      </c>
      <c r="Q1376" t="n">
        <v>0</v>
      </c>
      <c r="R1376" t="inlineStr">
        <is>
          <t>428-2024-12-31</t>
        </is>
      </c>
    </row>
    <row r="1377">
      <c r="A1377" t="n">
        <v>428</v>
      </c>
      <c r="B1377" t="inlineStr">
        <is>
          <t>Consumo de Energía Eléctrica per Cápita Semestral</t>
        </is>
      </c>
      <c r="C1377" t="inlineStr">
        <is>
          <t>GESTIÓN AMBIENTAL</t>
        </is>
      </c>
      <c r="D1377" t="inlineStr">
        <is>
          <t>Trimestral</t>
        </is>
      </c>
      <c r="E1377" t="inlineStr">
        <is>
          <t>Negativo</t>
        </is>
      </c>
      <c r="F1377" s="148" t="n">
        <v>45838</v>
      </c>
      <c r="G1377" t="n">
        <v>2025</v>
      </c>
      <c r="H1377" t="inlineStr">
        <is>
          <t>Junio</t>
        </is>
      </c>
      <c r="I1377" t="inlineStr">
        <is>
          <t>2025-1</t>
        </is>
      </c>
      <c r="J1377" t="n">
        <v>1</v>
      </c>
      <c r="K1377" t="n">
        <v>15.12</v>
      </c>
      <c r="L1377" s="59">
        <f>IFERROR(IF(OR(J1377=0,K1377=""),"",IF(E1377="Positivo",MIN(MAX(K1377/J1377,0),1.3),MIN(MAX(J1377/K1377,0),1.3))),"") </f>
        <v/>
      </c>
      <c r="M1377" s="59">
        <f>IFERROR(IF(OR(J1377=0,K1377=""),"",IF(E1377="Positivo",MAX(K1377/J1377,0),MAX(J1377/K1377,0))),"") </f>
        <v/>
      </c>
      <c r="N1377" t="inlineStr">
        <is>
          <t>kWh</t>
        </is>
      </c>
      <c r="O1377" t="inlineStr">
        <is>
          <t>kWh</t>
        </is>
      </c>
      <c r="P1377" t="n">
        <v>0</v>
      </c>
      <c r="Q1377" t="n">
        <v>1</v>
      </c>
      <c r="R1377" t="inlineStr">
        <is>
          <t>428-2025-06-30</t>
        </is>
      </c>
    </row>
    <row r="1378">
      <c r="A1378" t="n">
        <v>428</v>
      </c>
      <c r="B1378" t="inlineStr">
        <is>
          <t>Consumo de Energía Eléctrica per Cápita Semestral</t>
        </is>
      </c>
      <c r="C1378" t="inlineStr">
        <is>
          <t>GESTIÓN AMBIENTAL</t>
        </is>
      </c>
      <c r="D1378" t="inlineStr">
        <is>
          <t>Trimestral</t>
        </is>
      </c>
      <c r="E1378" t="inlineStr">
        <is>
          <t>Negativo</t>
        </is>
      </c>
      <c r="F1378" s="148" t="n">
        <v>46022</v>
      </c>
      <c r="G1378" t="n">
        <v>2025</v>
      </c>
      <c r="H1378" t="inlineStr">
        <is>
          <t>Diciembre</t>
        </is>
      </c>
      <c r="I1378" t="inlineStr">
        <is>
          <t>2025-2</t>
        </is>
      </c>
      <c r="J1378" t="n">
        <v>1</v>
      </c>
      <c r="K1378" t="n">
        <v>17.88</v>
      </c>
      <c r="L1378" s="59">
        <f>IFERROR(IF(OR(J1378=0,K1378=""),"",IF(E1378="Positivo",MIN(MAX(K1378/J1378,0),1.3),MIN(MAX(J1378/K1378,0),1.3))),"") </f>
        <v/>
      </c>
      <c r="M1378" s="59">
        <f>IFERROR(IF(OR(J1378=0,K1378=""),"",IF(E1378="Positivo",MAX(K1378/J1378,0),MAX(J1378/K1378,0))),"") </f>
        <v/>
      </c>
      <c r="N1378" t="inlineStr">
        <is>
          <t>kWh</t>
        </is>
      </c>
      <c r="O1378" t="inlineStr">
        <is>
          <t>kWh</t>
        </is>
      </c>
      <c r="P1378" t="n">
        <v>0</v>
      </c>
      <c r="Q1378" t="n">
        <v>1</v>
      </c>
      <c r="R1378" t="inlineStr">
        <is>
          <t>428-2025-12-31</t>
        </is>
      </c>
    </row>
    <row r="1379">
      <c r="A1379" t="n">
        <v>429</v>
      </c>
      <c r="B1379" t="inlineStr">
        <is>
          <t>Generación de Residuos Sólidos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48" t="n">
        <v>45107</v>
      </c>
      <c r="G1379" t="n">
        <v>2023</v>
      </c>
      <c r="H1379" t="inlineStr">
        <is>
          <t>Junio</t>
        </is>
      </c>
      <c r="I1379" t="inlineStr">
        <is>
          <t>2023-1</t>
        </is>
      </c>
      <c r="J1379" t="n">
        <v>0.76</v>
      </c>
      <c r="K1379" t="n">
        <v>0.3</v>
      </c>
      <c r="L1379" s="59">
        <f>IFERROR(IF(OR(J1379=0,K1379=""),"",IF(E1379="Positivo",MIN(MAX(K1379/J1379,0),1.3),MIN(MAX(J1379/K1379,0),1.3))),"") </f>
        <v/>
      </c>
      <c r="M1379" s="59">
        <f>IFERROR(IF(OR(J1379=0,K1379=""),"",IF(E1379="Positivo",MAX(K1379/J1379,0),MAX(J1379/K1379,0))),"") </f>
        <v/>
      </c>
      <c r="N1379" t="inlineStr">
        <is>
          <t>DEC</t>
        </is>
      </c>
      <c r="O1379" t="inlineStr">
        <is>
          <t>DEC</t>
        </is>
      </c>
      <c r="P1379" t="n">
        <v>1</v>
      </c>
      <c r="Q1379" t="n">
        <v>1</v>
      </c>
      <c r="R1379" t="inlineStr">
        <is>
          <t>429-2023-06-30</t>
        </is>
      </c>
    </row>
    <row r="1380">
      <c r="A1380" t="n">
        <v>429</v>
      </c>
      <c r="B1380" t="inlineStr">
        <is>
          <t>Generación de Residuos Sólidos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48" t="n">
        <v>45291</v>
      </c>
      <c r="G1380" t="n">
        <v>2023</v>
      </c>
      <c r="H1380" t="inlineStr">
        <is>
          <t>Diciembre</t>
        </is>
      </c>
      <c r="I1380" t="inlineStr">
        <is>
          <t>2023-2</t>
        </is>
      </c>
      <c r="J1380" t="n">
        <v>0.76</v>
      </c>
      <c r="K1380" t="n">
        <v>0.76</v>
      </c>
      <c r="L1380" s="59">
        <f>IFERROR(IF(OR(J1380=0,K1380=""),"",IF(E1380="Positivo",MIN(MAX(K1380/J1380,0),1.3),MIN(MAX(J1380/K1380,0),1.3))),"") </f>
        <v/>
      </c>
      <c r="M1380" s="59">
        <f>IFERROR(IF(OR(J1380=0,K1380=""),"",IF(E1380="Positivo",MAX(K1380/J1380,0),MAX(J1380/K1380,0))),"") </f>
        <v/>
      </c>
      <c r="N1380" t="inlineStr">
        <is>
          <t>DEC</t>
        </is>
      </c>
      <c r="O1380" t="inlineStr">
        <is>
          <t>DEC</t>
        </is>
      </c>
      <c r="P1380" t="n">
        <v>1</v>
      </c>
      <c r="Q1380" t="n">
        <v>1</v>
      </c>
      <c r="R1380" t="inlineStr">
        <is>
          <t>429-2023-12-31</t>
        </is>
      </c>
    </row>
    <row r="1381">
      <c r="A1381" t="n">
        <v>429</v>
      </c>
      <c r="B1381" t="inlineStr">
        <is>
          <t>Generación de Residuos Sólidos per Cápita Semestral</t>
        </is>
      </c>
      <c r="C1381" t="inlineStr">
        <is>
          <t>GESTIÓN AMBIENTAL</t>
        </is>
      </c>
      <c r="D1381" t="inlineStr">
        <is>
          <t>Semestral</t>
        </is>
      </c>
      <c r="E1381" t="inlineStr">
        <is>
          <t>Negativo</t>
        </is>
      </c>
      <c r="F1381" s="148" t="n">
        <v>45473</v>
      </c>
      <c r="G1381" t="n">
        <v>2024</v>
      </c>
      <c r="H1381" t="inlineStr">
        <is>
          <t>Junio</t>
        </is>
      </c>
      <c r="I1381" t="inlineStr">
        <is>
          <t>2024-1</t>
        </is>
      </c>
      <c r="J1381" t="n">
        <v>0.76</v>
      </c>
      <c r="K1381" t="n">
        <v>0.66</v>
      </c>
      <c r="L1381" s="59">
        <f>IFERROR(IF(OR(J1381=0,K1381=""),"",IF(E1381="Positivo",MIN(MAX(K1381/J1381,0),1.3),MIN(MAX(J1381/K1381,0),1.3))),"") </f>
        <v/>
      </c>
      <c r="M1381" s="59">
        <f>IFERROR(IF(OR(J1381=0,K1381=""),"",IF(E1381="Positivo",MAX(K1381/J1381,0),MAX(J1381/K1381,0))),"") </f>
        <v/>
      </c>
      <c r="P1381" t="n">
        <v>0</v>
      </c>
      <c r="Q1381" t="n">
        <v>0</v>
      </c>
      <c r="R1381" t="inlineStr">
        <is>
          <t>429-2024-06-30</t>
        </is>
      </c>
    </row>
    <row r="1382">
      <c r="A1382" t="n">
        <v>429</v>
      </c>
      <c r="B1382" t="inlineStr">
        <is>
          <t>Generación de Residuos Sólidos per Cápita Semestral</t>
        </is>
      </c>
      <c r="C1382" t="inlineStr">
        <is>
          <t>GESTIÓN AMBIENTAL</t>
        </is>
      </c>
      <c r="D1382" t="inlineStr">
        <is>
          <t>Semestral</t>
        </is>
      </c>
      <c r="E1382" t="inlineStr">
        <is>
          <t>Negativo</t>
        </is>
      </c>
      <c r="F1382" s="148" t="n">
        <v>45657</v>
      </c>
      <c r="G1382" t="n">
        <v>2024</v>
      </c>
      <c r="H1382" t="inlineStr">
        <is>
          <t>Diciembre</t>
        </is>
      </c>
      <c r="I1382" t="inlineStr">
        <is>
          <t>2024-2</t>
        </is>
      </c>
      <c r="J1382" t="n">
        <v>0.76</v>
      </c>
      <c r="K1382" t="n">
        <v>0.67</v>
      </c>
      <c r="L1382" s="59">
        <f>IFERROR(IF(OR(J1382=0,K1382=""),"",IF(E1382="Positivo",MIN(MAX(K1382/J1382,0),1.3),MIN(MAX(J1382/K1382,0),1.3))),"") </f>
        <v/>
      </c>
      <c r="M1382" s="59">
        <f>IFERROR(IF(OR(J1382=0,K1382=""),"",IF(E1382="Positivo",MAX(K1382/J1382,0),MAX(J1382/K1382,0))),"") </f>
        <v/>
      </c>
      <c r="P1382" t="n">
        <v>0</v>
      </c>
      <c r="Q1382" t="n">
        <v>0</v>
      </c>
      <c r="R1382" t="inlineStr">
        <is>
          <t>429-2024-12-31</t>
        </is>
      </c>
    </row>
    <row r="1383">
      <c r="A1383" t="n">
        <v>429</v>
      </c>
      <c r="B1383" t="inlineStr">
        <is>
          <t>Generación de Residuos Sólidos per Cápita Semestral</t>
        </is>
      </c>
      <c r="C1383" t="inlineStr">
        <is>
          <t>GESTIÓN AMBIENTAL</t>
        </is>
      </c>
      <c r="D1383" t="inlineStr">
        <is>
          <t>Trimestral</t>
        </is>
      </c>
      <c r="E1383" t="inlineStr">
        <is>
          <t>Negativo</t>
        </is>
      </c>
      <c r="F1383" s="148" t="n">
        <v>45838</v>
      </c>
      <c r="G1383" t="n">
        <v>2025</v>
      </c>
      <c r="H1383" t="inlineStr">
        <is>
          <t>Junio</t>
        </is>
      </c>
      <c r="I1383" t="inlineStr">
        <is>
          <t>2025-1</t>
        </is>
      </c>
      <c r="J1383" t="n">
        <v>0.76</v>
      </c>
      <c r="K1383" t="n">
        <v>0.59</v>
      </c>
      <c r="L1383" s="59">
        <f>IFERROR(IF(OR(J1383=0,K1383=""),"",IF(E1383="Positivo",MIN(MAX(K1383/J1383,0),1.3),MIN(MAX(J1383/K1383,0),1.3))),"") </f>
        <v/>
      </c>
      <c r="M1383" s="59">
        <f>IFERROR(IF(OR(J1383=0,K1383=""),"",IF(E1383="Positivo",MAX(K1383/J1383,0),MAX(J1383/K1383,0))),"") </f>
        <v/>
      </c>
      <c r="N1383" t="inlineStr">
        <is>
          <t>DEC</t>
        </is>
      </c>
      <c r="O1383" t="inlineStr">
        <is>
          <t>DEC</t>
        </is>
      </c>
      <c r="P1383" t="n">
        <v>2</v>
      </c>
      <c r="Q1383" t="n">
        <v>2</v>
      </c>
      <c r="R1383" t="inlineStr">
        <is>
          <t>429-2025-06-30</t>
        </is>
      </c>
    </row>
    <row r="1384">
      <c r="A1384" t="n">
        <v>429</v>
      </c>
      <c r="B1384" t="inlineStr">
        <is>
          <t>Generación de Residuos Sólidos per Cápita Semestral</t>
        </is>
      </c>
      <c r="C1384" t="inlineStr">
        <is>
          <t>GESTIÓN AMBIENTAL</t>
        </is>
      </c>
      <c r="D1384" t="inlineStr">
        <is>
          <t>Trimestral</t>
        </is>
      </c>
      <c r="E1384" t="inlineStr">
        <is>
          <t>Negativo</t>
        </is>
      </c>
      <c r="F1384" s="148" t="n">
        <v>46022</v>
      </c>
      <c r="G1384" t="n">
        <v>2025</v>
      </c>
      <c r="H1384" t="inlineStr">
        <is>
          <t>Diciembre</t>
        </is>
      </c>
      <c r="I1384" t="inlineStr">
        <is>
          <t>2025-2</t>
        </is>
      </c>
      <c r="J1384" t="n">
        <v>0.76</v>
      </c>
      <c r="K1384" t="n">
        <v>0.52</v>
      </c>
      <c r="L1384" s="59">
        <f>IFERROR(IF(OR(J1384=0,K1384=""),"",IF(E1384="Positivo",MIN(MAX(K1384/J1384,0),1.3),MIN(MAX(J1384/K1384,0),1.3))),"") </f>
        <v/>
      </c>
      <c r="M1384" s="59">
        <f>IFERROR(IF(OR(J1384=0,K1384=""),"",IF(E1384="Positivo",MAX(K1384/J1384,0),MAX(J1384/K1384,0))),"") </f>
        <v/>
      </c>
      <c r="N1384" t="inlineStr">
        <is>
          <t>DEC</t>
        </is>
      </c>
      <c r="O1384" t="inlineStr">
        <is>
          <t>DEC</t>
        </is>
      </c>
      <c r="P1384" t="n">
        <v>2</v>
      </c>
      <c r="Q1384" t="n">
        <v>2</v>
      </c>
      <c r="R1384" t="inlineStr">
        <is>
          <t>429-2025-12-31</t>
        </is>
      </c>
    </row>
    <row r="1385">
      <c r="A1385" t="n">
        <v>430</v>
      </c>
      <c r="B1385" t="inlineStr">
        <is>
          <t>Cumplimiento ingresos por matriculas</t>
        </is>
      </c>
      <c r="C1385" t="inlineStr">
        <is>
          <t>Planeación Financiera</t>
        </is>
      </c>
      <c r="D1385" t="inlineStr">
        <is>
          <t>Semestral</t>
        </is>
      </c>
      <c r="E1385" t="inlineStr">
        <is>
          <t>Positivo</t>
        </is>
      </c>
      <c r="F1385" s="148" t="n">
        <v>45107</v>
      </c>
      <c r="G1385" t="n">
        <v>2023</v>
      </c>
      <c r="H1385" t="inlineStr">
        <is>
          <t>Junio</t>
        </is>
      </c>
      <c r="I1385" t="inlineStr">
        <is>
          <t>2023-1</t>
        </is>
      </c>
      <c r="J1385" t="n">
        <v>95</v>
      </c>
      <c r="K1385" t="n">
        <v>104.59563552424</v>
      </c>
      <c r="L1385" s="59">
        <f>IFERROR(IF(OR(J1385=0,K1385=""),"",IF(E1385="Positivo",MIN(MAX(K1385/J1385,0),1.3),MIN(MAX(J1385/K1385,0),1.3))),"") </f>
        <v/>
      </c>
      <c r="M1385" s="59">
        <f>IFERROR(IF(OR(J1385=0,K1385=""),"",IF(E1385="Positivo",MAX(K1385/J1385,0),MAX(J1385/K1385,0))),"") </f>
        <v/>
      </c>
      <c r="N1385" t="inlineStr">
        <is>
          <t>$</t>
        </is>
      </c>
      <c r="O1385" t="inlineStr">
        <is>
          <t>$</t>
        </is>
      </c>
      <c r="P1385" t="n">
        <v>0</v>
      </c>
      <c r="Q1385" t="n">
        <v>0</v>
      </c>
      <c r="R1385" t="inlineStr">
        <is>
          <t>430-2023-06-30</t>
        </is>
      </c>
    </row>
    <row r="1386">
      <c r="A1386" t="n">
        <v>430</v>
      </c>
      <c r="B1386" t="inlineStr">
        <is>
          <t>Cumplimiento ingresos por matriculas</t>
        </is>
      </c>
      <c r="C1386" t="inlineStr">
        <is>
          <t>Planeación Financiera</t>
        </is>
      </c>
      <c r="D1386" t="inlineStr">
        <is>
          <t>Semestral</t>
        </is>
      </c>
      <c r="E1386" t="inlineStr">
        <is>
          <t>Positivo</t>
        </is>
      </c>
      <c r="F1386" s="148" t="n">
        <v>45291</v>
      </c>
      <c r="G1386" t="n">
        <v>2023</v>
      </c>
      <c r="H1386" t="inlineStr">
        <is>
          <t>Diciembre</t>
        </is>
      </c>
      <c r="I1386" t="inlineStr">
        <is>
          <t>2023-2</t>
        </is>
      </c>
      <c r="J1386" t="n">
        <v>95</v>
      </c>
      <c r="K1386" t="n">
        <v>101.39526345983</v>
      </c>
      <c r="L1386" s="59">
        <f>IFERROR(IF(OR(J1386=0,K1386=""),"",IF(E1386="Positivo",MIN(MAX(K1386/J1386,0),1.3),MIN(MAX(J1386/K1386,0),1.3))),"") </f>
        <v/>
      </c>
      <c r="M1386" s="59">
        <f>IFERROR(IF(OR(J1386=0,K1386=""),"",IF(E1386="Positivo",MAX(K1386/J1386,0),MAX(J1386/K1386,0))),"") </f>
        <v/>
      </c>
      <c r="N1386" t="inlineStr">
        <is>
          <t>$</t>
        </is>
      </c>
      <c r="O1386" t="inlineStr">
        <is>
          <t>$</t>
        </is>
      </c>
      <c r="P1386" t="n">
        <v>0</v>
      </c>
      <c r="Q1386" t="n">
        <v>0</v>
      </c>
      <c r="R1386" t="inlineStr">
        <is>
          <t>430-2023-12-31</t>
        </is>
      </c>
    </row>
    <row r="1387">
      <c r="A1387" t="n">
        <v>430</v>
      </c>
      <c r="B1387" t="inlineStr">
        <is>
          <t>Cumplimiento ingresos por matriculas</t>
        </is>
      </c>
      <c r="C1387" t="inlineStr">
        <is>
          <t>Planeación Financiera</t>
        </is>
      </c>
      <c r="D1387" t="inlineStr">
        <is>
          <t>Semestral</t>
        </is>
      </c>
      <c r="E1387" t="inlineStr">
        <is>
          <t>Positivo</t>
        </is>
      </c>
      <c r="F1387" s="148" t="n">
        <v>45473</v>
      </c>
      <c r="G1387" t="n">
        <v>2024</v>
      </c>
      <c r="H1387" t="inlineStr">
        <is>
          <t>Junio</t>
        </is>
      </c>
      <c r="I1387" t="inlineStr">
        <is>
          <t>2024-1</t>
        </is>
      </c>
      <c r="J1387" t="n">
        <v>95</v>
      </c>
      <c r="K1387" t="n">
        <v>101.88</v>
      </c>
      <c r="L1387" s="59">
        <f>IFERROR(IF(OR(J1387=0,K1387=""),"",IF(E1387="Positivo",MIN(MAX(K1387/J1387,0),1.3),MIN(MAX(J1387/K1387,0),1.3))),"") </f>
        <v/>
      </c>
      <c r="M1387" s="59">
        <f>IFERROR(IF(OR(J1387=0,K1387=""),"",IF(E1387="Positivo",MAX(K1387/J1387,0),MAX(J1387/K1387,0))),"") </f>
        <v/>
      </c>
      <c r="N1387" t="inlineStr">
        <is>
          <t>$</t>
        </is>
      </c>
      <c r="O1387" t="inlineStr">
        <is>
          <t>$</t>
        </is>
      </c>
      <c r="P1387" t="n">
        <v>0</v>
      </c>
      <c r="Q1387" t="n">
        <v>0</v>
      </c>
      <c r="R1387" t="inlineStr">
        <is>
          <t>430-2024-06-30</t>
        </is>
      </c>
    </row>
    <row r="1388">
      <c r="A1388" t="n">
        <v>430</v>
      </c>
      <c r="B1388" t="inlineStr">
        <is>
          <t>Cumplimiento ingresos por matriculas</t>
        </is>
      </c>
      <c r="C1388" t="inlineStr">
        <is>
          <t>Planeación Financiera</t>
        </is>
      </c>
      <c r="D1388" t="inlineStr">
        <is>
          <t>Semestral</t>
        </is>
      </c>
      <c r="E1388" t="inlineStr">
        <is>
          <t>Positivo</t>
        </is>
      </c>
      <c r="F1388" s="148" t="n">
        <v>45657</v>
      </c>
      <c r="G1388" t="n">
        <v>2024</v>
      </c>
      <c r="H1388" t="inlineStr">
        <is>
          <t>Diciembre</t>
        </is>
      </c>
      <c r="I1388" t="inlineStr">
        <is>
          <t>2024-2</t>
        </is>
      </c>
      <c r="J1388" t="n">
        <v>95</v>
      </c>
      <c r="K1388" t="n">
        <v>102.9374919710379</v>
      </c>
      <c r="L1388" s="59">
        <f>IFERROR(IF(OR(J1388=0,K1388=""),"",IF(E1388="Positivo",MIN(MAX(K1388/J1388,0),1.3),MIN(MAX(J1388/K1388,0),1.3))),"") </f>
        <v/>
      </c>
      <c r="M1388" s="59">
        <f>IFERROR(IF(OR(J1388=0,K1388=""),"",IF(E1388="Positivo",MAX(K1388/J1388,0),MAX(J1388/K1388,0))),"") </f>
        <v/>
      </c>
      <c r="P1388" t="n">
        <v>0</v>
      </c>
      <c r="Q1388" t="n">
        <v>0</v>
      </c>
      <c r="R1388" t="inlineStr">
        <is>
          <t>430-2024-12-31</t>
        </is>
      </c>
    </row>
    <row r="1389">
      <c r="A1389" t="n">
        <v>430</v>
      </c>
      <c r="B1389" t="inlineStr">
        <is>
          <t>Cumplimiento ingresos por matriculas</t>
        </is>
      </c>
      <c r="C1389" t="inlineStr">
        <is>
          <t>Planeación Financiera</t>
        </is>
      </c>
      <c r="D1389" t="inlineStr">
        <is>
          <t>Trimestral</t>
        </is>
      </c>
      <c r="E1389" t="inlineStr">
        <is>
          <t>Positivo</t>
        </is>
      </c>
      <c r="F1389" s="148" t="n">
        <v>45838</v>
      </c>
      <c r="G1389" t="n">
        <v>2025</v>
      </c>
      <c r="H1389" t="inlineStr">
        <is>
          <t>Junio</t>
        </is>
      </c>
      <c r="I1389" t="inlineStr">
        <is>
          <t>2025-1</t>
        </is>
      </c>
      <c r="J1389" t="n">
        <v>95</v>
      </c>
      <c r="K1389" t="n">
        <v>110.79</v>
      </c>
      <c r="L1389" s="59">
        <f>IFERROR(IF(OR(J1389=0,K1389=""),"",IF(E1389="Positivo",MIN(MAX(K1389/J1389,0),1.3),MIN(MAX(J1389/K1389,0),1.3))),"") </f>
        <v/>
      </c>
      <c r="M1389" s="59">
        <f>IFERROR(IF(OR(J1389=0,K1389=""),"",IF(E1389="Positivo",MAX(K1389/J1389,0),MAX(J1389/K1389,0))),"") </f>
        <v/>
      </c>
      <c r="N1389" t="inlineStr">
        <is>
          <t>%</t>
        </is>
      </c>
      <c r="O1389" t="inlineStr">
        <is>
          <t>%</t>
        </is>
      </c>
      <c r="P1389" t="n">
        <v>0</v>
      </c>
      <c r="Q1389" t="n">
        <v>0</v>
      </c>
      <c r="R1389" t="inlineStr">
        <is>
          <t>430-2025-06-30</t>
        </is>
      </c>
    </row>
    <row r="1390">
      <c r="A1390" t="n">
        <v>430</v>
      </c>
      <c r="B1390" t="inlineStr">
        <is>
          <t>Cumplimiento ingresos por matriculas</t>
        </is>
      </c>
      <c r="C1390" t="inlineStr">
        <is>
          <t>Planeación Financiera</t>
        </is>
      </c>
      <c r="D1390" t="inlineStr">
        <is>
          <t>Trimestral</t>
        </is>
      </c>
      <c r="E1390" t="inlineStr">
        <is>
          <t>Positivo</t>
        </is>
      </c>
      <c r="F1390" s="148" t="n">
        <v>46022</v>
      </c>
      <c r="G1390" t="n">
        <v>2025</v>
      </c>
      <c r="H1390" t="inlineStr">
        <is>
          <t>Diciembre</t>
        </is>
      </c>
      <c r="I1390" t="inlineStr">
        <is>
          <t>2025-2</t>
        </is>
      </c>
      <c r="J1390" t="n">
        <v>95</v>
      </c>
      <c r="K1390" t="n">
        <v>111.76</v>
      </c>
      <c r="L1390" s="59">
        <f>IFERROR(IF(OR(J1390=0,K1390=""),"",IF(E1390="Positivo",MIN(MAX(K1390/J1390,0),1.3),MIN(MAX(J1390/K1390,0),1.3))),"") </f>
        <v/>
      </c>
      <c r="M1390" s="59">
        <f>IFERROR(IF(OR(J1390=0,K1390=""),"",IF(E1390="Positivo",MAX(K1390/J1390,0),MAX(J1390/K1390,0))),"") </f>
        <v/>
      </c>
      <c r="N1390" t="inlineStr">
        <is>
          <t>%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430-2025-12-31</t>
        </is>
      </c>
    </row>
    <row r="1391">
      <c r="A1391" t="n">
        <v>431</v>
      </c>
      <c r="B1391" t="inlineStr">
        <is>
          <t>Gestión de casos de salud que impactan a los colaboradores</t>
        </is>
      </c>
      <c r="C1391" t="inlineStr">
        <is>
          <t>GESTIÓN DE SEGURIDAD Y SALUD EN EL TRABAJO</t>
        </is>
      </c>
      <c r="D1391" t="inlineStr">
        <is>
          <t>Trimestral</t>
        </is>
      </c>
      <c r="E1391" t="inlineStr">
        <is>
          <t>Positivo</t>
        </is>
      </c>
      <c r="F1391" s="148" t="n">
        <v>45199</v>
      </c>
      <c r="G1391" t="n">
        <v>2023</v>
      </c>
      <c r="H1391" t="inlineStr">
        <is>
          <t>Septiembre</t>
        </is>
      </c>
      <c r="I1391" t="inlineStr">
        <is>
          <t>2023-2</t>
        </is>
      </c>
      <c r="J1391" t="n">
        <v>100</v>
      </c>
      <c r="K1391" t="n">
        <v>100</v>
      </c>
      <c r="L1391" s="59">
        <f>IFERROR(IF(OR(J1391=0,K1391=""),"",IF(E1391="Positivo",MIN(MAX(K1391/J1391,0),1.3),MIN(MAX(J1391/K1391,0),1.3))),"") </f>
        <v/>
      </c>
      <c r="M1391" s="59">
        <f>IFERROR(IF(OR(J1391=0,K1391=""),"",IF(E1391="Positivo",MAX(K1391/J1391,0),MAX(J1391/K1391,0))),"") </f>
        <v/>
      </c>
      <c r="N1391" t="inlineStr">
        <is>
          <t>%</t>
        </is>
      </c>
      <c r="O1391" t="inlineStr">
        <is>
          <t>%</t>
        </is>
      </c>
      <c r="P1391" t="n">
        <v>0</v>
      </c>
      <c r="Q1391" t="n">
        <v>0</v>
      </c>
      <c r="R1391" t="inlineStr">
        <is>
          <t>431-2023-09-30</t>
        </is>
      </c>
    </row>
    <row r="1392">
      <c r="A1392" t="n">
        <v>431</v>
      </c>
      <c r="B1392" t="inlineStr">
        <is>
          <t>Gestión de casos de salud que impactan a los colaboradores</t>
        </is>
      </c>
      <c r="C1392" t="inlineStr">
        <is>
          <t>GESTIÓN DE SEGURIDAD Y SALUD EN EL TRABAJO</t>
        </is>
      </c>
      <c r="D1392" t="inlineStr">
        <is>
          <t>Trimestral</t>
        </is>
      </c>
      <c r="E1392" t="inlineStr">
        <is>
          <t>Positivo</t>
        </is>
      </c>
      <c r="F1392" s="148" t="n">
        <v>45291</v>
      </c>
      <c r="G1392" t="n">
        <v>2023</v>
      </c>
      <c r="H1392" t="inlineStr">
        <is>
          <t>Diciembre</t>
        </is>
      </c>
      <c r="I1392" t="inlineStr">
        <is>
          <t>2023-2</t>
        </is>
      </c>
      <c r="J1392" t="n">
        <v>100</v>
      </c>
      <c r="K1392" t="n">
        <v>100</v>
      </c>
      <c r="L1392" s="59">
        <f>IFERROR(IF(OR(J1392=0,K1392=""),"",IF(E1392="Positivo",MIN(MAX(K1392/J1392,0),1.3),MIN(MAX(J1392/K1392,0),1.3))),"") </f>
        <v/>
      </c>
      <c r="M1392" s="59">
        <f>IFERROR(IF(OR(J1392=0,K1392=""),"",IF(E1392="Positivo",MAX(K1392/J1392,0),MAX(J1392/K1392,0))),"") </f>
        <v/>
      </c>
      <c r="N1392" t="inlineStr">
        <is>
          <t>%</t>
        </is>
      </c>
      <c r="O1392" t="inlineStr">
        <is>
          <t>%</t>
        </is>
      </c>
      <c r="P1392" t="n">
        <v>0</v>
      </c>
      <c r="Q1392" t="n">
        <v>0</v>
      </c>
      <c r="R1392" t="inlineStr">
        <is>
          <t>431-2023-12-31</t>
        </is>
      </c>
    </row>
    <row r="1393">
      <c r="A1393" t="n">
        <v>431</v>
      </c>
      <c r="B1393" t="inlineStr">
        <is>
          <t>Gestión de casos de salud que impactan a los colaboradores</t>
        </is>
      </c>
      <c r="C1393" t="inlineStr">
        <is>
          <t>GESTIÓN DE SEGURIDAD Y SALUD EN EL TRABAJO</t>
        </is>
      </c>
      <c r="D1393" t="inlineStr">
        <is>
          <t>Trimestral</t>
        </is>
      </c>
      <c r="E1393" t="inlineStr">
        <is>
          <t>Positivo</t>
        </is>
      </c>
      <c r="F1393" s="148" t="n">
        <v>45473</v>
      </c>
      <c r="G1393" t="n">
        <v>2024</v>
      </c>
      <c r="H1393" t="inlineStr">
        <is>
          <t>Junio</t>
        </is>
      </c>
      <c r="I1393" t="inlineStr">
        <is>
          <t>2024-1</t>
        </is>
      </c>
      <c r="J1393" t="n">
        <v>100</v>
      </c>
      <c r="K1393" t="n">
        <v>100</v>
      </c>
      <c r="L1393" s="59">
        <f>IFERROR(IF(OR(J1393=0,K1393=""),"",IF(E1393="Positivo",MIN(MAX(K1393/J1393,0),1.3),MIN(MAX(J1393/K1393,0),1.3))),"") </f>
        <v/>
      </c>
      <c r="M1393" s="59">
        <f>IFERROR(IF(OR(J1393=0,K1393=""),"",IF(E1393="Positivo",MAX(K1393/J1393,0),MAX(J1393/K1393,0))),"") </f>
        <v/>
      </c>
      <c r="P1393" t="n">
        <v>0</v>
      </c>
      <c r="Q1393" t="n">
        <v>0</v>
      </c>
      <c r="R1393" t="inlineStr">
        <is>
          <t>431-2024-06-30</t>
        </is>
      </c>
    </row>
    <row r="1394">
      <c r="A1394" t="n">
        <v>431</v>
      </c>
      <c r="B1394" t="inlineStr">
        <is>
          <t>Gestión de casos de salud que impactan a los colaboradores</t>
        </is>
      </c>
      <c r="C1394" t="inlineStr">
        <is>
          <t>GESTIÓN DE SEGURIDAD Y SALUD EN EL TRABAJO</t>
        </is>
      </c>
      <c r="D1394" t="inlineStr">
        <is>
          <t>Trimestral</t>
        </is>
      </c>
      <c r="E1394" t="inlineStr">
        <is>
          <t>Positivo</t>
        </is>
      </c>
      <c r="F1394" s="148" t="n">
        <v>45657</v>
      </c>
      <c r="G1394" t="n">
        <v>2024</v>
      </c>
      <c r="H1394" t="inlineStr">
        <is>
          <t>Diciembre</t>
        </is>
      </c>
      <c r="I1394" t="inlineStr">
        <is>
          <t>2024-2</t>
        </is>
      </c>
      <c r="J1394" t="n">
        <v>100</v>
      </c>
      <c r="K1394" t="n">
        <v>100</v>
      </c>
      <c r="L1394" s="59">
        <f>IFERROR(IF(OR(J1394=0,K1394=""),"",IF(E1394="Positivo",MIN(MAX(K1394/J1394,0),1.3),MIN(MAX(J1394/K1394,0),1.3))),"") </f>
        <v/>
      </c>
      <c r="M1394" s="59">
        <f>IFERROR(IF(OR(J1394=0,K1394=""),"",IF(E1394="Positivo",MAX(K1394/J1394,0),MAX(J1394/K1394,0))),"") </f>
        <v/>
      </c>
      <c r="P1394" t="n">
        <v>0</v>
      </c>
      <c r="Q1394" t="n">
        <v>0</v>
      </c>
      <c r="R1394" t="inlineStr">
        <is>
          <t>431-2024-12-31</t>
        </is>
      </c>
    </row>
    <row r="1395">
      <c r="A1395" t="n">
        <v>431</v>
      </c>
      <c r="B1395" t="inlineStr">
        <is>
          <t>Gestión de casos de salud que impactan a los colaboradores</t>
        </is>
      </c>
      <c r="C1395" t="inlineStr">
        <is>
          <t>GESTIÓN DE SEGURIDAD Y SALUD EN EL TRABAJO</t>
        </is>
      </c>
      <c r="D1395" t="inlineStr">
        <is>
          <t>Trimestral</t>
        </is>
      </c>
      <c r="E1395" t="inlineStr">
        <is>
          <t>Positivo</t>
        </is>
      </c>
      <c r="F1395" s="148" t="n">
        <v>45838</v>
      </c>
      <c r="G1395" t="n">
        <v>2025</v>
      </c>
      <c r="H1395" t="inlineStr">
        <is>
          <t>Junio</t>
        </is>
      </c>
      <c r="I1395" t="inlineStr">
        <is>
          <t>2025-1</t>
        </is>
      </c>
      <c r="J1395" t="n">
        <v>100</v>
      </c>
      <c r="K1395" t="n">
        <v>100</v>
      </c>
      <c r="L1395" s="59">
        <f>IFERROR(IF(OR(J1395=0,K1395=""),"",IF(E1395="Positivo",MIN(MAX(K1395/J1395,0),1.3),MIN(MAX(J1395/K1395,0),1.3))),"") </f>
        <v/>
      </c>
      <c r="M1395" s="59">
        <f>IFERROR(IF(OR(J1395=0,K1395=""),"",IF(E1395="Positivo",MAX(K1395/J1395,0),MAX(J1395/K1395,0))),"") </f>
        <v/>
      </c>
      <c r="N1395" t="inlineStr">
        <is>
          <t>%</t>
        </is>
      </c>
      <c r="O1395" t="inlineStr">
        <is>
          <t>%</t>
        </is>
      </c>
      <c r="P1395" t="n">
        <v>0</v>
      </c>
      <c r="Q1395" t="n">
        <v>0</v>
      </c>
      <c r="R1395" t="inlineStr">
        <is>
          <t>431-2025-06-30</t>
        </is>
      </c>
    </row>
    <row r="1396">
      <c r="A1396" t="n">
        <v>431</v>
      </c>
      <c r="B1396" t="inlineStr">
        <is>
          <t>Gestión de casos de salud que impactan a los colaboradores</t>
        </is>
      </c>
      <c r="C1396" t="inlineStr">
        <is>
          <t>GESTIÓN DE SEGURIDAD Y SALUD EN EL TRABAJO</t>
        </is>
      </c>
      <c r="D1396" t="inlineStr">
        <is>
          <t>Semestral</t>
        </is>
      </c>
      <c r="E1396" t="inlineStr">
        <is>
          <t>Positivo</t>
        </is>
      </c>
      <c r="F1396" s="148" t="n">
        <v>46022</v>
      </c>
      <c r="G1396" t="n">
        <v>2025</v>
      </c>
      <c r="H1396" t="inlineStr">
        <is>
          <t>Diciembre</t>
        </is>
      </c>
      <c r="I1396" t="inlineStr">
        <is>
          <t>2025-2</t>
        </is>
      </c>
      <c r="J1396" t="n">
        <v>100</v>
      </c>
      <c r="K1396" t="n">
        <v>100</v>
      </c>
      <c r="L1396" s="59">
        <f>IFERROR(IF(OR(J1396=0,K1396=""),"",IF(E1396="Positivo",MIN(MAX(K1396/J1396,0),1.3),MIN(MAX(J1396/K1396,0),1.3))),"") </f>
        <v/>
      </c>
      <c r="M1396" s="59">
        <f>IFERROR(IF(OR(J1396=0,K1396=""),"",IF(E1396="Positivo",MAX(K1396/J1396,0),MAX(J1396/K1396,0))),"") </f>
        <v/>
      </c>
      <c r="N1396" t="inlineStr">
        <is>
          <t>%</t>
        </is>
      </c>
      <c r="O1396" t="inlineStr">
        <is>
          <t>%</t>
        </is>
      </c>
      <c r="P1396" t="n">
        <v>0</v>
      </c>
      <c r="Q1396" t="n">
        <v>0</v>
      </c>
      <c r="R1396" t="inlineStr">
        <is>
          <t>431-2025-12-31</t>
        </is>
      </c>
    </row>
    <row r="1397">
      <c r="A1397" t="n">
        <v>432</v>
      </c>
      <c r="B1397" t="inlineStr">
        <is>
          <t>Intervención a la gestión del riesgo de los colaboradores</t>
        </is>
      </c>
      <c r="C1397" t="inlineStr">
        <is>
          <t>GESTIÓN DE SEGURIDAD Y SALUD EN EL TRABAJO</t>
        </is>
      </c>
      <c r="D1397" t="inlineStr">
        <is>
          <t>Trimestral</t>
        </is>
      </c>
      <c r="E1397" t="inlineStr">
        <is>
          <t>Positivo</t>
        </is>
      </c>
      <c r="F1397" s="148" t="n">
        <v>45291</v>
      </c>
      <c r="G1397" t="n">
        <v>2023</v>
      </c>
      <c r="H1397" t="inlineStr">
        <is>
          <t>Diciembre</t>
        </is>
      </c>
      <c r="I1397" t="inlineStr">
        <is>
          <t>2023-2</t>
        </is>
      </c>
      <c r="J1397" t="n">
        <v>90</v>
      </c>
      <c r="K1397" t="n">
        <v>99.382777777778</v>
      </c>
      <c r="L1397" s="59">
        <f>IFERROR(IF(OR(J1397=0,K1397=""),"",IF(E1397="Positivo",MIN(MAX(K1397/J1397,0),1.3),MIN(MAX(J1397/K1397,0),1.3))),"") </f>
        <v/>
      </c>
      <c r="M1397" s="59">
        <f>IFERROR(IF(OR(J1397=0,K1397=""),"",IF(E1397="Positivo",MAX(K1397/J1397,0),MAX(J1397/K1397,0))),"") </f>
        <v/>
      </c>
      <c r="N1397" t="inlineStr">
        <is>
          <t>%</t>
        </is>
      </c>
      <c r="O1397" t="inlineStr">
        <is>
          <t>%</t>
        </is>
      </c>
      <c r="P1397" t="n">
        <v>0</v>
      </c>
      <c r="Q1397" t="n">
        <v>0</v>
      </c>
      <c r="R1397" t="inlineStr">
        <is>
          <t>432-2023-12-31</t>
        </is>
      </c>
    </row>
    <row r="1398">
      <c r="A1398" t="n">
        <v>432</v>
      </c>
      <c r="B1398" t="inlineStr">
        <is>
          <t>Intervención a la gestión del riesgo de los colaboradores</t>
        </is>
      </c>
      <c r="C1398" t="inlineStr">
        <is>
          <t>GESTIÓN DE SEGURIDAD Y SALUD EN EL TRABAJO</t>
        </is>
      </c>
      <c r="D1398" t="inlineStr">
        <is>
          <t>Trimestral</t>
        </is>
      </c>
      <c r="E1398" t="inlineStr">
        <is>
          <t>Positivo</t>
        </is>
      </c>
      <c r="F1398" s="148" t="n">
        <v>45473</v>
      </c>
      <c r="G1398" t="n">
        <v>2024</v>
      </c>
      <c r="H1398" t="inlineStr">
        <is>
          <t>Junio</t>
        </is>
      </c>
      <c r="I1398" t="inlineStr">
        <is>
          <t>2024-1</t>
        </is>
      </c>
      <c r="J1398" t="n">
        <v>90</v>
      </c>
      <c r="K1398" t="n">
        <v>100</v>
      </c>
      <c r="L1398" s="59">
        <f>IFERROR(IF(OR(J1398=0,K1398=""),"",IF(E1398="Positivo",MIN(MAX(K1398/J1398,0),1.3),MIN(MAX(J1398/K1398,0),1.3))),"") </f>
        <v/>
      </c>
      <c r="M1398" s="59">
        <f>IFERROR(IF(OR(J1398=0,K1398=""),"",IF(E1398="Positivo",MAX(K1398/J1398,0),MAX(J1398/K1398,0))),"") </f>
        <v/>
      </c>
      <c r="P1398" t="n">
        <v>0</v>
      </c>
      <c r="Q1398" t="n">
        <v>0</v>
      </c>
      <c r="R1398" t="inlineStr">
        <is>
          <t>432-2024-06-30</t>
        </is>
      </c>
    </row>
    <row r="1399">
      <c r="A1399" t="n">
        <v>432</v>
      </c>
      <c r="B1399" t="inlineStr">
        <is>
          <t>Intervención a la gestión del riesgo de los colaboradores</t>
        </is>
      </c>
      <c r="C1399" t="inlineStr">
        <is>
          <t>GESTIÓN DE SEGURIDAD Y SALUD EN EL TRABAJO</t>
        </is>
      </c>
      <c r="D1399" t="inlineStr">
        <is>
          <t>Trimestral</t>
        </is>
      </c>
      <c r="E1399" t="inlineStr">
        <is>
          <t>Positivo</t>
        </is>
      </c>
      <c r="F1399" s="148" t="n">
        <v>45657</v>
      </c>
      <c r="G1399" t="n">
        <v>2024</v>
      </c>
      <c r="H1399" t="inlineStr">
        <is>
          <t>Diciembre</t>
        </is>
      </c>
      <c r="I1399" t="inlineStr">
        <is>
          <t>2024-2</t>
        </is>
      </c>
      <c r="J1399" t="n">
        <v>90</v>
      </c>
      <c r="K1399" t="n">
        <v>50</v>
      </c>
      <c r="L1399" s="59">
        <f>IFERROR(IF(OR(J1399=0,K1399=""),"",IF(E1399="Positivo",MIN(MAX(K1399/J1399,0),1.3),MIN(MAX(J1399/K1399,0),1.3))),"") </f>
        <v/>
      </c>
      <c r="M1399" s="59">
        <f>IFERROR(IF(OR(J1399=0,K1399=""),"",IF(E1399="Positivo",MAX(K1399/J1399,0),MAX(J1399/K1399,0))),"") </f>
        <v/>
      </c>
      <c r="P1399" t="n">
        <v>0</v>
      </c>
      <c r="Q1399" t="n">
        <v>0</v>
      </c>
      <c r="R1399" t="inlineStr">
        <is>
          <t>432-2024-12-31</t>
        </is>
      </c>
    </row>
    <row r="1400">
      <c r="A1400" t="n">
        <v>432</v>
      </c>
      <c r="B1400" t="inlineStr">
        <is>
          <t>Intervención a la gestión del riesgo de los colaboradores</t>
        </is>
      </c>
      <c r="C1400" t="inlineStr">
        <is>
          <t>GESTIÓN DE SEGURIDAD Y SALUD EN EL TRABAJO</t>
        </is>
      </c>
      <c r="D1400" t="inlineStr">
        <is>
          <t>Trimestral</t>
        </is>
      </c>
      <c r="E1400" t="inlineStr">
        <is>
          <t>Positivo</t>
        </is>
      </c>
      <c r="F1400" s="148" t="n">
        <v>45838</v>
      </c>
      <c r="G1400" t="n">
        <v>2025</v>
      </c>
      <c r="H1400" t="inlineStr">
        <is>
          <t>Junio</t>
        </is>
      </c>
      <c r="I1400" t="inlineStr">
        <is>
          <t>2025-1</t>
        </is>
      </c>
      <c r="J1400" t="n">
        <v>90</v>
      </c>
      <c r="K1400" t="n">
        <v>100</v>
      </c>
      <c r="L1400" s="59">
        <f>IFERROR(IF(OR(J1400=0,K1400=""),"",IF(E1400="Positivo",MIN(MAX(K1400/J1400,0),1.3),MIN(MAX(J1400/K1400,0),1.3))),"") </f>
        <v/>
      </c>
      <c r="M1400" s="59">
        <f>IFERROR(IF(OR(J1400=0,K1400=""),"",IF(E1400="Positivo",MAX(K1400/J1400,0),MAX(J1400/K1400,0))),"") </f>
        <v/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432-2025-06-30</t>
        </is>
      </c>
    </row>
    <row r="1401">
      <c r="A1401" t="n">
        <v>432</v>
      </c>
      <c r="B1401" t="inlineStr">
        <is>
          <t>Intervención a la gestión del riesgo de los colaboradores</t>
        </is>
      </c>
      <c r="C1401" t="inlineStr">
        <is>
          <t>GESTIÓN DE SEGURIDAD Y SALUD EN EL TRABAJO</t>
        </is>
      </c>
      <c r="D1401" t="inlineStr">
        <is>
          <t>Semestral</t>
        </is>
      </c>
      <c r="E1401" t="inlineStr">
        <is>
          <t>Positivo</t>
        </is>
      </c>
      <c r="F1401" s="148" t="n">
        <v>46022</v>
      </c>
      <c r="G1401" t="n">
        <v>2025</v>
      </c>
      <c r="H1401" t="inlineStr">
        <is>
          <t>Diciembre</t>
        </is>
      </c>
      <c r="I1401" t="inlineStr">
        <is>
          <t>2025-2</t>
        </is>
      </c>
      <c r="J1401" t="n">
        <v>90</v>
      </c>
      <c r="K1401" t="n">
        <v>100</v>
      </c>
      <c r="L1401" s="59">
        <f>IFERROR(IF(OR(J1401=0,K1401=""),"",IF(E1401="Positivo",MIN(MAX(K1401/J1401,0),1.3),MIN(MAX(J1401/K1401,0),1.3))),"") </f>
        <v/>
      </c>
      <c r="M1401" s="59">
        <f>IFERROR(IF(OR(J1401=0,K1401=""),"",IF(E1401="Positivo",MAX(K1401/J1401,0),MAX(J1401/K1401,0))),"") </f>
        <v/>
      </c>
      <c r="N1401" t="inlineStr">
        <is>
          <t>%</t>
        </is>
      </c>
      <c r="O1401" t="inlineStr">
        <is>
          <t>%</t>
        </is>
      </c>
      <c r="P1401" t="n">
        <v>0</v>
      </c>
      <c r="Q1401" t="n">
        <v>0</v>
      </c>
      <c r="R1401" t="inlineStr">
        <is>
          <t>432-2025-12-31</t>
        </is>
      </c>
    </row>
    <row r="1402">
      <c r="A1402" t="n">
        <v>433</v>
      </c>
      <c r="B1402" t="inlineStr">
        <is>
          <t>Generación de Residuos Peligrosos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48" t="n">
        <v>45107</v>
      </c>
      <c r="G1402" t="n">
        <v>2023</v>
      </c>
      <c r="H1402" t="inlineStr">
        <is>
          <t>Junio</t>
        </is>
      </c>
      <c r="I1402" t="inlineStr">
        <is>
          <t>2023-1</t>
        </is>
      </c>
      <c r="J1402" t="n">
        <v>0.05</v>
      </c>
      <c r="K1402" t="n">
        <v>0.02</v>
      </c>
      <c r="L1402" s="59">
        <f>IFERROR(IF(OR(J1402=0,K1402=""),"",IF(E1402="Positivo",MIN(MAX(K1402/J1402,0),1.3),MIN(MAX(J1402/K1402,0),1.3))),"") </f>
        <v/>
      </c>
      <c r="M1402" s="59">
        <f>IFERROR(IF(OR(J1402=0,K1402=""),"",IF(E1402="Positivo",MAX(K1402/J1402,0),MAX(J1402/K1402,0))),"") </f>
        <v/>
      </c>
      <c r="N1402" t="inlineStr">
        <is>
          <t>DEC</t>
        </is>
      </c>
      <c r="O1402" t="inlineStr">
        <is>
          <t>DEC</t>
        </is>
      </c>
      <c r="P1402" t="n">
        <v>2</v>
      </c>
      <c r="Q1402" t="n">
        <v>2</v>
      </c>
      <c r="R1402" t="inlineStr">
        <is>
          <t>433-2023-06-30</t>
        </is>
      </c>
    </row>
    <row r="1403">
      <c r="A1403" t="n">
        <v>433</v>
      </c>
      <c r="B1403" t="inlineStr">
        <is>
          <t>Generación de Residuos Peligrosos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48" t="n">
        <v>45291</v>
      </c>
      <c r="G1403" t="n">
        <v>2023</v>
      </c>
      <c r="H1403" t="inlineStr">
        <is>
          <t>Diciembre</t>
        </is>
      </c>
      <c r="I1403" t="inlineStr">
        <is>
          <t>2023-2</t>
        </is>
      </c>
      <c r="J1403" t="n">
        <v>0.05</v>
      </c>
      <c r="K1403" t="n">
        <v>0.05</v>
      </c>
      <c r="L1403" s="59">
        <f>IFERROR(IF(OR(J1403=0,K1403=""),"",IF(E1403="Positivo",MIN(MAX(K1403/J1403,0),1.3),MIN(MAX(J1403/K1403,0),1.3))),"") </f>
        <v/>
      </c>
      <c r="M1403" s="59">
        <f>IFERROR(IF(OR(J1403=0,K1403=""),"",IF(E1403="Positivo",MAX(K1403/J1403,0),MAX(J1403/K1403,0))),"") </f>
        <v/>
      </c>
      <c r="N1403" t="inlineStr">
        <is>
          <t>DEC</t>
        </is>
      </c>
      <c r="O1403" t="inlineStr">
        <is>
          <t>DEC</t>
        </is>
      </c>
      <c r="P1403" t="n">
        <v>2</v>
      </c>
      <c r="Q1403" t="n">
        <v>2</v>
      </c>
      <c r="R1403" t="inlineStr">
        <is>
          <t>433-2023-12-31</t>
        </is>
      </c>
    </row>
    <row r="1404">
      <c r="A1404" t="n">
        <v>433</v>
      </c>
      <c r="B1404" t="inlineStr">
        <is>
          <t>Generación de Residuos Peligrosos per Cápita Semestral</t>
        </is>
      </c>
      <c r="C1404" t="inlineStr">
        <is>
          <t>GESTIÓN AMBIENTAL</t>
        </is>
      </c>
      <c r="D1404" t="inlineStr">
        <is>
          <t>Semestral</t>
        </is>
      </c>
      <c r="E1404" t="inlineStr">
        <is>
          <t>Negativo</t>
        </is>
      </c>
      <c r="F1404" s="148" t="n">
        <v>45473</v>
      </c>
      <c r="G1404" t="n">
        <v>2024</v>
      </c>
      <c r="H1404" t="inlineStr">
        <is>
          <t>Junio</t>
        </is>
      </c>
      <c r="I1404" t="inlineStr">
        <is>
          <t>2024-1</t>
        </is>
      </c>
      <c r="J1404" t="n">
        <v>0.05</v>
      </c>
      <c r="K1404" t="n">
        <v>0.07000000000000001</v>
      </c>
      <c r="L1404" s="59">
        <f>IFERROR(IF(OR(J1404=0,K1404=""),"",IF(E1404="Positivo",MIN(MAX(K1404/J1404,0),1.3),MIN(MAX(J1404/K1404,0),1.3))),"") </f>
        <v/>
      </c>
      <c r="M1404" s="59">
        <f>IFERROR(IF(OR(J1404=0,K1404=""),"",IF(E1404="Positivo",MAX(K1404/J1404,0),MAX(J1404/K1404,0))),"") </f>
        <v/>
      </c>
      <c r="P1404" t="n">
        <v>0</v>
      </c>
      <c r="Q1404" t="n">
        <v>0</v>
      </c>
      <c r="R1404" t="inlineStr">
        <is>
          <t>433-2024-06-30</t>
        </is>
      </c>
    </row>
    <row r="1405">
      <c r="A1405" t="n">
        <v>433</v>
      </c>
      <c r="B1405" t="inlineStr">
        <is>
          <t>Generación de Residuos Peligrosos per Cápita Semestral</t>
        </is>
      </c>
      <c r="C1405" t="inlineStr">
        <is>
          <t>GESTIÓN AMBIENTAL</t>
        </is>
      </c>
      <c r="D1405" t="inlineStr">
        <is>
          <t>Semestral</t>
        </is>
      </c>
      <c r="E1405" t="inlineStr">
        <is>
          <t>Negativo</t>
        </is>
      </c>
      <c r="F1405" s="148" t="n">
        <v>45657</v>
      </c>
      <c r="G1405" t="n">
        <v>2024</v>
      </c>
      <c r="H1405" t="inlineStr">
        <is>
          <t>Diciembre</t>
        </is>
      </c>
      <c r="I1405" t="inlineStr">
        <is>
          <t>2024-2</t>
        </is>
      </c>
      <c r="J1405" t="n">
        <v>0.05</v>
      </c>
      <c r="K1405" t="n">
        <v>0.14</v>
      </c>
      <c r="L1405" s="59">
        <f>IFERROR(IF(OR(J1405=0,K1405=""),"",IF(E1405="Positivo",MIN(MAX(K1405/J1405,0),1.3),MIN(MAX(J1405/K1405,0),1.3))),"") </f>
        <v/>
      </c>
      <c r="M1405" s="59">
        <f>IFERROR(IF(OR(J1405=0,K1405=""),"",IF(E1405="Positivo",MAX(K1405/J1405,0),MAX(J1405/K1405,0))),"") </f>
        <v/>
      </c>
      <c r="P1405" t="n">
        <v>0</v>
      </c>
      <c r="Q1405" t="n">
        <v>0</v>
      </c>
      <c r="R1405" t="inlineStr">
        <is>
          <t>433-2024-12-31</t>
        </is>
      </c>
    </row>
    <row r="1406">
      <c r="A1406" t="n">
        <v>433</v>
      </c>
      <c r="B1406" t="inlineStr">
        <is>
          <t>Generación de Residuos Peligrosos per Cápita Semestral</t>
        </is>
      </c>
      <c r="C1406" t="inlineStr">
        <is>
          <t>GESTIÓN AMBIENTAL</t>
        </is>
      </c>
      <c r="D1406" t="inlineStr">
        <is>
          <t>Trimestral</t>
        </is>
      </c>
      <c r="E1406" t="inlineStr">
        <is>
          <t>Negativo</t>
        </is>
      </c>
      <c r="F1406" s="148" t="n">
        <v>45838</v>
      </c>
      <c r="G1406" t="n">
        <v>2025</v>
      </c>
      <c r="H1406" t="inlineStr">
        <is>
          <t>Junio</t>
        </is>
      </c>
      <c r="I1406" t="inlineStr">
        <is>
          <t>2025-1</t>
        </is>
      </c>
      <c r="J1406" t="n">
        <v>0.05</v>
      </c>
      <c r="K1406" t="n">
        <v>0.02</v>
      </c>
      <c r="L1406" s="59">
        <f>IFERROR(IF(OR(J1406=0,K1406=""),"",IF(E1406="Positivo",MIN(MAX(K1406/J1406,0),1.3),MIN(MAX(J1406/K1406,0),1.3))),"") </f>
        <v/>
      </c>
      <c r="M1406" s="59">
        <f>IFERROR(IF(OR(J1406=0,K1406=""),"",IF(E1406="Positivo",MAX(K1406/J1406,0),MAX(J1406/K1406,0))),"") </f>
        <v/>
      </c>
      <c r="N1406" t="inlineStr">
        <is>
          <t>DEC</t>
        </is>
      </c>
      <c r="O1406" t="inlineStr">
        <is>
          <t>DEC</t>
        </is>
      </c>
      <c r="P1406" t="n">
        <v>2</v>
      </c>
      <c r="Q1406" t="n">
        <v>2</v>
      </c>
      <c r="R1406" t="inlineStr">
        <is>
          <t>433-2025-06-30</t>
        </is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48" t="n">
        <v>46022</v>
      </c>
      <c r="G1407" t="n">
        <v>2025</v>
      </c>
      <c r="H1407" t="inlineStr">
        <is>
          <t>Diciembre</t>
        </is>
      </c>
      <c r="I1407" t="inlineStr">
        <is>
          <t>2025-2</t>
        </is>
      </c>
      <c r="J1407" t="n">
        <v>0.05</v>
      </c>
      <c r="K1407" t="n">
        <v>0.17</v>
      </c>
      <c r="L1407" s="59">
        <f>IFERROR(IF(OR(J1407=0,K1407=""),"",IF(E1407="Positivo",MIN(MAX(K1407/J1407,0),1.3),MIN(MAX(J1407/K1407,0),1.3))),"") </f>
        <v/>
      </c>
      <c r="M1407" s="59">
        <f>IFERROR(IF(OR(J1407=0,K1407=""),"",IF(E1407="Positivo",MAX(K1407/J1407,0),MAX(J1407/K1407,0))),"") </f>
        <v/>
      </c>
      <c r="N1407" t="inlineStr">
        <is>
          <t>DEC</t>
        </is>
      </c>
      <c r="O1407" t="inlineStr">
        <is>
          <t>DEC</t>
        </is>
      </c>
      <c r="P1407" t="n">
        <v>2</v>
      </c>
      <c r="Q1407" t="n">
        <v>2</v>
      </c>
      <c r="R1407" t="inlineStr">
        <is>
          <t>433-2025-12-31</t>
        </is>
      </c>
    </row>
    <row r="1408">
      <c r="A1408" t="n">
        <v>434</v>
      </c>
      <c r="B1408" t="inlineStr">
        <is>
          <t>Generación de Residuos Peligrosos Mensual</t>
        </is>
      </c>
      <c r="C1408" t="inlineStr">
        <is>
          <t>GESTIÓN AMBIENTAL</t>
        </is>
      </c>
      <c r="D1408" t="inlineStr">
        <is>
          <t>Mensual</t>
        </is>
      </c>
      <c r="E1408" t="inlineStr">
        <is>
          <t>Negativo</t>
        </is>
      </c>
      <c r="F1408" s="148" t="n">
        <v>45107</v>
      </c>
      <c r="G1408" t="n">
        <v>2023</v>
      </c>
      <c r="H1408" t="inlineStr">
        <is>
          <t>Junio</t>
        </is>
      </c>
      <c r="I1408" t="inlineStr">
        <is>
          <t>2023-1</t>
        </is>
      </c>
      <c r="J1408" t="n">
        <v>1200</v>
      </c>
      <c r="K1408" t="n">
        <v>18.5</v>
      </c>
      <c r="L1408" s="59">
        <f>IFERROR(IF(OR(J1408=0,K1408=""),"",IF(E1408="Positivo",MIN(MAX(K1408/J1408,0),1.3),MIN(MAX(J1408/K1408,0),1.3))),"") </f>
        <v/>
      </c>
      <c r="M1408" s="59">
        <f>IFERROR(IF(OR(J1408=0,K1408=""),"",IF(E1408="Positivo",MAX(K1408/J1408,0),MAX(J1408/K1408,0))),"") </f>
        <v/>
      </c>
      <c r="N1408" t="inlineStr">
        <is>
          <t>Kg</t>
        </is>
      </c>
      <c r="O1408" t="inlineStr">
        <is>
          <t>Kg</t>
        </is>
      </c>
      <c r="P1408" t="n">
        <v>0</v>
      </c>
      <c r="Q1408" t="n">
        <v>0</v>
      </c>
      <c r="R1408" t="inlineStr">
        <is>
          <t>434-2023-06-30</t>
        </is>
      </c>
    </row>
    <row r="1409">
      <c r="A1409" t="n">
        <v>434</v>
      </c>
      <c r="B1409" t="inlineStr">
        <is>
          <t>Generación de Residuos Peligroso Mensual</t>
        </is>
      </c>
      <c r="C1409" t="inlineStr">
        <is>
          <t>GESTIÓN AMBIENTAL</t>
        </is>
      </c>
      <c r="D1409" t="inlineStr">
        <is>
          <t>Mensual</t>
        </is>
      </c>
      <c r="E1409" t="inlineStr">
        <is>
          <t>Negativo</t>
        </is>
      </c>
      <c r="F1409" s="148" t="n">
        <v>45199</v>
      </c>
      <c r="G1409" t="n">
        <v>2023</v>
      </c>
      <c r="H1409" t="inlineStr">
        <is>
          <t>Septiembre</t>
        </is>
      </c>
      <c r="I1409" t="inlineStr">
        <is>
          <t>2023-2</t>
        </is>
      </c>
      <c r="J1409" t="n">
        <v>1200</v>
      </c>
      <c r="K1409" t="n">
        <v>2275.63</v>
      </c>
      <c r="L1409" s="59">
        <f>IFERROR(IF(OR(J1409=0,K1409=""),"",IF(E1409="Positivo",MIN(MAX(K1409/J1409,0),1.3),MIN(MAX(J1409/K1409,0),1.3))),"") </f>
        <v/>
      </c>
      <c r="M1409" s="59">
        <f>IFERROR(IF(OR(J1409=0,K1409=""),"",IF(E1409="Positivo",MAX(K1409/J1409,0),MAX(J1409/K1409,0))),"") </f>
        <v/>
      </c>
      <c r="P1409" t="n">
        <v>1</v>
      </c>
      <c r="Q1409" t="n">
        <v>1</v>
      </c>
      <c r="R1409" t="inlineStr">
        <is>
          <t>434-2023-09-30</t>
        </is>
      </c>
    </row>
    <row r="1410">
      <c r="A1410" t="n">
        <v>434</v>
      </c>
      <c r="B1410" t="inlineStr">
        <is>
          <t>Generación de Residuos Peligroso Mensual</t>
        </is>
      </c>
      <c r="C1410" t="inlineStr">
        <is>
          <t>GESTIÓN AMBIENTAL</t>
        </is>
      </c>
      <c r="D1410" t="inlineStr">
        <is>
          <t>Mensual</t>
        </is>
      </c>
      <c r="E1410" t="inlineStr">
        <is>
          <t>Negativo</t>
        </is>
      </c>
      <c r="F1410" s="148" t="n">
        <v>45230</v>
      </c>
      <c r="G1410" t="n">
        <v>2023</v>
      </c>
      <c r="H1410" t="inlineStr">
        <is>
          <t>Octubre</t>
        </is>
      </c>
      <c r="I1410" t="inlineStr">
        <is>
          <t>2023-2</t>
        </is>
      </c>
      <c r="J1410" t="n">
        <v>1200</v>
      </c>
      <c r="K1410" t="n">
        <v>2275.63</v>
      </c>
      <c r="L1410" s="59">
        <f>IFERROR(IF(OR(J1410=0,K1410=""),"",IF(E1410="Positivo",MIN(MAX(K1410/J1410,0),1.3),MIN(MAX(J1410/K1410,0),1.3))),"") </f>
        <v/>
      </c>
      <c r="M1410" s="59">
        <f>IFERROR(IF(OR(J1410=0,K1410=""),"",IF(E1410="Positivo",MAX(K1410/J1410,0),MAX(J1410/K1410,0))),"") </f>
        <v/>
      </c>
      <c r="P1410" t="n">
        <v>1</v>
      </c>
      <c r="Q1410" t="n">
        <v>1</v>
      </c>
      <c r="R1410" t="inlineStr">
        <is>
          <t>434-2023-10-31</t>
        </is>
      </c>
    </row>
    <row r="1411">
      <c r="A1411" t="n">
        <v>434</v>
      </c>
      <c r="B1411" t="inlineStr">
        <is>
          <t>Generación de Residuos Peligroso Mensual</t>
        </is>
      </c>
      <c r="C1411" t="inlineStr">
        <is>
          <t>GESTIÓN AMBIENTAL</t>
        </is>
      </c>
      <c r="D1411" t="inlineStr">
        <is>
          <t>Mensual</t>
        </is>
      </c>
      <c r="E1411" t="inlineStr">
        <is>
          <t>Negativo</t>
        </is>
      </c>
      <c r="F1411" s="148" t="n">
        <v>45260</v>
      </c>
      <c r="G1411" t="n">
        <v>2023</v>
      </c>
      <c r="H1411" t="inlineStr">
        <is>
          <t>Noviembre</t>
        </is>
      </c>
      <c r="I1411" t="inlineStr">
        <is>
          <t>2023-2</t>
        </is>
      </c>
      <c r="J1411" t="n">
        <v>1200</v>
      </c>
      <c r="K1411" t="n">
        <v>2275.63</v>
      </c>
      <c r="L1411" s="59">
        <f>IFERROR(IF(OR(J1411=0,K1411=""),"",IF(E1411="Positivo",MIN(MAX(K1411/J1411,0),1.3),MIN(MAX(J1411/K1411,0),1.3))),"") </f>
        <v/>
      </c>
      <c r="M1411" s="59">
        <f>IFERROR(IF(OR(J1411=0,K1411=""),"",IF(E1411="Positivo",MAX(K1411/J1411,0),MAX(J1411/K1411,0))),"") </f>
        <v/>
      </c>
      <c r="P1411" t="n">
        <v>1</v>
      </c>
      <c r="Q1411" t="n">
        <v>1</v>
      </c>
      <c r="R1411" t="inlineStr">
        <is>
          <t>434-2023-11-30</t>
        </is>
      </c>
    </row>
    <row r="1412">
      <c r="A1412" t="n">
        <v>434</v>
      </c>
      <c r="B1412" t="inlineStr">
        <is>
          <t>Generación de Residuos Peligroso Mensual</t>
        </is>
      </c>
      <c r="C1412" t="inlineStr">
        <is>
          <t>GESTIÓN AMBIENTAL</t>
        </is>
      </c>
      <c r="D1412" t="inlineStr">
        <is>
          <t>Mensual</t>
        </is>
      </c>
      <c r="E1412" t="inlineStr">
        <is>
          <t>Negativo</t>
        </is>
      </c>
      <c r="F1412" s="148" t="n">
        <v>45291</v>
      </c>
      <c r="G1412" t="n">
        <v>2023</v>
      </c>
      <c r="H1412" t="inlineStr">
        <is>
          <t>Diciembre</t>
        </is>
      </c>
      <c r="I1412" t="inlineStr">
        <is>
          <t>2023-2</t>
        </is>
      </c>
      <c r="J1412" t="n">
        <v>1200</v>
      </c>
      <c r="K1412" t="n">
        <v>2275.63</v>
      </c>
      <c r="L1412" s="59">
        <f>IFERROR(IF(OR(J1412=0,K1412=""),"",IF(E1412="Positivo",MIN(MAX(K1412/J1412,0),1.3),MIN(MAX(J1412/K1412,0),1.3))),"") </f>
        <v/>
      </c>
      <c r="M1412" s="59">
        <f>IFERROR(IF(OR(J1412=0,K1412=""),"",IF(E1412="Positivo",MAX(K1412/J1412,0),MAX(J1412/K1412,0))),"") </f>
        <v/>
      </c>
      <c r="P1412" t="n">
        <v>1</v>
      </c>
      <c r="Q1412" t="n">
        <v>1</v>
      </c>
      <c r="R1412" t="inlineStr">
        <is>
          <t>434-2023-12-31</t>
        </is>
      </c>
    </row>
    <row r="1413">
      <c r="A1413" t="n">
        <v>434</v>
      </c>
      <c r="B1413" t="inlineStr">
        <is>
          <t>Generación de Residuos Peligrosos Mensual</t>
        </is>
      </c>
      <c r="C1413" t="inlineStr">
        <is>
          <t>GESTIÓN AMBIENTAL</t>
        </is>
      </c>
      <c r="D1413" t="inlineStr">
        <is>
          <t>Mensual</t>
        </is>
      </c>
      <c r="E1413" t="inlineStr">
        <is>
          <t>Negativo</t>
        </is>
      </c>
      <c r="F1413" s="148" t="n">
        <v>45473</v>
      </c>
      <c r="G1413" t="n">
        <v>2024</v>
      </c>
      <c r="H1413" t="inlineStr">
        <is>
          <t>Junio</t>
        </is>
      </c>
      <c r="I1413" t="inlineStr">
        <is>
          <t>2024-1</t>
        </is>
      </c>
      <c r="J1413" t="n">
        <v>1200</v>
      </c>
      <c r="K1413" t="n">
        <v>3489.51</v>
      </c>
      <c r="L1413" s="59">
        <f>IFERROR(IF(OR(J1413=0,K1413=""),"",IF(E1413="Positivo",MIN(MAX(K1413/J1413,0),1.3),MIN(MAX(J1413/K1413,0),1.3))),"") </f>
        <v/>
      </c>
      <c r="M1413" s="59">
        <f>IFERROR(IF(OR(J1413=0,K1413=""),"",IF(E1413="Positivo",MAX(K1413/J1413,0),MAX(J1413/K1413,0))),"") </f>
        <v/>
      </c>
      <c r="P1413" t="n">
        <v>0</v>
      </c>
      <c r="Q1413" t="n">
        <v>0</v>
      </c>
      <c r="R1413" t="inlineStr">
        <is>
          <t>434-2024-06-30</t>
        </is>
      </c>
    </row>
    <row r="1414">
      <c r="A1414" t="n">
        <v>434</v>
      </c>
      <c r="B1414" t="inlineStr">
        <is>
          <t>Generación de Residuos Peligrosos Mensual</t>
        </is>
      </c>
      <c r="C1414" t="inlineStr">
        <is>
          <t>GESTIÓN AMBIENTAL</t>
        </is>
      </c>
      <c r="D1414" t="inlineStr">
        <is>
          <t>Mensual</t>
        </is>
      </c>
      <c r="E1414" t="inlineStr">
        <is>
          <t>Negativo</t>
        </is>
      </c>
      <c r="F1414" s="148" t="n">
        <v>45657</v>
      </c>
      <c r="G1414" t="n">
        <v>2024</v>
      </c>
      <c r="H1414" t="inlineStr">
        <is>
          <t>Diciembre</t>
        </is>
      </c>
      <c r="I1414" t="inlineStr">
        <is>
          <t>2024-2</t>
        </is>
      </c>
      <c r="J1414" t="n">
        <v>1200</v>
      </c>
      <c r="K1414" t="n">
        <v>1937.73</v>
      </c>
      <c r="L1414" s="59">
        <f>IFERROR(IF(OR(J1414=0,K1414=""),"",IF(E1414="Positivo",MIN(MAX(K1414/J1414,0),1.3),MIN(MAX(J1414/K1414,0),1.3))),"") </f>
        <v/>
      </c>
      <c r="M1414" s="59">
        <f>IFERROR(IF(OR(J1414=0,K1414=""),"",IF(E1414="Positivo",MAX(K1414/J1414,0),MAX(J1414/K1414,0))),"") </f>
        <v/>
      </c>
      <c r="P1414" t="n">
        <v>0</v>
      </c>
      <c r="Q1414" t="n">
        <v>0</v>
      </c>
      <c r="R1414" t="inlineStr">
        <is>
          <t>434-2024-12-31</t>
        </is>
      </c>
    </row>
    <row r="1415">
      <c r="A1415" t="n">
        <v>434</v>
      </c>
      <c r="B1415" t="inlineStr">
        <is>
          <t>Generación de Residuos Peligrosos Mensual</t>
        </is>
      </c>
      <c r="C1415" t="inlineStr">
        <is>
          <t>GESTIÓN AMBIENTAL</t>
        </is>
      </c>
      <c r="D1415" t="inlineStr">
        <is>
          <t>Mensual</t>
        </is>
      </c>
      <c r="E1415" t="inlineStr">
        <is>
          <t>Negativo</t>
        </is>
      </c>
      <c r="F1415" s="148" t="n">
        <v>45838</v>
      </c>
      <c r="G1415" t="n">
        <v>2025</v>
      </c>
      <c r="H1415" t="inlineStr">
        <is>
          <t>Junio</t>
        </is>
      </c>
      <c r="I1415" t="inlineStr">
        <is>
          <t>2025-1</t>
        </is>
      </c>
      <c r="J1415" t="n">
        <v>1200</v>
      </c>
      <c r="K1415" t="n">
        <v>2467.36</v>
      </c>
      <c r="L1415" s="59">
        <f>IFERROR(IF(OR(J1415=0,K1415=""),"",IF(E1415="Positivo",MIN(MAX(K1415/J1415,0),1.3),MIN(MAX(J1415/K1415,0),1.3))),"") </f>
        <v/>
      </c>
      <c r="M1415" s="59">
        <f>IFERROR(IF(OR(J1415=0,K1415=""),"",IF(E1415="Positivo",MAX(K1415/J1415,0),MAX(J1415/K1415,0))),"") </f>
        <v/>
      </c>
      <c r="N1415" t="inlineStr">
        <is>
          <t>Kg</t>
        </is>
      </c>
      <c r="O1415" t="inlineStr">
        <is>
          <t>Kg</t>
        </is>
      </c>
      <c r="P1415" t="n">
        <v>0</v>
      </c>
      <c r="Q1415" t="n">
        <v>0</v>
      </c>
      <c r="R1415" t="inlineStr">
        <is>
          <t>434-2025-06-30</t>
        </is>
      </c>
    </row>
    <row r="1416">
      <c r="A1416" t="n">
        <v>434</v>
      </c>
      <c r="B1416" t="inlineStr">
        <is>
          <t>Generación de Residuos Peligrosos Mensual</t>
        </is>
      </c>
      <c r="C1416" t="inlineStr">
        <is>
          <t>GESTIÓN AMBIENTAL</t>
        </is>
      </c>
      <c r="D1416" t="inlineStr">
        <is>
          <t>Mensual</t>
        </is>
      </c>
      <c r="E1416" t="inlineStr">
        <is>
          <t>Negativo</t>
        </is>
      </c>
      <c r="F1416" s="148" t="n">
        <v>46022</v>
      </c>
      <c r="G1416" t="n">
        <v>2025</v>
      </c>
      <c r="H1416" t="inlineStr">
        <is>
          <t>Diciembre</t>
        </is>
      </c>
      <c r="I1416" t="inlineStr">
        <is>
          <t>2025-2</t>
        </is>
      </c>
      <c r="J1416" t="n">
        <v>1200</v>
      </c>
      <c r="K1416" t="n">
        <v>5316.2</v>
      </c>
      <c r="L1416" s="59">
        <f>IFERROR(IF(OR(J1416=0,K1416=""),"",IF(E1416="Positivo",MIN(MAX(K1416/J1416,0),1.3),MIN(MAX(J1416/K1416,0),1.3))),"") </f>
        <v/>
      </c>
      <c r="M1416" s="59">
        <f>IFERROR(IF(OR(J1416=0,K1416=""),"",IF(E1416="Positivo",MAX(K1416/J1416,0),MAX(J1416/K1416,0))),"") </f>
        <v/>
      </c>
      <c r="N1416" t="inlineStr">
        <is>
          <t>Kg</t>
        </is>
      </c>
      <c r="O1416" t="inlineStr">
        <is>
          <t>Kg</t>
        </is>
      </c>
      <c r="P1416" t="n">
        <v>0</v>
      </c>
      <c r="Q1416" t="n">
        <v>0</v>
      </c>
      <c r="R1416" t="inlineStr">
        <is>
          <t>434-2025-12-31</t>
        </is>
      </c>
    </row>
    <row r="1417">
      <c r="A1417" t="n">
        <v>435</v>
      </c>
      <c r="B1417" t="inlineStr">
        <is>
          <t>Disminución de la Generación de Residuos Peligrosos per Cápita</t>
        </is>
      </c>
      <c r="C1417" t="inlineStr">
        <is>
          <t>GESTIÓN AMBIENTAL</t>
        </is>
      </c>
      <c r="D1417" t="inlineStr">
        <is>
          <t>Semestral</t>
        </is>
      </c>
      <c r="E1417" t="inlineStr">
        <is>
          <t>Positivo</t>
        </is>
      </c>
      <c r="F1417" s="148" t="n">
        <v>45107</v>
      </c>
      <c r="G1417" t="n">
        <v>2023</v>
      </c>
      <c r="H1417" t="inlineStr">
        <is>
          <t>Junio</t>
        </is>
      </c>
      <c r="I1417" t="inlineStr">
        <is>
          <t>2023-1</t>
        </is>
      </c>
      <c r="J1417" t="n">
        <v>100</v>
      </c>
      <c r="K1417" t="n">
        <v>0.43352601156069</v>
      </c>
      <c r="L1417" s="59">
        <f>IFERROR(IF(OR(J1417=0,K1417=""),"",IF(E1417="Positivo",MIN(MAX(K1417/J1417,0),1.3),MIN(MAX(J1417/K1417,0),1.3))),"") </f>
        <v/>
      </c>
      <c r="M1417" s="59">
        <f>IFERROR(IF(OR(J1417=0,K1417=""),"",IF(E1417="Positivo",MAX(K1417/J1417,0),MAX(J1417/K1417,0))),"") </f>
        <v/>
      </c>
      <c r="N1417" t="inlineStr">
        <is>
          <t>DEC</t>
        </is>
      </c>
      <c r="O1417" t="inlineStr">
        <is>
          <t>DEC</t>
        </is>
      </c>
      <c r="P1417" t="n">
        <v>2</v>
      </c>
      <c r="Q1417" t="n">
        <v>2</v>
      </c>
      <c r="R1417" t="inlineStr">
        <is>
          <t>435-2023-06-30</t>
        </is>
      </c>
    </row>
    <row r="1418">
      <c r="A1418" t="n">
        <v>435</v>
      </c>
      <c r="B1418" t="inlineStr">
        <is>
          <t>Disminución de la Generación de Residuos Peligrosos per Cápita</t>
        </is>
      </c>
      <c r="C1418" t="inlineStr">
        <is>
          <t>GESTIÓN AMBIENTAL</t>
        </is>
      </c>
      <c r="D1418" t="inlineStr">
        <is>
          <t>Semestral</t>
        </is>
      </c>
      <c r="E1418" t="inlineStr">
        <is>
          <t>Positivo</t>
        </is>
      </c>
      <c r="F1418" s="148" t="n">
        <v>45291</v>
      </c>
      <c r="G1418" t="n">
        <v>2023</v>
      </c>
      <c r="H1418" t="inlineStr">
        <is>
          <t>Diciembre</t>
        </is>
      </c>
      <c r="I1418" t="inlineStr">
        <is>
          <t>2023-2</t>
        </is>
      </c>
      <c r="J1418" t="n">
        <v>100</v>
      </c>
      <c r="K1418" t="n">
        <v>-111.57</v>
      </c>
      <c r="L1418" s="59">
        <f>IFERROR(IF(OR(J1418=0,K1418=""),"",IF(E1418="Positivo",MIN(MAX(K1418/J1418,0),1.3),MIN(MAX(J1418/K1418,0),1.3))),"") </f>
        <v/>
      </c>
      <c r="M1418" s="59">
        <f>IFERROR(IF(OR(J1418=0,K1418=""),"",IF(E1418="Positivo",MAX(K1418/J1418,0),MAX(J1418/K1418,0))),"") </f>
        <v/>
      </c>
      <c r="N1418" t="inlineStr">
        <is>
          <t>DEC</t>
        </is>
      </c>
      <c r="O1418" t="inlineStr">
        <is>
          <t>DEC</t>
        </is>
      </c>
      <c r="P1418" t="n">
        <v>2</v>
      </c>
      <c r="Q1418" t="n">
        <v>2</v>
      </c>
      <c r="R1418" t="inlineStr">
        <is>
          <t>435-2023-12-31</t>
        </is>
      </c>
    </row>
    <row r="1419">
      <c r="A1419" t="n">
        <v>435</v>
      </c>
      <c r="B1419" t="inlineStr">
        <is>
          <t>Disminución de la Generación de Residuos Peligrosos per Cápita</t>
        </is>
      </c>
      <c r="C1419" t="inlineStr">
        <is>
          <t>GESTIÓN AMBIENTAL</t>
        </is>
      </c>
      <c r="D1419" t="inlineStr">
        <is>
          <t>Semestral</t>
        </is>
      </c>
      <c r="E1419" t="inlineStr">
        <is>
          <t>Positivo</t>
        </is>
      </c>
      <c r="F1419" s="148" t="n">
        <v>45473</v>
      </c>
      <c r="G1419" t="n">
        <v>2024</v>
      </c>
      <c r="H1419" t="inlineStr">
        <is>
          <t>Junio</t>
        </is>
      </c>
      <c r="I1419" t="inlineStr">
        <is>
          <t>2024-1</t>
        </is>
      </c>
      <c r="J1419" t="n">
        <v>100</v>
      </c>
      <c r="K1419" t="n">
        <v>-20.67</v>
      </c>
      <c r="L1419" s="59">
        <f>IFERROR(IF(OR(J1419=0,K1419=""),"",IF(E1419="Positivo",MIN(MAX(K1419/J1419,0),1.3),MIN(MAX(J1419/K1419,0),1.3))),"") </f>
        <v/>
      </c>
      <c r="M1419" s="59">
        <f>IFERROR(IF(OR(J1419=0,K1419=""),"",IF(E1419="Positivo",MAX(K1419/J1419,0),MAX(J1419/K1419,0))),"") </f>
        <v/>
      </c>
      <c r="P1419" t="n">
        <v>0</v>
      </c>
      <c r="Q1419" t="n">
        <v>0</v>
      </c>
      <c r="R1419" t="inlineStr">
        <is>
          <t>435-2024-06-30</t>
        </is>
      </c>
    </row>
    <row r="1420">
      <c r="A1420" t="n">
        <v>435</v>
      </c>
      <c r="B1420" t="inlineStr">
        <is>
          <t>Disminución de la Generación de Residuos Peligrosos per Cápita</t>
        </is>
      </c>
      <c r="C1420" t="inlineStr">
        <is>
          <t>GESTIÓN AMBIENTAL</t>
        </is>
      </c>
      <c r="D1420" t="inlineStr">
        <is>
          <t>Semestral</t>
        </is>
      </c>
      <c r="E1420" t="inlineStr">
        <is>
          <t>Positivo</t>
        </is>
      </c>
      <c r="F1420" s="148" t="n">
        <v>45657</v>
      </c>
      <c r="G1420" t="n">
        <v>2024</v>
      </c>
      <c r="H1420" t="inlineStr">
        <is>
          <t>Diciembre</t>
        </is>
      </c>
      <c r="I1420" t="inlineStr">
        <is>
          <t>2024-2</t>
        </is>
      </c>
      <c r="J1420" t="n">
        <v>100</v>
      </c>
      <c r="K1420" t="n">
        <v>71.09</v>
      </c>
      <c r="L1420" s="59">
        <f>IFERROR(IF(OR(J1420=0,K1420=""),"",IF(E1420="Positivo",MIN(MAX(K1420/J1420,0),1.3),MIN(MAX(J1420/K1420,0),1.3))),"") </f>
        <v/>
      </c>
      <c r="M1420" s="59">
        <f>IFERROR(IF(OR(J1420=0,K1420=""),"",IF(E1420="Positivo",MAX(K1420/J1420,0),MAX(J1420/K1420,0))),"") </f>
        <v/>
      </c>
      <c r="P1420" t="n">
        <v>0</v>
      </c>
      <c r="Q1420" t="n">
        <v>0</v>
      </c>
      <c r="R1420" t="inlineStr">
        <is>
          <t>435-2024-12-31</t>
        </is>
      </c>
    </row>
    <row r="1421">
      <c r="A1421" t="n">
        <v>435</v>
      </c>
      <c r="B1421" t="inlineStr">
        <is>
          <t>Disminución de la Generación de Residuos Peligrosos per Cápita</t>
        </is>
      </c>
      <c r="C1421" t="inlineStr">
        <is>
          <t>GESTIÓN AMBIENTAL</t>
        </is>
      </c>
      <c r="D1421" t="inlineStr">
        <is>
          <t>Trimestral</t>
        </is>
      </c>
      <c r="E1421" t="inlineStr">
        <is>
          <t>Positivo</t>
        </is>
      </c>
      <c r="F1421" s="148" t="n">
        <v>45838</v>
      </c>
      <c r="G1421" t="n">
        <v>2025</v>
      </c>
      <c r="H1421" t="inlineStr">
        <is>
          <t>Junio</t>
        </is>
      </c>
      <c r="I1421" t="inlineStr">
        <is>
          <t>2025-1</t>
        </is>
      </c>
      <c r="J1421" t="n">
        <v>1</v>
      </c>
      <c r="K1421" t="n">
        <v>96.09</v>
      </c>
      <c r="L1421" s="59">
        <f>IFERROR(IF(OR(J1421=0,K1421=""),"",IF(E1421="Positivo",MIN(MAX(K1421/J1421,0),1.3),MIN(MAX(J1421/K1421,0),1.3))),"") </f>
        <v/>
      </c>
      <c r="M1421" s="59">
        <f>IFERROR(IF(OR(J1421=0,K1421=""),"",IF(E1421="Positivo",MAX(K1421/J1421,0),MAX(J1421/K1421,0))),"") </f>
        <v/>
      </c>
      <c r="N1421" t="inlineStr">
        <is>
          <t>%</t>
        </is>
      </c>
      <c r="O1421" t="inlineStr">
        <is>
          <t>%</t>
        </is>
      </c>
      <c r="P1421" t="n">
        <v>2</v>
      </c>
      <c r="Q1421" t="n">
        <v>2</v>
      </c>
      <c r="R1421" t="inlineStr">
        <is>
          <t>435-2025-06-30</t>
        </is>
      </c>
    </row>
    <row r="1422">
      <c r="A1422" t="n">
        <v>435</v>
      </c>
      <c r="B1422" t="inlineStr">
        <is>
          <t>Disminución de la Generación de Residuos Peligrosos per Cápita</t>
        </is>
      </c>
      <c r="C1422" t="inlineStr">
        <is>
          <t>GESTIÓN AMBIENTAL</t>
        </is>
      </c>
      <c r="D1422" t="inlineStr">
        <is>
          <t>Trimestral</t>
        </is>
      </c>
      <c r="E1422" t="inlineStr">
        <is>
          <t>Positivo</t>
        </is>
      </c>
      <c r="F1422" s="148" t="n">
        <v>46022</v>
      </c>
      <c r="G1422" t="n">
        <v>2025</v>
      </c>
      <c r="H1422" t="inlineStr">
        <is>
          <t>Diciembre</t>
        </is>
      </c>
      <c r="I1422" t="inlineStr">
        <is>
          <t>2025-2</t>
        </is>
      </c>
      <c r="J1422" t="n">
        <v>1</v>
      </c>
      <c r="K1422" t="n">
        <v>-732.08</v>
      </c>
      <c r="L1422" s="59">
        <f>IFERROR(IF(OR(J1422=0,K1422=""),"",IF(E1422="Positivo",MIN(MAX(K1422/J1422,0),1.3),MIN(MAX(J1422/K1422,0),1.3))),"") </f>
        <v/>
      </c>
      <c r="M1422" s="59">
        <f>IFERROR(IF(OR(J1422=0,K1422=""),"",IF(E1422="Positivo",MAX(K1422/J1422,0),MAX(J1422/K1422,0))),"") </f>
        <v/>
      </c>
      <c r="N1422" t="inlineStr">
        <is>
          <t>%</t>
        </is>
      </c>
      <c r="O1422" t="inlineStr">
        <is>
          <t>%</t>
        </is>
      </c>
      <c r="P1422" t="n">
        <v>2</v>
      </c>
      <c r="Q1422" t="n">
        <v>2</v>
      </c>
      <c r="R1422" t="inlineStr">
        <is>
          <t>435-2025-12-31</t>
        </is>
      </c>
    </row>
    <row r="1423">
      <c r="A1423" t="n">
        <v>436</v>
      </c>
      <c r="B1423" t="inlineStr">
        <is>
          <t>ANS documentos operativos</t>
        </is>
      </c>
      <c r="C1423" t="inlineStr">
        <is>
          <t>Gestión de calidad</t>
        </is>
      </c>
      <c r="D1423" t="inlineStr">
        <is>
          <t>Mensual</t>
        </is>
      </c>
      <c r="E1423" t="inlineStr">
        <is>
          <t>Negativo</t>
        </is>
      </c>
      <c r="F1423" s="148" t="n">
        <v>45291</v>
      </c>
      <c r="G1423" t="n">
        <v>2023</v>
      </c>
      <c r="H1423" t="inlineStr">
        <is>
          <t>Diciembre</t>
        </is>
      </c>
      <c r="I1423" t="inlineStr">
        <is>
          <t>2023-2</t>
        </is>
      </c>
      <c r="J1423" t="n">
        <v>21</v>
      </c>
      <c r="K1423" t="n">
        <v>11.06833333333333</v>
      </c>
      <c r="L1423" s="59">
        <f>IFERROR(IF(OR(J1423=0,K1423=""),"",IF(E1423="Positivo",MIN(MAX(K1423/J1423,0),1.3),MIN(MAX(J1423/K1423,0),1.3))),"") </f>
        <v/>
      </c>
      <c r="M1423" s="59">
        <f>IFERROR(IF(OR(J1423=0,K1423=""),"",IF(E1423="Positivo",MAX(K1423/J1423,0),MAX(J1423/K1423,0))),"") </f>
        <v/>
      </c>
      <c r="N1423" t="inlineStr">
        <is>
          <t>Días</t>
        </is>
      </c>
      <c r="O1423" t="inlineStr">
        <is>
          <t>Días</t>
        </is>
      </c>
      <c r="P1423" t="n">
        <v>1</v>
      </c>
      <c r="Q1423" t="n">
        <v>1</v>
      </c>
      <c r="R1423" t="inlineStr">
        <is>
          <t>436-2023-12-31</t>
        </is>
      </c>
    </row>
    <row r="1424">
      <c r="A1424" t="n">
        <v>436</v>
      </c>
      <c r="B1424" t="inlineStr">
        <is>
          <t>ANS documentos operativos</t>
        </is>
      </c>
      <c r="C1424" t="inlineStr">
        <is>
          <t>Gestión de calidad</t>
        </is>
      </c>
      <c r="D1424" t="inlineStr">
        <is>
          <t>Mensual</t>
        </is>
      </c>
      <c r="E1424" t="inlineStr">
        <is>
          <t>Negativo</t>
        </is>
      </c>
      <c r="F1424" s="148" t="n">
        <v>45473</v>
      </c>
      <c r="G1424" t="n">
        <v>2024</v>
      </c>
      <c r="H1424" t="inlineStr">
        <is>
          <t>Junio</t>
        </is>
      </c>
      <c r="I1424" t="inlineStr">
        <is>
          <t>2024-1</t>
        </is>
      </c>
      <c r="J1424" t="n">
        <v>14</v>
      </c>
      <c r="K1424" t="n">
        <v>11.56666666666667</v>
      </c>
      <c r="L1424" s="59">
        <f>IFERROR(IF(OR(J1424=0,K1424=""),"",IF(E1424="Positivo",MIN(MAX(K1424/J1424,0),1.3),MIN(MAX(J1424/K1424,0),1.3))),"") </f>
        <v/>
      </c>
      <c r="M1424" s="59">
        <f>IFERROR(IF(OR(J1424=0,K1424=""),"",IF(E1424="Positivo",MAX(K1424/J1424,0),MAX(J1424/K1424,0))),"") </f>
        <v/>
      </c>
      <c r="P1424" t="n">
        <v>0</v>
      </c>
      <c r="Q1424" t="n">
        <v>0</v>
      </c>
      <c r="R1424" t="inlineStr">
        <is>
          <t>436-2024-06-30</t>
        </is>
      </c>
    </row>
    <row r="1425">
      <c r="A1425" t="n">
        <v>436</v>
      </c>
      <c r="B1425" t="inlineStr">
        <is>
          <t>ANS documentos operativos</t>
        </is>
      </c>
      <c r="C1425" t="inlineStr">
        <is>
          <t>Gestión de calidad</t>
        </is>
      </c>
      <c r="D1425" t="inlineStr">
        <is>
          <t>Mensual</t>
        </is>
      </c>
      <c r="E1425" t="inlineStr">
        <is>
          <t>Negativo</t>
        </is>
      </c>
      <c r="F1425" s="148" t="n">
        <v>45657</v>
      </c>
      <c r="G1425" t="n">
        <v>2024</v>
      </c>
      <c r="H1425" t="inlineStr">
        <is>
          <t>Diciembre</t>
        </is>
      </c>
      <c r="I1425" t="inlineStr">
        <is>
          <t>2024-2</t>
        </is>
      </c>
      <c r="J1425" t="n">
        <v>14</v>
      </c>
      <c r="K1425" t="n">
        <v>10.56166666666667</v>
      </c>
      <c r="L1425" s="59">
        <f>IFERROR(IF(OR(J1425=0,K1425=""),"",IF(E1425="Positivo",MIN(MAX(K1425/J1425,0),1.3),MIN(MAX(J1425/K1425,0),1.3))),"") </f>
        <v/>
      </c>
      <c r="M1425" s="59">
        <f>IFERROR(IF(OR(J1425=0,K1425=""),"",IF(E1425="Positivo",MAX(K1425/J1425,0),MAX(J1425/K1425,0))),"") </f>
        <v/>
      </c>
      <c r="P1425" t="n">
        <v>0</v>
      </c>
      <c r="Q1425" t="n">
        <v>0</v>
      </c>
      <c r="R1425" t="inlineStr">
        <is>
          <t>436-2024-12-31</t>
        </is>
      </c>
    </row>
    <row r="1426">
      <c r="A1426" t="n">
        <v>436</v>
      </c>
      <c r="B1426" t="inlineStr">
        <is>
          <t>ANS documentos operativos</t>
        </is>
      </c>
      <c r="C1426" t="inlineStr">
        <is>
          <t>Gestión de calidad</t>
        </is>
      </c>
      <c r="D1426" t="inlineStr">
        <is>
          <t>Mensual</t>
        </is>
      </c>
      <c r="E1426" t="inlineStr">
        <is>
          <t>Negativo</t>
        </is>
      </c>
      <c r="F1426" s="148" t="n">
        <v>45838</v>
      </c>
      <c r="G1426" t="n">
        <v>2025</v>
      </c>
      <c r="H1426" t="inlineStr">
        <is>
          <t>Junio</t>
        </is>
      </c>
      <c r="I1426" t="inlineStr">
        <is>
          <t>2025-1</t>
        </is>
      </c>
      <c r="J1426" t="n">
        <v>14</v>
      </c>
      <c r="K1426" t="n">
        <v>8.606666666666667</v>
      </c>
      <c r="L1426" s="59">
        <f>IFERROR(IF(OR(J1426=0,K1426=""),"",IF(E1426="Positivo",MIN(MAX(K1426/J1426,0),1.3),MIN(MAX(J1426/K1426,0),1.3))),"") </f>
        <v/>
      </c>
      <c r="M1426" s="59">
        <f>IFERROR(IF(OR(J1426=0,K1426=""),"",IF(E1426="Positivo",MAX(K1426/J1426,0),MAX(J1426/K1426,0))),"") </f>
        <v/>
      </c>
      <c r="N1426" t="inlineStr">
        <is>
          <t>Días</t>
        </is>
      </c>
      <c r="O1426" t="inlineStr">
        <is>
          <t>Días</t>
        </is>
      </c>
      <c r="P1426" t="n">
        <v>0</v>
      </c>
      <c r="Q1426" t="n">
        <v>1</v>
      </c>
      <c r="R1426" t="inlineStr">
        <is>
          <t>436-2025-06-30</t>
        </is>
      </c>
    </row>
    <row r="1427">
      <c r="A1427" t="n">
        <v>436</v>
      </c>
      <c r="B1427" t="inlineStr">
        <is>
          <t>ANS documentos operativos</t>
        </is>
      </c>
      <c r="C1427" t="inlineStr">
        <is>
          <t>Gestión de calidad</t>
        </is>
      </c>
      <c r="D1427" t="inlineStr">
        <is>
          <t>Mensual</t>
        </is>
      </c>
      <c r="E1427" t="inlineStr">
        <is>
          <t>Negativo</t>
        </is>
      </c>
      <c r="F1427" s="148" t="n">
        <v>46022</v>
      </c>
      <c r="G1427" t="n">
        <v>2025</v>
      </c>
      <c r="H1427" t="inlineStr">
        <is>
          <t>Diciembre</t>
        </is>
      </c>
      <c r="I1427" t="inlineStr">
        <is>
          <t>2025-2</t>
        </is>
      </c>
      <c r="J1427" t="n">
        <v>14</v>
      </c>
      <c r="K1427" t="n">
        <v>11.67333333333333</v>
      </c>
      <c r="L1427" s="59">
        <f>IFERROR(IF(OR(J1427=0,K1427=""),"",IF(E1427="Positivo",MIN(MAX(K1427/J1427,0),1.3),MIN(MAX(J1427/K1427,0),1.3))),"") </f>
        <v/>
      </c>
      <c r="M1427" s="59">
        <f>IFERROR(IF(OR(J1427=0,K1427=""),"",IF(E1427="Positivo",MAX(K1427/J1427,0),MAX(J1427/K1427,0))),"") </f>
        <v/>
      </c>
      <c r="N1427" t="inlineStr">
        <is>
          <t>Días</t>
        </is>
      </c>
      <c r="O1427" t="inlineStr">
        <is>
          <t>Días</t>
        </is>
      </c>
      <c r="P1427" t="n">
        <v>0</v>
      </c>
      <c r="Q1427" t="n">
        <v>1</v>
      </c>
      <c r="R1427" t="inlineStr">
        <is>
          <t>436-2025-12-31</t>
        </is>
      </c>
    </row>
    <row r="1428">
      <c r="A1428" t="n">
        <v>437</v>
      </c>
      <c r="B1428" t="inlineStr">
        <is>
          <t>Nivel de Satisfacción Servicios Prestados - Riesgos</t>
        </is>
      </c>
      <c r="C1428" t="inlineStr">
        <is>
          <t>GESTIÓN DE RIESGOS</t>
        </is>
      </c>
      <c r="D1428" t="inlineStr">
        <is>
          <t>Anual</t>
        </is>
      </c>
      <c r="E1428" t="inlineStr">
        <is>
          <t>Positivo</t>
        </is>
      </c>
      <c r="F1428" s="148" t="n">
        <v>45291</v>
      </c>
      <c r="G1428" t="n">
        <v>2023</v>
      </c>
      <c r="H1428" t="inlineStr">
        <is>
          <t>Diciembre</t>
        </is>
      </c>
      <c r="I1428" t="inlineStr">
        <is>
          <t>2023-2</t>
        </is>
      </c>
      <c r="J1428" t="n">
        <v>80</v>
      </c>
      <c r="K1428" t="n">
        <v>96</v>
      </c>
      <c r="L1428" s="59">
        <f>IFERROR(IF(OR(J1428=0,K1428=""),"",IF(E1428="Positivo",MIN(MAX(K1428/J1428,0),1.3),MIN(MAX(J1428/K1428,0),1.3))),"") </f>
        <v/>
      </c>
      <c r="M1428" s="59">
        <f>IFERROR(IF(OR(J1428=0,K1428=""),"",IF(E1428="Positivo",MAX(K1428/J1428,0),MAX(J1428/K1428,0))),"") </f>
        <v/>
      </c>
      <c r="N1428" t="inlineStr">
        <is>
          <t>%</t>
        </is>
      </c>
      <c r="O1428" t="inlineStr">
        <is>
          <t>%</t>
        </is>
      </c>
      <c r="P1428" t="n">
        <v>0</v>
      </c>
      <c r="Q1428" t="n">
        <v>0</v>
      </c>
      <c r="R1428" t="inlineStr">
        <is>
          <t>437-2023-12-31</t>
        </is>
      </c>
    </row>
    <row r="1429">
      <c r="A1429" t="n">
        <v>437</v>
      </c>
      <c r="B1429" t="inlineStr">
        <is>
          <t>Nivel de Satisfacción Servicios Prestados - Riesgos</t>
        </is>
      </c>
      <c r="C1429" t="inlineStr">
        <is>
          <t>GESTIÓN DE RIESGOS</t>
        </is>
      </c>
      <c r="D1429" t="inlineStr">
        <is>
          <t>Anual</t>
        </is>
      </c>
      <c r="E1429" t="inlineStr">
        <is>
          <t>Positivo</t>
        </is>
      </c>
      <c r="F1429" s="148" t="n">
        <v>45657</v>
      </c>
      <c r="G1429" t="n">
        <v>2024</v>
      </c>
      <c r="H1429" t="inlineStr">
        <is>
          <t>Diciembre</t>
        </is>
      </c>
      <c r="I1429" t="inlineStr">
        <is>
          <t>2024-2</t>
        </is>
      </c>
      <c r="J1429" t="n">
        <v>80</v>
      </c>
      <c r="K1429" t="n">
        <v>84</v>
      </c>
      <c r="L1429" s="59">
        <f>IFERROR(IF(OR(J1429=0,K1429=""),"",IF(E1429="Positivo",MIN(MAX(K1429/J1429,0),1.3),MIN(MAX(J1429/K1429,0),1.3))),"") </f>
        <v/>
      </c>
      <c r="M1429" s="59">
        <f>IFERROR(IF(OR(J1429=0,K1429=""),"",IF(E1429="Positivo",MAX(K1429/J1429,0),MAX(J1429/K1429,0))),"") </f>
        <v/>
      </c>
      <c r="P1429" t="n">
        <v>0</v>
      </c>
      <c r="Q1429" t="n">
        <v>0</v>
      </c>
      <c r="R1429" t="inlineStr">
        <is>
          <t>437-2024-12-31</t>
        </is>
      </c>
    </row>
    <row r="1430">
      <c r="A1430" t="n">
        <v>437</v>
      </c>
      <c r="B1430" t="inlineStr">
        <is>
          <t>Nivel de Satisfacción Servicios Prestados - Riesgos</t>
        </is>
      </c>
      <c r="C1430" t="inlineStr">
        <is>
          <t>GESTIÓN DE RIESGOS</t>
        </is>
      </c>
      <c r="D1430" t="inlineStr">
        <is>
          <t>Anual</t>
        </is>
      </c>
      <c r="E1430" t="inlineStr">
        <is>
          <t>Positivo</t>
        </is>
      </c>
      <c r="F1430" s="148" t="n">
        <v>46022</v>
      </c>
      <c r="G1430" t="n">
        <v>2025</v>
      </c>
      <c r="H1430" t="inlineStr">
        <is>
          <t>Diciembre</t>
        </is>
      </c>
      <c r="I1430" t="inlineStr">
        <is>
          <t>2025-2</t>
        </is>
      </c>
      <c r="J1430" t="n">
        <v>80</v>
      </c>
      <c r="K1430" t="n">
        <v>99</v>
      </c>
      <c r="L1430" s="59">
        <f>IFERROR(IF(OR(J1430=0,K1430=""),"",IF(E1430="Positivo",MIN(MAX(K1430/J1430,0),1.3),MIN(MAX(J1430/K1430,0),1.3))),"") </f>
        <v/>
      </c>
      <c r="M1430" s="59">
        <f>IFERROR(IF(OR(J1430=0,K1430=""),"",IF(E1430="Positivo",MAX(K1430/J1430,0),MAX(J1430/K1430,0))),"") </f>
        <v/>
      </c>
      <c r="N1430" t="inlineStr">
        <is>
          <t>%</t>
        </is>
      </c>
      <c r="O1430" t="inlineStr">
        <is>
          <t>%</t>
        </is>
      </c>
      <c r="P1430" t="n">
        <v>0</v>
      </c>
      <c r="Q1430" t="n">
        <v>0</v>
      </c>
      <c r="R1430" t="inlineStr">
        <is>
          <t>437-2025-12-31</t>
        </is>
      </c>
    </row>
    <row r="1431">
      <c r="A1431" t="n">
        <v>438</v>
      </c>
      <c r="B1431" t="inlineStr">
        <is>
          <t>Seguimiento de asignación docente a NRC Pregrado-Posgrado Virtual</t>
        </is>
      </c>
      <c r="C1431" t="inlineStr">
        <is>
          <t>Operaciones Académica pregrado y posgrado virtual</t>
        </is>
      </c>
      <c r="D1431" t="inlineStr">
        <is>
          <t>Semestral</t>
        </is>
      </c>
      <c r="E1431" t="inlineStr">
        <is>
          <t>Positivo</t>
        </is>
      </c>
      <c r="F1431" s="148" t="n">
        <v>45291</v>
      </c>
      <c r="G1431" t="n">
        <v>2023</v>
      </c>
      <c r="H1431" t="inlineStr">
        <is>
          <t>Diciembre</t>
        </is>
      </c>
      <c r="I1431" t="inlineStr">
        <is>
          <t>2023-2</t>
        </is>
      </c>
      <c r="J1431" t="n">
        <v>100</v>
      </c>
      <c r="K1431" t="n">
        <v>100</v>
      </c>
      <c r="L1431" s="59">
        <f>IFERROR(IF(OR(J1431=0,K1431=""),"",IF(E1431="Positivo",MIN(MAX(K1431/J1431,0),1.3),MIN(MAX(J1431/K1431,0),1.3))),"") </f>
        <v/>
      </c>
      <c r="M1431" s="59">
        <f>IFERROR(IF(OR(J1431=0,K1431=""),"",IF(E1431="Positivo",MAX(K1431/J1431,0),MAX(J1431/K1431,0))),"") </f>
        <v/>
      </c>
      <c r="P1431" t="n">
        <v>0</v>
      </c>
      <c r="Q1431" t="n">
        <v>0</v>
      </c>
      <c r="R1431" t="inlineStr">
        <is>
          <t>438-2023-12-31</t>
        </is>
      </c>
    </row>
    <row r="1432">
      <c r="A1432" t="n">
        <v>439</v>
      </c>
      <c r="B1432" t="inlineStr">
        <is>
          <t>Disponibilidad de catálogo de asignaturas pregrado y posgrado virtual</t>
        </is>
      </c>
      <c r="C1432" t="inlineStr">
        <is>
          <t>Operaciones Académica pregrado y posgrado virtual</t>
        </is>
      </c>
      <c r="D1432" t="inlineStr">
        <is>
          <t>Semestral</t>
        </is>
      </c>
      <c r="E1432" t="inlineStr">
        <is>
          <t>Positivo</t>
        </is>
      </c>
      <c r="F1432" s="148" t="n">
        <v>45291</v>
      </c>
      <c r="G1432" t="n">
        <v>2023</v>
      </c>
      <c r="H1432" t="inlineStr">
        <is>
          <t>Diciembre</t>
        </is>
      </c>
      <c r="I1432" t="inlineStr">
        <is>
          <t>2023-2</t>
        </is>
      </c>
      <c r="J1432" t="n">
        <v>100</v>
      </c>
      <c r="K1432" t="n">
        <v>100</v>
      </c>
      <c r="L1432" s="59">
        <f>IFERROR(IF(OR(J1432=0,K1432=""),"",IF(E1432="Positivo",MIN(MAX(K1432/J1432,0),1.3),MIN(MAX(J1432/K1432,0),1.3))),"") </f>
        <v/>
      </c>
      <c r="M1432" s="59">
        <f>IFERROR(IF(OR(J1432=0,K1432=""),"",IF(E1432="Positivo",MAX(K1432/J1432,0),MAX(J1432/K1432,0))),"") </f>
        <v/>
      </c>
      <c r="P1432" t="n">
        <v>0</v>
      </c>
      <c r="Q1432" t="n">
        <v>0</v>
      </c>
      <c r="R1432" t="inlineStr">
        <is>
          <t>439-2023-12-31</t>
        </is>
      </c>
    </row>
    <row r="1433">
      <c r="A1433" t="n">
        <v>439</v>
      </c>
      <c r="B1433" t="inlineStr">
        <is>
          <t>Disponibilidad de catálogo de asignaturas pregrado y posgrado virtual</t>
        </is>
      </c>
      <c r="C1433" t="inlineStr">
        <is>
          <t>Operaciones Académicas</t>
        </is>
      </c>
      <c r="D1433" t="inlineStr">
        <is>
          <t>Semestral</t>
        </is>
      </c>
      <c r="E1433" t="inlineStr">
        <is>
          <t>Positivo</t>
        </is>
      </c>
      <c r="F1433" s="148" t="n">
        <v>45473</v>
      </c>
      <c r="G1433" t="n">
        <v>2024</v>
      </c>
      <c r="H1433" t="inlineStr">
        <is>
          <t>Junio</t>
        </is>
      </c>
      <c r="I1433" t="inlineStr">
        <is>
          <t>2024-1</t>
        </is>
      </c>
      <c r="J1433" t="n">
        <v>100</v>
      </c>
      <c r="K1433" t="n">
        <v>100</v>
      </c>
      <c r="L1433" s="59">
        <f>IFERROR(IF(OR(J1433=0,K1433=""),"",IF(E1433="Positivo",MIN(MAX(K1433/J1433,0),1.3),MIN(MAX(J1433/K1433,0),1.3))),"") </f>
        <v/>
      </c>
      <c r="M1433" s="59">
        <f>IFERROR(IF(OR(J1433=0,K1433=""),"",IF(E1433="Positivo",MAX(K1433/J1433,0),MAX(J1433/K1433,0))),"") </f>
        <v/>
      </c>
      <c r="P1433" t="n">
        <v>0</v>
      </c>
      <c r="Q1433" t="n">
        <v>0</v>
      </c>
      <c r="R1433" t="inlineStr">
        <is>
          <t>439-2024-06-30</t>
        </is>
      </c>
    </row>
    <row r="1434">
      <c r="A1434" t="n">
        <v>439</v>
      </c>
      <c r="B1434" t="inlineStr">
        <is>
          <t>Disponibilidad de catálogo de asignaturas pregrado y posgrado virtual</t>
        </is>
      </c>
      <c r="C1434" t="inlineStr">
        <is>
          <t>Operaciones Académicas</t>
        </is>
      </c>
      <c r="D1434" t="inlineStr">
        <is>
          <t>Semestral</t>
        </is>
      </c>
      <c r="E1434" t="inlineStr">
        <is>
          <t>Positivo</t>
        </is>
      </c>
      <c r="F1434" s="148" t="n">
        <v>45657</v>
      </c>
      <c r="G1434" t="n">
        <v>2024</v>
      </c>
      <c r="H1434" t="inlineStr">
        <is>
          <t>Diciembre</t>
        </is>
      </c>
      <c r="I1434" t="inlineStr">
        <is>
          <t>2024-2</t>
        </is>
      </c>
      <c r="J1434" t="n">
        <v>100</v>
      </c>
      <c r="K1434" t="n">
        <v>100</v>
      </c>
      <c r="L1434" s="59">
        <f>IFERROR(IF(OR(J1434=0,K1434=""),"",IF(E1434="Positivo",MIN(MAX(K1434/J1434,0),1.3),MIN(MAX(J1434/K1434,0),1.3))),"") </f>
        <v/>
      </c>
      <c r="M1434" s="59">
        <f>IFERROR(IF(OR(J1434=0,K1434=""),"",IF(E1434="Positivo",MAX(K1434/J1434,0),MAX(J1434/K1434,0))),"") </f>
        <v/>
      </c>
      <c r="P1434" t="n">
        <v>0</v>
      </c>
      <c r="Q1434" t="n">
        <v>0</v>
      </c>
      <c r="R1434" t="inlineStr">
        <is>
          <t>439-2024-12-31</t>
        </is>
      </c>
    </row>
    <row r="1435">
      <c r="A1435" t="n">
        <v>439</v>
      </c>
      <c r="B1435" t="inlineStr">
        <is>
          <t>Disponibilidad de catálogo de asignaturas pregrado y posgrado virtual</t>
        </is>
      </c>
      <c r="C1435" t="inlineStr">
        <is>
          <t>Operaciones Académicas</t>
        </is>
      </c>
      <c r="D1435" t="inlineStr">
        <is>
          <t>Trimestral</t>
        </is>
      </c>
      <c r="E1435" t="inlineStr">
        <is>
          <t>Positivo</t>
        </is>
      </c>
      <c r="F1435" s="148" t="n">
        <v>45838</v>
      </c>
      <c r="G1435" t="n">
        <v>2025</v>
      </c>
      <c r="H1435" t="inlineStr">
        <is>
          <t>Junio</t>
        </is>
      </c>
      <c r="I1435" t="inlineStr">
        <is>
          <t>2025-1</t>
        </is>
      </c>
      <c r="J1435" t="n">
        <v>100</v>
      </c>
      <c r="K1435" t="n">
        <v>100</v>
      </c>
      <c r="L1435" s="59">
        <f>IFERROR(IF(OR(J1435=0,K1435=""),"",IF(E1435="Positivo",MIN(MAX(K1435/J1435,0),1.3),MIN(MAX(J1435/K1435,0),1.3))),"") </f>
        <v/>
      </c>
      <c r="M1435" s="59">
        <f>IFERROR(IF(OR(J1435=0,K1435=""),"",IF(E1435="Positivo",MAX(K1435/J1435,0),MAX(J1435/K1435,0))),"") </f>
        <v/>
      </c>
      <c r="N1435" t="inlineStr">
        <is>
          <t>%</t>
        </is>
      </c>
      <c r="O1435" t="inlineStr">
        <is>
          <t>%</t>
        </is>
      </c>
      <c r="P1435" t="n">
        <v>0</v>
      </c>
      <c r="Q1435" t="n">
        <v>0</v>
      </c>
      <c r="R1435" t="inlineStr">
        <is>
          <t>439-2025-06-30</t>
        </is>
      </c>
    </row>
    <row r="1436">
      <c r="A1436" t="n">
        <v>439</v>
      </c>
      <c r="B1436" t="inlineStr">
        <is>
          <t>Disponibilidad de catálogo de asignaturas pregrado y posgrado virtual</t>
        </is>
      </c>
      <c r="C1436" t="inlineStr">
        <is>
          <t>Operaciones Académicas</t>
        </is>
      </c>
      <c r="D1436" t="inlineStr">
        <is>
          <t>Trimestral</t>
        </is>
      </c>
      <c r="E1436" t="inlineStr">
        <is>
          <t>Positivo</t>
        </is>
      </c>
      <c r="F1436" s="148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100</v>
      </c>
      <c r="K1436" t="n">
        <v>100</v>
      </c>
      <c r="L1436" s="59">
        <f>IFERROR(IF(OR(J1436=0,K1436=""),"",IF(E1436="Positivo",MIN(MAX(K1436/J1436,0),1.3),MIN(MAX(J1436/K1436,0),1.3))),"") </f>
        <v/>
      </c>
      <c r="M1436" s="59">
        <f>IFERROR(IF(OR(J1436=0,K1436=""),"",IF(E1436="Positivo",MAX(K1436/J1436,0),MAX(J1436/K1436,0))),"") </f>
        <v/>
      </c>
      <c r="N1436" t="inlineStr">
        <is>
          <t>%</t>
        </is>
      </c>
      <c r="O1436" t="inlineStr">
        <is>
          <t>%</t>
        </is>
      </c>
      <c r="P1436" t="n">
        <v>0</v>
      </c>
      <c r="Q1436" t="n">
        <v>0</v>
      </c>
      <c r="R1436" t="inlineStr">
        <is>
          <t>439-2025-12-31</t>
        </is>
      </c>
    </row>
    <row r="1437">
      <c r="A1437" t="n">
        <v>440</v>
      </c>
      <c r="B1437" t="inlineStr">
        <is>
          <t>Aseguramiento de matricula académica virtual</t>
        </is>
      </c>
      <c r="C1437" t="inlineStr">
        <is>
          <t>Operaciones Académica pregrado y posgrado virtual</t>
        </is>
      </c>
      <c r="D1437" t="inlineStr">
        <is>
          <t>Semestral</t>
        </is>
      </c>
      <c r="E1437" t="inlineStr">
        <is>
          <t>Positivo</t>
        </is>
      </c>
      <c r="F1437" s="148" t="n">
        <v>45291</v>
      </c>
      <c r="G1437" t="n">
        <v>2023</v>
      </c>
      <c r="H1437" t="inlineStr">
        <is>
          <t>Diciembre</t>
        </is>
      </c>
      <c r="I1437" t="inlineStr">
        <is>
          <t>2023-2</t>
        </is>
      </c>
      <c r="J1437" t="n">
        <v>98</v>
      </c>
      <c r="K1437" t="n">
        <v>97.746062537527</v>
      </c>
      <c r="L1437" s="59">
        <f>IFERROR(IF(OR(J1437=0,K1437=""),"",IF(E1437="Positivo",MIN(MAX(K1437/J1437,0),1.3),MIN(MAX(J1437/K1437,0),1.3))),"") </f>
        <v/>
      </c>
      <c r="M1437" s="59">
        <f>IFERROR(IF(OR(J1437=0,K1437=""),"",IF(E1437="Positivo",MAX(K1437/J1437,0),MAX(J1437/K1437,0))),"") </f>
        <v/>
      </c>
      <c r="P1437" t="n">
        <v>1</v>
      </c>
      <c r="Q1437" t="n">
        <v>1</v>
      </c>
      <c r="R1437" t="inlineStr">
        <is>
          <t>440-2023-12-31</t>
        </is>
      </c>
    </row>
    <row r="1438">
      <c r="A1438" t="n">
        <v>440</v>
      </c>
      <c r="B1438" t="inlineStr">
        <is>
          <t>Aseguramiento de matricula académica virtual</t>
        </is>
      </c>
      <c r="C1438" t="inlineStr">
        <is>
          <t>Operaciones Académicas</t>
        </is>
      </c>
      <c r="D1438" t="inlineStr">
        <is>
          <t>Semestral</t>
        </is>
      </c>
      <c r="E1438" t="inlineStr">
        <is>
          <t>Positivo</t>
        </is>
      </c>
      <c r="F1438" s="148" t="n">
        <v>45473</v>
      </c>
      <c r="G1438" t="n">
        <v>2024</v>
      </c>
      <c r="H1438" t="inlineStr">
        <is>
          <t>Junio</t>
        </is>
      </c>
      <c r="I1438" t="inlineStr">
        <is>
          <t>2024-1</t>
        </is>
      </c>
      <c r="J1438" t="n">
        <v>98</v>
      </c>
      <c r="K1438" t="n">
        <v>99.73</v>
      </c>
      <c r="L1438" s="59">
        <f>IFERROR(IF(OR(J1438=0,K1438=""),"",IF(E1438="Positivo",MIN(MAX(K1438/J1438,0),1.3),MIN(MAX(J1438/K1438,0),1.3))),"") </f>
        <v/>
      </c>
      <c r="M1438" s="59">
        <f>IFERROR(IF(OR(J1438=0,K1438=""),"",IF(E1438="Positivo",MAX(K1438/J1438,0),MAX(J1438/K1438,0))),"") </f>
        <v/>
      </c>
      <c r="P1438" t="n">
        <v>0</v>
      </c>
      <c r="Q1438" t="n">
        <v>0</v>
      </c>
      <c r="R1438" t="inlineStr">
        <is>
          <t>440-2024-06-30</t>
        </is>
      </c>
    </row>
    <row r="1439">
      <c r="A1439" t="n">
        <v>440</v>
      </c>
      <c r="B1439" t="inlineStr">
        <is>
          <t>Aseguramiento de matricula académica virtual</t>
        </is>
      </c>
      <c r="C1439" t="inlineStr">
        <is>
          <t>Operaciones Académicas</t>
        </is>
      </c>
      <c r="D1439" t="inlineStr">
        <is>
          <t>Semestral</t>
        </is>
      </c>
      <c r="E1439" t="inlineStr">
        <is>
          <t>Positivo</t>
        </is>
      </c>
      <c r="F1439" s="148" t="n">
        <v>45657</v>
      </c>
      <c r="G1439" t="n">
        <v>2024</v>
      </c>
      <c r="H1439" t="inlineStr">
        <is>
          <t>Diciembre</t>
        </is>
      </c>
      <c r="I1439" t="inlineStr">
        <is>
          <t>2024-2</t>
        </is>
      </c>
      <c r="J1439" t="n">
        <v>98</v>
      </c>
      <c r="K1439" t="n">
        <v>99.23999999999999</v>
      </c>
      <c r="L1439" s="59">
        <f>IFERROR(IF(OR(J1439=0,K1439=""),"",IF(E1439="Positivo",MIN(MAX(K1439/J1439,0),1.3),MIN(MAX(J1439/K1439,0),1.3))),"") </f>
        <v/>
      </c>
      <c r="M1439" s="59">
        <f>IFERROR(IF(OR(J1439=0,K1439=""),"",IF(E1439="Positivo",MAX(K1439/J1439,0),MAX(J1439/K1439,0))),"") </f>
        <v/>
      </c>
      <c r="P1439" t="n">
        <v>0</v>
      </c>
      <c r="Q1439" t="n">
        <v>0</v>
      </c>
      <c r="R1439" t="inlineStr">
        <is>
          <t>440-2024-12-31</t>
        </is>
      </c>
    </row>
    <row r="1440">
      <c r="A1440" t="n">
        <v>440</v>
      </c>
      <c r="B1440" t="inlineStr">
        <is>
          <t>Aseguramiento de matricula académica virtual</t>
        </is>
      </c>
      <c r="C1440" t="inlineStr">
        <is>
          <t>Operaciones Académicas</t>
        </is>
      </c>
      <c r="D1440" t="inlineStr">
        <is>
          <t>Trimestral</t>
        </is>
      </c>
      <c r="E1440" t="inlineStr">
        <is>
          <t>Positivo</t>
        </is>
      </c>
      <c r="F1440" s="148" t="n">
        <v>45838</v>
      </c>
      <c r="G1440" t="n">
        <v>2025</v>
      </c>
      <c r="H1440" t="inlineStr">
        <is>
          <t>Junio</t>
        </is>
      </c>
      <c r="I1440" t="inlineStr">
        <is>
          <t>2025-1</t>
        </is>
      </c>
      <c r="J1440" t="n">
        <v>98</v>
      </c>
      <c r="K1440" t="n">
        <v>99.77</v>
      </c>
      <c r="L1440" s="59">
        <f>IFERROR(IF(OR(J1440=0,K1440=""),"",IF(E1440="Positivo",MIN(MAX(K1440/J1440,0),1.3),MIN(MAX(J1440/K1440,0),1.3))),"") </f>
        <v/>
      </c>
      <c r="M1440" s="59">
        <f>IFERROR(IF(OR(J1440=0,K1440=""),"",IF(E1440="Positivo",MAX(K1440/J1440,0),MAX(J1440/K1440,0))),"") </f>
        <v/>
      </c>
      <c r="N1440" t="inlineStr">
        <is>
          <t>%</t>
        </is>
      </c>
      <c r="O1440" t="inlineStr">
        <is>
          <t>%</t>
        </is>
      </c>
      <c r="P1440" t="n">
        <v>0</v>
      </c>
      <c r="Q1440" t="n">
        <v>1</v>
      </c>
      <c r="R1440" t="inlineStr">
        <is>
          <t>440-2025-06-30</t>
        </is>
      </c>
    </row>
    <row r="1441">
      <c r="A1441" t="n">
        <v>440</v>
      </c>
      <c r="B1441" t="inlineStr">
        <is>
          <t>Aseguramiento de matricula académica virtual</t>
        </is>
      </c>
      <c r="C1441" t="inlineStr">
        <is>
          <t>Operaciones Académicas</t>
        </is>
      </c>
      <c r="D1441" t="inlineStr">
        <is>
          <t>Trimestral</t>
        </is>
      </c>
      <c r="E1441" t="inlineStr">
        <is>
          <t>Positivo</t>
        </is>
      </c>
      <c r="F1441" s="148" t="n">
        <v>46022</v>
      </c>
      <c r="G1441" t="n">
        <v>2025</v>
      </c>
      <c r="H1441" t="inlineStr">
        <is>
          <t>Diciembre</t>
        </is>
      </c>
      <c r="I1441" t="inlineStr">
        <is>
          <t>2025-2</t>
        </is>
      </c>
      <c r="J1441" t="n">
        <v>98</v>
      </c>
      <c r="K1441" t="n">
        <v>99.73999999999999</v>
      </c>
      <c r="L1441" s="59">
        <f>IFERROR(IF(OR(J1441=0,K1441=""),"",IF(E1441="Positivo",MIN(MAX(K1441/J1441,0),1.3),MIN(MAX(J1441/K1441,0),1.3))),"") </f>
        <v/>
      </c>
      <c r="M1441" s="59">
        <f>IFERROR(IF(OR(J1441=0,K1441=""),"",IF(E1441="Positivo",MAX(K1441/J1441,0),MAX(J1441/K1441,0))),"") </f>
        <v/>
      </c>
      <c r="N1441" t="inlineStr">
        <is>
          <t>%</t>
        </is>
      </c>
      <c r="O1441" t="inlineStr">
        <is>
          <t>%</t>
        </is>
      </c>
      <c r="P1441" t="n">
        <v>0</v>
      </c>
      <c r="Q1441" t="n">
        <v>1</v>
      </c>
      <c r="R1441" t="inlineStr">
        <is>
          <t>440-2025-12-31</t>
        </is>
      </c>
    </row>
    <row r="1442">
      <c r="A1442" t="n">
        <v>441</v>
      </c>
      <c r="B1442" t="inlineStr">
        <is>
          <t>Cumplimiento a cronograma de proyectos 2024</t>
        </is>
      </c>
      <c r="C1442" t="inlineStr">
        <is>
          <t>Gestión de Proyectos</t>
        </is>
      </c>
      <c r="D1442" t="inlineStr">
        <is>
          <t>Mensual</t>
        </is>
      </c>
      <c r="E1442" t="inlineStr">
        <is>
          <t>Positivo</t>
        </is>
      </c>
      <c r="F1442" s="148" t="n">
        <v>45473</v>
      </c>
      <c r="G1442" t="n">
        <v>2024</v>
      </c>
      <c r="H1442" t="inlineStr">
        <is>
          <t>Junio</t>
        </is>
      </c>
      <c r="I1442" t="inlineStr">
        <is>
          <t>2024-1</t>
        </is>
      </c>
      <c r="J1442" t="n">
        <v>90</v>
      </c>
      <c r="K1442" t="n">
        <v>97.31</v>
      </c>
      <c r="L1442" s="59">
        <f>IFERROR(IF(OR(J1442=0,K1442=""),"",IF(E1442="Positivo",MIN(MAX(K1442/J1442,0),1.3),MIN(MAX(J1442/K1442,0),1.3))),"") </f>
        <v/>
      </c>
      <c r="M1442" s="59">
        <f>IFERROR(IF(OR(J1442=0,K1442=""),"",IF(E1442="Positivo",MAX(K1442/J1442,0),MAX(J1442/K1442,0))),"") </f>
        <v/>
      </c>
      <c r="P1442" t="n">
        <v>0</v>
      </c>
      <c r="Q1442" t="n">
        <v>0</v>
      </c>
      <c r="R1442" t="inlineStr">
        <is>
          <t>441-2024-06-30</t>
        </is>
      </c>
    </row>
    <row r="1443">
      <c r="A1443" t="n">
        <v>441</v>
      </c>
      <c r="B1443" t="inlineStr">
        <is>
          <t>Cumplimiento a cronograma de proyectos 2024</t>
        </is>
      </c>
      <c r="C1443" t="inlineStr">
        <is>
          <t>Gestión de Proyectos</t>
        </is>
      </c>
      <c r="D1443" t="inlineStr">
        <is>
          <t>Mensual</t>
        </is>
      </c>
      <c r="E1443" t="inlineStr">
        <is>
          <t>Positivo</t>
        </is>
      </c>
      <c r="F1443" s="148" t="n">
        <v>45657</v>
      </c>
      <c r="G1443" t="n">
        <v>2024</v>
      </c>
      <c r="H1443" t="inlineStr">
        <is>
          <t>Diciembre</t>
        </is>
      </c>
      <c r="I1443" t="inlineStr">
        <is>
          <t>2024-2</t>
        </is>
      </c>
      <c r="J1443" t="n">
        <v>90</v>
      </c>
      <c r="K1443" t="n">
        <v>99.919935948759</v>
      </c>
      <c r="L1443" s="59">
        <f>IFERROR(IF(OR(J1443=0,K1443=""),"",IF(E1443="Positivo",MIN(MAX(K1443/J1443,0),1.3),MIN(MAX(J1443/K1443,0),1.3))),"") </f>
        <v/>
      </c>
      <c r="M1443" s="59">
        <f>IFERROR(IF(OR(J1443=0,K1443=""),"",IF(E1443="Positivo",MAX(K1443/J1443,0),MAX(J1443/K1443,0))),"") </f>
        <v/>
      </c>
      <c r="P1443" t="n">
        <v>0</v>
      </c>
      <c r="Q1443" t="n">
        <v>0</v>
      </c>
      <c r="R1443" t="inlineStr">
        <is>
          <t>441-2024-12-31</t>
        </is>
      </c>
    </row>
    <row r="1444">
      <c r="A1444" t="n">
        <v>442</v>
      </c>
      <c r="B1444" t="inlineStr">
        <is>
          <t>Participación de docentes invitados en eventos académicos virtuales en Poli</t>
        </is>
      </c>
      <c r="C1444" t="inlineStr">
        <is>
          <t>VISIBILIDAD NACIONAL E INTERNACIONAL</t>
        </is>
      </c>
      <c r="D1444" t="inlineStr">
        <is>
          <t>Semestral</t>
        </is>
      </c>
      <c r="E1444" t="inlineStr">
        <is>
          <t>Positivo</t>
        </is>
      </c>
      <c r="F1444" s="148" t="n">
        <v>45473</v>
      </c>
      <c r="G1444" t="n">
        <v>2024</v>
      </c>
      <c r="H1444" t="inlineStr">
        <is>
          <t>Junio</t>
        </is>
      </c>
      <c r="I1444" t="inlineStr">
        <is>
          <t>2024-1</t>
        </is>
      </c>
      <c r="J1444" t="n">
        <v>100</v>
      </c>
      <c r="K1444" t="n">
        <v>80</v>
      </c>
      <c r="L1444" s="59">
        <f>IFERROR(IF(OR(J1444=0,K1444=""),"",IF(E1444="Positivo",MIN(MAX(K1444/J1444,0),1.3),MIN(MAX(J1444/K1444,0),1.3))),"") </f>
        <v/>
      </c>
      <c r="M1444" s="59">
        <f>IFERROR(IF(OR(J1444=0,K1444=""),"",IF(E1444="Positivo",MAX(K1444/J1444,0),MAX(J1444/K1444,0))),"") </f>
        <v/>
      </c>
      <c r="P1444" t="n">
        <v>0</v>
      </c>
      <c r="Q1444" t="n">
        <v>0</v>
      </c>
      <c r="R1444" t="inlineStr">
        <is>
          <t>442-2024-06-30</t>
        </is>
      </c>
    </row>
    <row r="1445">
      <c r="A1445" t="n">
        <v>442</v>
      </c>
      <c r="B1445" t="inlineStr">
        <is>
          <t>Participación de docentes invitados en eventos académicos virtuales en Poli</t>
        </is>
      </c>
      <c r="C1445" t="inlineStr">
        <is>
          <t>VISIBILIDAD NACIONAL E INTERNACIONAL</t>
        </is>
      </c>
      <c r="D1445" t="inlineStr">
        <is>
          <t>Semestral</t>
        </is>
      </c>
      <c r="E1445" t="inlineStr">
        <is>
          <t>Positivo</t>
        </is>
      </c>
      <c r="F1445" s="148" t="n">
        <v>45657</v>
      </c>
      <c r="G1445" t="n">
        <v>2024</v>
      </c>
      <c r="H1445" t="inlineStr">
        <is>
          <t>Diciembre</t>
        </is>
      </c>
      <c r="I1445" t="inlineStr">
        <is>
          <t>2024-2</t>
        </is>
      </c>
      <c r="J1445" t="n">
        <v>100</v>
      </c>
      <c r="K1445" t="n">
        <v>145</v>
      </c>
      <c r="L1445" s="59">
        <f>IFERROR(IF(OR(J1445=0,K1445=""),"",IF(E1445="Positivo",MIN(MAX(K1445/J1445,0),1.3),MIN(MAX(J1445/K1445,0),1.3))),"") </f>
        <v/>
      </c>
      <c r="M1445" s="59">
        <f>IFERROR(IF(OR(J1445=0,K1445=""),"",IF(E1445="Positivo",MAX(K1445/J1445,0),MAX(J1445/K1445,0))),"") </f>
        <v/>
      </c>
      <c r="P1445" t="n">
        <v>0</v>
      </c>
      <c r="Q1445" t="n">
        <v>0</v>
      </c>
      <c r="R1445" t="inlineStr">
        <is>
          <t>442-2024-12-31</t>
        </is>
      </c>
    </row>
    <row r="1446">
      <c r="A1446" t="n">
        <v>443</v>
      </c>
      <c r="B1446" t="inlineStr">
        <is>
          <t>Participación de estudiantes invitados en eventos académicos virtuales en Poli</t>
        </is>
      </c>
      <c r="C1446" t="inlineStr">
        <is>
          <t>VISIBILIDAD NACIONAL E INTERNACIONAL</t>
        </is>
      </c>
      <c r="D1446" t="inlineStr">
        <is>
          <t>Semestral</t>
        </is>
      </c>
      <c r="E1446" t="inlineStr">
        <is>
          <t>Positivo</t>
        </is>
      </c>
      <c r="F1446" s="148" t="n">
        <v>45473</v>
      </c>
      <c r="G1446" t="n">
        <v>2024</v>
      </c>
      <c r="H1446" t="inlineStr">
        <is>
          <t>Junio</t>
        </is>
      </c>
      <c r="I1446" t="inlineStr">
        <is>
          <t>2024-1</t>
        </is>
      </c>
      <c r="J1446" t="n">
        <v>100</v>
      </c>
      <c r="K1446" t="n">
        <v>114.33</v>
      </c>
      <c r="L1446" s="59">
        <f>IFERROR(IF(OR(J1446=0,K1446=""),"",IF(E1446="Positivo",MIN(MAX(K1446/J1446,0),1.3),MIN(MAX(J1446/K1446,0),1.3))),"") </f>
        <v/>
      </c>
      <c r="M1446" s="59">
        <f>IFERROR(IF(OR(J1446=0,K1446=""),"",IF(E1446="Positivo",MAX(K1446/J1446,0),MAX(J1446/K1446,0))),"") </f>
        <v/>
      </c>
      <c r="P1446" t="n">
        <v>0</v>
      </c>
      <c r="Q1446" t="n">
        <v>0</v>
      </c>
      <c r="R1446" t="inlineStr">
        <is>
          <t>443-2024-06-30</t>
        </is>
      </c>
    </row>
    <row r="1447">
      <c r="A1447" t="n">
        <v>443</v>
      </c>
      <c r="B1447" t="inlineStr">
        <is>
          <t>Participación de estudiantes invitados en eventos académicos virtuales en Poli</t>
        </is>
      </c>
      <c r="C1447" t="inlineStr">
        <is>
          <t>VISIBILIDAD NACIONAL E INTERNACIONAL</t>
        </is>
      </c>
      <c r="D1447" t="inlineStr">
        <is>
          <t>Semestral</t>
        </is>
      </c>
      <c r="E1447" t="inlineStr">
        <is>
          <t>Positivo</t>
        </is>
      </c>
      <c r="F1447" s="148" t="n">
        <v>45657</v>
      </c>
      <c r="G1447" t="n">
        <v>2024</v>
      </c>
      <c r="H1447" t="inlineStr">
        <is>
          <t>Diciembre</t>
        </is>
      </c>
      <c r="I1447" t="inlineStr">
        <is>
          <t>2024-2</t>
        </is>
      </c>
      <c r="J1447" t="n">
        <v>100</v>
      </c>
      <c r="K1447" t="n">
        <v>209</v>
      </c>
      <c r="L1447" s="59">
        <f>IFERROR(IF(OR(J1447=0,K1447=""),"",IF(E1447="Positivo",MIN(MAX(K1447/J1447,0),1.3),MIN(MAX(J1447/K1447,0),1.3))),"") </f>
        <v/>
      </c>
      <c r="M1447" s="59">
        <f>IFERROR(IF(OR(J1447=0,K1447=""),"",IF(E1447="Positivo",MAX(K1447/J1447,0),MAX(J1447/K1447,0))),"") </f>
        <v/>
      </c>
      <c r="P1447" t="n">
        <v>0</v>
      </c>
      <c r="Q1447" t="n">
        <v>0</v>
      </c>
      <c r="R1447" t="inlineStr">
        <is>
          <t>443-2024-12-31</t>
        </is>
      </c>
    </row>
    <row r="1448">
      <c r="A1448" t="n">
        <v>444</v>
      </c>
      <c r="B1448" t="inlineStr">
        <is>
          <t>CES Proceso de grados</t>
        </is>
      </c>
      <c r="C1448" t="inlineStr">
        <is>
          <t>Registro y Control</t>
        </is>
      </c>
      <c r="D1448" t="inlineStr">
        <is>
          <t>Semestral</t>
        </is>
      </c>
      <c r="E1448" t="inlineStr">
        <is>
          <t>Positivo</t>
        </is>
      </c>
      <c r="F1448" s="148" t="n">
        <v>45473</v>
      </c>
      <c r="G1448" t="n">
        <v>2024</v>
      </c>
      <c r="H1448" t="inlineStr">
        <is>
          <t>Junio</t>
        </is>
      </c>
      <c r="I1448" t="inlineStr">
        <is>
          <t>2024-1</t>
        </is>
      </c>
      <c r="L1448" s="59" t="n"/>
      <c r="M1448" s="59" t="n"/>
      <c r="P1448" t="n">
        <v>0</v>
      </c>
      <c r="Q1448" t="n">
        <v>0</v>
      </c>
      <c r="R1448" t="inlineStr">
        <is>
          <t>444-2024-06-30</t>
        </is>
      </c>
    </row>
    <row r="1449">
      <c r="A1449" t="n">
        <v>444</v>
      </c>
      <c r="B1449" t="inlineStr">
        <is>
          <t>CES Proceso de grados</t>
        </is>
      </c>
      <c r="C1449" t="inlineStr">
        <is>
          <t>Registro y Control</t>
        </is>
      </c>
      <c r="D1449" t="inlineStr">
        <is>
          <t>Semestral</t>
        </is>
      </c>
      <c r="E1449" t="inlineStr">
        <is>
          <t>Positivo</t>
        </is>
      </c>
      <c r="F1449" s="148" t="n">
        <v>45657</v>
      </c>
      <c r="G1449" t="n">
        <v>2024</v>
      </c>
      <c r="H1449" t="inlineStr">
        <is>
          <t>Diciembre</t>
        </is>
      </c>
      <c r="I1449" t="inlineStr">
        <is>
          <t>2024-2</t>
        </is>
      </c>
      <c r="J1449" t="n">
        <v>0</v>
      </c>
      <c r="K1449" t="n">
        <v>2.1</v>
      </c>
      <c r="L1449" s="59">
        <f>IFERROR(IF(OR(J1449=0,K1449=""),"",IF(E1449="Positivo",MIN(MAX(K1449/J1449,0),1.3),MIN(MAX(J1449/K1449,0),1.3))),"") </f>
        <v/>
      </c>
      <c r="M1449" s="59">
        <f>IFERROR(IF(OR(J1449=0,K1449=""),"",IF(E1449="Positivo",MAX(K1449/J1449,0),MAX(J1449/K1449,0))),"") </f>
        <v/>
      </c>
      <c r="P1449" t="n">
        <v>0</v>
      </c>
      <c r="Q1449" t="n">
        <v>0</v>
      </c>
      <c r="R1449" t="inlineStr">
        <is>
          <t>444-2024-12-31</t>
        </is>
      </c>
    </row>
    <row r="1450">
      <c r="A1450" t="n">
        <v>444</v>
      </c>
      <c r="B1450" t="inlineStr">
        <is>
          <t>CES Proceso de grados</t>
        </is>
      </c>
      <c r="C1450" t="inlineStr">
        <is>
          <t>Registro y Control</t>
        </is>
      </c>
      <c r="D1450" t="inlineStr">
        <is>
          <t>Trimestral</t>
        </is>
      </c>
      <c r="E1450" t="inlineStr">
        <is>
          <t>Negativo</t>
        </is>
      </c>
      <c r="F1450" s="148" t="n">
        <v>45838</v>
      </c>
      <c r="G1450" t="n">
        <v>2025</v>
      </c>
      <c r="H1450" t="inlineStr">
        <is>
          <t>Junio</t>
        </is>
      </c>
      <c r="I1450" t="inlineStr">
        <is>
          <t>2025-1</t>
        </is>
      </c>
      <c r="J1450" t="n">
        <v>3</v>
      </c>
      <c r="K1450" t="n">
        <v>1.6</v>
      </c>
      <c r="L1450" s="59">
        <f>IFERROR(IF(OR(J1450=0,K1450=""),"",IF(E1450="Positivo",MIN(MAX(K1450/J1450,0),1.3),MIN(MAX(J1450/K1450,0),1.3))),"") </f>
        <v/>
      </c>
      <c r="M1450" s="59">
        <f>IFERROR(IF(OR(J1450=0,K1450=""),"",IF(E1450="Positivo",MAX(K1450/J1450,0),MAX(J1450/K1450,0))),"") </f>
        <v/>
      </c>
      <c r="N1450" t="inlineStr">
        <is>
          <t>ENT</t>
        </is>
      </c>
      <c r="O1450" t="inlineStr">
        <is>
          <t>DEC</t>
        </is>
      </c>
      <c r="P1450" t="n">
        <v>0</v>
      </c>
      <c r="Q1450" t="n">
        <v>1</v>
      </c>
      <c r="R1450" t="inlineStr">
        <is>
          <t>444-2025-06-30</t>
        </is>
      </c>
    </row>
    <row r="1451">
      <c r="A1451" t="n">
        <v>444</v>
      </c>
      <c r="B1451" t="inlineStr">
        <is>
          <t>CES Proceso de grados</t>
        </is>
      </c>
      <c r="C1451" t="inlineStr">
        <is>
          <t>Registro y Control</t>
        </is>
      </c>
      <c r="D1451" t="inlineStr">
        <is>
          <t>Trimestral</t>
        </is>
      </c>
      <c r="E1451" t="inlineStr">
        <is>
          <t>Negativo</t>
        </is>
      </c>
      <c r="F1451" s="148" t="n">
        <v>46022</v>
      </c>
      <c r="G1451" t="n">
        <v>2025</v>
      </c>
      <c r="H1451" t="inlineStr">
        <is>
          <t>Diciembre</t>
        </is>
      </c>
      <c r="I1451" t="inlineStr">
        <is>
          <t>2025-2</t>
        </is>
      </c>
      <c r="J1451" t="n">
        <v>3</v>
      </c>
      <c r="K1451" t="n">
        <v>1.7</v>
      </c>
      <c r="L1451" s="59">
        <f>IFERROR(IF(OR(J1451=0,K1451=""),"",IF(E1451="Positivo",MIN(MAX(K1451/J1451,0),1.3),MIN(MAX(J1451/K1451,0),1.3))),"") </f>
        <v/>
      </c>
      <c r="M1451" s="59">
        <f>IFERROR(IF(OR(J1451=0,K1451=""),"",IF(E1451="Positivo",MAX(K1451/J1451,0),MAX(J1451/K1451,0))),"") </f>
        <v/>
      </c>
      <c r="N1451" t="inlineStr">
        <is>
          <t>ENT</t>
        </is>
      </c>
      <c r="O1451" t="inlineStr">
        <is>
          <t>DEC</t>
        </is>
      </c>
      <c r="P1451" t="n">
        <v>0</v>
      </c>
      <c r="Q1451" t="n">
        <v>1</v>
      </c>
      <c r="R1451" t="inlineStr">
        <is>
          <t>444-2025-12-31</t>
        </is>
      </c>
    </row>
    <row r="1452">
      <c r="A1452" t="n">
        <v>445</v>
      </c>
      <c r="B1452" t="inlineStr">
        <is>
          <t>Satisfacción del proceso de grados virtual</t>
        </is>
      </c>
      <c r="C1452" t="inlineStr">
        <is>
          <t>Registro y Control</t>
        </is>
      </c>
      <c r="D1452" t="inlineStr">
        <is>
          <t>Semestral</t>
        </is>
      </c>
      <c r="E1452" t="inlineStr">
        <is>
          <t>Positivo</t>
        </is>
      </c>
      <c r="F1452" s="148" t="n">
        <v>45473</v>
      </c>
      <c r="G1452" t="n">
        <v>2024</v>
      </c>
      <c r="H1452" t="inlineStr">
        <is>
          <t>Junio</t>
        </is>
      </c>
      <c r="I1452" t="inlineStr">
        <is>
          <t>2024-1</t>
        </is>
      </c>
      <c r="J1452" t="n">
        <v>67.5</v>
      </c>
      <c r="K1452" t="n">
        <v>55.2</v>
      </c>
      <c r="L1452" s="59">
        <f>IFERROR(IF(OR(J1452=0,K1452=""),"",IF(E1452="Positivo",MIN(MAX(K1452/J1452,0),1.3),MIN(MAX(J1452/K1452,0),1.3))),"") </f>
        <v/>
      </c>
      <c r="M1452" s="59">
        <f>IFERROR(IF(OR(J1452=0,K1452=""),"",IF(E1452="Positivo",MAX(K1452/J1452,0),MAX(J1452/K1452,0))),"") </f>
        <v/>
      </c>
      <c r="P1452" t="n">
        <v>0</v>
      </c>
      <c r="Q1452" t="n">
        <v>0</v>
      </c>
      <c r="R1452" t="inlineStr">
        <is>
          <t>445-2024-06-30</t>
        </is>
      </c>
    </row>
    <row r="1453">
      <c r="A1453" t="n">
        <v>445</v>
      </c>
      <c r="B1453" t="inlineStr">
        <is>
          <t>Satisfacción del proceso de grados virtual</t>
        </is>
      </c>
      <c r="C1453" t="inlineStr">
        <is>
          <t>Registro y Control</t>
        </is>
      </c>
      <c r="D1453" t="inlineStr">
        <is>
          <t>Semestral</t>
        </is>
      </c>
      <c r="E1453" t="inlineStr">
        <is>
          <t>Positivo</t>
        </is>
      </c>
      <c r="F1453" s="148" t="n">
        <v>45657</v>
      </c>
      <c r="G1453" t="n">
        <v>2024</v>
      </c>
      <c r="H1453" t="inlineStr">
        <is>
          <t>Diciembre</t>
        </is>
      </c>
      <c r="I1453" t="inlineStr">
        <is>
          <t>2024-2</t>
        </is>
      </c>
      <c r="J1453" t="n">
        <v>67.5</v>
      </c>
      <c r="K1453" t="n">
        <v>86.5</v>
      </c>
      <c r="L1453" s="59">
        <f>IFERROR(IF(OR(J1453=0,K1453=""),"",IF(E1453="Positivo",MIN(MAX(K1453/J1453,0),1.3),MIN(MAX(J1453/K1453,0),1.3))),"") </f>
        <v/>
      </c>
      <c r="M1453" s="59">
        <f>IFERROR(IF(OR(J1453=0,K1453=""),"",IF(E1453="Positivo",MAX(K1453/J1453,0),MAX(J1453/K1453,0))),"") </f>
        <v/>
      </c>
      <c r="P1453" t="n">
        <v>0</v>
      </c>
      <c r="Q1453" t="n">
        <v>0</v>
      </c>
      <c r="R1453" t="inlineStr">
        <is>
          <t>445-2024-12-31</t>
        </is>
      </c>
    </row>
    <row r="1454">
      <c r="A1454" t="n">
        <v>445</v>
      </c>
      <c r="B1454" t="inlineStr">
        <is>
          <t>Satisfacción del proceso de grados virtual</t>
        </is>
      </c>
      <c r="C1454" t="inlineStr">
        <is>
          <t>Registro y Control</t>
        </is>
      </c>
      <c r="D1454" t="inlineStr">
        <is>
          <t>Trimestral</t>
        </is>
      </c>
      <c r="E1454" t="inlineStr">
        <is>
          <t>Positivo</t>
        </is>
      </c>
      <c r="F1454" s="148" t="n">
        <v>45838</v>
      </c>
      <c r="G1454" t="n">
        <v>2025</v>
      </c>
      <c r="H1454" t="inlineStr">
        <is>
          <t>Junio</t>
        </is>
      </c>
      <c r="I1454" t="inlineStr">
        <is>
          <t>2025-1</t>
        </is>
      </c>
      <c r="J1454" t="n">
        <v>70</v>
      </c>
      <c r="K1454" t="n">
        <v>75.7</v>
      </c>
      <c r="L1454" s="59">
        <f>IFERROR(IF(OR(J1454=0,K1454=""),"",IF(E1454="Positivo",MIN(MAX(K1454/J1454,0),1.3),MIN(MAX(J1454/K1454,0),1.3))),"") </f>
        <v/>
      </c>
      <c r="M1454" s="59">
        <f>IFERROR(IF(OR(J1454=0,K1454=""),"",IF(E1454="Positivo",MAX(K1454/J1454,0),MAX(J1454/K1454,0))),"") </f>
        <v/>
      </c>
      <c r="N1454" t="inlineStr">
        <is>
          <t>%</t>
        </is>
      </c>
      <c r="O1454" t="inlineStr">
        <is>
          <t>%</t>
        </is>
      </c>
      <c r="P1454" t="n">
        <v>0</v>
      </c>
      <c r="Q1454" t="n">
        <v>0</v>
      </c>
      <c r="R1454" t="inlineStr">
        <is>
          <t>445-2025-06-30</t>
        </is>
      </c>
    </row>
    <row r="1455">
      <c r="A1455" t="n">
        <v>445</v>
      </c>
      <c r="B1455" t="inlineStr">
        <is>
          <t>Satisfacción del proceso de grados virtual</t>
        </is>
      </c>
      <c r="C1455" t="inlineStr">
        <is>
          <t>Registro y Control</t>
        </is>
      </c>
      <c r="D1455" t="inlineStr">
        <is>
          <t>Trimestral</t>
        </is>
      </c>
      <c r="E1455" t="inlineStr">
        <is>
          <t>Positivo</t>
        </is>
      </c>
      <c r="F1455" s="148" t="n">
        <v>46022</v>
      </c>
      <c r="G1455" t="n">
        <v>2025</v>
      </c>
      <c r="H1455" t="inlineStr">
        <is>
          <t>Diciembre</t>
        </is>
      </c>
      <c r="I1455" t="inlineStr">
        <is>
          <t>2025-2</t>
        </is>
      </c>
      <c r="J1455" t="n">
        <v>70</v>
      </c>
      <c r="K1455" t="n">
        <v>85.3</v>
      </c>
      <c r="L1455" s="59">
        <f>IFERROR(IF(OR(J1455=0,K1455=""),"",IF(E1455="Positivo",MIN(MAX(K1455/J1455,0),1.3),MIN(MAX(J1455/K1455,0),1.3))),"") </f>
        <v/>
      </c>
      <c r="M1455" s="59">
        <f>IFERROR(IF(OR(J1455=0,K1455=""),"",IF(E1455="Positivo",MAX(K1455/J1455,0),MAX(J1455/K1455,0))),"") </f>
        <v/>
      </c>
      <c r="N1455" t="inlineStr">
        <is>
          <t>%</t>
        </is>
      </c>
      <c r="O1455" t="inlineStr">
        <is>
          <t>%</t>
        </is>
      </c>
      <c r="P1455" t="n">
        <v>0</v>
      </c>
      <c r="Q1455" t="n">
        <v>0</v>
      </c>
      <c r="R1455" t="inlineStr">
        <is>
          <t>445-2025-12-31</t>
        </is>
      </c>
    </row>
    <row r="1456">
      <c r="A1456" t="n">
        <v>447</v>
      </c>
      <c r="B1456" t="inlineStr">
        <is>
          <t>Participación en actividades culturales</t>
        </is>
      </c>
      <c r="C1456" t="inlineStr">
        <is>
          <t>Biblioteca Institucional</t>
        </is>
      </c>
      <c r="D1456" t="inlineStr">
        <is>
          <t>Semestral</t>
        </is>
      </c>
      <c r="E1456" t="inlineStr">
        <is>
          <t>Positivo</t>
        </is>
      </c>
      <c r="F1456" s="148" t="n">
        <v>45473</v>
      </c>
      <c r="G1456" t="n">
        <v>2024</v>
      </c>
      <c r="H1456" t="inlineStr">
        <is>
          <t>Junio</t>
        </is>
      </c>
      <c r="I1456" t="inlineStr">
        <is>
          <t>2024-1</t>
        </is>
      </c>
      <c r="J1456" t="n">
        <v>15</v>
      </c>
      <c r="K1456" t="n">
        <v>31.04</v>
      </c>
      <c r="L1456" s="59">
        <f>IFERROR(IF(OR(J1456=0,K1456=""),"",IF(E1456="Positivo",MIN(MAX(K1456/J1456,0),1.3),MIN(MAX(J1456/K1456,0),1.3))),"") </f>
        <v/>
      </c>
      <c r="M1456" s="59">
        <f>IFERROR(IF(OR(J1456=0,K1456=""),"",IF(E1456="Positivo",MAX(K1456/J1456,0),MAX(J1456/K1456,0))),"") </f>
        <v/>
      </c>
      <c r="P1456" t="n">
        <v>0</v>
      </c>
      <c r="Q1456" t="n">
        <v>0</v>
      </c>
      <c r="R1456" t="inlineStr">
        <is>
          <t>447-2024-06-30</t>
        </is>
      </c>
    </row>
    <row r="1457">
      <c r="A1457" t="n">
        <v>447</v>
      </c>
      <c r="B1457" t="inlineStr">
        <is>
          <t>Participación en actividades culturales</t>
        </is>
      </c>
      <c r="C1457" t="inlineStr">
        <is>
          <t>Biblioteca Institucional</t>
        </is>
      </c>
      <c r="D1457" t="inlineStr">
        <is>
          <t>Semestral</t>
        </is>
      </c>
      <c r="E1457" t="inlineStr">
        <is>
          <t>Positivo</t>
        </is>
      </c>
      <c r="F1457" s="148" t="n">
        <v>45657</v>
      </c>
      <c r="G1457" t="n">
        <v>2024</v>
      </c>
      <c r="H1457" t="inlineStr">
        <is>
          <t>Diciembre</t>
        </is>
      </c>
      <c r="I1457" t="inlineStr">
        <is>
          <t>2024-2</t>
        </is>
      </c>
      <c r="J1457" t="n">
        <v>15</v>
      </c>
      <c r="K1457" t="n">
        <v>16.16</v>
      </c>
      <c r="L1457" s="59">
        <f>IFERROR(IF(OR(J1457=0,K1457=""),"",IF(E1457="Positivo",MIN(MAX(K1457/J1457,0),1.3),MIN(MAX(J1457/K1457,0),1.3))),"") </f>
        <v/>
      </c>
      <c r="M1457" s="59">
        <f>IFERROR(IF(OR(J1457=0,K1457=""),"",IF(E1457="Positivo",MAX(K1457/J1457,0),MAX(J1457/K1457,0))),"") </f>
        <v/>
      </c>
      <c r="P1457" t="n">
        <v>0</v>
      </c>
      <c r="Q1457" t="n">
        <v>0</v>
      </c>
      <c r="R1457" t="inlineStr">
        <is>
          <t>447-2024-12-31</t>
        </is>
      </c>
    </row>
    <row r="1458">
      <c r="A1458" t="n">
        <v>447</v>
      </c>
      <c r="B1458" t="inlineStr">
        <is>
          <t>Participación en actividades culturales</t>
        </is>
      </c>
      <c r="C1458" t="inlineStr">
        <is>
          <t>Biblioteca Institucional</t>
        </is>
      </c>
      <c r="D1458" t="inlineStr">
        <is>
          <t>Trimestral</t>
        </is>
      </c>
      <c r="E1458" t="inlineStr">
        <is>
          <t>Positivo</t>
        </is>
      </c>
      <c r="F1458" s="148" t="n">
        <v>45838</v>
      </c>
      <c r="G1458" t="n">
        <v>2025</v>
      </c>
      <c r="H1458" t="inlineStr">
        <is>
          <t>Junio</t>
        </is>
      </c>
      <c r="I1458" t="inlineStr">
        <is>
          <t>2025-1</t>
        </is>
      </c>
      <c r="J1458" t="n">
        <v>15</v>
      </c>
      <c r="K1458" t="n">
        <v>16.54</v>
      </c>
      <c r="L1458" s="59">
        <f>IFERROR(IF(OR(J1458=0,K1458=""),"",IF(E1458="Positivo",MIN(MAX(K1458/J1458,0),1.3),MIN(MAX(J1458/K1458,0),1.3))),"") </f>
        <v/>
      </c>
      <c r="M1458" s="59">
        <f>IFERROR(IF(OR(J1458=0,K1458=""),"",IF(E1458="Positivo",MAX(K1458/J1458,0),MAX(J1458/K1458,0))),"") </f>
        <v/>
      </c>
      <c r="N1458" t="inlineStr">
        <is>
          <t>%</t>
        </is>
      </c>
      <c r="O1458" t="inlineStr">
        <is>
          <t>%</t>
        </is>
      </c>
      <c r="P1458" t="n">
        <v>0</v>
      </c>
      <c r="Q1458" t="n">
        <v>0</v>
      </c>
      <c r="R1458" t="inlineStr">
        <is>
          <t>447-2025-06-30</t>
        </is>
      </c>
    </row>
    <row r="1459">
      <c r="A1459" t="n">
        <v>447</v>
      </c>
      <c r="B1459" t="inlineStr">
        <is>
          <t>Participación en actividades culturales</t>
        </is>
      </c>
      <c r="C1459" t="inlineStr">
        <is>
          <t>Biblioteca Institucional</t>
        </is>
      </c>
      <c r="D1459" t="inlineStr">
        <is>
          <t>Trimestral</t>
        </is>
      </c>
      <c r="E1459" t="inlineStr">
        <is>
          <t>Positivo</t>
        </is>
      </c>
      <c r="F1459" s="148" t="n">
        <v>46022</v>
      </c>
      <c r="G1459" t="n">
        <v>2025</v>
      </c>
      <c r="H1459" t="inlineStr">
        <is>
          <t>Diciembre</t>
        </is>
      </c>
      <c r="I1459" t="inlineStr">
        <is>
          <t>2025-2</t>
        </is>
      </c>
      <c r="J1459" t="n">
        <v>15</v>
      </c>
      <c r="K1459" t="n">
        <v>15.01</v>
      </c>
      <c r="L1459" s="59">
        <f>IFERROR(IF(OR(J1459=0,K1459=""),"",IF(E1459="Positivo",MIN(MAX(K1459/J1459,0),1.3),MIN(MAX(J1459/K1459,0),1.3))),"") </f>
        <v/>
      </c>
      <c r="M1459" s="59">
        <f>IFERROR(IF(OR(J1459=0,K1459=""),"",IF(E1459="Positivo",MAX(K1459/J1459,0),MAX(J1459/K1459,0))),"") </f>
        <v/>
      </c>
      <c r="N1459" t="inlineStr">
        <is>
          <t>%</t>
        </is>
      </c>
      <c r="O1459" t="inlineStr">
        <is>
          <t>%</t>
        </is>
      </c>
      <c r="P1459" t="n">
        <v>0</v>
      </c>
      <c r="Q1459" t="n">
        <v>0</v>
      </c>
      <c r="R1459" t="inlineStr">
        <is>
          <t>447-2025-12-31</t>
        </is>
      </c>
    </row>
    <row r="1460">
      <c r="A1460" t="n">
        <v>448</v>
      </c>
      <c r="B1460" t="inlineStr">
        <is>
          <t>Participación en actividades de formación</t>
        </is>
      </c>
      <c r="C1460" t="inlineStr">
        <is>
          <t>Biblioteca Institucional</t>
        </is>
      </c>
      <c r="D1460" t="inlineStr">
        <is>
          <t>Semestral</t>
        </is>
      </c>
      <c r="E1460" t="inlineStr">
        <is>
          <t>Positivo</t>
        </is>
      </c>
      <c r="F1460" s="148" t="n">
        <v>45473</v>
      </c>
      <c r="G1460" t="n">
        <v>2024</v>
      </c>
      <c r="H1460" t="inlineStr">
        <is>
          <t>Junio</t>
        </is>
      </c>
      <c r="I1460" t="inlineStr">
        <is>
          <t>2024-1</t>
        </is>
      </c>
      <c r="J1460" t="n">
        <v>9</v>
      </c>
      <c r="K1460" t="n">
        <v>18.93</v>
      </c>
      <c r="L1460" s="59">
        <f>IFERROR(IF(OR(J1460=0,K1460=""),"",IF(E1460="Positivo",MIN(MAX(K1460/J1460,0),1.3),MIN(MAX(J1460/K1460,0),1.3))),"") </f>
        <v/>
      </c>
      <c r="M1460" s="59">
        <f>IFERROR(IF(OR(J1460=0,K1460=""),"",IF(E1460="Positivo",MAX(K1460/J1460,0),MAX(J1460/K1460,0))),"") </f>
        <v/>
      </c>
      <c r="P1460" t="n">
        <v>0</v>
      </c>
      <c r="Q1460" t="n">
        <v>0</v>
      </c>
      <c r="R1460" t="inlineStr">
        <is>
          <t>448-2024-06-30</t>
        </is>
      </c>
    </row>
    <row r="1461">
      <c r="A1461" t="n">
        <v>448</v>
      </c>
      <c r="B1461" t="inlineStr">
        <is>
          <t>Participación en actividades de formación</t>
        </is>
      </c>
      <c r="C1461" t="inlineStr">
        <is>
          <t>Biblioteca Institucional</t>
        </is>
      </c>
      <c r="D1461" t="inlineStr">
        <is>
          <t>Semestral</t>
        </is>
      </c>
      <c r="E1461" t="inlineStr">
        <is>
          <t>Positivo</t>
        </is>
      </c>
      <c r="F1461" s="148" t="n">
        <v>45657</v>
      </c>
      <c r="G1461" t="n">
        <v>2024</v>
      </c>
      <c r="H1461" t="inlineStr">
        <is>
          <t>Diciembre</t>
        </is>
      </c>
      <c r="I1461" t="inlineStr">
        <is>
          <t>2024-2</t>
        </is>
      </c>
      <c r="J1461" t="n">
        <v>9</v>
      </c>
      <c r="K1461" t="n">
        <v>9.32</v>
      </c>
      <c r="L1461" s="59">
        <f>IFERROR(IF(OR(J1461=0,K1461=""),"",IF(E1461="Positivo",MIN(MAX(K1461/J1461,0),1.3),MIN(MAX(J1461/K1461,0),1.3))),"") </f>
        <v/>
      </c>
      <c r="M1461" s="59">
        <f>IFERROR(IF(OR(J1461=0,K1461=""),"",IF(E1461="Positivo",MAX(K1461/J1461,0),MAX(J1461/K1461,0))),"") </f>
        <v/>
      </c>
      <c r="P1461" t="n">
        <v>0</v>
      </c>
      <c r="Q1461" t="n">
        <v>0</v>
      </c>
      <c r="R1461" t="inlineStr">
        <is>
          <t>448-2024-12-31</t>
        </is>
      </c>
    </row>
    <row r="1462">
      <c r="A1462" t="n">
        <v>448</v>
      </c>
      <c r="B1462" t="inlineStr">
        <is>
          <t>Participación en actividades de formación</t>
        </is>
      </c>
      <c r="C1462" t="inlineStr">
        <is>
          <t>Biblioteca Institucional</t>
        </is>
      </c>
      <c r="D1462" t="inlineStr">
        <is>
          <t>Trimestral</t>
        </is>
      </c>
      <c r="E1462" t="inlineStr">
        <is>
          <t>Positivo</t>
        </is>
      </c>
      <c r="F1462" s="148" t="n">
        <v>45838</v>
      </c>
      <c r="G1462" t="n">
        <v>2025</v>
      </c>
      <c r="H1462" t="inlineStr">
        <is>
          <t>Junio</t>
        </is>
      </c>
      <c r="I1462" t="inlineStr">
        <is>
          <t>2025-1</t>
        </is>
      </c>
      <c r="J1462" t="n">
        <v>17</v>
      </c>
      <c r="K1462" t="n">
        <v>39.62</v>
      </c>
      <c r="L1462" s="59">
        <f>IFERROR(IF(OR(J1462=0,K1462=""),"",IF(E1462="Positivo",MIN(MAX(K1462/J1462,0),1.3),MIN(MAX(J1462/K1462,0),1.3))),"") </f>
        <v/>
      </c>
      <c r="M1462" s="59">
        <f>IFERROR(IF(OR(J1462=0,K1462=""),"",IF(E1462="Positivo",MAX(K1462/J1462,0),MAX(J1462/K1462,0))),"") </f>
        <v/>
      </c>
      <c r="N1462" t="inlineStr">
        <is>
          <t>%</t>
        </is>
      </c>
      <c r="O1462" t="inlineStr">
        <is>
          <t>%</t>
        </is>
      </c>
      <c r="P1462" t="n">
        <v>0</v>
      </c>
      <c r="Q1462" t="n">
        <v>1</v>
      </c>
      <c r="R1462" t="inlineStr">
        <is>
          <t>448-2025-06-30</t>
        </is>
      </c>
    </row>
    <row r="1463">
      <c r="A1463" t="n">
        <v>448</v>
      </c>
      <c r="B1463" t="inlineStr">
        <is>
          <t>Participación en actividades de formación</t>
        </is>
      </c>
      <c r="C1463" t="inlineStr">
        <is>
          <t>Biblioteca Institucional</t>
        </is>
      </c>
      <c r="D1463" t="inlineStr">
        <is>
          <t>Trimestral</t>
        </is>
      </c>
      <c r="E1463" t="inlineStr">
        <is>
          <t>Positivo</t>
        </is>
      </c>
      <c r="F1463" s="148" t="n">
        <v>46022</v>
      </c>
      <c r="G1463" t="n">
        <v>2025</v>
      </c>
      <c r="H1463" t="inlineStr">
        <is>
          <t>Diciembre</t>
        </is>
      </c>
      <c r="I1463" t="inlineStr">
        <is>
          <t>2025-2</t>
        </is>
      </c>
      <c r="J1463" t="n">
        <v>17</v>
      </c>
      <c r="K1463" t="n">
        <v>59.36</v>
      </c>
      <c r="L1463" s="59">
        <f>IFERROR(IF(OR(J1463=0,K1463=""),"",IF(E1463="Positivo",MIN(MAX(K1463/J1463,0),1.3),MIN(MAX(J1463/K1463,0),1.3))),"") </f>
        <v/>
      </c>
      <c r="M1463" s="59">
        <f>IFERROR(IF(OR(J1463=0,K1463=""),"",IF(E1463="Positivo",MAX(K1463/J1463,0),MAX(J1463/K1463,0))),"") </f>
        <v/>
      </c>
      <c r="N1463" t="inlineStr">
        <is>
          <t>%</t>
        </is>
      </c>
      <c r="O1463" t="inlineStr">
        <is>
          <t>%</t>
        </is>
      </c>
      <c r="P1463" t="n">
        <v>0</v>
      </c>
      <c r="Q1463" t="n">
        <v>1</v>
      </c>
      <c r="R1463" t="inlineStr">
        <is>
          <t>448-2025-12-31</t>
        </is>
      </c>
    </row>
    <row r="1464">
      <c r="A1464" t="n">
        <v>449</v>
      </c>
      <c r="B1464" t="inlineStr">
        <is>
          <t>Cumplimiento en la supervisión y monitoreo a los planes de tratamiento de los riesgos institucionales en nivel alto y extremo</t>
        </is>
      </c>
      <c r="C1464" t="inlineStr">
        <is>
          <t>GESTIÓN DE RIESGOS</t>
        </is>
      </c>
      <c r="D1464" t="inlineStr">
        <is>
          <t>Trimestral</t>
        </is>
      </c>
      <c r="E1464" t="inlineStr">
        <is>
          <t>Positivo</t>
        </is>
      </c>
      <c r="F1464" s="148" t="n">
        <v>45473</v>
      </c>
      <c r="G1464" t="n">
        <v>2024</v>
      </c>
      <c r="H1464" t="inlineStr">
        <is>
          <t>Junio</t>
        </is>
      </c>
      <c r="I1464" t="inlineStr">
        <is>
          <t>2024-1</t>
        </is>
      </c>
      <c r="J1464" t="n">
        <v>40</v>
      </c>
      <c r="K1464" t="n">
        <v>53.85</v>
      </c>
      <c r="L1464" s="59">
        <f>IFERROR(IF(OR(J1464=0,K1464=""),"",IF(E1464="Positivo",MIN(MAX(K1464/J1464,0),1.3),MIN(MAX(J1464/K1464,0),1.3))),"") </f>
        <v/>
      </c>
      <c r="M1464" s="59">
        <f>IFERROR(IF(OR(J1464=0,K1464=""),"",IF(E1464="Positivo",MAX(K1464/J1464,0),MAX(J1464/K1464,0))),"") </f>
        <v/>
      </c>
      <c r="P1464" t="n">
        <v>0</v>
      </c>
      <c r="Q1464" t="n">
        <v>0</v>
      </c>
      <c r="R1464" t="inlineStr">
        <is>
          <t>449-2024-06-30</t>
        </is>
      </c>
    </row>
    <row r="1465">
      <c r="A1465" t="n">
        <v>449</v>
      </c>
      <c r="B1465" t="inlineStr">
        <is>
          <t>Cumplimiento en la supervisión y monitoreo a los planes de tratamiento de los riesgos institucionales en nivel alto y extremo</t>
        </is>
      </c>
      <c r="C1465" t="inlineStr">
        <is>
          <t>GESTIÓN DE RIESGOS</t>
        </is>
      </c>
      <c r="D1465" t="inlineStr">
        <is>
          <t>Trimestral</t>
        </is>
      </c>
      <c r="E1465" t="inlineStr">
        <is>
          <t>Positivo</t>
        </is>
      </c>
      <c r="F1465" s="148" t="n">
        <v>45657</v>
      </c>
      <c r="G1465" t="n">
        <v>2024</v>
      </c>
      <c r="H1465" t="inlineStr">
        <is>
          <t>Diciembre</t>
        </is>
      </c>
      <c r="I1465" t="inlineStr">
        <is>
          <t>2024-2</t>
        </is>
      </c>
      <c r="J1465" t="n">
        <v>100</v>
      </c>
      <c r="K1465" t="n">
        <v>100</v>
      </c>
      <c r="L1465" s="59">
        <f>IFERROR(IF(OR(J1465=0,K1465=""),"",IF(E1465="Positivo",MIN(MAX(K1465/J1465,0),1.3),MIN(MAX(J1465/K1465,0),1.3))),"") </f>
        <v/>
      </c>
      <c r="M1465" s="59">
        <f>IFERROR(IF(OR(J1465=0,K1465=""),"",IF(E1465="Positivo",MAX(K1465/J1465,0),MAX(J1465/K1465,0))),"") </f>
        <v/>
      </c>
      <c r="P1465" t="n">
        <v>0</v>
      </c>
      <c r="Q1465" t="n">
        <v>0</v>
      </c>
      <c r="R1465" t="inlineStr">
        <is>
          <t>449-2024-12-31</t>
        </is>
      </c>
    </row>
    <row r="1466">
      <c r="A1466" t="n">
        <v>451</v>
      </c>
      <c r="B1466" t="inlineStr">
        <is>
          <t>% Participación de publicaciones positiva</t>
        </is>
      </c>
      <c r="C1466" t="inlineStr">
        <is>
          <t>Comunicaciones Externas</t>
        </is>
      </c>
      <c r="D1466" t="inlineStr">
        <is>
          <t>Semestral</t>
        </is>
      </c>
      <c r="E1466" t="inlineStr">
        <is>
          <t>Positivo</t>
        </is>
      </c>
      <c r="F1466" s="148" t="n">
        <v>45473</v>
      </c>
      <c r="G1466" t="n">
        <v>2024</v>
      </c>
      <c r="H1466" t="inlineStr">
        <is>
          <t>Junio</t>
        </is>
      </c>
      <c r="I1466" t="inlineStr">
        <is>
          <t>2024-1</t>
        </is>
      </c>
      <c r="J1466" t="n">
        <v>0</v>
      </c>
      <c r="K1466" t="n">
        <v>34.9</v>
      </c>
      <c r="L1466" s="59">
        <f>IFERROR(IF(OR(J1466=0,K1466=""),"",IF(E1466="Positivo",MIN(MAX(K1466/J1466,0),1.3),MIN(MAX(J1466/K1466,0),1.3))),"") </f>
        <v/>
      </c>
      <c r="M1466" s="59">
        <f>IFERROR(IF(OR(J1466=0,K1466=""),"",IF(E1466="Positivo",MAX(K1466/J1466,0),MAX(J1466/K1466,0))),"") </f>
        <v/>
      </c>
      <c r="P1466" t="n">
        <v>0</v>
      </c>
      <c r="Q1466" t="n">
        <v>0</v>
      </c>
      <c r="R1466" t="inlineStr">
        <is>
          <t>451-2024-06-30</t>
        </is>
      </c>
    </row>
    <row r="1467">
      <c r="A1467" t="n">
        <v>451</v>
      </c>
      <c r="B1467" t="inlineStr">
        <is>
          <t>% Participación de publicaciones positiva</t>
        </is>
      </c>
      <c r="C1467" t="inlineStr">
        <is>
          <t>Comunicaciones Externas</t>
        </is>
      </c>
      <c r="D1467" t="inlineStr">
        <is>
          <t>Semestral</t>
        </is>
      </c>
      <c r="E1467" t="inlineStr">
        <is>
          <t>Positivo</t>
        </is>
      </c>
      <c r="F1467" s="148" t="n">
        <v>45657</v>
      </c>
      <c r="G1467" t="n">
        <v>2024</v>
      </c>
      <c r="H1467" t="inlineStr">
        <is>
          <t>Diciembre</t>
        </is>
      </c>
      <c r="I1467" t="inlineStr">
        <is>
          <t>2024-2</t>
        </is>
      </c>
      <c r="J1467" t="n">
        <v>0</v>
      </c>
      <c r="K1467" t="n">
        <v>42.7</v>
      </c>
      <c r="L1467" s="59">
        <f>IFERROR(IF(OR(J1467=0,K1467=""),"",IF(E1467="Positivo",MIN(MAX(K1467/J1467,0),1.3),MIN(MAX(J1467/K1467,0),1.3))),"") </f>
        <v/>
      </c>
      <c r="M1467" s="59">
        <f>IFERROR(IF(OR(J1467=0,K1467=""),"",IF(E1467="Positivo",MAX(K1467/J1467,0),MAX(J1467/K1467,0))),"") </f>
        <v/>
      </c>
      <c r="P1467" t="n">
        <v>0</v>
      </c>
      <c r="Q1467" t="n">
        <v>0</v>
      </c>
      <c r="R1467" t="inlineStr">
        <is>
          <t>451-2024-12-31</t>
        </is>
      </c>
    </row>
    <row r="1468">
      <c r="A1468" t="n">
        <v>451</v>
      </c>
      <c r="B1468" t="inlineStr">
        <is>
          <t>% de publicaciones con sentimiento positivo</t>
        </is>
      </c>
      <c r="C1468" t="inlineStr">
        <is>
          <t>Comunicaciones Externas</t>
        </is>
      </c>
      <c r="D1468" t="inlineStr">
        <is>
          <t>Trimestral</t>
        </is>
      </c>
      <c r="E1468" t="inlineStr">
        <is>
          <t>Positivo</t>
        </is>
      </c>
      <c r="F1468" s="148" t="n">
        <v>45838</v>
      </c>
      <c r="G1468" t="n">
        <v>2025</v>
      </c>
      <c r="H1468" t="inlineStr">
        <is>
          <t>Junio</t>
        </is>
      </c>
      <c r="I1468" t="inlineStr">
        <is>
          <t>2025-1</t>
        </is>
      </c>
      <c r="J1468" t="n">
        <v>100</v>
      </c>
      <c r="K1468" t="n">
        <v>119.5</v>
      </c>
      <c r="L1468" s="59">
        <f>IFERROR(IF(OR(J1468=0,K1468=""),"",IF(E1468="Positivo",MIN(MAX(K1468/J1468,0),1.3),MIN(MAX(J1468/K1468,0),1.3))),"") </f>
        <v/>
      </c>
      <c r="M1468" s="59">
        <f>IFERROR(IF(OR(J1468=0,K1468=""),"",IF(E1468="Positivo",MAX(K1468/J1468,0),MAX(J1468/K1468,0))),"") </f>
        <v/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451-2025-06-30</t>
        </is>
      </c>
    </row>
    <row r="1469">
      <c r="A1469" t="n">
        <v>451</v>
      </c>
      <c r="B1469" t="inlineStr">
        <is>
          <t>% de publicaciones con sentimiento positivo</t>
        </is>
      </c>
      <c r="C1469" t="inlineStr">
        <is>
          <t>Comunicaciones Externas</t>
        </is>
      </c>
      <c r="D1469" t="inlineStr">
        <is>
          <t>Trimestral</t>
        </is>
      </c>
      <c r="E1469" t="inlineStr">
        <is>
          <t>Positivo</t>
        </is>
      </c>
      <c r="F1469" s="148" t="n">
        <v>46022</v>
      </c>
      <c r="G1469" t="n">
        <v>2025</v>
      </c>
      <c r="H1469" t="inlineStr">
        <is>
          <t>Diciembre</t>
        </is>
      </c>
      <c r="I1469" t="inlineStr">
        <is>
          <t>2025-2</t>
        </is>
      </c>
      <c r="J1469" t="n">
        <v>100</v>
      </c>
      <c r="K1469" t="n">
        <v>130.8</v>
      </c>
      <c r="L1469" s="59">
        <f>IFERROR(IF(OR(J1469=0,K1469=""),"",IF(E1469="Positivo",MIN(MAX(K1469/J1469,0),1.3),MIN(MAX(J1469/K1469,0),1.3))),"") </f>
        <v/>
      </c>
      <c r="M1469" s="59">
        <f>IFERROR(IF(OR(J1469=0,K1469=""),"",IF(E1469="Positivo",MAX(K1469/J1469,0),MAX(J1469/K1469,0))),"") </f>
        <v/>
      </c>
      <c r="N1469" t="inlineStr">
        <is>
          <t>%</t>
        </is>
      </c>
      <c r="O1469" t="inlineStr">
        <is>
          <t>%</t>
        </is>
      </c>
      <c r="P1469" t="n">
        <v>0</v>
      </c>
      <c r="Q1469" t="n">
        <v>0</v>
      </c>
      <c r="R1469" t="inlineStr">
        <is>
          <t>451-2025-12-31</t>
        </is>
      </c>
    </row>
    <row r="1470">
      <c r="A1470" t="n">
        <v>452</v>
      </c>
      <c r="B1470" t="inlineStr">
        <is>
          <t>Seguimiento a eventos internos y externos institucionales</t>
        </is>
      </c>
      <c r="C1470" t="inlineStr">
        <is>
          <t>Comunicaciones Externas</t>
        </is>
      </c>
      <c r="D1470" t="inlineStr">
        <is>
          <t>Semestral</t>
        </is>
      </c>
      <c r="E1470" t="inlineStr">
        <is>
          <t>Positivo</t>
        </is>
      </c>
      <c r="F1470" s="148" t="n">
        <v>45473</v>
      </c>
      <c r="G1470" t="n">
        <v>2024</v>
      </c>
      <c r="H1470" t="inlineStr">
        <is>
          <t>Junio</t>
        </is>
      </c>
      <c r="I1470" t="inlineStr">
        <is>
          <t>2024-1</t>
        </is>
      </c>
      <c r="J1470" t="n">
        <v>100</v>
      </c>
      <c r="K1470" t="n">
        <v>100</v>
      </c>
      <c r="L1470" s="59">
        <f>IFERROR(IF(OR(J1470=0,K1470=""),"",IF(E1470="Positivo",MIN(MAX(K1470/J1470,0),1.3),MIN(MAX(J1470/K1470,0),1.3))),"") </f>
        <v/>
      </c>
      <c r="M1470" s="59">
        <f>IFERROR(IF(OR(J1470=0,K1470=""),"",IF(E1470="Positivo",MAX(K1470/J1470,0),MAX(J1470/K1470,0))),"") </f>
        <v/>
      </c>
      <c r="P1470" t="n">
        <v>0</v>
      </c>
      <c r="Q1470" t="n">
        <v>0</v>
      </c>
      <c r="R1470" t="inlineStr">
        <is>
          <t>452-2024-06-30</t>
        </is>
      </c>
    </row>
    <row r="1471">
      <c r="A1471" t="n">
        <v>452</v>
      </c>
      <c r="B1471" t="inlineStr">
        <is>
          <t>Seguimiento a eventos internos y externos institucionales</t>
        </is>
      </c>
      <c r="C1471" t="inlineStr">
        <is>
          <t>Comunicaciones Externas</t>
        </is>
      </c>
      <c r="D1471" t="inlineStr">
        <is>
          <t>Semestral</t>
        </is>
      </c>
      <c r="E1471" t="inlineStr">
        <is>
          <t>Positivo</t>
        </is>
      </c>
      <c r="F1471" s="148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100</v>
      </c>
      <c r="K1471" t="n">
        <v>160</v>
      </c>
      <c r="L1471" s="59">
        <f>IFERROR(IF(OR(J1471=0,K1471=""),"",IF(E1471="Positivo",MIN(MAX(K1471/J1471,0),1.3),MIN(MAX(J1471/K1471,0),1.3))),"") </f>
        <v/>
      </c>
      <c r="M1471" s="59">
        <f>IFERROR(IF(OR(J1471=0,K1471=""),"",IF(E1471="Positivo",MAX(K1471/J1471,0),MAX(J1471/K1471,0))),"") </f>
        <v/>
      </c>
      <c r="P1471" t="n">
        <v>0</v>
      </c>
      <c r="Q1471" t="n">
        <v>0</v>
      </c>
      <c r="R1471" t="inlineStr">
        <is>
          <t>452-2024-12-31</t>
        </is>
      </c>
    </row>
    <row r="1472">
      <c r="A1472" t="n">
        <v>452</v>
      </c>
      <c r="B1472" t="inlineStr">
        <is>
          <t>Seguimiento a eventos internos y externos institucionales</t>
        </is>
      </c>
      <c r="C1472" t="inlineStr">
        <is>
          <t>Comunicaciones Externas</t>
        </is>
      </c>
      <c r="D1472" t="inlineStr">
        <is>
          <t>Trimestral</t>
        </is>
      </c>
      <c r="E1472" t="inlineStr">
        <is>
          <t>Positivo</t>
        </is>
      </c>
      <c r="F1472" s="148" t="n">
        <v>45838</v>
      </c>
      <c r="G1472" t="n">
        <v>2025</v>
      </c>
      <c r="H1472" t="inlineStr">
        <is>
          <t>Junio</t>
        </is>
      </c>
      <c r="I1472" t="inlineStr">
        <is>
          <t>2025-1</t>
        </is>
      </c>
      <c r="J1472" t="n">
        <v>100</v>
      </c>
      <c r="K1472" t="n">
        <v>102.27</v>
      </c>
      <c r="L1472" s="59">
        <f>IFERROR(IF(OR(J1472=0,K1472=""),"",IF(E1472="Positivo",MIN(MAX(K1472/J1472,0),1.3),MIN(MAX(J1472/K1472,0),1.3))),"") </f>
        <v/>
      </c>
      <c r="M1472" s="59">
        <f>IFERROR(IF(OR(J1472=0,K1472=""),"",IF(E1472="Positivo",MAX(K1472/J1472,0),MAX(J1472/K1472,0))),"") </f>
        <v/>
      </c>
      <c r="N1472" t="inlineStr">
        <is>
          <t>%</t>
        </is>
      </c>
      <c r="O1472" t="inlineStr">
        <is>
          <t>%</t>
        </is>
      </c>
      <c r="P1472" t="n">
        <v>0</v>
      </c>
      <c r="Q1472" t="n">
        <v>0</v>
      </c>
      <c r="R1472" t="inlineStr">
        <is>
          <t>452-2025-06-30</t>
        </is>
      </c>
    </row>
    <row r="1473">
      <c r="A1473" t="n">
        <v>452</v>
      </c>
      <c r="B1473" t="inlineStr">
        <is>
          <t>Seguimiento a eventos internos y externos institucionales</t>
        </is>
      </c>
      <c r="C1473" t="inlineStr">
        <is>
          <t>Comunicaciones Externas</t>
        </is>
      </c>
      <c r="D1473" t="inlineStr">
        <is>
          <t>Trimestral</t>
        </is>
      </c>
      <c r="E1473" t="inlineStr">
        <is>
          <t>Positivo</t>
        </is>
      </c>
      <c r="F1473" s="148" t="n">
        <v>46022</v>
      </c>
      <c r="G1473" t="n">
        <v>2025</v>
      </c>
      <c r="H1473" t="inlineStr">
        <is>
          <t>Diciembre</t>
        </is>
      </c>
      <c r="I1473" t="inlineStr">
        <is>
          <t>2025-2</t>
        </is>
      </c>
      <c r="J1473" t="n">
        <v>100</v>
      </c>
      <c r="K1473" t="n">
        <v>200</v>
      </c>
      <c r="L1473" s="59">
        <f>IFERROR(IF(OR(J1473=0,K1473=""),"",IF(E1473="Positivo",MIN(MAX(K1473/J1473,0),1.3),MIN(MAX(J1473/K1473,0),1.3))),"") </f>
        <v/>
      </c>
      <c r="M1473" s="59">
        <f>IFERROR(IF(OR(J1473=0,K1473=""),"",IF(E1473="Positivo",MAX(K1473/J1473,0),MAX(J1473/K1473,0))),"") </f>
        <v/>
      </c>
      <c r="N1473" t="inlineStr">
        <is>
          <t>%</t>
        </is>
      </c>
      <c r="O1473" t="inlineStr">
        <is>
          <t>%</t>
        </is>
      </c>
      <c r="P1473" t="n">
        <v>0</v>
      </c>
      <c r="Q1473" t="n">
        <v>0</v>
      </c>
      <c r="R1473" t="inlineStr">
        <is>
          <t>452-2025-12-31</t>
        </is>
      </c>
    </row>
    <row r="1474">
      <c r="A1474" t="n">
        <v>453</v>
      </c>
      <c r="B1474" t="inlineStr">
        <is>
          <t>Número de cursos diseñados</t>
        </is>
      </c>
      <c r="C1474" t="inlineStr">
        <is>
          <t>Diseño de Contenido Virtual</t>
        </is>
      </c>
      <c r="D1474" t="inlineStr">
        <is>
          <t>Trimestral</t>
        </is>
      </c>
      <c r="E1474" t="inlineStr">
        <is>
          <t>Positivo</t>
        </is>
      </c>
      <c r="F1474" s="148" t="n">
        <v>45473</v>
      </c>
      <c r="G1474" t="n">
        <v>2024</v>
      </c>
      <c r="H1474" t="inlineStr">
        <is>
          <t>Junio</t>
        </is>
      </c>
      <c r="I1474" t="inlineStr">
        <is>
          <t>2024-1</t>
        </is>
      </c>
      <c r="J1474" t="n">
        <v>100</v>
      </c>
      <c r="K1474" t="n">
        <v>192</v>
      </c>
      <c r="L1474" s="59">
        <f>IFERROR(IF(OR(J1474=0,K1474=""),"",IF(E1474="Positivo",MIN(MAX(K1474/J1474,0),1.3),MIN(MAX(J1474/K1474,0),1.3))),"") </f>
        <v/>
      </c>
      <c r="M1474" s="59">
        <f>IFERROR(IF(OR(J1474=0,K1474=""),"",IF(E1474="Positivo",MAX(K1474/J1474,0),MAX(J1474/K1474,0))),"") </f>
        <v/>
      </c>
      <c r="P1474" t="n">
        <v>0</v>
      </c>
      <c r="Q1474" t="n">
        <v>0</v>
      </c>
      <c r="R1474" t="inlineStr">
        <is>
          <t>453-2024-06-30</t>
        </is>
      </c>
    </row>
    <row r="1475">
      <c r="A1475" t="n">
        <v>453</v>
      </c>
      <c r="B1475" t="inlineStr">
        <is>
          <t>Número de cursos diseñados</t>
        </is>
      </c>
      <c r="C1475" t="inlineStr">
        <is>
          <t>Diseño de Contenido Virtual</t>
        </is>
      </c>
      <c r="D1475" t="inlineStr">
        <is>
          <t>Trimestral</t>
        </is>
      </c>
      <c r="E1475" t="inlineStr">
        <is>
          <t>Positivo</t>
        </is>
      </c>
      <c r="F1475" s="148" t="n">
        <v>45657</v>
      </c>
      <c r="G1475" t="n">
        <v>2024</v>
      </c>
      <c r="H1475" t="inlineStr">
        <is>
          <t>Diciembre</t>
        </is>
      </c>
      <c r="I1475" t="inlineStr">
        <is>
          <t>2024-2</t>
        </is>
      </c>
      <c r="J1475" t="n">
        <v>200</v>
      </c>
      <c r="K1475" t="n">
        <v>448</v>
      </c>
      <c r="L1475" s="59">
        <f>IFERROR(IF(OR(J1475=0,K1475=""),"",IF(E1475="Positivo",MIN(MAX(K1475/J1475,0),1.3),MIN(MAX(J1475/K1475,0),1.3))),"") </f>
        <v/>
      </c>
      <c r="M1475" s="59">
        <f>IFERROR(IF(OR(J1475=0,K1475=""),"",IF(E1475="Positivo",MAX(K1475/J1475,0),MAX(J1475/K1475,0))),"") </f>
        <v/>
      </c>
      <c r="P1475" t="n">
        <v>0</v>
      </c>
      <c r="Q1475" t="n">
        <v>0</v>
      </c>
      <c r="R1475" t="inlineStr">
        <is>
          <t>453-2024-12-31</t>
        </is>
      </c>
    </row>
    <row r="1476">
      <c r="A1476" t="n">
        <v>453</v>
      </c>
      <c r="B1476" t="inlineStr">
        <is>
          <t>Número de cursos diseñados</t>
        </is>
      </c>
      <c r="C1476" t="inlineStr">
        <is>
          <t>Diseño de Contenido Virtual</t>
        </is>
      </c>
      <c r="D1476" t="inlineStr">
        <is>
          <t>Semestral</t>
        </is>
      </c>
      <c r="E1476" t="inlineStr">
        <is>
          <t>Positivo</t>
        </is>
      </c>
      <c r="F1476" s="148" t="n">
        <v>45838</v>
      </c>
      <c r="G1476" t="n">
        <v>2025</v>
      </c>
      <c r="H1476" t="inlineStr">
        <is>
          <t>Junio</t>
        </is>
      </c>
      <c r="I1476" t="inlineStr">
        <is>
          <t>2025-1</t>
        </is>
      </c>
      <c r="J1476" t="n">
        <v>200</v>
      </c>
      <c r="K1476" t="n">
        <v>148</v>
      </c>
      <c r="L1476" s="59">
        <f>IFERROR(IF(OR(J1476=0,K1476=""),"",IF(E1476="Positivo",MIN(MAX(K1476/J1476,0),1.3),MIN(MAX(J1476/K1476,0),1.3))),"") </f>
        <v/>
      </c>
      <c r="M1476" s="59">
        <f>IFERROR(IF(OR(J1476=0,K1476=""),"",IF(E1476="Positivo",MAX(K1476/J1476,0),MAX(J1476/K1476,0))),"") </f>
        <v/>
      </c>
      <c r="N1476" t="inlineStr">
        <is>
          <t>%</t>
        </is>
      </c>
      <c r="O1476" t="inlineStr">
        <is>
          <t>%</t>
        </is>
      </c>
      <c r="P1476" t="n">
        <v>0</v>
      </c>
      <c r="Q1476" t="n">
        <v>0</v>
      </c>
      <c r="R1476" t="inlineStr">
        <is>
          <t>453-2025-06-30</t>
        </is>
      </c>
    </row>
    <row r="1477">
      <c r="A1477" t="n">
        <v>453</v>
      </c>
      <c r="B1477" t="inlineStr">
        <is>
          <t>Número de cursos diseñados</t>
        </is>
      </c>
      <c r="C1477" t="inlineStr">
        <is>
          <t>Diseño de Contenido Virtual</t>
        </is>
      </c>
      <c r="D1477" t="inlineStr">
        <is>
          <t>Semestral</t>
        </is>
      </c>
      <c r="E1477" t="inlineStr">
        <is>
          <t>Positivo</t>
        </is>
      </c>
      <c r="F1477" s="148" t="n">
        <v>46022</v>
      </c>
      <c r="G1477" t="n">
        <v>2025</v>
      </c>
      <c r="H1477" t="inlineStr">
        <is>
          <t>Diciembre</t>
        </is>
      </c>
      <c r="I1477" t="inlineStr">
        <is>
          <t>2025-2</t>
        </is>
      </c>
      <c r="J1477" t="n">
        <v>200</v>
      </c>
      <c r="K1477" t="n">
        <v>200</v>
      </c>
      <c r="L1477" s="59">
        <f>IFERROR(IF(OR(J1477=0,K1477=""),"",IF(E1477="Positivo",MIN(MAX(K1477/J1477,0),1.3),MIN(MAX(J1477/K1477,0),1.3))),"") </f>
        <v/>
      </c>
      <c r="M1477" s="59">
        <f>IFERROR(IF(OR(J1477=0,K1477=""),"",IF(E1477="Positivo",MAX(K1477/J1477,0),MAX(J1477/K1477,0))),"") </f>
        <v/>
      </c>
      <c r="N1477" t="inlineStr">
        <is>
          <t>%</t>
        </is>
      </c>
      <c r="O1477" t="inlineStr">
        <is>
          <t>%</t>
        </is>
      </c>
      <c r="P1477" t="n">
        <v>0</v>
      </c>
      <c r="Q1477" t="n">
        <v>0</v>
      </c>
      <c r="R1477" t="inlineStr">
        <is>
          <t>453-2025-12-31</t>
        </is>
      </c>
    </row>
    <row r="1478">
      <c r="A1478" t="n">
        <v>454</v>
      </c>
      <c r="B1478" t="inlineStr">
        <is>
          <t>Satisfacción de la calidad del contenido</t>
        </is>
      </c>
      <c r="C1478" t="inlineStr">
        <is>
          <t>Diseño de Contenido Virtual</t>
        </is>
      </c>
      <c r="D1478" t="inlineStr">
        <is>
          <t>Trimestral</t>
        </is>
      </c>
      <c r="E1478" t="inlineStr">
        <is>
          <t>Positivo</t>
        </is>
      </c>
      <c r="F1478" s="148" t="n">
        <v>45473</v>
      </c>
      <c r="G1478" t="n">
        <v>2024</v>
      </c>
      <c r="H1478" t="inlineStr">
        <is>
          <t>Junio</t>
        </is>
      </c>
      <c r="I1478" t="inlineStr">
        <is>
          <t>2024-1</t>
        </is>
      </c>
      <c r="L1478" s="59" t="n"/>
      <c r="M1478" s="59" t="n"/>
      <c r="P1478" t="n">
        <v>0</v>
      </c>
      <c r="Q1478" t="n">
        <v>0</v>
      </c>
      <c r="R1478" t="inlineStr">
        <is>
          <t>454-2024-06-30</t>
        </is>
      </c>
    </row>
    <row r="1479">
      <c r="A1479" t="n">
        <v>454</v>
      </c>
      <c r="B1479" t="inlineStr">
        <is>
          <t>Satisfacción de la calidad del contenido</t>
        </is>
      </c>
      <c r="C1479" t="inlineStr">
        <is>
          <t>Diseño de Contenido Virtual</t>
        </is>
      </c>
      <c r="D1479" t="inlineStr">
        <is>
          <t>Trimestral</t>
        </is>
      </c>
      <c r="E1479" t="inlineStr">
        <is>
          <t>Positivo</t>
        </is>
      </c>
      <c r="F1479" s="148" t="n">
        <v>45657</v>
      </c>
      <c r="G1479" t="n">
        <v>2024</v>
      </c>
      <c r="H1479" t="inlineStr">
        <is>
          <t>Diciembre</t>
        </is>
      </c>
      <c r="I1479" t="inlineStr">
        <is>
          <t>2024-2</t>
        </is>
      </c>
      <c r="J1479" t="n">
        <v>0</v>
      </c>
      <c r="K1479" t="n">
        <v>88</v>
      </c>
      <c r="L1479" s="59">
        <f>IFERROR(IF(OR(J1479=0,K1479=""),"",IF(E1479="Positivo",MIN(MAX(K1479/J1479,0),1.3),MIN(MAX(J1479/K1479,0),1.3))),"") </f>
        <v/>
      </c>
      <c r="M1479" s="59">
        <f>IFERROR(IF(OR(J1479=0,K1479=""),"",IF(E1479="Positivo",MAX(K1479/J1479,0),MAX(J1479/K1479,0))),"") </f>
        <v/>
      </c>
      <c r="P1479" t="n">
        <v>0</v>
      </c>
      <c r="Q1479" t="n">
        <v>0</v>
      </c>
      <c r="R1479" t="inlineStr">
        <is>
          <t>454-2024-12-31</t>
        </is>
      </c>
    </row>
    <row r="1480">
      <c r="A1480" t="n">
        <v>455</v>
      </c>
      <c r="B1480" t="inlineStr">
        <is>
          <t>ANS Diseño de contenidos virtuales</t>
        </is>
      </c>
      <c r="C1480" t="inlineStr">
        <is>
          <t>Diseño de Contenido Virtual</t>
        </is>
      </c>
      <c r="D1480" t="inlineStr">
        <is>
          <t>Trimestral</t>
        </is>
      </c>
      <c r="E1480" t="inlineStr">
        <is>
          <t>Positivo</t>
        </is>
      </c>
      <c r="F1480" s="148" t="n">
        <v>45473</v>
      </c>
      <c r="G1480" t="n">
        <v>2024</v>
      </c>
      <c r="H1480" t="inlineStr">
        <is>
          <t>Junio</t>
        </is>
      </c>
      <c r="I1480" t="inlineStr">
        <is>
          <t>2024-1</t>
        </is>
      </c>
      <c r="L1480" s="59" t="n"/>
      <c r="M1480" s="59" t="n"/>
      <c r="P1480" t="n">
        <v>0</v>
      </c>
      <c r="Q1480" t="n">
        <v>0</v>
      </c>
      <c r="R1480" t="inlineStr">
        <is>
          <t>455-2024-06-30</t>
        </is>
      </c>
    </row>
    <row r="1481">
      <c r="A1481" t="n">
        <v>455</v>
      </c>
      <c r="B1481" t="inlineStr">
        <is>
          <t>ANS Diseño de contenidos virtuales</t>
        </is>
      </c>
      <c r="C1481" t="inlineStr">
        <is>
          <t>Diseño de Contenido Virtual</t>
        </is>
      </c>
      <c r="D1481" t="inlineStr">
        <is>
          <t>Trimestral</t>
        </is>
      </c>
      <c r="E1481" t="inlineStr">
        <is>
          <t>Positivo</t>
        </is>
      </c>
      <c r="F1481" s="148" t="n">
        <v>45657</v>
      </c>
      <c r="G1481" t="n">
        <v>2024</v>
      </c>
      <c r="H1481" t="inlineStr">
        <is>
          <t>Diciembre</t>
        </is>
      </c>
      <c r="I1481" t="inlineStr">
        <is>
          <t>2024-2</t>
        </is>
      </c>
      <c r="J1481" t="n">
        <v>90</v>
      </c>
      <c r="K1481" t="n">
        <v>100</v>
      </c>
      <c r="L1481" s="59">
        <f>IFERROR(IF(OR(J1481=0,K1481=""),"",IF(E1481="Positivo",MIN(MAX(K1481/J1481,0),1.3),MIN(MAX(J1481/K1481,0),1.3))),"") </f>
        <v/>
      </c>
      <c r="M1481" s="59">
        <f>IFERROR(IF(OR(J1481=0,K1481=""),"",IF(E1481="Positivo",MAX(K1481/J1481,0),MAX(J1481/K1481,0))),"") </f>
        <v/>
      </c>
      <c r="P1481" t="n">
        <v>0</v>
      </c>
      <c r="Q1481" t="n">
        <v>0</v>
      </c>
      <c r="R1481" t="inlineStr">
        <is>
          <t>455-2024-12-31</t>
        </is>
      </c>
    </row>
    <row r="1482">
      <c r="A1482" t="n">
        <v>455</v>
      </c>
      <c r="B1482" t="inlineStr">
        <is>
          <t>ANS Diseño de contenidos virtuales</t>
        </is>
      </c>
      <c r="C1482" t="inlineStr">
        <is>
          <t>Diseño de Contenido Virtual</t>
        </is>
      </c>
      <c r="D1482" t="inlineStr">
        <is>
          <t>Semestral</t>
        </is>
      </c>
      <c r="E1482" t="inlineStr">
        <is>
          <t>Positivo</t>
        </is>
      </c>
      <c r="F1482" s="148" t="n">
        <v>45838</v>
      </c>
      <c r="G1482" t="n">
        <v>2025</v>
      </c>
      <c r="H1482" t="inlineStr">
        <is>
          <t>Junio</t>
        </is>
      </c>
      <c r="I1482" t="inlineStr">
        <is>
          <t>2025-1</t>
        </is>
      </c>
      <c r="J1482" t="n">
        <v>100</v>
      </c>
      <c r="K1482" t="n">
        <v>100</v>
      </c>
      <c r="L1482" s="59">
        <f>IFERROR(IF(OR(J1482=0,K1482=""),"",IF(E1482="Positivo",MIN(MAX(K1482/J1482,0),1.3),MIN(MAX(J1482/K1482,0),1.3))),"") </f>
        <v/>
      </c>
      <c r="M1482" s="59">
        <f>IFERROR(IF(OR(J1482=0,K1482=""),"",IF(E1482="Positivo",MAX(K1482/J1482,0),MAX(J1482/K1482,0))),"") </f>
        <v/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455-2025-06-30</t>
        </is>
      </c>
    </row>
    <row r="1483">
      <c r="A1483" t="n">
        <v>455</v>
      </c>
      <c r="B1483" t="inlineStr">
        <is>
          <t>ANS Diseño de contenidos virtuales</t>
        </is>
      </c>
      <c r="C1483" t="inlineStr">
        <is>
          <t>Diseño de Contenido Virtual</t>
        </is>
      </c>
      <c r="D1483" t="inlineStr">
        <is>
          <t>Semestral</t>
        </is>
      </c>
      <c r="E1483" t="inlineStr">
        <is>
          <t>Positivo</t>
        </is>
      </c>
      <c r="F1483" s="148" t="n">
        <v>46022</v>
      </c>
      <c r="G1483" t="n">
        <v>2025</v>
      </c>
      <c r="H1483" t="inlineStr">
        <is>
          <t>Diciembre</t>
        </is>
      </c>
      <c r="I1483" t="inlineStr">
        <is>
          <t>2025-2</t>
        </is>
      </c>
      <c r="J1483" t="n">
        <v>100</v>
      </c>
      <c r="K1483" t="n">
        <v>100</v>
      </c>
      <c r="L1483" s="59">
        <f>IFERROR(IF(OR(J1483=0,K1483=""),"",IF(E1483="Positivo",MIN(MAX(K1483/J1483,0),1.3),MIN(MAX(J1483/K1483,0),1.3))),"") </f>
        <v/>
      </c>
      <c r="M1483" s="59">
        <f>IFERROR(IF(OR(J1483=0,K1483=""),"",IF(E1483="Positivo",MAX(K1483/J1483,0),MAX(J1483/K1483,0))),"") </f>
        <v/>
      </c>
      <c r="N1483" t="inlineStr">
        <is>
          <t>%</t>
        </is>
      </c>
      <c r="O1483" t="inlineStr">
        <is>
          <t>%</t>
        </is>
      </c>
      <c r="P1483" t="n">
        <v>0</v>
      </c>
      <c r="Q1483" t="n">
        <v>0</v>
      </c>
      <c r="R1483" t="inlineStr">
        <is>
          <t>455-2025-12-31</t>
        </is>
      </c>
    </row>
    <row r="1484">
      <c r="A1484" t="n">
        <v>456</v>
      </c>
      <c r="B1484" t="inlineStr">
        <is>
          <t>Impacto de campañas de Mailing</t>
        </is>
      </c>
      <c r="C1484" t="inlineStr">
        <is>
          <t>Comunicaciones Internas</t>
        </is>
      </c>
      <c r="D1484" t="inlineStr">
        <is>
          <t>Semestral</t>
        </is>
      </c>
      <c r="E1484" t="inlineStr">
        <is>
          <t>Positivo</t>
        </is>
      </c>
      <c r="F1484" s="148" t="n">
        <v>45473</v>
      </c>
      <c r="G1484" t="n">
        <v>2024</v>
      </c>
      <c r="H1484" t="inlineStr">
        <is>
          <t>Junio</t>
        </is>
      </c>
      <c r="I1484" t="inlineStr">
        <is>
          <t>2024-1</t>
        </is>
      </c>
      <c r="J1484" t="n">
        <v>100</v>
      </c>
      <c r="K1484" t="n">
        <v>100</v>
      </c>
      <c r="L1484" s="59">
        <f>IFERROR(IF(OR(J1484=0,K1484=""),"",IF(E1484="Positivo",MIN(MAX(K1484/J1484,0),1.3),MIN(MAX(J1484/K1484,0),1.3))),"") </f>
        <v/>
      </c>
      <c r="M1484" s="59">
        <f>IFERROR(IF(OR(J1484=0,K1484=""),"",IF(E1484="Positivo",MAX(K1484/J1484,0),MAX(J1484/K1484,0))),"") </f>
        <v/>
      </c>
      <c r="P1484" t="n">
        <v>0</v>
      </c>
      <c r="Q1484" t="n">
        <v>0</v>
      </c>
      <c r="R1484" t="inlineStr">
        <is>
          <t>456-2024-06-30</t>
        </is>
      </c>
    </row>
    <row r="1485">
      <c r="A1485" t="n">
        <v>456</v>
      </c>
      <c r="B1485" t="inlineStr">
        <is>
          <t>Impacto de campañas de Mailing</t>
        </is>
      </c>
      <c r="C1485" t="inlineStr">
        <is>
          <t>Comunicaciones Internas</t>
        </is>
      </c>
      <c r="D1485" t="inlineStr">
        <is>
          <t>Semestral</t>
        </is>
      </c>
      <c r="E1485" t="inlineStr">
        <is>
          <t>Positivo</t>
        </is>
      </c>
      <c r="F1485" s="148" t="n">
        <v>45657</v>
      </c>
      <c r="G1485" t="n">
        <v>2024</v>
      </c>
      <c r="H1485" t="inlineStr">
        <is>
          <t>Diciembre</t>
        </is>
      </c>
      <c r="I1485" t="inlineStr">
        <is>
          <t>2024-2</t>
        </is>
      </c>
      <c r="J1485" t="n">
        <v>100</v>
      </c>
      <c r="K1485" t="n">
        <v>94.69</v>
      </c>
      <c r="L1485" s="59">
        <f>IFERROR(IF(OR(J1485=0,K1485=""),"",IF(E1485="Positivo",MIN(MAX(K1485/J1485,0),1.3),MIN(MAX(J1485/K1485,0),1.3))),"") </f>
        <v/>
      </c>
      <c r="M1485" s="59">
        <f>IFERROR(IF(OR(J1485=0,K1485=""),"",IF(E1485="Positivo",MAX(K1485/J1485,0),MAX(J1485/K1485,0))),"") </f>
        <v/>
      </c>
      <c r="P1485" t="n">
        <v>0</v>
      </c>
      <c r="Q1485" t="n">
        <v>0</v>
      </c>
      <c r="R1485" t="inlineStr">
        <is>
          <t>456-2024-12-31</t>
        </is>
      </c>
    </row>
    <row r="1486">
      <c r="A1486" t="n">
        <v>456</v>
      </c>
      <c r="B1486" t="inlineStr">
        <is>
          <t>Impacto de campañas de Mailing</t>
        </is>
      </c>
      <c r="C1486" t="inlineStr">
        <is>
          <t>Comunicaciones Internas</t>
        </is>
      </c>
      <c r="D1486" t="inlineStr">
        <is>
          <t>Semestral</t>
        </is>
      </c>
      <c r="E1486" t="inlineStr">
        <is>
          <t>Positivo</t>
        </is>
      </c>
      <c r="F1486" s="148" t="n">
        <v>45838</v>
      </c>
      <c r="G1486" t="n">
        <v>2025</v>
      </c>
      <c r="H1486" t="inlineStr">
        <is>
          <t>Junio</t>
        </is>
      </c>
      <c r="I1486" t="inlineStr">
        <is>
          <t>2025-1</t>
        </is>
      </c>
      <c r="J1486" t="n">
        <v>100</v>
      </c>
      <c r="K1486" t="n">
        <v>105.185</v>
      </c>
      <c r="L1486" s="59">
        <f>IFERROR(IF(OR(J1486=0,K1486=""),"",IF(E1486="Positivo",MIN(MAX(K1486/J1486,0),1.3),MIN(MAX(J1486/K1486,0),1.3))),"") </f>
        <v/>
      </c>
      <c r="M1486" s="59">
        <f>IFERROR(IF(OR(J1486=0,K1486=""),"",IF(E1486="Positivo",MAX(K1486/J1486,0),MAX(J1486/K1486,0))),"") </f>
        <v/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456-2025-06-30</t>
        </is>
      </c>
    </row>
    <row r="1487">
      <c r="A1487" t="n">
        <v>456</v>
      </c>
      <c r="B1487" t="inlineStr">
        <is>
          <t>Impacto de campañas de Mailing</t>
        </is>
      </c>
      <c r="C1487" t="inlineStr">
        <is>
          <t>Comunicaciones Internas</t>
        </is>
      </c>
      <c r="D1487" t="inlineStr">
        <is>
          <t>Semestral</t>
        </is>
      </c>
      <c r="E1487" t="inlineStr">
        <is>
          <t>Positivo</t>
        </is>
      </c>
      <c r="F1487" s="148" t="n">
        <v>46022</v>
      </c>
      <c r="G1487" t="n">
        <v>2025</v>
      </c>
      <c r="H1487" t="inlineStr">
        <is>
          <t>Diciembre</t>
        </is>
      </c>
      <c r="I1487" t="inlineStr">
        <is>
          <t>2025-2</t>
        </is>
      </c>
      <c r="J1487" t="n">
        <v>100</v>
      </c>
      <c r="K1487" t="n">
        <v>118</v>
      </c>
      <c r="L1487" s="59">
        <f>IFERROR(IF(OR(J1487=0,K1487=""),"",IF(E1487="Positivo",MIN(MAX(K1487/J1487,0),1.3),MIN(MAX(J1487/K1487,0),1.3))),"") </f>
        <v/>
      </c>
      <c r="M1487" s="59">
        <f>IFERROR(IF(OR(J1487=0,K1487=""),"",IF(E1487="Positivo",MAX(K1487/J1487,0),MAX(J1487/K1487,0))),"") </f>
        <v/>
      </c>
      <c r="N1487" t="inlineStr">
        <is>
          <t>%</t>
        </is>
      </c>
      <c r="O1487" t="inlineStr">
        <is>
          <t>%</t>
        </is>
      </c>
      <c r="P1487" t="n">
        <v>0</v>
      </c>
      <c r="Q1487" t="n">
        <v>0</v>
      </c>
      <c r="R1487" t="inlineStr">
        <is>
          <t>456-2025-12-31</t>
        </is>
      </c>
    </row>
    <row r="1488">
      <c r="A1488" t="n">
        <v>457</v>
      </c>
      <c r="B1488" t="inlineStr">
        <is>
          <t>Apertura de enlaces en mensajes de texto</t>
        </is>
      </c>
      <c r="C1488" t="inlineStr">
        <is>
          <t>Comunicaciones Internas</t>
        </is>
      </c>
      <c r="D1488" t="inlineStr">
        <is>
          <t>Semestral</t>
        </is>
      </c>
      <c r="E1488" t="inlineStr">
        <is>
          <t>Positivo</t>
        </is>
      </c>
      <c r="F1488" s="148" t="n">
        <v>45473</v>
      </c>
      <c r="G1488" t="n">
        <v>2024</v>
      </c>
      <c r="H1488" t="inlineStr">
        <is>
          <t>Junio</t>
        </is>
      </c>
      <c r="I1488" t="inlineStr">
        <is>
          <t>2024-1</t>
        </is>
      </c>
      <c r="J1488" t="n">
        <v>100</v>
      </c>
      <c r="K1488" t="n">
        <v>90</v>
      </c>
      <c r="L1488" s="59">
        <f>IFERROR(IF(OR(J1488=0,K1488=""),"",IF(E1488="Positivo",MIN(MAX(K1488/J1488,0),1.3),MIN(MAX(J1488/K1488,0),1.3))),"") </f>
        <v/>
      </c>
      <c r="M1488" s="59">
        <f>IFERROR(IF(OR(J1488=0,K1488=""),"",IF(E1488="Positivo",MAX(K1488/J1488,0),MAX(J1488/K1488,0))),"") </f>
        <v/>
      </c>
      <c r="P1488" t="n">
        <v>0</v>
      </c>
      <c r="Q1488" t="n">
        <v>0</v>
      </c>
      <c r="R1488" t="inlineStr">
        <is>
          <t>457-2024-06-30</t>
        </is>
      </c>
    </row>
    <row r="1489">
      <c r="A1489" t="n">
        <v>457</v>
      </c>
      <c r="B1489" t="inlineStr">
        <is>
          <t>Apertura de enlaces en mensajes de texto</t>
        </is>
      </c>
      <c r="C1489" t="inlineStr">
        <is>
          <t>Comunicaciones Internas</t>
        </is>
      </c>
      <c r="D1489" t="inlineStr">
        <is>
          <t>Semestral</t>
        </is>
      </c>
      <c r="E1489" t="inlineStr">
        <is>
          <t>Positivo</t>
        </is>
      </c>
      <c r="F1489" s="148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100</v>
      </c>
      <c r="K1489" t="n">
        <v>70</v>
      </c>
      <c r="L1489" s="59">
        <f>IFERROR(IF(OR(J1489=0,K1489=""),"",IF(E1489="Positivo",MIN(MAX(K1489/J1489,0),1.3),MIN(MAX(J1489/K1489,0),1.3))),"") </f>
        <v/>
      </c>
      <c r="M1489" s="59">
        <f>IFERROR(IF(OR(J1489=0,K1489=""),"",IF(E1489="Positivo",MAX(K1489/J1489,0),MAX(J1489/K1489,0))),"") </f>
        <v/>
      </c>
      <c r="P1489" t="n">
        <v>0</v>
      </c>
      <c r="Q1489" t="n">
        <v>0</v>
      </c>
      <c r="R1489" t="inlineStr">
        <is>
          <t>457-2024-12-31</t>
        </is>
      </c>
    </row>
    <row r="1490">
      <c r="A1490" t="n">
        <v>457</v>
      </c>
      <c r="B1490" t="inlineStr">
        <is>
          <t>Apertura de enlaces en mensajes de texto</t>
        </is>
      </c>
      <c r="C1490" t="inlineStr">
        <is>
          <t>Comunicaciones Internas</t>
        </is>
      </c>
      <c r="D1490" t="inlineStr">
        <is>
          <t>Semestral</t>
        </is>
      </c>
      <c r="E1490" t="inlineStr">
        <is>
          <t>Positivo</t>
        </is>
      </c>
      <c r="F1490" s="148" t="n">
        <v>45838</v>
      </c>
      <c r="G1490" t="n">
        <v>2025</v>
      </c>
      <c r="H1490" t="inlineStr">
        <is>
          <t>Junio</t>
        </is>
      </c>
      <c r="I1490" t="inlineStr">
        <is>
          <t>2025-1</t>
        </is>
      </c>
      <c r="J1490" t="n">
        <v>100</v>
      </c>
      <c r="K1490" t="n">
        <v>141.665</v>
      </c>
      <c r="L1490" s="59">
        <f>IFERROR(IF(OR(J1490=0,K1490=""),"",IF(E1490="Positivo",MIN(MAX(K1490/J1490,0),1.3),MIN(MAX(J1490/K1490,0),1.3))),"") </f>
        <v/>
      </c>
      <c r="M1490" s="59">
        <f>IFERROR(IF(OR(J1490=0,K1490=""),"",IF(E1490="Positivo",MAX(K1490/J1490,0),MAX(J1490/K1490,0))),"") </f>
        <v/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0</v>
      </c>
      <c r="R1490" t="inlineStr">
        <is>
          <t>457-2025-06-30</t>
        </is>
      </c>
    </row>
    <row r="1491">
      <c r="A1491" t="n">
        <v>457</v>
      </c>
      <c r="B1491" t="inlineStr">
        <is>
          <t>Apertura de enlaces en mensajes de texto</t>
        </is>
      </c>
      <c r="C1491" t="inlineStr">
        <is>
          <t>Comunicaciones Internas</t>
        </is>
      </c>
      <c r="D1491" t="inlineStr">
        <is>
          <t>Semestral</t>
        </is>
      </c>
      <c r="E1491" t="inlineStr">
        <is>
          <t>Positivo</t>
        </is>
      </c>
      <c r="F1491" s="148" t="n">
        <v>46022</v>
      </c>
      <c r="G1491" t="n">
        <v>2025</v>
      </c>
      <c r="H1491" t="inlineStr">
        <is>
          <t>Diciembre</t>
        </is>
      </c>
      <c r="I1491" t="inlineStr">
        <is>
          <t>2025-2</t>
        </is>
      </c>
      <c r="J1491" t="n">
        <v>100</v>
      </c>
      <c r="K1491" t="n">
        <v>84.52</v>
      </c>
      <c r="L1491" s="59">
        <f>IFERROR(IF(OR(J1491=0,K1491=""),"",IF(E1491="Positivo",MIN(MAX(K1491/J1491,0),1.3),MIN(MAX(J1491/K1491,0),1.3))),"") </f>
        <v/>
      </c>
      <c r="M1491" s="59">
        <f>IFERROR(IF(OR(J1491=0,K1491=""),"",IF(E1491="Positivo",MAX(K1491/J1491,0),MAX(J1491/K1491,0))),"") </f>
        <v/>
      </c>
      <c r="N1491" t="inlineStr">
        <is>
          <t>%</t>
        </is>
      </c>
      <c r="O1491" t="inlineStr">
        <is>
          <t>%</t>
        </is>
      </c>
      <c r="P1491" t="n">
        <v>0</v>
      </c>
      <c r="Q1491" t="n">
        <v>0</v>
      </c>
      <c r="R1491" t="inlineStr">
        <is>
          <t>457-2025-12-31</t>
        </is>
      </c>
    </row>
    <row r="1492">
      <c r="A1492" t="n">
        <v>459</v>
      </c>
      <c r="B1492" t="inlineStr">
        <is>
          <t>Número de publicaciones e historias</t>
        </is>
      </c>
      <c r="C1492" t="inlineStr">
        <is>
          <t>Comunicaciones Externas</t>
        </is>
      </c>
      <c r="D1492" t="inlineStr">
        <is>
          <t>Trimestral</t>
        </is>
      </c>
      <c r="E1492" t="inlineStr">
        <is>
          <t>Positivo</t>
        </is>
      </c>
      <c r="F1492" s="148" t="n">
        <v>45473</v>
      </c>
      <c r="G1492" t="n">
        <v>2024</v>
      </c>
      <c r="H1492" t="inlineStr">
        <is>
          <t>Junio</t>
        </is>
      </c>
      <c r="I1492" t="inlineStr">
        <is>
          <t>2024-1</t>
        </is>
      </c>
      <c r="J1492" t="n">
        <v>100</v>
      </c>
      <c r="K1492" t="n">
        <v>130.43</v>
      </c>
      <c r="L1492" s="59">
        <f>IFERROR(IF(OR(J1492=0,K1492=""),"",IF(E1492="Positivo",MIN(MAX(K1492/J1492,0),1.3),MIN(MAX(J1492/K1492,0),1.3))),"") </f>
        <v/>
      </c>
      <c r="M1492" s="59">
        <f>IFERROR(IF(OR(J1492=0,K1492=""),"",IF(E1492="Positivo",MAX(K1492/J1492,0),MAX(J1492/K1492,0))),"") </f>
        <v/>
      </c>
      <c r="P1492" t="n">
        <v>0</v>
      </c>
      <c r="Q1492" t="n">
        <v>0</v>
      </c>
      <c r="R1492" t="inlineStr">
        <is>
          <t>459-2024-06-30</t>
        </is>
      </c>
    </row>
    <row r="1493">
      <c r="A1493" t="n">
        <v>459</v>
      </c>
      <c r="B1493" t="inlineStr">
        <is>
          <t>Número de publicaciones e historias</t>
        </is>
      </c>
      <c r="C1493" t="inlineStr">
        <is>
          <t>Comunicaciones Externas</t>
        </is>
      </c>
      <c r="D1493" t="inlineStr">
        <is>
          <t>Trimestral</t>
        </is>
      </c>
      <c r="E1493" t="inlineStr">
        <is>
          <t>Positivo</t>
        </is>
      </c>
      <c r="F1493" s="148" t="n">
        <v>45657</v>
      </c>
      <c r="G1493" t="n">
        <v>2024</v>
      </c>
      <c r="H1493" t="inlineStr">
        <is>
          <t>Diciembre</t>
        </is>
      </c>
      <c r="I1493" t="inlineStr">
        <is>
          <t>2024-2</t>
        </is>
      </c>
      <c r="J1493" t="n">
        <v>100</v>
      </c>
      <c r="L1493" s="59" t="n"/>
      <c r="M1493" s="59" t="n"/>
      <c r="N1493" t="inlineStr">
        <is>
          <t>ENT</t>
        </is>
      </c>
      <c r="O1493" t="inlineStr">
        <is>
          <t>N/A</t>
        </is>
      </c>
      <c r="P1493" t="n">
        <v>0</v>
      </c>
      <c r="Q1493" t="n">
        <v>0</v>
      </c>
      <c r="R1493" t="inlineStr">
        <is>
          <t>459-2024-12-31</t>
        </is>
      </c>
    </row>
    <row r="1494">
      <c r="A1494" t="n">
        <v>460</v>
      </c>
      <c r="B1494" t="inlineStr">
        <is>
          <t>% de profesores (Contrato Indefinido- Fijo) impactados plan de desarrollo docente</t>
        </is>
      </c>
      <c r="C1494" t="inlineStr">
        <is>
          <t>GESTIÓN Y DESARROLLO DEL TALENTO HUMANO</t>
        </is>
      </c>
      <c r="D1494" t="inlineStr">
        <is>
          <t>Anual</t>
        </is>
      </c>
      <c r="E1494" t="inlineStr">
        <is>
          <t>Positivo</t>
        </is>
      </c>
      <c r="F1494" s="148" t="n">
        <v>45657</v>
      </c>
      <c r="G1494" t="n">
        <v>2024</v>
      </c>
      <c r="H1494" t="inlineStr">
        <is>
          <t>Diciembre</t>
        </is>
      </c>
      <c r="I1494" t="inlineStr">
        <is>
          <t>2024-2</t>
        </is>
      </c>
      <c r="J1494" t="n">
        <v>80</v>
      </c>
      <c r="K1494" t="n">
        <v>91.43968871595332</v>
      </c>
      <c r="L1494" s="59">
        <f>IFERROR(IF(OR(J1494=0,K1494=""),"",IF(E1494="Positivo",MIN(MAX(K1494/J1494,0),1.3),MIN(MAX(J1494/K1494,0),1.3))),"") </f>
        <v/>
      </c>
      <c r="M1494" s="59">
        <f>IFERROR(IF(OR(J1494=0,K1494=""),"",IF(E1494="Positivo",MAX(K1494/J1494,0),MAX(J1494/K1494,0))),"") </f>
        <v/>
      </c>
      <c r="P1494" t="n">
        <v>0</v>
      </c>
      <c r="Q1494" t="n">
        <v>0</v>
      </c>
      <c r="R1494" t="inlineStr">
        <is>
          <t>460-2024-12-31</t>
        </is>
      </c>
    </row>
    <row r="1495">
      <c r="A1495" t="n">
        <v>460</v>
      </c>
      <c r="B1495" t="inlineStr">
        <is>
          <t>% de profesores (Contrato Indefinido- Fijo) impactados plan de desarrollo docente</t>
        </is>
      </c>
      <c r="C1495" t="inlineStr">
        <is>
          <t>GESTIÓN Y DESARROLLO DEL TALENTO HUMANO</t>
        </is>
      </c>
      <c r="D1495" t="inlineStr">
        <is>
          <t>Anual</t>
        </is>
      </c>
      <c r="E1495" t="inlineStr">
        <is>
          <t>Positivo</t>
        </is>
      </c>
      <c r="F1495" s="148" t="n">
        <v>46022</v>
      </c>
      <c r="G1495" t="n">
        <v>2025</v>
      </c>
      <c r="H1495" t="inlineStr">
        <is>
          <t>Diciembre</t>
        </is>
      </c>
      <c r="I1495" t="inlineStr">
        <is>
          <t>2025-2</t>
        </is>
      </c>
      <c r="J1495" t="n">
        <v>80</v>
      </c>
      <c r="K1495" t="n">
        <v>84.18000000000001</v>
      </c>
      <c r="L1495" s="59">
        <f>IFERROR(IF(OR(J1495=0,K1495=""),"",IF(E1495="Positivo",MIN(MAX(K1495/J1495,0),1.3),MIN(MAX(J1495/K1495,0),1.3))),"") </f>
        <v/>
      </c>
      <c r="M1495" s="59">
        <f>IFERROR(IF(OR(J1495=0,K1495=""),"",IF(E1495="Positivo",MAX(K1495/J1495,0),MAX(J1495/K1495,0))),"") </f>
        <v/>
      </c>
      <c r="N1495" t="inlineStr">
        <is>
          <t>%</t>
        </is>
      </c>
      <c r="O1495" t="inlineStr">
        <is>
          <t>%</t>
        </is>
      </c>
      <c r="P1495" t="n">
        <v>0</v>
      </c>
      <c r="Q1495" t="n">
        <v>1</v>
      </c>
      <c r="R1495" t="inlineStr">
        <is>
          <t>460-2025-12-31</t>
        </is>
      </c>
    </row>
    <row r="1496">
      <c r="A1496" t="n">
        <v>462</v>
      </c>
      <c r="B1496" t="inlineStr">
        <is>
          <t>Nivel Esfuerzo Editorial</t>
        </is>
      </c>
      <c r="C1496" t="inlineStr">
        <is>
          <t>Editorial y Publicaciones</t>
        </is>
      </c>
      <c r="D1496" t="inlineStr">
        <is>
          <t>Semestral</t>
        </is>
      </c>
      <c r="E1496" t="inlineStr">
        <is>
          <t>Positivo</t>
        </is>
      </c>
      <c r="F1496" s="148" t="n">
        <v>45473</v>
      </c>
      <c r="G1496" t="n">
        <v>2024</v>
      </c>
      <c r="H1496" t="inlineStr">
        <is>
          <t>Junio</t>
        </is>
      </c>
      <c r="I1496" t="inlineStr">
        <is>
          <t>2024-1</t>
        </is>
      </c>
      <c r="J1496" t="n">
        <v>85</v>
      </c>
      <c r="K1496" t="n">
        <v>100</v>
      </c>
      <c r="L1496" s="59">
        <f>IFERROR(IF(OR(J1496=0,K1496=""),"",IF(E1496="Positivo",MIN(MAX(K1496/J1496,0),1.3),MIN(MAX(J1496/K1496,0),1.3))),"") </f>
        <v/>
      </c>
      <c r="M1496" s="59">
        <f>IFERROR(IF(OR(J1496=0,K1496=""),"",IF(E1496="Positivo",MAX(K1496/J1496,0),MAX(J1496/K1496,0))),"") </f>
        <v/>
      </c>
      <c r="P1496" t="n">
        <v>0</v>
      </c>
      <c r="Q1496" t="n">
        <v>0</v>
      </c>
      <c r="R1496" t="inlineStr">
        <is>
          <t>462-2024-06-30</t>
        </is>
      </c>
    </row>
    <row r="1497">
      <c r="A1497" t="n">
        <v>462</v>
      </c>
      <c r="B1497" t="inlineStr">
        <is>
          <t>Nivel Esfuerzo Editorial</t>
        </is>
      </c>
      <c r="C1497" t="inlineStr">
        <is>
          <t>Editorial y Publicaciones</t>
        </is>
      </c>
      <c r="D1497" t="inlineStr">
        <is>
          <t>Semestral</t>
        </is>
      </c>
      <c r="E1497" t="inlineStr">
        <is>
          <t>Positivo</t>
        </is>
      </c>
      <c r="F1497" s="148" t="n">
        <v>45657</v>
      </c>
      <c r="G1497" t="n">
        <v>2024</v>
      </c>
      <c r="H1497" t="inlineStr">
        <is>
          <t>Diciembre</t>
        </is>
      </c>
      <c r="I1497" t="inlineStr">
        <is>
          <t>2024-2</t>
        </is>
      </c>
      <c r="J1497" t="n">
        <v>85</v>
      </c>
      <c r="K1497" t="n">
        <v>100</v>
      </c>
      <c r="L1497" s="59">
        <f>IFERROR(IF(OR(J1497=0,K1497=""),"",IF(E1497="Positivo",MIN(MAX(K1497/J1497,0),1.3),MIN(MAX(J1497/K1497,0),1.3))),"") </f>
        <v/>
      </c>
      <c r="M1497" s="59">
        <f>IFERROR(IF(OR(J1497=0,K1497=""),"",IF(E1497="Positivo",MAX(K1497/J1497,0),MAX(J1497/K1497,0))),"") </f>
        <v/>
      </c>
      <c r="P1497" t="n">
        <v>0</v>
      </c>
      <c r="Q1497" t="n">
        <v>0</v>
      </c>
      <c r="R1497" t="inlineStr">
        <is>
          <t>462-2024-12-31</t>
        </is>
      </c>
    </row>
    <row r="1498">
      <c r="A1498" t="n">
        <v>463</v>
      </c>
      <c r="B1498" t="inlineStr">
        <is>
          <t>Cumplimiento de las acciones del Plan de mejoramiento GPW</t>
        </is>
      </c>
      <c r="C1498" t="inlineStr">
        <is>
          <t>GESTIÓN Y DESARROLLO DEL TALENTO HUMANO</t>
        </is>
      </c>
      <c r="D1498" t="inlineStr">
        <is>
          <t>Semestral</t>
        </is>
      </c>
      <c r="E1498" t="inlineStr">
        <is>
          <t>Positivo</t>
        </is>
      </c>
      <c r="F1498" s="148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100</v>
      </c>
      <c r="K1498" t="n">
        <v>95</v>
      </c>
      <c r="L1498" s="59">
        <f>IFERROR(IF(OR(J1498=0,K1498=""),"",IF(E1498="Positivo",MIN(MAX(K1498/J1498,0),1.3),MIN(MAX(J1498/K1498,0),1.3))),"") </f>
        <v/>
      </c>
      <c r="M1498" s="59">
        <f>IFERROR(IF(OR(J1498=0,K1498=""),"",IF(E1498="Positivo",MAX(K1498/J1498,0),MAX(J1498/K1498,0))),"") </f>
        <v/>
      </c>
      <c r="P1498" t="n">
        <v>0</v>
      </c>
      <c r="Q1498" t="n">
        <v>0</v>
      </c>
      <c r="R1498" t="inlineStr">
        <is>
          <t>463-2024-06-30</t>
        </is>
      </c>
    </row>
    <row r="1499">
      <c r="A1499" t="n">
        <v>463</v>
      </c>
      <c r="B1499" t="inlineStr">
        <is>
          <t>Cumplimiento de las acciones del Plan de mejoramiento GPW</t>
        </is>
      </c>
      <c r="C1499" t="inlineStr">
        <is>
          <t>GESTIÓN Y DESARROLLO DEL TALENTO HUMANO</t>
        </is>
      </c>
      <c r="D1499" t="inlineStr">
        <is>
          <t>Semestral</t>
        </is>
      </c>
      <c r="E1499" t="inlineStr">
        <is>
          <t>Positivo</t>
        </is>
      </c>
      <c r="F1499" s="148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100</v>
      </c>
      <c r="K1499" t="n">
        <v>100</v>
      </c>
      <c r="L1499" s="59">
        <f>IFERROR(IF(OR(J1499=0,K1499=""),"",IF(E1499="Positivo",MIN(MAX(K1499/J1499,0),1.3),MIN(MAX(J1499/K1499,0),1.3))),"") </f>
        <v/>
      </c>
      <c r="M1499" s="59">
        <f>IFERROR(IF(OR(J1499=0,K1499=""),"",IF(E1499="Positivo",MAX(K1499/J1499,0),MAX(J1499/K1499,0))),"") </f>
        <v/>
      </c>
      <c r="P1499" t="n">
        <v>0</v>
      </c>
      <c r="Q1499" t="n">
        <v>0</v>
      </c>
      <c r="R1499" t="inlineStr">
        <is>
          <t>463-2024-12-31</t>
        </is>
      </c>
    </row>
    <row r="1500">
      <c r="A1500" t="n">
        <v>465</v>
      </c>
      <c r="B1500" t="inlineStr">
        <is>
          <t>% de depuración histórico  SNIES</t>
        </is>
      </c>
      <c r="C1500" t="inlineStr">
        <is>
          <t>DATOS Y ANALÍTICA</t>
        </is>
      </c>
      <c r="D1500" t="inlineStr">
        <is>
          <t>Semestral</t>
        </is>
      </c>
      <c r="E1500" t="inlineStr">
        <is>
          <t>Positivo</t>
        </is>
      </c>
      <c r="F1500" s="148" t="n">
        <v>45473</v>
      </c>
      <c r="G1500" t="n">
        <v>2024</v>
      </c>
      <c r="H1500" t="inlineStr">
        <is>
          <t>Junio</t>
        </is>
      </c>
      <c r="I1500" t="inlineStr">
        <is>
          <t>2024-1</t>
        </is>
      </c>
      <c r="J1500" t="n">
        <v>70</v>
      </c>
      <c r="K1500" t="n">
        <v>57.86</v>
      </c>
      <c r="L1500" s="59">
        <f>IFERROR(IF(OR(J1500=0,K1500=""),"",IF(E1500="Positivo",MIN(MAX(K1500/J1500,0),1.3),MIN(MAX(J1500/K1500,0),1.3))),"") </f>
        <v/>
      </c>
      <c r="M1500" s="59">
        <f>IFERROR(IF(OR(J1500=0,K1500=""),"",IF(E1500="Positivo",MAX(K1500/J1500,0),MAX(J1500/K1500,0))),"") </f>
        <v/>
      </c>
      <c r="P1500" t="n">
        <v>0</v>
      </c>
      <c r="Q1500" t="n">
        <v>0</v>
      </c>
      <c r="R1500" t="inlineStr">
        <is>
          <t>465-2024-06-30</t>
        </is>
      </c>
    </row>
    <row r="1501">
      <c r="A1501" t="n">
        <v>465</v>
      </c>
      <c r="B1501" t="inlineStr">
        <is>
          <t>% de depuración histórico  SNIES</t>
        </is>
      </c>
      <c r="C1501" t="inlineStr">
        <is>
          <t>DATOS Y ANALÍTICA</t>
        </is>
      </c>
      <c r="D1501" t="inlineStr">
        <is>
          <t>Semestral</t>
        </is>
      </c>
      <c r="E1501" t="inlineStr">
        <is>
          <t>Positivo</t>
        </is>
      </c>
      <c r="F1501" s="148" t="n">
        <v>45657</v>
      </c>
      <c r="G1501" t="n">
        <v>2024</v>
      </c>
      <c r="H1501" t="inlineStr">
        <is>
          <t>Diciembre</t>
        </is>
      </c>
      <c r="I1501" t="inlineStr">
        <is>
          <t>2024-2</t>
        </is>
      </c>
      <c r="J1501" t="n">
        <v>100</v>
      </c>
      <c r="K1501" t="n">
        <v>56.83</v>
      </c>
      <c r="L1501" s="59">
        <f>IFERROR(IF(OR(J1501=0,K1501=""),"",IF(E1501="Positivo",MIN(MAX(K1501/J1501,0),1.3),MIN(MAX(J1501/K1501,0),1.3))),"") </f>
        <v/>
      </c>
      <c r="M1501" s="59">
        <f>IFERROR(IF(OR(J1501=0,K1501=""),"",IF(E1501="Positivo",MAX(K1501/J1501,0),MAX(J1501/K1501,0))),"") </f>
        <v/>
      </c>
      <c r="P1501" t="n">
        <v>0</v>
      </c>
      <c r="Q1501" t="n">
        <v>0</v>
      </c>
      <c r="R1501" t="inlineStr">
        <is>
          <t>465-2024-12-31</t>
        </is>
      </c>
    </row>
    <row r="1502">
      <c r="A1502" t="n">
        <v>466</v>
      </c>
      <c r="B1502" t="inlineStr">
        <is>
          <t>NPS Estudiantes</t>
        </is>
      </c>
      <c r="C1502" t="inlineStr">
        <is>
          <t>Servicio</t>
        </is>
      </c>
      <c r="D1502" t="inlineStr">
        <is>
          <t>Semestral</t>
        </is>
      </c>
      <c r="E1502" t="inlineStr">
        <is>
          <t>Positivo</t>
        </is>
      </c>
      <c r="F1502" s="148" t="n">
        <v>45473</v>
      </c>
      <c r="G1502" t="n">
        <v>2024</v>
      </c>
      <c r="H1502" t="inlineStr">
        <is>
          <t>Junio</t>
        </is>
      </c>
      <c r="I1502" t="inlineStr">
        <is>
          <t>2024-1</t>
        </is>
      </c>
      <c r="J1502" t="n">
        <v>100</v>
      </c>
      <c r="K1502" t="n">
        <v>119.2</v>
      </c>
      <c r="L1502" s="59">
        <f>IFERROR(IF(OR(J1502=0,K1502=""),"",IF(E1502="Positivo",MIN(MAX(K1502/J1502,0),1.3),MIN(MAX(J1502/K1502,0),1.3))),"") </f>
        <v/>
      </c>
      <c r="M1502" s="59">
        <f>IFERROR(IF(OR(J1502=0,K1502=""),"",IF(E1502="Positivo",MAX(K1502/J1502,0),MAX(J1502/K1502,0))),"") </f>
        <v/>
      </c>
      <c r="N1502" t="inlineStr">
        <is>
          <t>ENT</t>
        </is>
      </c>
      <c r="O1502" t="inlineStr">
        <is>
          <t>DEC</t>
        </is>
      </c>
      <c r="P1502" t="n">
        <v>1</v>
      </c>
      <c r="Q1502" t="n">
        <v>1</v>
      </c>
      <c r="R1502" t="inlineStr">
        <is>
          <t>466-2024-06-30</t>
        </is>
      </c>
    </row>
    <row r="1503">
      <c r="A1503" t="n">
        <v>466</v>
      </c>
      <c r="B1503" t="inlineStr">
        <is>
          <t>NPS Estudiantes</t>
        </is>
      </c>
      <c r="C1503" t="inlineStr">
        <is>
          <t>EXPERIENCIA INSTITUCIONAL</t>
        </is>
      </c>
      <c r="D1503" t="inlineStr">
        <is>
          <t>Semestral</t>
        </is>
      </c>
      <c r="E1503" t="inlineStr">
        <is>
          <t>Positivo</t>
        </is>
      </c>
      <c r="F1503" s="148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100</v>
      </c>
      <c r="K1503" t="n">
        <v>107.6</v>
      </c>
      <c r="L1503" s="59">
        <f>IFERROR(IF(OR(J1503=0,K1503=""),"",IF(E1503="Positivo",MIN(MAX(K1503/J1503,0),1.3),MIN(MAX(J1503/K1503,0),1.3))),"") </f>
        <v/>
      </c>
      <c r="M1503" s="59">
        <f>IFERROR(IF(OR(J1503=0,K1503=""),"",IF(E1503="Positivo",MAX(K1503/J1503,0),MAX(J1503/K1503,0))),"") </f>
        <v/>
      </c>
      <c r="O1503" t="inlineStr">
        <is>
          <t>DEC</t>
        </is>
      </c>
      <c r="P1503" t="n">
        <v>0</v>
      </c>
      <c r="Q1503" t="n">
        <v>0</v>
      </c>
      <c r="R1503" t="inlineStr">
        <is>
          <t>466-2024-12-31</t>
        </is>
      </c>
    </row>
    <row r="1504">
      <c r="A1504" t="n">
        <v>466</v>
      </c>
      <c r="B1504" t="inlineStr">
        <is>
          <t>NPS Estudiantes</t>
        </is>
      </c>
      <c r="C1504" t="inlineStr">
        <is>
          <t>EXPERIENCIA INSTITUCIONAL</t>
        </is>
      </c>
      <c r="D1504" t="inlineStr">
        <is>
          <t>Semestral</t>
        </is>
      </c>
      <c r="E1504" t="inlineStr">
        <is>
          <t>Positivo</t>
        </is>
      </c>
      <c r="F1504" s="148" t="n">
        <v>46022</v>
      </c>
      <c r="G1504" t="n">
        <v>2025</v>
      </c>
      <c r="H1504" t="inlineStr">
        <is>
          <t>Diciembre</t>
        </is>
      </c>
      <c r="I1504" t="inlineStr">
        <is>
          <t>2025-2</t>
        </is>
      </c>
      <c r="J1504" t="n">
        <v>100</v>
      </c>
      <c r="K1504" t="n">
        <v>106.55</v>
      </c>
      <c r="L1504" s="59">
        <f>IFERROR(IF(OR(J1504=0,K1504=""),"",IF(E1504="Positivo",MIN(MAX(K1504/J1504,0),1.3),MIN(MAX(J1504/K1504,0),1.3))),"") </f>
        <v/>
      </c>
      <c r="M1504" s="59">
        <f>IFERROR(IF(OR(J1504=0,K1504=""),"",IF(E1504="Positivo",MAX(K1504/J1504,0),MAX(J1504/K1504,0))),"") </f>
        <v/>
      </c>
      <c r="O1504" t="inlineStr">
        <is>
          <t>DEC</t>
        </is>
      </c>
      <c r="P1504" t="n">
        <v>0</v>
      </c>
      <c r="Q1504" t="n">
        <v>0</v>
      </c>
      <c r="R1504" t="inlineStr">
        <is>
          <t>466-2025-12-31</t>
        </is>
      </c>
    </row>
    <row r="1505">
      <c r="A1505" t="n">
        <v>467</v>
      </c>
      <c r="B1505" t="inlineStr">
        <is>
          <t>NPS Graduados</t>
        </is>
      </c>
      <c r="C1505" t="inlineStr">
        <is>
          <t>EXPERIENCIA INSTITUCIONAL</t>
        </is>
      </c>
      <c r="D1505" t="inlineStr">
        <is>
          <t>Semestral</t>
        </is>
      </c>
      <c r="E1505" t="inlineStr">
        <is>
          <t>Positivo</t>
        </is>
      </c>
      <c r="F1505" s="148" t="n">
        <v>45473</v>
      </c>
      <c r="G1505" t="n">
        <v>2024</v>
      </c>
      <c r="H1505" t="inlineStr">
        <is>
          <t>Junio</t>
        </is>
      </c>
      <c r="I1505" t="inlineStr">
        <is>
          <t>2024-1</t>
        </is>
      </c>
      <c r="J1505" t="n">
        <v>100</v>
      </c>
      <c r="K1505" t="n">
        <v>121.25</v>
      </c>
      <c r="L1505" s="59">
        <f>IFERROR(IF(OR(J1505=0,K1505=""),"",IF(E1505="Positivo",MIN(MAX(K1505/J1505,0),1.3),MIN(MAX(J1505/K1505,0),1.3))),"") </f>
        <v/>
      </c>
      <c r="M1505" s="59">
        <f>IFERROR(IF(OR(J1505=0,K1505=""),"",IF(E1505="Positivo",MAX(K1505/J1505,0),MAX(J1505/K1505,0))),"") </f>
        <v/>
      </c>
      <c r="P1505" t="n">
        <v>0</v>
      </c>
      <c r="Q1505" t="n">
        <v>0</v>
      </c>
      <c r="R1505" t="inlineStr">
        <is>
          <t>467-2024-06-30</t>
        </is>
      </c>
    </row>
    <row r="1506">
      <c r="A1506" t="n">
        <v>467</v>
      </c>
      <c r="B1506" t="inlineStr">
        <is>
          <t>NPS Graduados</t>
        </is>
      </c>
      <c r="C1506" t="inlineStr">
        <is>
          <t>EXPERIENCIA INSTITUCIONAL</t>
        </is>
      </c>
      <c r="D1506" t="inlineStr">
        <is>
          <t>Semestral</t>
        </is>
      </c>
      <c r="E1506" t="inlineStr">
        <is>
          <t>Positivo</t>
        </is>
      </c>
      <c r="F1506" s="148" t="n">
        <v>45657</v>
      </c>
      <c r="G1506" t="n">
        <v>2024</v>
      </c>
      <c r="H1506" t="inlineStr">
        <is>
          <t>Diciembre</t>
        </is>
      </c>
      <c r="I1506" t="inlineStr">
        <is>
          <t>2024-2</t>
        </is>
      </c>
      <c r="J1506" t="n">
        <v>100</v>
      </c>
      <c r="K1506" t="n">
        <v>121.83</v>
      </c>
      <c r="L1506" s="59">
        <f>IFERROR(IF(OR(J1506=0,K1506=""),"",IF(E1506="Positivo",MIN(MAX(K1506/J1506,0),1.3),MIN(MAX(J1506/K1506,0),1.3))),"") </f>
        <v/>
      </c>
      <c r="M1506" s="59">
        <f>IFERROR(IF(OR(J1506=0,K1506=""),"",IF(E1506="Positivo",MAX(K1506/J1506,0),MAX(J1506/K1506,0))),"") </f>
        <v/>
      </c>
      <c r="P1506" t="n">
        <v>0</v>
      </c>
      <c r="Q1506" t="n">
        <v>0</v>
      </c>
      <c r="R1506" t="inlineStr">
        <is>
          <t>467-2024-12-31</t>
        </is>
      </c>
    </row>
    <row r="1507">
      <c r="A1507" t="n">
        <v>467</v>
      </c>
      <c r="B1507" t="inlineStr">
        <is>
          <t>NPS Graduados</t>
        </is>
      </c>
      <c r="C1507" t="inlineStr">
        <is>
          <t>EXPERIENCIA INSTITUCIONAL</t>
        </is>
      </c>
      <c r="D1507" t="inlineStr">
        <is>
          <t>Trimestral</t>
        </is>
      </c>
      <c r="E1507" t="inlineStr">
        <is>
          <t>Positivo</t>
        </is>
      </c>
      <c r="F1507" s="148" t="n">
        <v>45838</v>
      </c>
      <c r="G1507" t="n">
        <v>2025</v>
      </c>
      <c r="H1507" t="inlineStr">
        <is>
          <t>Junio</t>
        </is>
      </c>
      <c r="I1507" t="inlineStr">
        <is>
          <t>2025-1</t>
        </is>
      </c>
      <c r="J1507" t="n">
        <v>100</v>
      </c>
      <c r="K1507" t="n">
        <v>118</v>
      </c>
      <c r="L1507" s="59">
        <f>IFERROR(IF(OR(J1507=0,K1507=""),"",IF(E1507="Positivo",MIN(MAX(K1507/J1507,0),1.3),MIN(MAX(J1507/K1507,0),1.3))),"") </f>
        <v/>
      </c>
      <c r="M1507" s="59">
        <f>IFERROR(IF(OR(J1507=0,K1507=""),"",IF(E1507="Positivo",MAX(K1507/J1507,0),MAX(J1507/K1507,0))),"") </f>
        <v/>
      </c>
      <c r="N1507" t="inlineStr">
        <is>
          <t>ENT</t>
        </is>
      </c>
      <c r="O1507" t="inlineStr">
        <is>
          <t>DEC</t>
        </is>
      </c>
      <c r="P1507" t="n">
        <v>0</v>
      </c>
      <c r="Q1507" t="n">
        <v>1</v>
      </c>
      <c r="R1507" t="inlineStr">
        <is>
          <t>467-2025-06-30</t>
        </is>
      </c>
    </row>
    <row r="1508">
      <c r="A1508" t="n">
        <v>467</v>
      </c>
      <c r="B1508" t="inlineStr">
        <is>
          <t>NPS Graduados</t>
        </is>
      </c>
      <c r="C1508" t="inlineStr">
        <is>
          <t>EXPERIENCIA INSTITUCIONAL</t>
        </is>
      </c>
      <c r="D1508" t="inlineStr">
        <is>
          <t>Trimestral</t>
        </is>
      </c>
      <c r="E1508" t="inlineStr">
        <is>
          <t>Positivo</t>
        </is>
      </c>
      <c r="F1508" s="148" t="n">
        <v>46022</v>
      </c>
      <c r="G1508" t="n">
        <v>2025</v>
      </c>
      <c r="H1508" t="inlineStr">
        <is>
          <t>Diciembre</t>
        </is>
      </c>
      <c r="I1508" t="inlineStr">
        <is>
          <t>2025-2</t>
        </is>
      </c>
      <c r="J1508" t="n">
        <v>100</v>
      </c>
      <c r="K1508" t="n">
        <v>99.5</v>
      </c>
      <c r="L1508" s="59">
        <f>IFERROR(IF(OR(J1508=0,K1508=""),"",IF(E1508="Positivo",MIN(MAX(K1508/J1508,0),1.3),MIN(MAX(J1508/K1508,0),1.3))),"") </f>
        <v/>
      </c>
      <c r="M1508" s="59">
        <f>IFERROR(IF(OR(J1508=0,K1508=""),"",IF(E1508="Positivo",MAX(K1508/J1508,0),MAX(J1508/K1508,0))),"") </f>
        <v/>
      </c>
      <c r="N1508" t="inlineStr">
        <is>
          <t>ENT</t>
        </is>
      </c>
      <c r="O1508" t="inlineStr">
        <is>
          <t>DEC</t>
        </is>
      </c>
      <c r="P1508" t="n">
        <v>0</v>
      </c>
      <c r="Q1508" t="n">
        <v>1</v>
      </c>
      <c r="R1508" t="inlineStr">
        <is>
          <t>467-2025-12-31</t>
        </is>
      </c>
    </row>
    <row r="1509">
      <c r="A1509" t="n">
        <v>468</v>
      </c>
      <c r="B1509" t="inlineStr">
        <is>
          <t>CES General</t>
        </is>
      </c>
      <c r="C1509" t="inlineStr">
        <is>
          <t>EXPERIENCIA INSTITUCIONAL</t>
        </is>
      </c>
      <c r="D1509" t="inlineStr">
        <is>
          <t>Semestral</t>
        </is>
      </c>
      <c r="E1509" t="inlineStr">
        <is>
          <t>Negativo</t>
        </is>
      </c>
      <c r="F1509" s="148" t="n">
        <v>45473</v>
      </c>
      <c r="G1509" t="n">
        <v>2024</v>
      </c>
      <c r="H1509" t="inlineStr">
        <is>
          <t>Junio</t>
        </is>
      </c>
      <c r="I1509" t="inlineStr">
        <is>
          <t>2024-1</t>
        </is>
      </c>
      <c r="J1509" t="n">
        <v>3</v>
      </c>
      <c r="K1509" t="n">
        <v>2.85</v>
      </c>
      <c r="L1509" s="59">
        <f>IFERROR(IF(OR(J1509=0,K1509=""),"",IF(E1509="Positivo",MIN(MAX(K1509/J1509,0),1.3),MIN(MAX(J1509/K1509,0),1.3))),"") </f>
        <v/>
      </c>
      <c r="M1509" s="59">
        <f>IFERROR(IF(OR(J1509=0,K1509=""),"",IF(E1509="Positivo",MAX(K1509/J1509,0),MAX(J1509/K1509,0))),"") </f>
        <v/>
      </c>
      <c r="P1509" t="n">
        <v>0</v>
      </c>
      <c r="Q1509" t="n">
        <v>0</v>
      </c>
      <c r="R1509" t="inlineStr">
        <is>
          <t>468-2024-06-30</t>
        </is>
      </c>
    </row>
    <row r="1510">
      <c r="A1510" t="n">
        <v>468</v>
      </c>
      <c r="B1510" t="inlineStr">
        <is>
          <t>CES General</t>
        </is>
      </c>
      <c r="C1510" t="inlineStr">
        <is>
          <t>EXPERIENCIA INSTITUCIONAL</t>
        </is>
      </c>
      <c r="D1510" t="inlineStr">
        <is>
          <t>Semestral</t>
        </is>
      </c>
      <c r="E1510" t="inlineStr">
        <is>
          <t>Negativo</t>
        </is>
      </c>
      <c r="F1510" s="148" t="n">
        <v>45657</v>
      </c>
      <c r="G1510" t="n">
        <v>2024</v>
      </c>
      <c r="H1510" t="inlineStr">
        <is>
          <t>Diciembre</t>
        </is>
      </c>
      <c r="I1510" t="inlineStr">
        <is>
          <t>2024-2</t>
        </is>
      </c>
      <c r="J1510" t="n">
        <v>3</v>
      </c>
      <c r="K1510" t="n">
        <v>2.6</v>
      </c>
      <c r="L1510" s="59">
        <f>IFERROR(IF(OR(J1510=0,K1510=""),"",IF(E1510="Positivo",MIN(MAX(K1510/J1510,0),1.3),MIN(MAX(J1510/K1510,0),1.3))),"") </f>
        <v/>
      </c>
      <c r="M1510" s="59">
        <f>IFERROR(IF(OR(J1510=0,K1510=""),"",IF(E1510="Positivo",MAX(K1510/J1510,0),MAX(J1510/K1510,0))),"") </f>
        <v/>
      </c>
      <c r="P1510" t="n">
        <v>0</v>
      </c>
      <c r="Q1510" t="n">
        <v>0</v>
      </c>
      <c r="R1510" t="inlineStr">
        <is>
          <t>468-2024-12-31</t>
        </is>
      </c>
    </row>
    <row r="1511">
      <c r="A1511" t="n">
        <v>468</v>
      </c>
      <c r="B1511" t="inlineStr">
        <is>
          <t>CES General</t>
        </is>
      </c>
      <c r="C1511" t="inlineStr">
        <is>
          <t>EXPERIENCIA INSTITUCIONAL</t>
        </is>
      </c>
      <c r="D1511" t="inlineStr">
        <is>
          <t>Trimestral</t>
        </is>
      </c>
      <c r="E1511" t="inlineStr">
        <is>
          <t>Negativo</t>
        </is>
      </c>
      <c r="F1511" s="148" t="n">
        <v>45838</v>
      </c>
      <c r="G1511" t="n">
        <v>2025</v>
      </c>
      <c r="H1511" t="inlineStr">
        <is>
          <t>Junio</t>
        </is>
      </c>
      <c r="I1511" t="inlineStr">
        <is>
          <t>2025-1</t>
        </is>
      </c>
      <c r="J1511" t="n">
        <v>2.5</v>
      </c>
      <c r="K1511" t="n">
        <v>2.4</v>
      </c>
      <c r="L1511" s="59">
        <f>IFERROR(IF(OR(J1511=0,K1511=""),"",IF(E1511="Positivo",MIN(MAX(K1511/J1511,0),1.3),MIN(MAX(J1511/K1511,0),1.3))),"") </f>
        <v/>
      </c>
      <c r="M1511" s="59">
        <f>IFERROR(IF(OR(J1511=0,K1511=""),"",IF(E1511="Positivo",MAX(K1511/J1511,0),MAX(J1511/K1511,0))),"") </f>
        <v/>
      </c>
      <c r="N1511" t="inlineStr">
        <is>
          <t>DEC</t>
        </is>
      </c>
      <c r="O1511" t="inlineStr">
        <is>
          <t>DEC</t>
        </is>
      </c>
      <c r="P1511" t="n">
        <v>1</v>
      </c>
      <c r="Q1511" t="n">
        <v>1</v>
      </c>
      <c r="R1511" t="inlineStr">
        <is>
          <t>468-2025-06-30</t>
        </is>
      </c>
    </row>
    <row r="1512">
      <c r="A1512" t="n">
        <v>468</v>
      </c>
      <c r="B1512" t="inlineStr">
        <is>
          <t>CES General</t>
        </is>
      </c>
      <c r="C1512" t="inlineStr">
        <is>
          <t>EXPERIENCIA INSTITUCIONAL</t>
        </is>
      </c>
      <c r="D1512" t="inlineStr">
        <is>
          <t>Trimestral</t>
        </is>
      </c>
      <c r="E1512" t="inlineStr">
        <is>
          <t>Negativo</t>
        </is>
      </c>
      <c r="F1512" s="148" t="n">
        <v>46022</v>
      </c>
      <c r="G1512" t="n">
        <v>2025</v>
      </c>
      <c r="H1512" t="inlineStr">
        <is>
          <t>Diciembre</t>
        </is>
      </c>
      <c r="I1512" t="inlineStr">
        <is>
          <t>2025-2</t>
        </is>
      </c>
      <c r="J1512" t="n">
        <v>2.5</v>
      </c>
      <c r="K1512" t="n">
        <v>2.1</v>
      </c>
      <c r="L1512" s="59">
        <f>IFERROR(IF(OR(J1512=0,K1512=""),"",IF(E1512="Positivo",MIN(MAX(K1512/J1512,0),1.3),MIN(MAX(J1512/K1512,0),1.3))),"") </f>
        <v/>
      </c>
      <c r="M1512" s="59">
        <f>IFERROR(IF(OR(J1512=0,K1512=""),"",IF(E1512="Positivo",MAX(K1512/J1512,0),MAX(J1512/K1512,0))),"") </f>
        <v/>
      </c>
      <c r="N1512" t="inlineStr">
        <is>
          <t>DEC</t>
        </is>
      </c>
      <c r="O1512" t="inlineStr">
        <is>
          <t>DEC</t>
        </is>
      </c>
      <c r="P1512" t="n">
        <v>1</v>
      </c>
      <c r="Q1512" t="n">
        <v>1</v>
      </c>
      <c r="R1512" t="inlineStr">
        <is>
          <t>468-2025-12-31</t>
        </is>
      </c>
    </row>
    <row r="1513">
      <c r="A1513" t="n">
        <v>469</v>
      </c>
      <c r="B1513" t="inlineStr">
        <is>
          <t>Cumplimiento Plan Anual Áreas sede Medellín</t>
        </is>
      </c>
      <c r="C1513" t="inlineStr">
        <is>
          <t>Planeación Estratégica</t>
        </is>
      </c>
      <c r="D1513" t="inlineStr">
        <is>
          <t>Trimestral</t>
        </is>
      </c>
      <c r="E1513" t="inlineStr">
        <is>
          <t>Positivo</t>
        </is>
      </c>
      <c r="F1513" s="148" t="n">
        <v>45473</v>
      </c>
      <c r="G1513" t="n">
        <v>2024</v>
      </c>
      <c r="H1513" t="inlineStr">
        <is>
          <t>Junio</t>
        </is>
      </c>
      <c r="I1513" t="inlineStr">
        <is>
          <t>2024-1</t>
        </is>
      </c>
      <c r="J1513" t="n">
        <v>100</v>
      </c>
      <c r="K1513" t="n">
        <v>114.33</v>
      </c>
      <c r="L1513" s="59">
        <f>IFERROR(IF(OR(J1513=0,K1513=""),"",IF(E1513="Positivo",MIN(MAX(K1513/J1513,0),1.0),MIN(MAX(J1513/K1513,0),1.0))),"") </f>
        <v/>
      </c>
      <c r="M1513" s="59">
        <f>IFERROR(IF(OR(J1513=0,K1513=""),"",IF(E1513="Positivo",MAX(K1513/J1513,0),MAX(J1513/K1513,0))),"") </f>
        <v/>
      </c>
      <c r="P1513" t="n">
        <v>0</v>
      </c>
      <c r="Q1513" t="n">
        <v>0</v>
      </c>
      <c r="R1513" t="inlineStr">
        <is>
          <t>469-2024-06-30</t>
        </is>
      </c>
    </row>
    <row r="1514">
      <c r="A1514" t="n">
        <v>469</v>
      </c>
      <c r="B1514" t="inlineStr">
        <is>
          <t>Cumplimiento Plan Anual Áreas sede Medellín</t>
        </is>
      </c>
      <c r="C1514" t="inlineStr">
        <is>
          <t>Planeación Estratégica</t>
        </is>
      </c>
      <c r="D1514" t="inlineStr">
        <is>
          <t>Trimestral</t>
        </is>
      </c>
      <c r="E1514" t="inlineStr">
        <is>
          <t>Positivo</t>
        </is>
      </c>
      <c r="F1514" s="148" t="n">
        <v>45657</v>
      </c>
      <c r="G1514" t="n">
        <v>2024</v>
      </c>
      <c r="H1514" t="inlineStr">
        <is>
          <t>Diciembre</t>
        </is>
      </c>
      <c r="I1514" t="inlineStr">
        <is>
          <t>2024-2</t>
        </is>
      </c>
      <c r="J1514" t="n">
        <v>100</v>
      </c>
      <c r="K1514" t="n">
        <v>99.7</v>
      </c>
      <c r="L1514" s="59">
        <f>IFERROR(IF(OR(J1514=0,K1514=""),"",IF(E1514="Positivo",MIN(MAX(K1514/J1514,0),1.0),MIN(MAX(J1514/K1514,0),1.0))),"") </f>
        <v/>
      </c>
      <c r="M1514" s="59">
        <f>IFERROR(IF(OR(J1514=0,K1514=""),"",IF(E1514="Positivo",MAX(K1514/J1514,0),MAX(J1514/K1514,0))),"") </f>
        <v/>
      </c>
      <c r="P1514" t="n">
        <v>0</v>
      </c>
      <c r="Q1514" t="n">
        <v>0</v>
      </c>
      <c r="R1514" t="inlineStr">
        <is>
          <t>469-2024-12-31</t>
        </is>
      </c>
    </row>
    <row r="1515">
      <c r="A1515" t="n">
        <v>469</v>
      </c>
      <c r="B1515" t="inlineStr">
        <is>
          <t>Cumplimiento Plan Anual Áreas sede Medellín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48" t="n">
        <v>45838</v>
      </c>
      <c r="G1515" t="n">
        <v>2025</v>
      </c>
      <c r="H1515" t="inlineStr">
        <is>
          <t>Junio</t>
        </is>
      </c>
      <c r="I1515" t="inlineStr">
        <is>
          <t>2025-1</t>
        </is>
      </c>
      <c r="J1515" t="n">
        <v>100</v>
      </c>
      <c r="K1515" t="n">
        <v>103.52</v>
      </c>
      <c r="L1515" s="59">
        <f>IFERROR(IF(OR(J1515=0,K1515=""),"",IF(E1515="Positivo",MIN(MAX(K1515/J1515,0),1.0),MIN(MAX(J1515/K1515,0),1.0))),"") </f>
        <v/>
      </c>
      <c r="M1515" s="59">
        <f>IFERROR(IF(OR(J1515=0,K1515=""),"",IF(E1515="Positivo",MAX(K1515/J1515,0),MAX(J1515/K1515,0))),"") </f>
        <v/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469-2025-06-30</t>
        </is>
      </c>
    </row>
    <row r="1516">
      <c r="A1516" t="n">
        <v>469</v>
      </c>
      <c r="B1516" t="inlineStr">
        <is>
          <t>Cumplimiento Plan Anual Áreas sede Medellín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48" t="n">
        <v>46022</v>
      </c>
      <c r="G1516" t="n">
        <v>2025</v>
      </c>
      <c r="H1516" t="inlineStr">
        <is>
          <t>Diciembre</t>
        </is>
      </c>
      <c r="I1516" t="inlineStr">
        <is>
          <t>2025-2</t>
        </is>
      </c>
      <c r="J1516" t="n">
        <v>100</v>
      </c>
      <c r="K1516" t="n">
        <v>99.13</v>
      </c>
      <c r="L1516" s="59">
        <f>IFERROR(IF(OR(J1516=0,K1516=""),"",IF(E1516="Positivo",MIN(MAX(K1516/J1516,0),1.0),MIN(MAX(J1516/K1516,0),1.0))),"") </f>
        <v/>
      </c>
      <c r="M1516" s="59">
        <f>IFERROR(IF(OR(J1516=0,K1516=""),"",IF(E1516="Positivo",MAX(K1516/J1516,0),MAX(J1516/K1516,0))),"") </f>
        <v/>
      </c>
      <c r="N1516" t="inlineStr">
        <is>
          <t>%</t>
        </is>
      </c>
      <c r="O1516" t="inlineStr">
        <is>
          <t>%</t>
        </is>
      </c>
      <c r="P1516" t="n">
        <v>0</v>
      </c>
      <c r="Q1516" t="n">
        <v>0</v>
      </c>
      <c r="R1516" t="inlineStr">
        <is>
          <t>469-2025-12-31</t>
        </is>
      </c>
    </row>
    <row r="1517">
      <c r="A1517" t="n">
        <v>470</v>
      </c>
      <c r="B1517" t="inlineStr">
        <is>
          <t>Cumplimiento plan anual Secretaria académica y de extensión</t>
        </is>
      </c>
      <c r="C1517" t="inlineStr">
        <is>
          <t>Planeación Estratégica</t>
        </is>
      </c>
      <c r="D1517" t="inlineStr">
        <is>
          <t>Trimestral</t>
        </is>
      </c>
      <c r="E1517" t="inlineStr">
        <is>
          <t>Positivo</t>
        </is>
      </c>
      <c r="F1517" s="148" t="n">
        <v>45473</v>
      </c>
      <c r="G1517" t="n">
        <v>2024</v>
      </c>
      <c r="H1517" t="inlineStr">
        <is>
          <t>Junio</t>
        </is>
      </c>
      <c r="I1517" t="inlineStr">
        <is>
          <t>2024-1</t>
        </is>
      </c>
      <c r="J1517" t="n">
        <v>100</v>
      </c>
      <c r="K1517" t="n">
        <v>118.1</v>
      </c>
      <c r="L1517" s="59">
        <f>IFERROR(IF(OR(J1517=0,K1517=""),"",IF(E1517="Positivo",MIN(MAX(K1517/J1517,0),1.0),MIN(MAX(J1517/K1517,0),1.0))),"") </f>
        <v/>
      </c>
      <c r="M1517" s="59">
        <f>IFERROR(IF(OR(J1517=0,K1517=""),"",IF(E1517="Positivo",MAX(K1517/J1517,0),MAX(J1517/K1517,0))),"") </f>
        <v/>
      </c>
      <c r="P1517" t="n">
        <v>0</v>
      </c>
      <c r="Q1517" t="n">
        <v>0</v>
      </c>
      <c r="R1517" t="inlineStr">
        <is>
          <t>470-2024-06-30</t>
        </is>
      </c>
    </row>
    <row r="1518">
      <c r="A1518" t="n">
        <v>470</v>
      </c>
      <c r="B1518" t="inlineStr">
        <is>
          <t>Cumplimiento plan anual Secretaria académica y de extensión</t>
        </is>
      </c>
      <c r="C1518" t="inlineStr">
        <is>
          <t>Planeación Estratégica</t>
        </is>
      </c>
      <c r="D1518" t="inlineStr">
        <is>
          <t>Trimestral</t>
        </is>
      </c>
      <c r="E1518" t="inlineStr">
        <is>
          <t>Positivo</t>
        </is>
      </c>
      <c r="F1518" s="148" t="n">
        <v>45657</v>
      </c>
      <c r="G1518" t="n">
        <v>2024</v>
      </c>
      <c r="H1518" t="inlineStr">
        <is>
          <t>Diciembre</t>
        </is>
      </c>
      <c r="I1518" t="inlineStr">
        <is>
          <t>2024-2</t>
        </is>
      </c>
      <c r="J1518" t="n">
        <v>100</v>
      </c>
      <c r="K1518" t="n">
        <v>100</v>
      </c>
      <c r="L1518" s="59">
        <f>IFERROR(IF(OR(J1518=0,K1518=""),"",IF(E1518="Positivo",MIN(MAX(K1518/J1518,0),1.0),MIN(MAX(J1518/K1518,0),1.0))),"") </f>
        <v/>
      </c>
      <c r="M1518" s="59">
        <f>IFERROR(IF(OR(J1518=0,K1518=""),"",IF(E1518="Positivo",MAX(K1518/J1518,0),MAX(J1518/K1518,0))),"") </f>
        <v/>
      </c>
      <c r="P1518" t="n">
        <v>0</v>
      </c>
      <c r="Q1518" t="n">
        <v>0</v>
      </c>
      <c r="R1518" t="inlineStr">
        <is>
          <t>470-2024-12-31</t>
        </is>
      </c>
    </row>
    <row r="1519">
      <c r="A1519" t="n">
        <v>470</v>
      </c>
      <c r="B1519" t="inlineStr">
        <is>
          <t>Cumplimiento plan anual Secretaria académica y de extensión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48" t="n">
        <v>45838</v>
      </c>
      <c r="G1519" t="n">
        <v>2025</v>
      </c>
      <c r="H1519" t="inlineStr">
        <is>
          <t>Junio</t>
        </is>
      </c>
      <c r="I1519" t="inlineStr">
        <is>
          <t>2025-1</t>
        </is>
      </c>
      <c r="J1519" t="n">
        <v>100</v>
      </c>
      <c r="K1519" t="n">
        <v>148.38</v>
      </c>
      <c r="L1519" s="59">
        <f>IFERROR(IF(OR(J1519=0,K1519=""),"",IF(E1519="Positivo",MIN(MAX(K1519/J1519,0),1.0),MIN(MAX(J1519/K1519,0),1.0))),"") </f>
        <v/>
      </c>
      <c r="M1519" s="59">
        <f>IFERROR(IF(OR(J1519=0,K1519=""),"",IF(E1519="Positivo",MAX(K1519/J1519,0),MAX(J1519/K1519,0))),"") </f>
        <v/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0</v>
      </c>
      <c r="R1519" t="inlineStr">
        <is>
          <t>470-2025-06-30</t>
        </is>
      </c>
    </row>
    <row r="1520">
      <c r="A1520" t="n">
        <v>470</v>
      </c>
      <c r="B1520" t="inlineStr">
        <is>
          <t>Cumplimiento plan anual Secretaria académica y de extensión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48" t="n">
        <v>46022</v>
      </c>
      <c r="G1520" t="n">
        <v>2025</v>
      </c>
      <c r="H1520" t="inlineStr">
        <is>
          <t>Diciembre</t>
        </is>
      </c>
      <c r="I1520" t="inlineStr">
        <is>
          <t>2025-2</t>
        </is>
      </c>
      <c r="J1520" t="n">
        <v>100</v>
      </c>
      <c r="K1520" t="n">
        <v>100</v>
      </c>
      <c r="L1520" s="59">
        <f>IFERROR(IF(OR(J1520=0,K1520=""),"",IF(E1520="Positivo",MIN(MAX(K1520/J1520,0),1.0),MIN(MAX(J1520/K1520,0),1.0))),"") </f>
        <v/>
      </c>
      <c r="M1520" s="59">
        <f>IFERROR(IF(OR(J1520=0,K1520=""),"",IF(E1520="Positivo",MAX(K1520/J1520,0),MAX(J1520/K1520,0))),"") </f>
        <v/>
      </c>
      <c r="N1520" t="inlineStr">
        <is>
          <t>%</t>
        </is>
      </c>
      <c r="O1520" t="inlineStr">
        <is>
          <t>%</t>
        </is>
      </c>
      <c r="P1520" t="n">
        <v>0</v>
      </c>
      <c r="Q1520" t="n">
        <v>0</v>
      </c>
      <c r="R1520" t="inlineStr">
        <is>
          <t>470-2025-12-31</t>
        </is>
      </c>
    </row>
    <row r="1521">
      <c r="A1521" t="n">
        <v>471</v>
      </c>
      <c r="B1521" t="inlineStr">
        <is>
          <t>Cumplimiento plan anual Gerencia de Talento Humano</t>
        </is>
      </c>
      <c r="C1521" t="inlineStr">
        <is>
          <t>Planeación Estratégica</t>
        </is>
      </c>
      <c r="D1521" t="inlineStr">
        <is>
          <t>Trimestral</t>
        </is>
      </c>
      <c r="E1521" t="inlineStr">
        <is>
          <t>Positivo</t>
        </is>
      </c>
      <c r="F1521" s="148" t="n">
        <v>45473</v>
      </c>
      <c r="G1521" t="n">
        <v>2024</v>
      </c>
      <c r="H1521" t="inlineStr">
        <is>
          <t>Junio</t>
        </is>
      </c>
      <c r="I1521" t="inlineStr">
        <is>
          <t>2024-1</t>
        </is>
      </c>
      <c r="J1521" t="n">
        <v>100</v>
      </c>
      <c r="K1521" t="n">
        <v>105.56</v>
      </c>
      <c r="L1521" s="59">
        <f>IFERROR(IF(OR(J1521=0,K1521=""),"",IF(E1521="Positivo",MIN(MAX(K1521/J1521,0),1.0),MIN(MAX(J1521/K1521,0),1.0))),"") </f>
        <v/>
      </c>
      <c r="M1521" s="59">
        <f>IFERROR(IF(OR(J1521=0,K1521=""),"",IF(E1521="Positivo",MAX(K1521/J1521,0),MAX(J1521/K1521,0))),"") </f>
        <v/>
      </c>
      <c r="P1521" t="n">
        <v>0</v>
      </c>
      <c r="Q1521" t="n">
        <v>0</v>
      </c>
      <c r="R1521" t="inlineStr">
        <is>
          <t>471-2024-06-30</t>
        </is>
      </c>
    </row>
    <row r="1522">
      <c r="A1522" t="n">
        <v>471</v>
      </c>
      <c r="B1522" t="inlineStr">
        <is>
          <t>Cumplimiento plan anual Gerencia de Talento Humano</t>
        </is>
      </c>
      <c r="C1522" t="inlineStr">
        <is>
          <t>Planeación Estratégica</t>
        </is>
      </c>
      <c r="D1522" t="inlineStr">
        <is>
          <t>Trimestral</t>
        </is>
      </c>
      <c r="E1522" t="inlineStr">
        <is>
          <t>Positivo</t>
        </is>
      </c>
      <c r="F1522" s="148" t="n">
        <v>45657</v>
      </c>
      <c r="G1522" t="n">
        <v>2024</v>
      </c>
      <c r="H1522" t="inlineStr">
        <is>
          <t>Diciembre</t>
        </is>
      </c>
      <c r="I1522" t="inlineStr">
        <is>
          <t>2024-2</t>
        </is>
      </c>
      <c r="J1522" t="n">
        <v>100</v>
      </c>
      <c r="K1522" t="n">
        <v>99</v>
      </c>
      <c r="L1522" s="59">
        <f>IFERROR(IF(OR(J1522=0,K1522=""),"",IF(E1522="Positivo",MIN(MAX(K1522/J1522,0),1.0),MIN(MAX(J1522/K1522,0),1.0))),"") </f>
        <v/>
      </c>
      <c r="M1522" s="59">
        <f>IFERROR(IF(OR(J1522=0,K1522=""),"",IF(E1522="Positivo",MAX(K1522/J1522,0),MAX(J1522/K1522,0))),"") </f>
        <v/>
      </c>
      <c r="P1522" t="n">
        <v>0</v>
      </c>
      <c r="Q1522" t="n">
        <v>0</v>
      </c>
      <c r="R1522" t="inlineStr">
        <is>
          <t>471-2024-12-31</t>
        </is>
      </c>
    </row>
    <row r="1523">
      <c r="A1523" t="n">
        <v>471</v>
      </c>
      <c r="B1523" t="inlineStr">
        <is>
          <t>Cumplimiento plan anual Gerencia de Talento Humano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48" t="n">
        <v>45838</v>
      </c>
      <c r="G1523" t="n">
        <v>2025</v>
      </c>
      <c r="H1523" t="inlineStr">
        <is>
          <t>Junio</t>
        </is>
      </c>
      <c r="I1523" t="inlineStr">
        <is>
          <t>2025-1</t>
        </is>
      </c>
      <c r="J1523" t="n">
        <v>100</v>
      </c>
      <c r="K1523" t="n">
        <v>94.02</v>
      </c>
      <c r="L1523" s="59">
        <f>IFERROR(IF(OR(J1523=0,K1523=""),"",IF(E1523="Positivo",MIN(MAX(K1523/J1523,0),1.0),MIN(MAX(J1523/K1523,0),1.0))),"") </f>
        <v/>
      </c>
      <c r="M1523" s="59">
        <f>IFERROR(IF(OR(J1523=0,K1523=""),"",IF(E1523="Positivo",MAX(K1523/J1523,0),MAX(J1523/K1523,0))),"") </f>
        <v/>
      </c>
      <c r="N1523" t="inlineStr">
        <is>
          <t>%</t>
        </is>
      </c>
      <c r="O1523" t="inlineStr">
        <is>
          <t>%</t>
        </is>
      </c>
      <c r="P1523" t="n">
        <v>0</v>
      </c>
      <c r="Q1523" t="n">
        <v>0</v>
      </c>
      <c r="R1523" t="inlineStr">
        <is>
          <t>471-2025-06-30</t>
        </is>
      </c>
    </row>
    <row r="1524">
      <c r="A1524" t="n">
        <v>471</v>
      </c>
      <c r="B1524" t="inlineStr">
        <is>
          <t>Cumplimiento plan anual Gerencia de Talento Humano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48" t="n">
        <v>46022</v>
      </c>
      <c r="G1524" t="n">
        <v>2025</v>
      </c>
      <c r="H1524" t="inlineStr">
        <is>
          <t>Diciembre</t>
        </is>
      </c>
      <c r="I1524" t="inlineStr">
        <is>
          <t>2025-2</t>
        </is>
      </c>
      <c r="J1524" t="n">
        <v>100</v>
      </c>
      <c r="K1524" t="n">
        <v>99.86</v>
      </c>
      <c r="L1524" s="59">
        <f>IFERROR(IF(OR(J1524=0,K1524=""),"",IF(E1524="Positivo",MIN(MAX(K1524/J1524,0),1.0),MIN(MAX(J1524/K1524,0),1.0))),"") </f>
        <v/>
      </c>
      <c r="M1524" s="59">
        <f>IFERROR(IF(OR(J1524=0,K1524=""),"",IF(E1524="Positivo",MAX(K1524/J1524,0),MAX(J1524/K1524,0))),"") </f>
        <v/>
      </c>
      <c r="N1524" t="inlineStr">
        <is>
          <t>%</t>
        </is>
      </c>
      <c r="O1524" t="inlineStr">
        <is>
          <t>%</t>
        </is>
      </c>
      <c r="P1524" t="n">
        <v>0</v>
      </c>
      <c r="Q1524" t="n">
        <v>0</v>
      </c>
      <c r="R1524" t="inlineStr">
        <is>
          <t>471-2025-12-31</t>
        </is>
      </c>
    </row>
    <row r="1525">
      <c r="A1525" t="n">
        <v>472</v>
      </c>
      <c r="B1525" t="inlineStr">
        <is>
          <t>Cobertura de Recolección de Variables ADA (Arquitectura de datos para la analitica)</t>
        </is>
      </c>
      <c r="C1525" t="inlineStr">
        <is>
          <t>DATOS Y ANALÍTICA</t>
        </is>
      </c>
      <c r="D1525" t="inlineStr">
        <is>
          <t>Semestral</t>
        </is>
      </c>
      <c r="E1525" t="inlineStr">
        <is>
          <t>Positivo</t>
        </is>
      </c>
      <c r="F1525" s="148" t="n">
        <v>45473</v>
      </c>
      <c r="G1525" t="n">
        <v>2024</v>
      </c>
      <c r="H1525" t="inlineStr">
        <is>
          <t>Junio</t>
        </is>
      </c>
      <c r="I1525" t="inlineStr">
        <is>
          <t>2024-1</t>
        </is>
      </c>
      <c r="J1525" t="n">
        <v>100</v>
      </c>
      <c r="K1525" t="n">
        <v>82.09999999999999</v>
      </c>
      <c r="L1525" s="59">
        <f>IFERROR(IF(OR(J1525=0,K1525=""),"",IF(E1525="Positivo",MIN(MAX(K1525/J1525,0),1.3),MIN(MAX(J1525/K1525,0),1.3))),"") </f>
        <v/>
      </c>
      <c r="M1525" s="59">
        <f>IFERROR(IF(OR(J1525=0,K1525=""),"",IF(E1525="Positivo",MAX(K1525/J1525,0),MAX(J1525/K1525,0))),"") </f>
        <v/>
      </c>
      <c r="P1525" t="n">
        <v>0</v>
      </c>
      <c r="Q1525" t="n">
        <v>0</v>
      </c>
      <c r="R1525" t="inlineStr">
        <is>
          <t>472-2024-06-30</t>
        </is>
      </c>
    </row>
    <row r="1526">
      <c r="A1526" t="n">
        <v>472</v>
      </c>
      <c r="B1526" t="inlineStr">
        <is>
          <t>Cobertura de Recolección de Variables ADA (Arquitectura de datos para la analitica)</t>
        </is>
      </c>
      <c r="C1526" t="inlineStr">
        <is>
          <t>DATOS Y ANALÍTICA</t>
        </is>
      </c>
      <c r="D1526" t="inlineStr">
        <is>
          <t>Semestral</t>
        </is>
      </c>
      <c r="E1526" t="inlineStr">
        <is>
          <t>Positivo</t>
        </is>
      </c>
      <c r="F1526" s="148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100</v>
      </c>
      <c r="K1526" t="n">
        <v>100</v>
      </c>
      <c r="L1526" s="59">
        <f>IFERROR(IF(OR(J1526=0,K1526=""),"",IF(E1526="Positivo",MIN(MAX(K1526/J1526,0),1.3),MIN(MAX(J1526/K1526,0),1.3))),"") </f>
        <v/>
      </c>
      <c r="M1526" s="59">
        <f>IFERROR(IF(OR(J1526=0,K1526=""),"",IF(E1526="Positivo",MAX(K1526/J1526,0),MAX(J1526/K1526,0))),"") </f>
        <v/>
      </c>
      <c r="P1526" t="n">
        <v>0</v>
      </c>
      <c r="Q1526" t="n">
        <v>0</v>
      </c>
      <c r="R1526" t="inlineStr">
        <is>
          <t>472-2024-12-31</t>
        </is>
      </c>
    </row>
    <row r="1527">
      <c r="A1527" t="n">
        <v>473</v>
      </c>
      <c r="B1527" t="inlineStr">
        <is>
          <t>Programas con alineación curricular</t>
        </is>
      </c>
      <c r="C1527" t="inlineStr">
        <is>
          <t>Gestión, Evaluación e Innovación Curricular</t>
        </is>
      </c>
      <c r="D1527" t="inlineStr">
        <is>
          <t>Semestral</t>
        </is>
      </c>
      <c r="E1527" t="inlineStr">
        <is>
          <t>Positivo</t>
        </is>
      </c>
      <c r="F1527" s="148" t="n">
        <v>45473</v>
      </c>
      <c r="G1527" t="n">
        <v>2024</v>
      </c>
      <c r="H1527" t="inlineStr">
        <is>
          <t>Junio</t>
        </is>
      </c>
      <c r="I1527" t="inlineStr">
        <is>
          <t>2024-1</t>
        </is>
      </c>
      <c r="J1527" t="n">
        <v>100</v>
      </c>
      <c r="K1527" t="n">
        <v>100</v>
      </c>
      <c r="L1527" s="59">
        <f>IFERROR(IF(OR(J1527=0,K1527=""),"",IF(E1527="Positivo",MIN(MAX(K1527/J1527,0),1.3),MIN(MAX(J1527/K1527,0),1.3))),"") </f>
        <v/>
      </c>
      <c r="M1527" s="59">
        <f>IFERROR(IF(OR(J1527=0,K1527=""),"",IF(E1527="Positivo",MAX(K1527/J1527,0),MAX(J1527/K1527,0))),"") </f>
        <v/>
      </c>
      <c r="P1527" t="n">
        <v>0</v>
      </c>
      <c r="Q1527" t="n">
        <v>0</v>
      </c>
      <c r="R1527" t="inlineStr">
        <is>
          <t>473-2024-06-30</t>
        </is>
      </c>
    </row>
    <row r="1528">
      <c r="A1528" t="n">
        <v>473</v>
      </c>
      <c r="B1528" t="inlineStr">
        <is>
          <t>Programas con planes de estudios definidos</t>
        </is>
      </c>
      <c r="C1528" t="inlineStr">
        <is>
          <t>Gestión, Evaluación e Innovación Curricular</t>
        </is>
      </c>
      <c r="D1528" t="inlineStr">
        <is>
          <t>Semestral</t>
        </is>
      </c>
      <c r="E1528" t="inlineStr">
        <is>
          <t>Positivo</t>
        </is>
      </c>
      <c r="F1528" s="148" t="n">
        <v>45657</v>
      </c>
      <c r="G1528" t="n">
        <v>2024</v>
      </c>
      <c r="H1528" t="inlineStr">
        <is>
          <t>Diciembre</t>
        </is>
      </c>
      <c r="I1528" t="inlineStr">
        <is>
          <t>2024-2</t>
        </is>
      </c>
      <c r="J1528" t="n">
        <v>100</v>
      </c>
      <c r="K1528" t="n">
        <v>100</v>
      </c>
      <c r="L1528" s="59">
        <f>IFERROR(IF(OR(J1528=0,K1528=""),"",IF(E1528="Positivo",MIN(MAX(K1528/J1528,0),1.3),MIN(MAX(J1528/K1528,0),1.3))),"") </f>
        <v/>
      </c>
      <c r="M1528" s="59">
        <f>IFERROR(IF(OR(J1528=0,K1528=""),"",IF(E1528="Positivo",MAX(K1528/J1528,0),MAX(J1528/K1528,0))),"") </f>
        <v/>
      </c>
      <c r="P1528" t="n">
        <v>0</v>
      </c>
      <c r="Q1528" t="n">
        <v>0</v>
      </c>
      <c r="R1528" t="inlineStr">
        <is>
          <t>473-2024-12-31</t>
        </is>
      </c>
    </row>
    <row r="1529">
      <c r="A1529" t="n">
        <v>473</v>
      </c>
      <c r="B1529" t="inlineStr">
        <is>
          <t>Programas con planes de estudios definidos</t>
        </is>
      </c>
      <c r="C1529" t="inlineStr">
        <is>
          <t>Gestión, Evaluación e Innovación Curricular</t>
        </is>
      </c>
      <c r="D1529" t="inlineStr">
        <is>
          <t>Semestral</t>
        </is>
      </c>
      <c r="E1529" t="inlineStr">
        <is>
          <t>Positivo</t>
        </is>
      </c>
      <c r="F1529" s="148" t="n">
        <v>45838</v>
      </c>
      <c r="G1529" t="n">
        <v>2025</v>
      </c>
      <c r="H1529" t="inlineStr">
        <is>
          <t>Junio</t>
        </is>
      </c>
      <c r="I1529" t="inlineStr">
        <is>
          <t>2025-1</t>
        </is>
      </c>
      <c r="J1529" t="n">
        <v>100</v>
      </c>
      <c r="K1529" t="n">
        <v>100</v>
      </c>
      <c r="L1529" s="59">
        <f>IFERROR(IF(OR(J1529=0,K1529=""),"",IF(E1529="Positivo",MIN(MAX(K1529/J1529,0),1.3),MIN(MAX(J1529/K1529,0),1.3))),"") </f>
        <v/>
      </c>
      <c r="M1529" s="59">
        <f>IFERROR(IF(OR(J1529=0,K1529=""),"",IF(E1529="Positivo",MAX(K1529/J1529,0),MAX(J1529/K1529,0))),"") </f>
        <v/>
      </c>
      <c r="P1529" t="n">
        <v>0</v>
      </c>
      <c r="Q1529" t="n">
        <v>0</v>
      </c>
      <c r="R1529" t="inlineStr">
        <is>
          <t>473-2025-06-30</t>
        </is>
      </c>
    </row>
    <row r="1530">
      <c r="A1530" t="n">
        <v>474</v>
      </c>
      <c r="B1530" t="inlineStr">
        <is>
          <t>Programas con planes de estudios definidos por escuela (Nuevos Programas)</t>
        </is>
      </c>
      <c r="C1530" t="inlineStr">
        <is>
          <t>Gestión de Unidades Académicas</t>
        </is>
      </c>
      <c r="D1530" t="inlineStr">
        <is>
          <t>Semestral</t>
        </is>
      </c>
      <c r="E1530" t="inlineStr">
        <is>
          <t>Positivo</t>
        </is>
      </c>
      <c r="F1530" s="148" t="n">
        <v>45473</v>
      </c>
      <c r="G1530" t="n">
        <v>2024</v>
      </c>
      <c r="H1530" t="inlineStr">
        <is>
          <t>Junio</t>
        </is>
      </c>
      <c r="I1530" t="inlineStr">
        <is>
          <t>2024-1</t>
        </is>
      </c>
      <c r="J1530" t="n">
        <v>100</v>
      </c>
      <c r="K1530" t="n">
        <v>100</v>
      </c>
      <c r="L1530" s="59">
        <f>IFERROR(IF(OR(J1530=0,K1530=""),"",IF(E1530="Positivo",MIN(MAX(K1530/J1530,0),1.3),MIN(MAX(J1530/K1530,0),1.3))),"") </f>
        <v/>
      </c>
      <c r="M1530" s="59">
        <f>IFERROR(IF(OR(J1530=0,K1530=""),"",IF(E1530="Positivo",MAX(K1530/J1530,0),MAX(J1530/K1530,0))),"") </f>
        <v/>
      </c>
      <c r="P1530" t="n">
        <v>0</v>
      </c>
      <c r="Q1530" t="n">
        <v>0</v>
      </c>
      <c r="R1530" t="inlineStr">
        <is>
          <t>474-2024-06-30</t>
        </is>
      </c>
    </row>
    <row r="1531">
      <c r="A1531" t="n">
        <v>474</v>
      </c>
      <c r="B1531" t="inlineStr">
        <is>
          <t>Programas con planes de estudios definidos por escuela (Nuevos Programas)</t>
        </is>
      </c>
      <c r="C1531" t="inlineStr">
        <is>
          <t>Gestión de Unidades Académicas</t>
        </is>
      </c>
      <c r="D1531" t="inlineStr">
        <is>
          <t>Semestral</t>
        </is>
      </c>
      <c r="E1531" t="inlineStr">
        <is>
          <t>Positivo</t>
        </is>
      </c>
      <c r="F1531" s="148" t="n">
        <v>45657</v>
      </c>
      <c r="G1531" t="n">
        <v>2024</v>
      </c>
      <c r="H1531" t="inlineStr">
        <is>
          <t>Diciembre</t>
        </is>
      </c>
      <c r="I1531" t="inlineStr">
        <is>
          <t>2024-2</t>
        </is>
      </c>
      <c r="J1531" t="n">
        <v>100</v>
      </c>
      <c r="K1531" t="n">
        <v>100</v>
      </c>
      <c r="L1531" s="59">
        <f>IFERROR(IF(OR(J1531=0,K1531=""),"",IF(E1531="Positivo",MIN(MAX(K1531/J1531,0),1.3),MIN(MAX(J1531/K1531,0),1.3))),"") </f>
        <v/>
      </c>
      <c r="M1531" s="59">
        <f>IFERROR(IF(OR(J1531=0,K1531=""),"",IF(E1531="Positivo",MAX(K1531/J1531,0),MAX(J1531/K1531,0))),"") </f>
        <v/>
      </c>
      <c r="P1531" t="n">
        <v>0</v>
      </c>
      <c r="Q1531" t="n">
        <v>0</v>
      </c>
      <c r="R1531" t="inlineStr">
        <is>
          <t>474-2024-12-31</t>
        </is>
      </c>
    </row>
    <row r="1532">
      <c r="A1532" t="n">
        <v>474</v>
      </c>
      <c r="B1532" t="inlineStr">
        <is>
          <t>Programas con planes de estudios definidos por escuela (Nuevos Programas)</t>
        </is>
      </c>
      <c r="C1532" t="inlineStr">
        <is>
          <t>Gestión de Unidades Académicas</t>
        </is>
      </c>
      <c r="D1532" t="inlineStr">
        <is>
          <t>Trimestral</t>
        </is>
      </c>
      <c r="E1532" t="inlineStr">
        <is>
          <t>Positivo</t>
        </is>
      </c>
      <c r="F1532" s="148" t="n">
        <v>45838</v>
      </c>
      <c r="G1532" t="n">
        <v>2025</v>
      </c>
      <c r="H1532" t="inlineStr">
        <is>
          <t>Junio</t>
        </is>
      </c>
      <c r="I1532" t="inlineStr">
        <is>
          <t>2025-1</t>
        </is>
      </c>
      <c r="K1532" t="n">
        <v>0</v>
      </c>
      <c r="L1532" s="59" t="n"/>
      <c r="M1532" s="59" t="n"/>
      <c r="N1532" t="inlineStr">
        <is>
          <t>ENT</t>
        </is>
      </c>
      <c r="O1532" t="inlineStr">
        <is>
          <t>ENT</t>
        </is>
      </c>
      <c r="P1532" t="n">
        <v>0</v>
      </c>
      <c r="Q1532" t="n">
        <v>0</v>
      </c>
      <c r="R1532" t="inlineStr">
        <is>
          <t>474-2025-06-30</t>
        </is>
      </c>
    </row>
    <row r="1533">
      <c r="A1533" t="n">
        <v>475</v>
      </c>
      <c r="B1533" t="inlineStr">
        <is>
          <t>Número de renovaciones de registro calificado radicadas al MEN</t>
        </is>
      </c>
      <c r="C1533" t="inlineStr">
        <is>
          <t>Creación, modificación y cierre de programas académicos</t>
        </is>
      </c>
      <c r="D1533" t="inlineStr">
        <is>
          <t>Semestral</t>
        </is>
      </c>
      <c r="E1533" t="inlineStr">
        <is>
          <t>Positivo</t>
        </is>
      </c>
      <c r="F1533" s="148" t="n">
        <v>45473</v>
      </c>
      <c r="G1533" t="n">
        <v>2024</v>
      </c>
      <c r="H1533" t="inlineStr">
        <is>
          <t>Junio</t>
        </is>
      </c>
      <c r="I1533" t="inlineStr">
        <is>
          <t>2024-1</t>
        </is>
      </c>
      <c r="J1533" t="n">
        <v>100</v>
      </c>
      <c r="L1533" s="59" t="n"/>
      <c r="M1533" s="59" t="n"/>
      <c r="P1533" t="n">
        <v>0</v>
      </c>
      <c r="Q1533" t="n">
        <v>0</v>
      </c>
      <c r="R1533" t="inlineStr">
        <is>
          <t>475-2024-06-30</t>
        </is>
      </c>
    </row>
    <row r="1534">
      <c r="A1534" t="n">
        <v>475</v>
      </c>
      <c r="B1534" t="inlineStr">
        <is>
          <t>Número de renovaciones de registro calificado radicadas al MEN</t>
        </is>
      </c>
      <c r="C1534" t="inlineStr">
        <is>
          <t>Creación, modificación y cierre de programas académicos</t>
        </is>
      </c>
      <c r="D1534" t="inlineStr">
        <is>
          <t>Semestral</t>
        </is>
      </c>
      <c r="E1534" t="inlineStr">
        <is>
          <t>Positivo</t>
        </is>
      </c>
      <c r="F1534" s="148" t="n">
        <v>45657</v>
      </c>
      <c r="G1534" t="n">
        <v>2024</v>
      </c>
      <c r="H1534" t="inlineStr">
        <is>
          <t>Diciembre</t>
        </is>
      </c>
      <c r="I1534" t="inlineStr">
        <is>
          <t>2024-2</t>
        </is>
      </c>
      <c r="J1534" t="n">
        <v>100</v>
      </c>
      <c r="K1534" t="n">
        <v>140</v>
      </c>
      <c r="L1534" s="59">
        <f>IFERROR(IF(OR(J1534=0,K1534=""),"",IF(E1534="Positivo",MIN(MAX(K1534/J1534,0),1.3),MIN(MAX(J1534/K1534,0),1.3))),"") </f>
        <v/>
      </c>
      <c r="M1534" s="59">
        <f>IFERROR(IF(OR(J1534=0,K1534=""),"",IF(E1534="Positivo",MAX(K1534/J1534,0),MAX(J1534/K1534,0))),"") </f>
        <v/>
      </c>
      <c r="P1534" t="n">
        <v>0</v>
      </c>
      <c r="Q1534" t="n">
        <v>0</v>
      </c>
      <c r="R1534" t="inlineStr">
        <is>
          <t>475-2024-12-31</t>
        </is>
      </c>
    </row>
    <row r="1535">
      <c r="A1535" t="n">
        <v>475</v>
      </c>
      <c r="B1535" t="inlineStr">
        <is>
          <t>Número de renovaciones de registro calificado radicadas al MEN</t>
        </is>
      </c>
      <c r="C1535" t="inlineStr">
        <is>
          <t>Creación, modificación y cierre de programas académicos</t>
        </is>
      </c>
      <c r="D1535" t="inlineStr">
        <is>
          <t>Trimestral</t>
        </is>
      </c>
      <c r="E1535" t="inlineStr">
        <is>
          <t>Positivo</t>
        </is>
      </c>
      <c r="F1535" s="148" t="n">
        <v>46022</v>
      </c>
      <c r="G1535" t="n">
        <v>2025</v>
      </c>
      <c r="H1535" t="inlineStr">
        <is>
          <t>Diciembre</t>
        </is>
      </c>
      <c r="I1535" t="inlineStr">
        <is>
          <t>2025-2</t>
        </is>
      </c>
      <c r="J1535" t="n">
        <v>100</v>
      </c>
      <c r="K1535" t="n">
        <v>100</v>
      </c>
      <c r="L1535" s="59">
        <f>IFERROR(IF(OR(J1535=0,K1535=""),"",IF(E1535="Positivo",MIN(MAX(K1535/J1535,0),1.3),MIN(MAX(J1535/K1535,0),1.3))),"") </f>
        <v/>
      </c>
      <c r="M1535" s="59">
        <f>IFERROR(IF(OR(J1535=0,K1535=""),"",IF(E1535="Positivo",MAX(K1535/J1535,0),MAX(J1535/K1535,0))),"") </f>
        <v/>
      </c>
      <c r="N1535" t="inlineStr">
        <is>
          <t>ENT</t>
        </is>
      </c>
      <c r="O1535" t="inlineStr">
        <is>
          <t>ENT</t>
        </is>
      </c>
      <c r="P1535" t="n">
        <v>0</v>
      </c>
      <c r="Q1535" t="n">
        <v>0</v>
      </c>
      <c r="R1535" t="inlineStr">
        <is>
          <t>475-2025-12-31</t>
        </is>
      </c>
    </row>
    <row r="1536">
      <c r="A1536" t="n">
        <v>476</v>
      </c>
      <c r="B1536" t="inlineStr">
        <is>
          <t>Programas con resultados de aprendizaje definidos</t>
        </is>
      </c>
      <c r="C1536" t="inlineStr">
        <is>
          <t>Gestión, Evaluación e Innovación Curricular</t>
        </is>
      </c>
      <c r="D1536" t="inlineStr">
        <is>
          <t>Semestral</t>
        </is>
      </c>
      <c r="E1536" t="inlineStr">
        <is>
          <t>Positivo</t>
        </is>
      </c>
      <c r="F1536" s="148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100</v>
      </c>
      <c r="K1536" t="n">
        <v>100</v>
      </c>
      <c r="L1536" s="59">
        <f>IFERROR(IF(OR(J1536=0,K1536=""),"",IF(E1536="Positivo",MIN(MAX(K1536/J1536,0),1.3),MIN(MAX(J1536/K1536,0),1.3))),"") </f>
        <v/>
      </c>
      <c r="M1536" s="59">
        <f>IFERROR(IF(OR(J1536=0,K1536=""),"",IF(E1536="Positivo",MAX(K1536/J1536,0),MAX(J1536/K1536,0))),"") </f>
        <v/>
      </c>
      <c r="P1536" t="n">
        <v>0</v>
      </c>
      <c r="Q1536" t="n">
        <v>0</v>
      </c>
      <c r="R1536" t="inlineStr">
        <is>
          <t>476-2024-06-30</t>
        </is>
      </c>
    </row>
    <row r="1537">
      <c r="A1537" t="n">
        <v>476</v>
      </c>
      <c r="B1537" t="inlineStr">
        <is>
          <t>Programas con resultados de aprendizaje definidos</t>
        </is>
      </c>
      <c r="C1537" t="inlineStr">
        <is>
          <t>Gestión, Evaluación e Innovación Curricular</t>
        </is>
      </c>
      <c r="D1537" t="inlineStr">
        <is>
          <t>Semestral</t>
        </is>
      </c>
      <c r="E1537" t="inlineStr">
        <is>
          <t>Positivo</t>
        </is>
      </c>
      <c r="F1537" s="148" t="n">
        <v>45657</v>
      </c>
      <c r="G1537" t="n">
        <v>2024</v>
      </c>
      <c r="H1537" t="inlineStr">
        <is>
          <t>Diciembre</t>
        </is>
      </c>
      <c r="I1537" t="inlineStr">
        <is>
          <t>2024-2</t>
        </is>
      </c>
      <c r="J1537" t="n">
        <v>100</v>
      </c>
      <c r="K1537" t="n">
        <v>100</v>
      </c>
      <c r="L1537" s="59">
        <f>IFERROR(IF(OR(J1537=0,K1537=""),"",IF(E1537="Positivo",MIN(MAX(K1537/J1537,0),1.3),MIN(MAX(J1537/K1537,0),1.3))),"") </f>
        <v/>
      </c>
      <c r="M1537" s="59">
        <f>IFERROR(IF(OR(J1537=0,K1537=""),"",IF(E1537="Positivo",MAX(K1537/J1537,0),MAX(J1537/K1537,0))),"") </f>
        <v/>
      </c>
      <c r="P1537" t="n">
        <v>0</v>
      </c>
      <c r="Q1537" t="n">
        <v>0</v>
      </c>
      <c r="R1537" t="inlineStr">
        <is>
          <t>476-2024-12-31</t>
        </is>
      </c>
    </row>
    <row r="1538">
      <c r="A1538" t="n">
        <v>476</v>
      </c>
      <c r="B1538" t="inlineStr">
        <is>
          <t>Programas con resultados de aprendizaje definidos</t>
        </is>
      </c>
      <c r="C1538" t="inlineStr">
        <is>
          <t>Gestión, Evaluación e Innovación Curricular</t>
        </is>
      </c>
      <c r="D1538" t="inlineStr">
        <is>
          <t>Semestral</t>
        </is>
      </c>
      <c r="E1538" t="inlineStr">
        <is>
          <t>Positivo</t>
        </is>
      </c>
      <c r="F1538" s="148" t="n">
        <v>45838</v>
      </c>
      <c r="G1538" t="n">
        <v>2025</v>
      </c>
      <c r="H1538" t="inlineStr">
        <is>
          <t>Junio</t>
        </is>
      </c>
      <c r="I1538" t="inlineStr">
        <is>
          <t>2025-1</t>
        </is>
      </c>
      <c r="J1538" t="n">
        <v>100</v>
      </c>
      <c r="K1538" t="n">
        <v>100</v>
      </c>
      <c r="L1538" s="59">
        <f>IFERROR(IF(OR(J1538=0,K1538=""),"",IF(E1538="Positivo",MIN(MAX(K1538/J1538,0),1.3),MIN(MAX(J1538/K1538,0),1.3))),"") </f>
        <v/>
      </c>
      <c r="M1538" s="59">
        <f>IFERROR(IF(OR(J1538=0,K1538=""),"",IF(E1538="Positivo",MAX(K1538/J1538,0),MAX(J1538/K1538,0))),"") </f>
        <v/>
      </c>
      <c r="N1538" t="inlineStr">
        <is>
          <t>ENT</t>
        </is>
      </c>
      <c r="O1538" t="inlineStr">
        <is>
          <t>ENT</t>
        </is>
      </c>
      <c r="P1538" t="n">
        <v>0</v>
      </c>
      <c r="Q1538" t="n">
        <v>0</v>
      </c>
      <c r="R1538" t="inlineStr">
        <is>
          <t>476-2025-06-30</t>
        </is>
      </c>
    </row>
    <row r="1539">
      <c r="A1539" t="n">
        <v>476</v>
      </c>
      <c r="B1539" t="inlineStr">
        <is>
          <t>Programas con resultados de aprendizaje definidos</t>
        </is>
      </c>
      <c r="C1539" t="inlineStr">
        <is>
          <t>Gestión, Evaluación e Innovación Curricular</t>
        </is>
      </c>
      <c r="D1539" t="inlineStr">
        <is>
          <t>Trimestral</t>
        </is>
      </c>
      <c r="E1539" t="inlineStr">
        <is>
          <t>Positivo</t>
        </is>
      </c>
      <c r="F1539" s="148" t="n">
        <v>46022</v>
      </c>
      <c r="G1539" t="n">
        <v>2025</v>
      </c>
      <c r="H1539" t="inlineStr">
        <is>
          <t>Diciembre</t>
        </is>
      </c>
      <c r="I1539" t="inlineStr">
        <is>
          <t>2025-2</t>
        </is>
      </c>
      <c r="J1539" t="n">
        <v>100</v>
      </c>
      <c r="K1539" t="n">
        <v>100</v>
      </c>
      <c r="L1539" s="59">
        <f>IFERROR(IF(OR(J1539=0,K1539=""),"",IF(E1539="Positivo",MIN(MAX(K1539/J1539,0),1.3),MIN(MAX(J1539/K1539,0),1.3))),"") </f>
        <v/>
      </c>
      <c r="M1539" s="59">
        <f>IFERROR(IF(OR(J1539=0,K1539=""),"",IF(E1539="Positivo",MAX(K1539/J1539,0),MAX(J1539/K1539,0))),"") </f>
        <v/>
      </c>
      <c r="N1539" t="inlineStr">
        <is>
          <t>ENT</t>
        </is>
      </c>
      <c r="O1539" t="inlineStr">
        <is>
          <t>ENT</t>
        </is>
      </c>
      <c r="P1539" t="n">
        <v>0</v>
      </c>
      <c r="Q1539" t="n">
        <v>0</v>
      </c>
      <c r="R1539" t="inlineStr">
        <is>
          <t>476-2025-12-31</t>
        </is>
      </c>
    </row>
    <row r="1540">
      <c r="A1540" t="n">
        <v>477</v>
      </c>
      <c r="B1540" t="inlineStr">
        <is>
          <t>Programas con planes de estudios definidos por escuela (Programas Renovación, modificación y acreditación)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48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K1540" t="n">
        <v>100</v>
      </c>
      <c r="L1540" s="59">
        <f>IFERROR(IF(OR(J1540=0,K1540=""),"",IF(E1540="Positivo",MIN(MAX(K1540/J1540,0),1.3),MIN(MAX(J1540/K1540,0),1.3))),"") </f>
        <v/>
      </c>
      <c r="M1540" s="59">
        <f>IFERROR(IF(OR(J1540=0,K1540=""),"",IF(E1540="Positivo",MAX(K1540/J1540,0),MAX(J1540/K1540,0))),"") </f>
        <v/>
      </c>
      <c r="P1540" t="n">
        <v>0</v>
      </c>
      <c r="Q1540" t="n">
        <v>0</v>
      </c>
      <c r="R1540" t="inlineStr">
        <is>
          <t>477-2024-06-30</t>
        </is>
      </c>
    </row>
    <row r="1541">
      <c r="A1541" t="n">
        <v>477</v>
      </c>
      <c r="B1541" t="inlineStr">
        <is>
          <t>Programas con planes de estudios definidos por escuela (Programas Renovación, modificación y acreditación)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48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59">
        <f>IFERROR(IF(OR(J1541=0,K1541=""),"",IF(E1541="Positivo",MIN(MAX(K1541/J1541,0),1.3),MIN(MAX(J1541/K1541,0),1.3))),"") </f>
        <v/>
      </c>
      <c r="M1541" s="59">
        <f>IFERROR(IF(OR(J1541=0,K1541=""),"",IF(E1541="Positivo",MAX(K1541/J1541,0),MAX(J1541/K1541,0))),"") </f>
        <v/>
      </c>
      <c r="P1541" t="n">
        <v>0</v>
      </c>
      <c r="Q1541" t="n">
        <v>0</v>
      </c>
      <c r="R1541" t="inlineStr">
        <is>
          <t>477-2024-12-31</t>
        </is>
      </c>
    </row>
    <row r="1542">
      <c r="A1542" t="n">
        <v>478</v>
      </c>
      <c r="B1542" t="inlineStr">
        <is>
          <t>Programas con planes de estudios definidos por escuela (Mantenimiento de programas)</t>
        </is>
      </c>
      <c r="C1542" t="inlineStr">
        <is>
          <t>Gestión de Unidades Académicas</t>
        </is>
      </c>
      <c r="D1542" t="inlineStr">
        <is>
          <t>Semestral</t>
        </is>
      </c>
      <c r="E1542" t="inlineStr">
        <is>
          <t>Positivo</t>
        </is>
      </c>
      <c r="F1542" s="148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L1542" s="59" t="n"/>
      <c r="M1542" s="59" t="n"/>
      <c r="N1542" t="inlineStr">
        <is>
          <t>ENT</t>
        </is>
      </c>
      <c r="O1542" t="inlineStr">
        <is>
          <t>N/A</t>
        </is>
      </c>
      <c r="P1542" t="n">
        <v>0</v>
      </c>
      <c r="Q1542" t="n">
        <v>0</v>
      </c>
      <c r="R1542" t="inlineStr">
        <is>
          <t>478-2024-06-30</t>
        </is>
      </c>
    </row>
    <row r="1543">
      <c r="A1543" t="n">
        <v>478</v>
      </c>
      <c r="B1543" t="inlineStr">
        <is>
          <t>Programas con planes de estudios definidos por escuela (Mantenimiento de programas)</t>
        </is>
      </c>
      <c r="C1543" t="inlineStr">
        <is>
          <t>Gestión de Unidades Académicas</t>
        </is>
      </c>
      <c r="D1543" t="inlineStr">
        <is>
          <t>Semestral</t>
        </is>
      </c>
      <c r="E1543" t="inlineStr">
        <is>
          <t>Positivo</t>
        </is>
      </c>
      <c r="F1543" s="148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100</v>
      </c>
      <c r="L1543" s="59">
        <f>IFERROR(IF(OR(J1543=0,K1543=""),"",IF(E1543="Positivo",MIN(MAX(K1543/J1543,0),1.3),MIN(MAX(J1543/K1543,0),1.3))),"") </f>
        <v/>
      </c>
      <c r="M1543" s="59">
        <f>IFERROR(IF(OR(J1543=0,K1543=""),"",IF(E1543="Positivo",MAX(K1543/J1543,0),MAX(J1543/K1543,0))),"") </f>
        <v/>
      </c>
      <c r="P1543" t="n">
        <v>0</v>
      </c>
      <c r="Q1543" t="n">
        <v>0</v>
      </c>
      <c r="R1543" t="inlineStr">
        <is>
          <t>478-2024-12-31</t>
        </is>
      </c>
    </row>
    <row r="1544">
      <c r="A1544" t="n">
        <v>478</v>
      </c>
      <c r="B1544" t="inlineStr">
        <is>
          <t>Programas con planes de estudios definidos por escuela (Mantenimiento de programas)</t>
        </is>
      </c>
      <c r="C1544" t="inlineStr">
        <is>
          <t>Gestión de Unidades Académicas</t>
        </is>
      </c>
      <c r="D1544" t="inlineStr">
        <is>
          <t>Trimestral</t>
        </is>
      </c>
      <c r="E1544" t="inlineStr">
        <is>
          <t>Positivo</t>
        </is>
      </c>
      <c r="F1544" s="148" t="n">
        <v>45838</v>
      </c>
      <c r="G1544" t="n">
        <v>2025</v>
      </c>
      <c r="H1544" t="inlineStr">
        <is>
          <t>Junio</t>
        </is>
      </c>
      <c r="I1544" t="inlineStr">
        <is>
          <t>2025-1</t>
        </is>
      </c>
      <c r="K1544" t="n">
        <v>0</v>
      </c>
      <c r="L1544" s="59" t="n"/>
      <c r="M1544" s="59" t="n"/>
      <c r="N1544" t="inlineStr">
        <is>
          <t>ENT</t>
        </is>
      </c>
      <c r="O1544" t="inlineStr">
        <is>
          <t>ENT</t>
        </is>
      </c>
      <c r="P1544" t="n">
        <v>0</v>
      </c>
      <c r="Q1544" t="n">
        <v>0</v>
      </c>
      <c r="R1544" t="inlineStr">
        <is>
          <t>478-2025-06-30</t>
        </is>
      </c>
    </row>
    <row r="1545">
      <c r="A1545" t="n">
        <v>479</v>
      </c>
      <c r="B1545" t="inlineStr">
        <is>
          <t>Programas con resultados de aprendizaje definidos por escuela (Nuevos Programas)</t>
        </is>
      </c>
      <c r="C1545" t="inlineStr">
        <is>
          <t>Gestión de Unidades Académicas</t>
        </is>
      </c>
      <c r="D1545" t="inlineStr">
        <is>
          <t>Semestral</t>
        </is>
      </c>
      <c r="E1545" t="inlineStr">
        <is>
          <t>Positivo</t>
        </is>
      </c>
      <c r="F1545" s="148" t="n">
        <v>45473</v>
      </c>
      <c r="G1545" t="n">
        <v>2024</v>
      </c>
      <c r="H1545" t="inlineStr">
        <is>
          <t>Junio</t>
        </is>
      </c>
      <c r="I1545" t="inlineStr">
        <is>
          <t>2024-1</t>
        </is>
      </c>
      <c r="J1545" t="n">
        <v>100</v>
      </c>
      <c r="K1545" t="n">
        <v>100</v>
      </c>
      <c r="L1545" s="59">
        <f>IFERROR(IF(OR(J1545=0,K1545=""),"",IF(E1545="Positivo",MIN(MAX(K1545/J1545,0),1.3),MIN(MAX(J1545/K1545,0),1.3))),"") </f>
        <v/>
      </c>
      <c r="M1545" s="59">
        <f>IFERROR(IF(OR(J1545=0,K1545=""),"",IF(E1545="Positivo",MAX(K1545/J1545,0),MAX(J1545/K1545,0))),"") </f>
        <v/>
      </c>
      <c r="P1545" t="n">
        <v>0</v>
      </c>
      <c r="Q1545" t="n">
        <v>0</v>
      </c>
      <c r="R1545" t="inlineStr">
        <is>
          <t>479-2024-06-30</t>
        </is>
      </c>
    </row>
    <row r="1546">
      <c r="A1546" t="n">
        <v>479</v>
      </c>
      <c r="B1546" t="inlineStr">
        <is>
          <t>Programas con resultados de aprendizaje definidos por escuela (Nuevos Programas)</t>
        </is>
      </c>
      <c r="C1546" t="inlineStr">
        <is>
          <t>Gestión de Unidades Académicas</t>
        </is>
      </c>
      <c r="D1546" t="inlineStr">
        <is>
          <t>Semestral</t>
        </is>
      </c>
      <c r="E1546" t="inlineStr">
        <is>
          <t>Positivo</t>
        </is>
      </c>
      <c r="F1546" s="148" t="n">
        <v>45657</v>
      </c>
      <c r="G1546" t="n">
        <v>2024</v>
      </c>
      <c r="H1546" t="inlineStr">
        <is>
          <t>Diciembre</t>
        </is>
      </c>
      <c r="I1546" t="inlineStr">
        <is>
          <t>2024-2</t>
        </is>
      </c>
      <c r="J1546" t="n">
        <v>100</v>
      </c>
      <c r="K1546" t="n">
        <v>100</v>
      </c>
      <c r="L1546" s="59">
        <f>IFERROR(IF(OR(J1546=0,K1546=""),"",IF(E1546="Positivo",MIN(MAX(K1546/J1546,0),1.3),MIN(MAX(J1546/K1546,0),1.3))),"") </f>
        <v/>
      </c>
      <c r="M1546" s="59">
        <f>IFERROR(IF(OR(J1546=0,K1546=""),"",IF(E1546="Positivo",MAX(K1546/J1546,0),MAX(J1546/K1546,0))),"") </f>
        <v/>
      </c>
      <c r="P1546" t="n">
        <v>0</v>
      </c>
      <c r="Q1546" t="n">
        <v>0</v>
      </c>
      <c r="R1546" t="inlineStr">
        <is>
          <t>479-2024-12-31</t>
        </is>
      </c>
    </row>
    <row r="1547">
      <c r="A1547" t="n">
        <v>480</v>
      </c>
      <c r="B1547" t="inlineStr">
        <is>
          <t>Programas con resultados de aprendizaje definidos por escuela (Programas Renovación, modificación y acreditación)</t>
        </is>
      </c>
      <c r="C1547" t="inlineStr">
        <is>
          <t>Gestión de Unidades Académicas</t>
        </is>
      </c>
      <c r="D1547" t="inlineStr">
        <is>
          <t>Semestral</t>
        </is>
      </c>
      <c r="E1547" t="inlineStr">
        <is>
          <t>Positivo</t>
        </is>
      </c>
      <c r="F1547" s="148" t="n">
        <v>45473</v>
      </c>
      <c r="G1547" t="n">
        <v>2024</v>
      </c>
      <c r="H1547" t="inlineStr">
        <is>
          <t>Junio</t>
        </is>
      </c>
      <c r="I1547" t="inlineStr">
        <is>
          <t>2024-1</t>
        </is>
      </c>
      <c r="J1547" t="n">
        <v>100</v>
      </c>
      <c r="K1547" t="n">
        <v>100</v>
      </c>
      <c r="L1547" s="59">
        <f>IFERROR(IF(OR(J1547=0,K1547=""),"",IF(E1547="Positivo",MIN(MAX(K1547/J1547,0),1.3),MIN(MAX(J1547/K1547,0),1.3))),"") </f>
        <v/>
      </c>
      <c r="M1547" s="59">
        <f>IFERROR(IF(OR(J1547=0,K1547=""),"",IF(E1547="Positivo",MAX(K1547/J1547,0),MAX(J1547/K1547,0))),"") </f>
        <v/>
      </c>
      <c r="P1547" t="n">
        <v>0</v>
      </c>
      <c r="Q1547" t="n">
        <v>0</v>
      </c>
      <c r="R1547" t="inlineStr">
        <is>
          <t>480-2024-06-30</t>
        </is>
      </c>
    </row>
    <row r="1548">
      <c r="A1548" t="n">
        <v>480</v>
      </c>
      <c r="B1548" t="inlineStr">
        <is>
          <t>Programas con resultados de aprendizaje definidos por escuela (Programas Renovación, modificación y acreditación)</t>
        </is>
      </c>
      <c r="C1548" t="inlineStr">
        <is>
          <t>Gestión de Unidades Académicas</t>
        </is>
      </c>
      <c r="D1548" t="inlineStr">
        <is>
          <t>Semestral</t>
        </is>
      </c>
      <c r="E1548" t="inlineStr">
        <is>
          <t>Positivo</t>
        </is>
      </c>
      <c r="F1548" s="148" t="n">
        <v>45657</v>
      </c>
      <c r="G1548" t="n">
        <v>2024</v>
      </c>
      <c r="H1548" t="inlineStr">
        <is>
          <t>Diciembre</t>
        </is>
      </c>
      <c r="I1548" t="inlineStr">
        <is>
          <t>2024-2</t>
        </is>
      </c>
      <c r="J1548" t="n">
        <v>100</v>
      </c>
      <c r="K1548" t="n">
        <v>100</v>
      </c>
      <c r="L1548" s="59">
        <f>IFERROR(IF(OR(J1548=0,K1548=""),"",IF(E1548="Positivo",MIN(MAX(K1548/J1548,0),1.3),MIN(MAX(J1548/K1548,0),1.3))),"") </f>
        <v/>
      </c>
      <c r="M1548" s="59">
        <f>IFERROR(IF(OR(J1548=0,K1548=""),"",IF(E1548="Positivo",MAX(K1548/J1548,0),MAX(J1548/K1548,0))),"") </f>
        <v/>
      </c>
      <c r="P1548" t="n">
        <v>0</v>
      </c>
      <c r="Q1548" t="n">
        <v>0</v>
      </c>
      <c r="R1548" t="inlineStr">
        <is>
          <t>480-2024-12-31</t>
        </is>
      </c>
    </row>
    <row r="1549">
      <c r="A1549" t="n">
        <v>481</v>
      </c>
      <c r="B1549" t="inlineStr">
        <is>
          <t>Solicitudes de documentación completadas</t>
        </is>
      </c>
      <c r="C1549" t="inlineStr">
        <is>
          <t>Gestión, Evaluación e Innovación Curricular</t>
        </is>
      </c>
      <c r="D1549" t="inlineStr">
        <is>
          <t>Semestral</t>
        </is>
      </c>
      <c r="E1549" t="inlineStr">
        <is>
          <t>Positivo</t>
        </is>
      </c>
      <c r="F1549" s="148" t="n">
        <v>45473</v>
      </c>
      <c r="G1549" t="n">
        <v>2024</v>
      </c>
      <c r="H1549" t="inlineStr">
        <is>
          <t>Junio</t>
        </is>
      </c>
      <c r="I1549" t="inlineStr">
        <is>
          <t>2024-1</t>
        </is>
      </c>
      <c r="J1549" t="n">
        <v>100</v>
      </c>
      <c r="K1549" t="n">
        <v>100</v>
      </c>
      <c r="L1549" s="59">
        <f>IFERROR(IF(OR(J1549=0,K1549=""),"",IF(E1549="Positivo",MIN(MAX(K1549/J1549,0),1.3),MIN(MAX(J1549/K1549,0),1.3))),"") </f>
        <v/>
      </c>
      <c r="M1549" s="59">
        <f>IFERROR(IF(OR(J1549=0,K1549=""),"",IF(E1549="Positivo",MAX(K1549/J1549,0),MAX(J1549/K1549,0))),"") </f>
        <v/>
      </c>
      <c r="P1549" t="n">
        <v>0</v>
      </c>
      <c r="Q1549" t="n">
        <v>0</v>
      </c>
      <c r="R1549" t="inlineStr">
        <is>
          <t>481-2024-06-30</t>
        </is>
      </c>
    </row>
    <row r="1550">
      <c r="A1550" t="n">
        <v>481</v>
      </c>
      <c r="B1550" t="inlineStr">
        <is>
          <t>Solicitudes de documentación completadas</t>
        </is>
      </c>
      <c r="C1550" t="inlineStr">
        <is>
          <t>Gestión, Evaluación e Innovación Curricular</t>
        </is>
      </c>
      <c r="D1550" t="inlineStr">
        <is>
          <t>Semestral</t>
        </is>
      </c>
      <c r="E1550" t="inlineStr">
        <is>
          <t>Positivo</t>
        </is>
      </c>
      <c r="F1550" s="148" t="n">
        <v>45657</v>
      </c>
      <c r="G1550" t="n">
        <v>2024</v>
      </c>
      <c r="H1550" t="inlineStr">
        <is>
          <t>Diciembre</t>
        </is>
      </c>
      <c r="I1550" t="inlineStr">
        <is>
          <t>2024-2</t>
        </is>
      </c>
      <c r="J1550" t="n">
        <v>100</v>
      </c>
      <c r="L1550" s="59" t="n"/>
      <c r="M1550" s="59" t="n"/>
      <c r="N1550" t="inlineStr">
        <is>
          <t>ENT</t>
        </is>
      </c>
      <c r="O1550" t="inlineStr">
        <is>
          <t>N/A</t>
        </is>
      </c>
      <c r="P1550" t="n">
        <v>0</v>
      </c>
      <c r="Q1550" t="n">
        <v>0</v>
      </c>
      <c r="R1550" t="inlineStr">
        <is>
          <t>481-2024-12-31</t>
        </is>
      </c>
    </row>
    <row r="1551">
      <c r="A1551" t="n">
        <v>481</v>
      </c>
      <c r="B1551" t="inlineStr">
        <is>
          <t>Solicitudes de documentación completadas</t>
        </is>
      </c>
      <c r="C1551" t="inlineStr">
        <is>
          <t>Gestión, Evaluación e Innovación Curricular</t>
        </is>
      </c>
      <c r="D1551" t="inlineStr">
        <is>
          <t>Trimestral</t>
        </is>
      </c>
      <c r="E1551" t="inlineStr">
        <is>
          <t>Positivo</t>
        </is>
      </c>
      <c r="F1551" s="148" t="n">
        <v>45838</v>
      </c>
      <c r="G1551" t="n">
        <v>2025</v>
      </c>
      <c r="H1551" t="inlineStr">
        <is>
          <t>Junio</t>
        </is>
      </c>
      <c r="I1551" t="inlineStr">
        <is>
          <t>2025-1</t>
        </is>
      </c>
      <c r="J1551" t="n">
        <v>100</v>
      </c>
      <c r="K1551" t="n">
        <v>100</v>
      </c>
      <c r="L1551" s="59">
        <f>IFERROR(IF(OR(J1551=0,K1551=""),"",IF(E1551="Positivo",MIN(MAX(K1551/J1551,0),1.3),MIN(MAX(J1551/K1551,0),1.3))),"") </f>
        <v/>
      </c>
      <c r="M1551" s="59">
        <f>IFERROR(IF(OR(J1551=0,K1551=""),"",IF(E1551="Positivo",MAX(K1551/J1551,0),MAX(J1551/K1551,0))),"") </f>
        <v/>
      </c>
      <c r="N1551" t="inlineStr">
        <is>
          <t>%</t>
        </is>
      </c>
      <c r="O1551" t="inlineStr">
        <is>
          <t>%</t>
        </is>
      </c>
      <c r="P1551" t="n">
        <v>0</v>
      </c>
      <c r="Q1551" t="n">
        <v>0</v>
      </c>
      <c r="R1551" t="inlineStr">
        <is>
          <t>481-2025-06-30</t>
        </is>
      </c>
    </row>
    <row r="1552">
      <c r="A1552" t="n">
        <v>483</v>
      </c>
      <c r="B1552" t="inlineStr">
        <is>
          <t>Tasa de incremento en la resolución de solicitudes de la vicerrectoría de crecimiento</t>
        </is>
      </c>
      <c r="C1552" t="inlineStr">
        <is>
          <t>Gestión de campañas integradas de marketing</t>
        </is>
      </c>
      <c r="D1552" t="inlineStr">
        <is>
          <t>Anual</t>
        </is>
      </c>
      <c r="E1552" t="inlineStr">
        <is>
          <t>Positivo</t>
        </is>
      </c>
      <c r="F1552" s="148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</v>
      </c>
      <c r="K1552" t="n">
        <v>91.65000000000001</v>
      </c>
      <c r="L1552" s="59">
        <f>IFERROR(IF(OR(J1552=0,K1552=""),"",IF(E1552="Positivo",MIN(MAX(K1552/J1552,0),1.3),MIN(MAX(J1552/K1552,0),1.3))),"") </f>
        <v/>
      </c>
      <c r="M1552" s="59">
        <f>IFERROR(IF(OR(J1552=0,K1552=""),"",IF(E1552="Positivo",MAX(K1552/J1552,0),MAX(J1552/K1552,0))),"") </f>
        <v/>
      </c>
      <c r="P1552" t="n">
        <v>0</v>
      </c>
      <c r="Q1552" t="n">
        <v>0</v>
      </c>
      <c r="R1552" t="inlineStr">
        <is>
          <t>483-2024-12-31</t>
        </is>
      </c>
    </row>
    <row r="1553">
      <c r="A1553" t="n">
        <v>484</v>
      </c>
      <c r="B1553" t="inlineStr">
        <is>
          <t>Cumplimiento del Programa de la Cultura del Autocuidado</t>
        </is>
      </c>
      <c r="C1553" t="inlineStr">
        <is>
          <t>GESTIÓN DE SEGURIDAD Y SALUD EN EL TRABAJO</t>
        </is>
      </c>
      <c r="D1553" t="inlineStr">
        <is>
          <t>Trimestral</t>
        </is>
      </c>
      <c r="E1553" t="inlineStr">
        <is>
          <t>Positivo</t>
        </is>
      </c>
      <c r="F1553" s="148" t="n">
        <v>45473</v>
      </c>
      <c r="G1553" t="n">
        <v>2024</v>
      </c>
      <c r="H1553" t="inlineStr">
        <is>
          <t>Junio</t>
        </is>
      </c>
      <c r="I1553" t="inlineStr">
        <is>
          <t>2024-1</t>
        </is>
      </c>
      <c r="J1553" t="n">
        <v>90</v>
      </c>
      <c r="K1553" t="n">
        <v>100</v>
      </c>
      <c r="L1553" s="59">
        <f>IFERROR(IF(OR(J1553=0,K1553=""),"",IF(E1553="Positivo",MIN(MAX(K1553/J1553,0),1.3),MIN(MAX(J1553/K1553,0),1.3))),"") </f>
        <v/>
      </c>
      <c r="M1553" s="59">
        <f>IFERROR(IF(OR(J1553=0,K1553=""),"",IF(E1553="Positivo",MAX(K1553/J1553,0),MAX(J1553/K1553,0))),"") </f>
        <v/>
      </c>
      <c r="P1553" t="n">
        <v>0</v>
      </c>
      <c r="Q1553" t="n">
        <v>0</v>
      </c>
      <c r="R1553" t="inlineStr">
        <is>
          <t>484-2024-06-30</t>
        </is>
      </c>
    </row>
    <row r="1554">
      <c r="A1554" t="n">
        <v>484</v>
      </c>
      <c r="B1554" t="inlineStr">
        <is>
          <t>Cumplimiento del Programa de la Cultura del Autocuidado</t>
        </is>
      </c>
      <c r="C1554" t="inlineStr">
        <is>
          <t>GESTIÓN DE SEGURIDAD Y SALUD EN EL TRABAJO</t>
        </is>
      </c>
      <c r="D1554" t="inlineStr">
        <is>
          <t>Trimestral</t>
        </is>
      </c>
      <c r="E1554" t="inlineStr">
        <is>
          <t>Positivo</t>
        </is>
      </c>
      <c r="F1554" s="148" t="n">
        <v>45657</v>
      </c>
      <c r="G1554" t="n">
        <v>2024</v>
      </c>
      <c r="H1554" t="inlineStr">
        <is>
          <t>Diciembre</t>
        </is>
      </c>
      <c r="I1554" t="inlineStr">
        <is>
          <t>2024-2</t>
        </is>
      </c>
      <c r="J1554" t="n">
        <v>90</v>
      </c>
      <c r="K1554" t="n">
        <v>100</v>
      </c>
      <c r="L1554" s="59">
        <f>IFERROR(IF(OR(J1554=0,K1554=""),"",IF(E1554="Positivo",MIN(MAX(K1554/J1554,0),1.3),MIN(MAX(J1554/K1554,0),1.3))),"") </f>
        <v/>
      </c>
      <c r="M1554" s="59">
        <f>IFERROR(IF(OR(J1554=0,K1554=""),"",IF(E1554="Positivo",MAX(K1554/J1554,0),MAX(J1554/K1554,0))),"") </f>
        <v/>
      </c>
      <c r="P1554" t="n">
        <v>0</v>
      </c>
      <c r="Q1554" t="n">
        <v>0</v>
      </c>
      <c r="R1554" t="inlineStr">
        <is>
          <t>484-2024-12-31</t>
        </is>
      </c>
    </row>
    <row r="1555">
      <c r="A1555" t="n">
        <v>484</v>
      </c>
      <c r="B1555" t="inlineStr">
        <is>
          <t>Cumplimiento del Programa de la Cultura del Autocuidado</t>
        </is>
      </c>
      <c r="C1555" t="inlineStr">
        <is>
          <t>GESTIÓN DE SEGURIDAD Y SALUD EN EL TRABAJO</t>
        </is>
      </c>
      <c r="D1555" t="inlineStr">
        <is>
          <t>Trimestral</t>
        </is>
      </c>
      <c r="E1555" t="inlineStr">
        <is>
          <t>Positivo</t>
        </is>
      </c>
      <c r="F1555" s="148" t="n">
        <v>45838</v>
      </c>
      <c r="G1555" t="n">
        <v>2025</v>
      </c>
      <c r="H1555" t="inlineStr">
        <is>
          <t>Junio</t>
        </is>
      </c>
      <c r="I1555" t="inlineStr">
        <is>
          <t>2025-1</t>
        </is>
      </c>
      <c r="J1555" t="n">
        <v>90</v>
      </c>
      <c r="K1555" t="n">
        <v>100</v>
      </c>
      <c r="L1555" s="59">
        <f>IFERROR(IF(OR(J1555=0,K1555=""),"",IF(E1555="Positivo",MIN(MAX(K1555/J1555,0),1.3),MIN(MAX(J1555/K1555,0),1.3))),"") </f>
        <v/>
      </c>
      <c r="M1555" s="59">
        <f>IFERROR(IF(OR(J1555=0,K1555=""),"",IF(E1555="Positivo",MAX(K1555/J1555,0),MAX(J1555/K1555,0))),"") </f>
        <v/>
      </c>
      <c r="N1555" t="inlineStr">
        <is>
          <t>%</t>
        </is>
      </c>
      <c r="O1555" t="inlineStr">
        <is>
          <t>%</t>
        </is>
      </c>
      <c r="P1555" t="n">
        <v>0</v>
      </c>
      <c r="Q1555" t="n">
        <v>0</v>
      </c>
      <c r="R1555" t="inlineStr">
        <is>
          <t>484-2025-06-30</t>
        </is>
      </c>
    </row>
    <row r="1556">
      <c r="A1556" t="n">
        <v>484</v>
      </c>
      <c r="B1556" t="inlineStr">
        <is>
          <t>Cumplimiento del Programa de la Cultura del Autocuidado</t>
        </is>
      </c>
      <c r="C1556" t="inlineStr">
        <is>
          <t>GESTIÓN DE SEGURIDAD Y SALUD EN EL TRABAJO</t>
        </is>
      </c>
      <c r="D1556" t="inlineStr">
        <is>
          <t>Semestral</t>
        </is>
      </c>
      <c r="E1556" t="inlineStr">
        <is>
          <t>Positivo</t>
        </is>
      </c>
      <c r="F1556" s="148" t="n">
        <v>46022</v>
      </c>
      <c r="G1556" t="n">
        <v>2025</v>
      </c>
      <c r="H1556" t="inlineStr">
        <is>
          <t>Diciembre</t>
        </is>
      </c>
      <c r="I1556" t="inlineStr">
        <is>
          <t>2025-2</t>
        </is>
      </c>
      <c r="J1556" t="n">
        <v>90</v>
      </c>
      <c r="K1556" t="n">
        <v>100</v>
      </c>
      <c r="L1556" s="59">
        <f>IFERROR(IF(OR(J1556=0,K1556=""),"",IF(E1556="Positivo",MIN(MAX(K1556/J1556,0),1.3),MIN(MAX(J1556/K1556,0),1.3))),"") </f>
        <v/>
      </c>
      <c r="M1556" s="59">
        <f>IFERROR(IF(OR(J1556=0,K1556=""),"",IF(E1556="Positivo",MAX(K1556/J1556,0),MAX(J1556/K1556,0))),"") </f>
        <v/>
      </c>
      <c r="N1556" t="inlineStr">
        <is>
          <t>%</t>
        </is>
      </c>
      <c r="O1556" t="inlineStr">
        <is>
          <t>%</t>
        </is>
      </c>
      <c r="P1556" t="n">
        <v>0</v>
      </c>
      <c r="Q1556" t="n">
        <v>0</v>
      </c>
      <c r="R1556" t="inlineStr">
        <is>
          <t>484-2025-12-31</t>
        </is>
      </c>
    </row>
    <row r="1557">
      <c r="A1557" t="n">
        <v>485</v>
      </c>
      <c r="B1557" t="inlineStr">
        <is>
          <t>Oportunidad en el cierre de acciones</t>
        </is>
      </c>
      <c r="C1557" t="inlineStr">
        <is>
          <t>Gestión de calidad</t>
        </is>
      </c>
      <c r="D1557" t="inlineStr">
        <is>
          <t>Mensual</t>
        </is>
      </c>
      <c r="E1557" t="inlineStr">
        <is>
          <t>Positivo</t>
        </is>
      </c>
      <c r="F1557" s="148" t="n">
        <v>45473</v>
      </c>
      <c r="G1557" t="n">
        <v>2024</v>
      </c>
      <c r="H1557" t="inlineStr">
        <is>
          <t>Junio</t>
        </is>
      </c>
      <c r="I1557" t="inlineStr">
        <is>
          <t>2024-1</t>
        </is>
      </c>
      <c r="L1557" s="59" t="n"/>
      <c r="M1557" s="59" t="n"/>
      <c r="P1557" t="n">
        <v>0</v>
      </c>
      <c r="Q1557" t="n">
        <v>0</v>
      </c>
      <c r="R1557" t="inlineStr">
        <is>
          <t>485-2024-06-30</t>
        </is>
      </c>
    </row>
    <row r="1558">
      <c r="A1558" t="n">
        <v>485</v>
      </c>
      <c r="B1558" t="inlineStr">
        <is>
          <t>Oportunidad en el cierre de acciones</t>
        </is>
      </c>
      <c r="C1558" t="inlineStr">
        <is>
          <t>Gestión de calidad</t>
        </is>
      </c>
      <c r="D1558" t="inlineStr">
        <is>
          <t>Mensual</t>
        </is>
      </c>
      <c r="E1558" t="inlineStr">
        <is>
          <t>Positivo</t>
        </is>
      </c>
      <c r="F1558" s="148" t="n">
        <v>45657</v>
      </c>
      <c r="G1558" t="n">
        <v>2024</v>
      </c>
      <c r="H1558" t="inlineStr">
        <is>
          <t>Diciembre</t>
        </is>
      </c>
      <c r="I1558" t="inlineStr">
        <is>
          <t>2024-2</t>
        </is>
      </c>
      <c r="J1558" t="n">
        <v>80</v>
      </c>
      <c r="K1558" t="n">
        <v>91.66666666666666</v>
      </c>
      <c r="L1558" s="59">
        <f>IFERROR(IF(OR(J1558=0,K1558=""),"",IF(E1558="Positivo",MIN(MAX(K1558/J1558,0),1.3),MIN(MAX(J1558/K1558,0),1.3))),"") </f>
        <v/>
      </c>
      <c r="M1558" s="59">
        <f>IFERROR(IF(OR(J1558=0,K1558=""),"",IF(E1558="Positivo",MAX(K1558/J1558,0),MAX(J1558/K1558,0))),"") </f>
        <v/>
      </c>
      <c r="P1558" t="n">
        <v>0</v>
      </c>
      <c r="Q1558" t="n">
        <v>0</v>
      </c>
      <c r="R1558" t="inlineStr">
        <is>
          <t>485-2024-12-31</t>
        </is>
      </c>
    </row>
    <row r="1559">
      <c r="A1559" t="n">
        <v>485</v>
      </c>
      <c r="B1559" t="inlineStr">
        <is>
          <t>Oportunidad en el cierre de acciones</t>
        </is>
      </c>
      <c r="C1559" t="inlineStr">
        <is>
          <t>Gestión de calidad</t>
        </is>
      </c>
      <c r="D1559" t="inlineStr">
        <is>
          <t>Mensual</t>
        </is>
      </c>
      <c r="E1559" t="inlineStr">
        <is>
          <t>Positivo</t>
        </is>
      </c>
      <c r="F1559" s="148" t="n">
        <v>45838</v>
      </c>
      <c r="G1559" t="n">
        <v>2025</v>
      </c>
      <c r="H1559" t="inlineStr">
        <is>
          <t>Junio</t>
        </is>
      </c>
      <c r="I1559" t="inlineStr">
        <is>
          <t>2025-1</t>
        </is>
      </c>
      <c r="J1559" t="n">
        <v>80</v>
      </c>
      <c r="K1559" t="n">
        <v>86.11166666666666</v>
      </c>
      <c r="L1559" s="59">
        <f>IFERROR(IF(OR(J1559=0,K1559=""),"",IF(E1559="Positivo",MIN(MAX(K1559/J1559,0),1.3),MIN(MAX(J1559/K1559,0),1.3))),"") </f>
        <v/>
      </c>
      <c r="M1559" s="59">
        <f>IFERROR(IF(OR(J1559=0,K1559=""),"",IF(E1559="Positivo",MAX(K1559/J1559,0),MAX(J1559/K1559,0))),"") </f>
        <v/>
      </c>
      <c r="N1559" t="inlineStr">
        <is>
          <t>%</t>
        </is>
      </c>
      <c r="O1559" t="inlineStr">
        <is>
          <t>%</t>
        </is>
      </c>
      <c r="P1559" t="n">
        <v>0</v>
      </c>
      <c r="Q1559" t="n">
        <v>0</v>
      </c>
      <c r="R1559" t="inlineStr">
        <is>
          <t>485-2025-06-30</t>
        </is>
      </c>
    </row>
    <row r="1560">
      <c r="A1560" t="n">
        <v>485</v>
      </c>
      <c r="B1560" t="inlineStr">
        <is>
          <t>Oportunidad en el cierre de acciones</t>
        </is>
      </c>
      <c r="C1560" t="inlineStr">
        <is>
          <t>Gestión de calidad</t>
        </is>
      </c>
      <c r="D1560" t="inlineStr">
        <is>
          <t>Mensual</t>
        </is>
      </c>
      <c r="E1560" t="inlineStr">
        <is>
          <t>Positivo</t>
        </is>
      </c>
      <c r="F1560" s="148" t="n">
        <v>46022</v>
      </c>
      <c r="G1560" t="n">
        <v>2025</v>
      </c>
      <c r="H1560" t="inlineStr">
        <is>
          <t>Diciembre</t>
        </is>
      </c>
      <c r="I1560" t="inlineStr">
        <is>
          <t>2025-2</t>
        </is>
      </c>
      <c r="J1560" t="n">
        <v>80</v>
      </c>
      <c r="K1560" t="n">
        <v>72.976</v>
      </c>
      <c r="L1560" s="59">
        <f>IFERROR(IF(OR(J1560=0,K1560=""),"",IF(E1560="Positivo",MIN(MAX(K1560/J1560,0),1.3),MIN(MAX(J1560/K1560,0),1.3))),"") </f>
        <v/>
      </c>
      <c r="M1560" s="59">
        <f>IFERROR(IF(OR(J1560=0,K1560=""),"",IF(E1560="Positivo",MAX(K1560/J1560,0),MAX(J1560/K1560,0))),"") </f>
        <v/>
      </c>
      <c r="N1560" t="inlineStr">
        <is>
          <t>%</t>
        </is>
      </c>
      <c r="O1560" t="inlineStr">
        <is>
          <t>%</t>
        </is>
      </c>
      <c r="P1560" t="n">
        <v>0</v>
      </c>
      <c r="Q1560" t="n">
        <v>0</v>
      </c>
      <c r="R1560" t="inlineStr">
        <is>
          <t>485-2025-12-31</t>
        </is>
      </c>
    </row>
    <row r="1561">
      <c r="A1561" t="n">
        <v>486</v>
      </c>
      <c r="B1561" t="inlineStr">
        <is>
          <t>Número de visitas a la página web</t>
        </is>
      </c>
      <c r="C1561" t="inlineStr">
        <is>
          <t>Comunicaciones Internas</t>
        </is>
      </c>
      <c r="D1561" t="inlineStr">
        <is>
          <t>Semestral</t>
        </is>
      </c>
      <c r="E1561" t="inlineStr">
        <is>
          <t>Positivo</t>
        </is>
      </c>
      <c r="F1561" s="148" t="n">
        <v>45473</v>
      </c>
      <c r="G1561" t="n">
        <v>2024</v>
      </c>
      <c r="H1561" t="inlineStr">
        <is>
          <t>Junio</t>
        </is>
      </c>
      <c r="I1561" t="inlineStr">
        <is>
          <t>2024-1</t>
        </is>
      </c>
      <c r="J1561" t="n">
        <v>0</v>
      </c>
      <c r="K1561" t="n">
        <v>4900000</v>
      </c>
      <c r="L1561" s="59">
        <f>IFERROR(IF(OR(J1561=0,K1561=""),"",IF(E1561="Positivo",MIN(MAX(K1561/J1561,0),1.3),MIN(MAX(J1561/K1561,0),1.3))),"") </f>
        <v/>
      </c>
      <c r="M1561" s="59">
        <f>IFERROR(IF(OR(J1561=0,K1561=""),"",IF(E1561="Positivo",MAX(K1561/J1561,0),MAX(J1561/K1561,0))),"") </f>
        <v/>
      </c>
      <c r="P1561" t="n">
        <v>0</v>
      </c>
      <c r="Q1561" t="n">
        <v>0</v>
      </c>
      <c r="R1561" t="inlineStr">
        <is>
          <t>486-2024-06-30</t>
        </is>
      </c>
    </row>
    <row r="1562">
      <c r="A1562" t="n">
        <v>486</v>
      </c>
      <c r="B1562" t="inlineStr">
        <is>
          <t>Número de visitas a la página web</t>
        </is>
      </c>
      <c r="C1562" t="inlineStr">
        <is>
          <t>Comunicaciones Internas</t>
        </is>
      </c>
      <c r="D1562" t="inlineStr">
        <is>
          <t>Semestral</t>
        </is>
      </c>
      <c r="E1562" t="inlineStr">
        <is>
          <t>Positivo</t>
        </is>
      </c>
      <c r="F1562" s="148" t="n">
        <v>45657</v>
      </c>
      <c r="G1562" t="n">
        <v>2024</v>
      </c>
      <c r="H1562" t="inlineStr">
        <is>
          <t>Diciembre</t>
        </is>
      </c>
      <c r="I1562" t="inlineStr">
        <is>
          <t>2024-2</t>
        </is>
      </c>
      <c r="J1562" t="n">
        <v>0</v>
      </c>
      <c r="K1562" t="n">
        <v>2700000</v>
      </c>
      <c r="L1562" s="59">
        <f>IFERROR(IF(OR(J1562=0,K1562=""),"",IF(E1562="Positivo",MIN(MAX(K1562/J1562,0),1.3),MIN(MAX(J1562/K1562,0),1.3))),"") </f>
        <v/>
      </c>
      <c r="M1562" s="59">
        <f>IFERROR(IF(OR(J1562=0,K1562=""),"",IF(E1562="Positivo",MAX(K1562/J1562,0),MAX(J1562/K1562,0))),"") </f>
        <v/>
      </c>
      <c r="P1562" t="n">
        <v>0</v>
      </c>
      <c r="Q1562" t="n">
        <v>0</v>
      </c>
      <c r="R1562" t="inlineStr">
        <is>
          <t>486-2024-12-31</t>
        </is>
      </c>
    </row>
    <row r="1563">
      <c r="A1563" t="n">
        <v>486</v>
      </c>
      <c r="B1563" t="inlineStr">
        <is>
          <t>Número de visitas a la página web</t>
        </is>
      </c>
      <c r="C1563" t="inlineStr">
        <is>
          <t>Comunicaciones Internas</t>
        </is>
      </c>
      <c r="D1563" t="inlineStr">
        <is>
          <t>Trimestral</t>
        </is>
      </c>
      <c r="E1563" t="inlineStr">
        <is>
          <t>Positivo</t>
        </is>
      </c>
      <c r="F1563" s="148" t="n">
        <v>45838</v>
      </c>
      <c r="G1563" t="n">
        <v>2025</v>
      </c>
      <c r="H1563" t="inlineStr">
        <is>
          <t>Junio</t>
        </is>
      </c>
      <c r="I1563" t="inlineStr">
        <is>
          <t>2025-1</t>
        </is>
      </c>
      <c r="K1563" t="n">
        <v>2890610</v>
      </c>
      <c r="L1563" s="59" t="n"/>
      <c r="M1563" s="59" t="n"/>
      <c r="N1563" t="inlineStr">
        <is>
          <t>%</t>
        </is>
      </c>
      <c r="O1563" t="inlineStr">
        <is>
          <t>%</t>
        </is>
      </c>
      <c r="P1563" t="n">
        <v>0</v>
      </c>
      <c r="Q1563" t="n">
        <v>0</v>
      </c>
      <c r="R1563" t="inlineStr">
        <is>
          <t>486-2025-06-30</t>
        </is>
      </c>
    </row>
    <row r="1564">
      <c r="A1564" t="n">
        <v>486</v>
      </c>
      <c r="B1564" t="inlineStr">
        <is>
          <t>Número de visitas a la página web</t>
        </is>
      </c>
      <c r="C1564" t="inlineStr">
        <is>
          <t>Comunicaciones Internas</t>
        </is>
      </c>
      <c r="D1564" t="inlineStr">
        <is>
          <t>Trimestral</t>
        </is>
      </c>
      <c r="E1564" t="inlineStr">
        <is>
          <t>Positivo</t>
        </is>
      </c>
      <c r="F1564" s="148" t="n">
        <v>46022</v>
      </c>
      <c r="G1564" t="n">
        <v>2025</v>
      </c>
      <c r="H1564" t="inlineStr">
        <is>
          <t>Diciembre</t>
        </is>
      </c>
      <c r="I1564" t="inlineStr">
        <is>
          <t>2025-2</t>
        </is>
      </c>
      <c r="K1564" t="n">
        <v>2703941</v>
      </c>
      <c r="L1564" s="59" t="n"/>
      <c r="M1564" s="59" t="n"/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486-2025-12-31</t>
        </is>
      </c>
    </row>
    <row r="1565">
      <c r="A1565" t="n">
        <v>487</v>
      </c>
      <c r="B1565" t="inlineStr">
        <is>
          <t>Impactados Talleres de formación</t>
        </is>
      </c>
      <c r="C1565" t="inlineStr">
        <is>
          <t>Centro de Medios Audiovisuales</t>
        </is>
      </c>
      <c r="D1565" t="inlineStr">
        <is>
          <t>Anual</t>
        </is>
      </c>
      <c r="E1565" t="inlineStr">
        <is>
          <t>Positivo</t>
        </is>
      </c>
      <c r="F1565" s="148" t="n">
        <v>45657</v>
      </c>
      <c r="G1565" t="n">
        <v>2024</v>
      </c>
      <c r="H1565" t="inlineStr">
        <is>
          <t>Diciembre</t>
        </is>
      </c>
      <c r="I1565" t="inlineStr">
        <is>
          <t>2024-2</t>
        </is>
      </c>
      <c r="J1565" t="n">
        <v>20</v>
      </c>
      <c r="K1565" t="n">
        <v>6.06</v>
      </c>
      <c r="L1565" s="59">
        <f>IFERROR(IF(OR(J1565=0,K1565=""),"",IF(E1565="Positivo",MIN(MAX(K1565/J1565,0),1.3),MIN(MAX(J1565/K1565,0),1.3))),"") </f>
        <v/>
      </c>
      <c r="M1565" s="59">
        <f>IFERROR(IF(OR(J1565=0,K1565=""),"",IF(E1565="Positivo",MAX(K1565/J1565,0),MAX(J1565/K1565,0))),"") </f>
        <v/>
      </c>
      <c r="P1565" t="n">
        <v>0</v>
      </c>
      <c r="Q1565" t="n">
        <v>0</v>
      </c>
      <c r="R1565" t="inlineStr">
        <is>
          <t>487-2024-12-31</t>
        </is>
      </c>
    </row>
    <row r="1566">
      <c r="A1566" t="n">
        <v>487</v>
      </c>
      <c r="B1566" t="inlineStr">
        <is>
          <t>Número Impactados Talleres de formación</t>
        </is>
      </c>
      <c r="C1566" t="inlineStr">
        <is>
          <t>Centro de Medios Audiovisuales</t>
        </is>
      </c>
      <c r="D1566" t="inlineStr">
        <is>
          <t>Anual</t>
        </is>
      </c>
      <c r="E1566" t="inlineStr">
        <is>
          <t>Positivo</t>
        </is>
      </c>
      <c r="F1566" s="148" t="n">
        <v>46022</v>
      </c>
      <c r="G1566" t="n">
        <v>2025</v>
      </c>
      <c r="H1566" t="inlineStr">
        <is>
          <t>Diciembre</t>
        </is>
      </c>
      <c r="I1566" t="inlineStr">
        <is>
          <t>2025-2</t>
        </is>
      </c>
      <c r="J1566" t="n">
        <v>20</v>
      </c>
      <c r="K1566" t="n">
        <v>58.86</v>
      </c>
      <c r="L1566" s="59">
        <f>IFERROR(IF(OR(J1566=0,K1566=""),"",IF(E1566="Positivo",MIN(MAX(K1566/J1566,0),1.3),MIN(MAX(J1566/K1566,0),1.3))),"") </f>
        <v/>
      </c>
      <c r="M1566" s="59">
        <f>IFERROR(IF(OR(J1566=0,K1566=""),"",IF(E1566="Positivo",MAX(K1566/J1566,0),MAX(J1566/K1566,0))),"") </f>
        <v/>
      </c>
      <c r="N1566" t="inlineStr">
        <is>
          <t>%</t>
        </is>
      </c>
      <c r="O1566" t="inlineStr">
        <is>
          <t>%</t>
        </is>
      </c>
      <c r="P1566" t="n">
        <v>0</v>
      </c>
      <c r="Q1566" t="n">
        <v>0</v>
      </c>
      <c r="R1566" t="inlineStr">
        <is>
          <t>487-2025-12-31</t>
        </is>
      </c>
    </row>
    <row r="1567">
      <c r="A1567" t="n">
        <v>488</v>
      </c>
      <c r="B1567" t="inlineStr">
        <is>
          <t>Oportunidad en el cierre de actividades de los planes de mejora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48" t="n">
        <v>45473</v>
      </c>
      <c r="G1567" t="n">
        <v>2024</v>
      </c>
      <c r="H1567" t="inlineStr">
        <is>
          <t>Junio</t>
        </is>
      </c>
      <c r="I1567" t="inlineStr">
        <is>
          <t>2024-1</t>
        </is>
      </c>
      <c r="L1567" s="59" t="n"/>
      <c r="M1567" s="59" t="n"/>
      <c r="P1567" t="n">
        <v>0</v>
      </c>
      <c r="Q1567" t="n">
        <v>0</v>
      </c>
      <c r="R1567" t="inlineStr">
        <is>
          <t>488-2024-06-30</t>
        </is>
      </c>
    </row>
    <row r="1568">
      <c r="A1568" t="n">
        <v>488</v>
      </c>
      <c r="B1568" t="inlineStr">
        <is>
          <t>Oportunidad en el cierre de actividades de los planes de mejora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148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85</v>
      </c>
      <c r="K1568" t="n">
        <v>92.96128846079502</v>
      </c>
      <c r="L1568" s="59">
        <f>IFERROR(IF(OR(J1568=0,K1568=""),"",IF(E1568="Positivo",MIN(MAX(K1568/J1568,0),1.3),MIN(MAX(J1568/K1568,0),1.3))),"") </f>
        <v/>
      </c>
      <c r="M1568" s="59">
        <f>IFERROR(IF(OR(J1568=0,K1568=""),"",IF(E1568="Positivo",MAX(K1568/J1568,0),MAX(J1568/K1568,0))),"") </f>
        <v/>
      </c>
      <c r="P1568" t="n">
        <v>0</v>
      </c>
      <c r="Q1568" t="n">
        <v>0</v>
      </c>
      <c r="R1568" t="inlineStr">
        <is>
          <t>488-2024-12-31</t>
        </is>
      </c>
    </row>
    <row r="1569">
      <c r="A1569" t="n">
        <v>488</v>
      </c>
      <c r="B1569" t="inlineStr">
        <is>
          <t>Oportunidad en el cierre de actividades de los planes de mejora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148" t="n">
        <v>45838</v>
      </c>
      <c r="G1569" t="n">
        <v>2025</v>
      </c>
      <c r="H1569" t="inlineStr">
        <is>
          <t>Junio</t>
        </is>
      </c>
      <c r="I1569" t="inlineStr">
        <is>
          <t>2025-1</t>
        </is>
      </c>
      <c r="J1569" t="n">
        <v>85</v>
      </c>
      <c r="K1569" t="n">
        <v>72.08693256814921</v>
      </c>
      <c r="L1569" s="59">
        <f>IFERROR(IF(OR(J1569=0,K1569=""),"",IF(E1569="Positivo",MIN(MAX(K1569/J1569,0),1.3),MIN(MAX(J1569/K1569,0),1.3))),"") </f>
        <v/>
      </c>
      <c r="M1569" s="59">
        <f>IFERROR(IF(OR(J1569=0,K1569=""),"",IF(E1569="Positivo",MAX(K1569/J1569,0),MAX(J1569/K1569,0))),"") </f>
        <v/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488-2025-06-30</t>
        </is>
      </c>
    </row>
    <row r="1570">
      <c r="A1570" t="n">
        <v>488</v>
      </c>
      <c r="B1570" t="inlineStr">
        <is>
          <t>Oportunidad en el cierre de actividades de los planes de mejora</t>
        </is>
      </c>
      <c r="C1570" t="inlineStr">
        <is>
          <t>Gestión de calidad</t>
        </is>
      </c>
      <c r="D1570" t="inlineStr">
        <is>
          <t>Mensual</t>
        </is>
      </c>
      <c r="E1570" t="inlineStr">
        <is>
          <t>Positivo</t>
        </is>
      </c>
      <c r="F1570" s="148" t="n">
        <v>46022</v>
      </c>
      <c r="G1570" t="n">
        <v>2025</v>
      </c>
      <c r="H1570" t="inlineStr">
        <is>
          <t>Diciembre</t>
        </is>
      </c>
      <c r="I1570" t="inlineStr">
        <is>
          <t>2025-2</t>
        </is>
      </c>
      <c r="J1570" t="n">
        <v>85</v>
      </c>
      <c r="K1570" t="n">
        <v>81.46166666666666</v>
      </c>
      <c r="L1570" s="59">
        <f>IFERROR(IF(OR(J1570=0,K1570=""),"",IF(E1570="Positivo",MIN(MAX(K1570/J1570,0),1.3),MIN(MAX(J1570/K1570,0),1.3))),"") </f>
        <v/>
      </c>
      <c r="M1570" s="59">
        <f>IFERROR(IF(OR(J1570=0,K1570=""),"",IF(E1570="Positivo",MAX(K1570/J1570,0),MAX(J1570/K1570,0))),"") </f>
        <v/>
      </c>
      <c r="N1570" t="inlineStr">
        <is>
          <t>%</t>
        </is>
      </c>
      <c r="O1570" t="inlineStr">
        <is>
          <t>%</t>
        </is>
      </c>
      <c r="P1570" t="n">
        <v>0</v>
      </c>
      <c r="Q1570" t="n">
        <v>0</v>
      </c>
      <c r="R1570" t="inlineStr">
        <is>
          <t>488-2025-12-31</t>
        </is>
      </c>
    </row>
    <row r="1571">
      <c r="A1571" t="n">
        <v>489</v>
      </c>
      <c r="B1571" t="inlineStr">
        <is>
          <t>Cumplimiento en la evaluación de las oportunidades de mejora (OM)</t>
        </is>
      </c>
      <c r="C1571" t="inlineStr">
        <is>
          <t>Gestión de calidad</t>
        </is>
      </c>
      <c r="D1571" t="inlineStr">
        <is>
          <t>Mensual</t>
        </is>
      </c>
      <c r="E1571" t="inlineStr">
        <is>
          <t>Positivo</t>
        </is>
      </c>
      <c r="F1571" s="148" t="n">
        <v>45473</v>
      </c>
      <c r="G1571" t="n">
        <v>2024</v>
      </c>
      <c r="H1571" t="inlineStr">
        <is>
          <t>Junio</t>
        </is>
      </c>
      <c r="I1571" t="inlineStr">
        <is>
          <t>2024-1</t>
        </is>
      </c>
      <c r="L1571" s="59" t="n"/>
      <c r="M1571" s="59" t="n"/>
      <c r="P1571" t="n">
        <v>0</v>
      </c>
      <c r="Q1571" t="n">
        <v>0</v>
      </c>
      <c r="R1571" t="inlineStr">
        <is>
          <t>489-2024-06-30</t>
        </is>
      </c>
    </row>
    <row r="1572">
      <c r="A1572" t="n">
        <v>489</v>
      </c>
      <c r="B1572" t="inlineStr">
        <is>
          <t>Cumplimiento en la evaluación de las oportunidades de mejora (OM)</t>
        </is>
      </c>
      <c r="C1572" t="inlineStr">
        <is>
          <t>Gestión de calidad</t>
        </is>
      </c>
      <c r="D1572" t="inlineStr">
        <is>
          <t>Mensual</t>
        </is>
      </c>
      <c r="E1572" t="inlineStr">
        <is>
          <t>Positivo</t>
        </is>
      </c>
      <c r="F1572" s="148" t="n">
        <v>45657</v>
      </c>
      <c r="G1572" t="n">
        <v>2024</v>
      </c>
      <c r="H1572" t="inlineStr">
        <is>
          <t>Diciembre</t>
        </is>
      </c>
      <c r="I1572" t="inlineStr">
        <is>
          <t>2024-2</t>
        </is>
      </c>
      <c r="J1572" t="n">
        <v>80</v>
      </c>
      <c r="K1572" t="n">
        <v>100</v>
      </c>
      <c r="L1572" s="59">
        <f>IFERROR(IF(OR(J1572=0,K1572=""),"",IF(E1572="Positivo",MIN(MAX(K1572/J1572,0),1.3),MIN(MAX(J1572/K1572,0),1.3))),"") </f>
        <v/>
      </c>
      <c r="M1572" s="59">
        <f>IFERROR(IF(OR(J1572=0,K1572=""),"",IF(E1572="Positivo",MAX(K1572/J1572,0),MAX(J1572/K1572,0))),"") </f>
        <v/>
      </c>
      <c r="P1572" t="n">
        <v>0</v>
      </c>
      <c r="Q1572" t="n">
        <v>0</v>
      </c>
      <c r="R1572" t="inlineStr">
        <is>
          <t>489-2024-12-31</t>
        </is>
      </c>
    </row>
    <row r="1573">
      <c r="A1573" t="n">
        <v>490</v>
      </c>
      <c r="B1573" t="inlineStr">
        <is>
          <t>Nivel de Satisfacción Servicios Prestados - Planeación Estratégica</t>
        </is>
      </c>
      <c r="C1573" t="inlineStr">
        <is>
          <t>Planeación Estratégica</t>
        </is>
      </c>
      <c r="D1573" t="inlineStr">
        <is>
          <t>Anual</t>
        </is>
      </c>
      <c r="E1573" t="inlineStr">
        <is>
          <t>Positivo</t>
        </is>
      </c>
      <c r="F1573" s="148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80</v>
      </c>
      <c r="K1573" t="n">
        <v>88</v>
      </c>
      <c r="L1573" s="59">
        <f>IFERROR(IF(OR(J1573=0,K1573=""),"",IF(E1573="Positivo",MIN(MAX(K1573/J1573,0),1.3),MIN(MAX(J1573/K1573,0),1.3))),"") </f>
        <v/>
      </c>
      <c r="M1573" s="59">
        <f>IFERROR(IF(OR(J1573=0,K1573=""),"",IF(E1573="Positivo",MAX(K1573/J1573,0),MAX(J1573/K1573,0))),"") </f>
        <v/>
      </c>
      <c r="P1573" t="n">
        <v>0</v>
      </c>
      <c r="Q1573" t="n">
        <v>0</v>
      </c>
      <c r="R1573" t="inlineStr">
        <is>
          <t>490-2024-12-31</t>
        </is>
      </c>
    </row>
    <row r="1574">
      <c r="A1574" t="n">
        <v>490</v>
      </c>
      <c r="B1574" t="inlineStr">
        <is>
          <t>Nivel de Satisfacción Servicios Prestados - Planeación Estratégica</t>
        </is>
      </c>
      <c r="C1574" t="inlineStr">
        <is>
          <t>Planeación Estratégica</t>
        </is>
      </c>
      <c r="D1574" t="inlineStr">
        <is>
          <t>Anual</t>
        </is>
      </c>
      <c r="E1574" t="inlineStr">
        <is>
          <t>Positivo</t>
        </is>
      </c>
      <c r="F1574" s="148" t="n">
        <v>46022</v>
      </c>
      <c r="G1574" t="n">
        <v>2025</v>
      </c>
      <c r="H1574" t="inlineStr">
        <is>
          <t>Diciembre</t>
        </is>
      </c>
      <c r="I1574" t="inlineStr">
        <is>
          <t>2025-2</t>
        </is>
      </c>
      <c r="J1574" t="n">
        <v>80</v>
      </c>
      <c r="K1574" t="n">
        <v>100</v>
      </c>
      <c r="L1574" s="59">
        <f>IFERROR(IF(OR(J1574=0,K1574=""),"",IF(E1574="Positivo",MIN(MAX(K1574/J1574,0),1.3),MIN(MAX(J1574/K1574,0),1.3))),"") </f>
        <v/>
      </c>
      <c r="M1574" s="59">
        <f>IFERROR(IF(OR(J1574=0,K1574=""),"",IF(E1574="Positivo",MAX(K1574/J1574,0),MAX(J1574/K1574,0))),"") </f>
        <v/>
      </c>
      <c r="N1574" t="inlineStr">
        <is>
          <t>%</t>
        </is>
      </c>
      <c r="O1574" t="inlineStr">
        <is>
          <t>%</t>
        </is>
      </c>
      <c r="P1574" t="n">
        <v>0</v>
      </c>
      <c r="Q1574" t="n">
        <v>0</v>
      </c>
      <c r="R1574" t="inlineStr">
        <is>
          <t>490-2025-12-31</t>
        </is>
      </c>
    </row>
    <row r="1575">
      <c r="A1575" t="n">
        <v>491</v>
      </c>
      <c r="B1575" t="inlineStr">
        <is>
          <t>Nivel de Satisfacción Servicios Prestados - Gestión de proyectos</t>
        </is>
      </c>
      <c r="C1575" t="inlineStr">
        <is>
          <t>Gestión de Proyectos</t>
        </is>
      </c>
      <c r="D1575" t="inlineStr">
        <is>
          <t>Anual</t>
        </is>
      </c>
      <c r="E1575" t="inlineStr">
        <is>
          <t>Positivo</t>
        </is>
      </c>
      <c r="F1575" s="148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80</v>
      </c>
      <c r="K1575" t="n">
        <v>88</v>
      </c>
      <c r="L1575" s="59">
        <f>IFERROR(IF(OR(J1575=0,K1575=""),"",IF(E1575="Positivo",MIN(MAX(K1575/J1575,0),1.3),MIN(MAX(J1575/K1575,0),1.3))),"") </f>
        <v/>
      </c>
      <c r="M1575" s="59">
        <f>IFERROR(IF(OR(J1575=0,K1575=""),"",IF(E1575="Positivo",MAX(K1575/J1575,0),MAX(J1575/K1575,0))),"") </f>
        <v/>
      </c>
      <c r="P1575" t="n">
        <v>0</v>
      </c>
      <c r="Q1575" t="n">
        <v>0</v>
      </c>
      <c r="R1575" t="inlineStr">
        <is>
          <t>491-2024-12-31</t>
        </is>
      </c>
    </row>
    <row r="1576">
      <c r="A1576" t="n">
        <v>491</v>
      </c>
      <c r="B1576" t="inlineStr">
        <is>
          <t>Nivel de Satisfacción Servicios Prestados - Gestión de proyectos</t>
        </is>
      </c>
      <c r="C1576" t="inlineStr">
        <is>
          <t>Gestión de Proyectos</t>
        </is>
      </c>
      <c r="D1576" t="inlineStr">
        <is>
          <t>Anual</t>
        </is>
      </c>
      <c r="E1576" t="inlineStr">
        <is>
          <t>Positivo</t>
        </is>
      </c>
      <c r="F1576" s="148" t="n">
        <v>46022</v>
      </c>
      <c r="G1576" t="n">
        <v>2025</v>
      </c>
      <c r="H1576" t="inlineStr">
        <is>
          <t>Diciembre</t>
        </is>
      </c>
      <c r="I1576" t="inlineStr">
        <is>
          <t>2025-2</t>
        </is>
      </c>
      <c r="J1576" t="n">
        <v>80</v>
      </c>
      <c r="K1576" t="n">
        <v>100</v>
      </c>
      <c r="L1576" s="59">
        <f>IFERROR(IF(OR(J1576=0,K1576=""),"",IF(E1576="Positivo",MIN(MAX(K1576/J1576,0),1.3),MIN(MAX(J1576/K1576,0),1.3))),"") </f>
        <v/>
      </c>
      <c r="M1576" s="59">
        <f>IFERROR(IF(OR(J1576=0,K1576=""),"",IF(E1576="Positivo",MAX(K1576/J1576,0),MAX(J1576/K1576,0))),"") </f>
        <v/>
      </c>
      <c r="N1576" t="inlineStr">
        <is>
          <t>%</t>
        </is>
      </c>
      <c r="O1576" t="inlineStr">
        <is>
          <t>%</t>
        </is>
      </c>
      <c r="P1576" t="n">
        <v>0</v>
      </c>
      <c r="Q1576" t="n">
        <v>0</v>
      </c>
      <c r="R1576" t="inlineStr">
        <is>
          <t>491-2025-12-31</t>
        </is>
      </c>
    </row>
    <row r="1577">
      <c r="A1577" t="n">
        <v>492</v>
      </c>
      <c r="B1577" t="inlineStr">
        <is>
          <t>Nivel de Satisfacción Servicios Prestados - Desempeño Institucional</t>
        </is>
      </c>
      <c r="C1577" t="inlineStr">
        <is>
          <t>Desempeño Institucional</t>
        </is>
      </c>
      <c r="D1577" t="inlineStr">
        <is>
          <t>Anual</t>
        </is>
      </c>
      <c r="E1577" t="inlineStr">
        <is>
          <t>Positivo</t>
        </is>
      </c>
      <c r="F1577" s="148" t="n">
        <v>45657</v>
      </c>
      <c r="G1577" t="n">
        <v>2024</v>
      </c>
      <c r="H1577" t="inlineStr">
        <is>
          <t>Diciembre</t>
        </is>
      </c>
      <c r="I1577" t="inlineStr">
        <is>
          <t>2024-2</t>
        </is>
      </c>
      <c r="J1577" t="n">
        <v>80</v>
      </c>
      <c r="K1577" t="n">
        <v>83</v>
      </c>
      <c r="L1577" s="59">
        <f>IFERROR(IF(OR(J1577=0,K1577=""),"",IF(E1577="Positivo",MIN(MAX(K1577/J1577,0),1.3),MIN(MAX(J1577/K1577,0),1.3))),"") </f>
        <v/>
      </c>
      <c r="M1577" s="59">
        <f>IFERROR(IF(OR(J1577=0,K1577=""),"",IF(E1577="Positivo",MAX(K1577/J1577,0),MAX(J1577/K1577,0))),"") </f>
        <v/>
      </c>
      <c r="P1577" t="n">
        <v>0</v>
      </c>
      <c r="Q1577" t="n">
        <v>0</v>
      </c>
      <c r="R1577" t="inlineStr">
        <is>
          <t>492-2024-12-31</t>
        </is>
      </c>
    </row>
    <row r="1578">
      <c r="A1578" t="n">
        <v>492</v>
      </c>
      <c r="B1578" t="inlineStr">
        <is>
          <t>Nivel de Satisfacción Servicios Prestados - Desempeño Institucional</t>
        </is>
      </c>
      <c r="C1578" t="inlineStr">
        <is>
          <t>Desempeño Institucional</t>
        </is>
      </c>
      <c r="D1578" t="inlineStr">
        <is>
          <t>Anual</t>
        </is>
      </c>
      <c r="E1578" t="inlineStr">
        <is>
          <t>Positivo</t>
        </is>
      </c>
      <c r="F1578" s="148" t="n">
        <v>46022</v>
      </c>
      <c r="G1578" t="n">
        <v>2025</v>
      </c>
      <c r="H1578" t="inlineStr">
        <is>
          <t>Diciembre</t>
        </is>
      </c>
      <c r="I1578" t="inlineStr">
        <is>
          <t>2025-2</t>
        </is>
      </c>
      <c r="J1578" t="n">
        <v>80</v>
      </c>
      <c r="K1578" t="n">
        <v>95</v>
      </c>
      <c r="L1578" s="59">
        <f>IFERROR(IF(OR(J1578=0,K1578=""),"",IF(E1578="Positivo",MIN(MAX(K1578/J1578,0),1.3),MIN(MAX(J1578/K1578,0),1.3))),"") </f>
        <v/>
      </c>
      <c r="M1578" s="59">
        <f>IFERROR(IF(OR(J1578=0,K1578=""),"",IF(E1578="Positivo",MAX(K1578/J1578,0),MAX(J1578/K1578,0))),"") </f>
        <v/>
      </c>
      <c r="N1578" t="inlineStr">
        <is>
          <t>%</t>
        </is>
      </c>
      <c r="O1578" t="inlineStr">
        <is>
          <t>%</t>
        </is>
      </c>
      <c r="P1578" t="n">
        <v>0</v>
      </c>
      <c r="Q1578" t="n">
        <v>0</v>
      </c>
      <c r="R1578" t="inlineStr">
        <is>
          <t>492-2025-12-31</t>
        </is>
      </c>
    </row>
    <row r="1579">
      <c r="A1579" t="n">
        <v>493</v>
      </c>
      <c r="B1579" t="inlineStr">
        <is>
          <t>Nivel de Satisfacción Servicios Prestados - Gestión Jurídica Y Normativa</t>
        </is>
      </c>
      <c r="C1579" t="inlineStr">
        <is>
          <t>GESTIÓN JURÍDICA Y NORMATIVA</t>
        </is>
      </c>
      <c r="D1579" t="inlineStr">
        <is>
          <t>Anual</t>
        </is>
      </c>
      <c r="E1579" t="inlineStr">
        <is>
          <t>Positivo</t>
        </is>
      </c>
      <c r="F1579" s="148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80</v>
      </c>
      <c r="K1579" t="n">
        <v>81</v>
      </c>
      <c r="L1579" s="59">
        <f>IFERROR(IF(OR(J1579=0,K1579=""),"",IF(E1579="Positivo",MIN(MAX(K1579/J1579,0),1.3),MIN(MAX(J1579/K1579,0),1.3))),"") </f>
        <v/>
      </c>
      <c r="M1579" s="59">
        <f>IFERROR(IF(OR(J1579=0,K1579=""),"",IF(E1579="Positivo",MAX(K1579/J1579,0),MAX(J1579/K1579,0))),"") </f>
        <v/>
      </c>
      <c r="P1579" t="n">
        <v>0</v>
      </c>
      <c r="Q1579" t="n">
        <v>0</v>
      </c>
      <c r="R1579" t="inlineStr">
        <is>
          <t>493-2024-12-31</t>
        </is>
      </c>
    </row>
    <row r="1580">
      <c r="A1580" t="n">
        <v>493</v>
      </c>
      <c r="B1580" t="inlineStr">
        <is>
          <t>Nivel de Satisfacción Servicios Prestados - Gestión Jurídica Y Normativa</t>
        </is>
      </c>
      <c r="C1580" t="inlineStr">
        <is>
          <t>GESTIÓN JURÍDICA Y NORMATIVA</t>
        </is>
      </c>
      <c r="D1580" t="inlineStr">
        <is>
          <t>Anual</t>
        </is>
      </c>
      <c r="E1580" t="inlineStr">
        <is>
          <t>Positivo</t>
        </is>
      </c>
      <c r="F1580" s="148" t="n">
        <v>46022</v>
      </c>
      <c r="G1580" t="n">
        <v>2025</v>
      </c>
      <c r="H1580" t="inlineStr">
        <is>
          <t>Diciembre</t>
        </is>
      </c>
      <c r="I1580" t="inlineStr">
        <is>
          <t>2025-2</t>
        </is>
      </c>
      <c r="J1580" t="n">
        <v>80</v>
      </c>
      <c r="K1580" t="n">
        <v>77</v>
      </c>
      <c r="L1580" s="59">
        <f>IFERROR(IF(OR(J1580=0,K1580=""),"",IF(E1580="Positivo",MIN(MAX(K1580/J1580,0),1.3),MIN(MAX(J1580/K1580,0),1.3))),"") </f>
        <v/>
      </c>
      <c r="M1580" s="59">
        <f>IFERROR(IF(OR(J1580=0,K1580=""),"",IF(E1580="Positivo",MAX(K1580/J1580,0),MAX(J1580/K1580,0))),"") </f>
        <v/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493-2025-12-31</t>
        </is>
      </c>
    </row>
    <row r="1581">
      <c r="A1581" t="n">
        <v>494</v>
      </c>
      <c r="B1581" t="inlineStr">
        <is>
          <t>Nivel de Satisfacción Servicios Prestados - Administración De Servicios Generales</t>
        </is>
      </c>
      <c r="C1581" t="inlineStr">
        <is>
          <t>Administración de Servicios Generales</t>
        </is>
      </c>
      <c r="D1581" t="inlineStr">
        <is>
          <t>Anual</t>
        </is>
      </c>
      <c r="E1581" t="inlineStr">
        <is>
          <t>Positivo</t>
        </is>
      </c>
      <c r="F1581" s="148" t="n">
        <v>45657</v>
      </c>
      <c r="G1581" t="n">
        <v>2024</v>
      </c>
      <c r="H1581" t="inlineStr">
        <is>
          <t>Diciembre</t>
        </is>
      </c>
      <c r="I1581" t="inlineStr">
        <is>
          <t>2024-2</t>
        </is>
      </c>
      <c r="J1581" t="n">
        <v>80</v>
      </c>
      <c r="K1581" t="n">
        <v>89</v>
      </c>
      <c r="L1581" s="59">
        <f>IFERROR(IF(OR(J1581=0,K1581=""),"",IF(E1581="Positivo",MIN(MAX(K1581/J1581,0),1.3),MIN(MAX(J1581/K1581,0),1.3))),"") </f>
        <v/>
      </c>
      <c r="M1581" s="59">
        <f>IFERROR(IF(OR(J1581=0,K1581=""),"",IF(E1581="Positivo",MAX(K1581/J1581,0),MAX(J1581/K1581,0))),"") </f>
        <v/>
      </c>
      <c r="P1581" t="n">
        <v>0</v>
      </c>
      <c r="Q1581" t="n">
        <v>0</v>
      </c>
      <c r="R1581" t="inlineStr">
        <is>
          <t>494-2024-12-31</t>
        </is>
      </c>
    </row>
    <row r="1582">
      <c r="A1582" t="n">
        <v>494</v>
      </c>
      <c r="B1582" t="inlineStr">
        <is>
          <t>Nivel de Satisfacción Servicios Prestados - Administración De Servicios Generales</t>
        </is>
      </c>
      <c r="C1582" t="inlineStr">
        <is>
          <t>Administración de Servicios Generales</t>
        </is>
      </c>
      <c r="D1582" t="inlineStr">
        <is>
          <t>Anual</t>
        </is>
      </c>
      <c r="E1582" t="inlineStr">
        <is>
          <t>Positivo</t>
        </is>
      </c>
      <c r="F1582" s="148" t="n">
        <v>46022</v>
      </c>
      <c r="G1582" t="n">
        <v>2025</v>
      </c>
      <c r="H1582" t="inlineStr">
        <is>
          <t>Diciembre</t>
        </is>
      </c>
      <c r="I1582" t="inlineStr">
        <is>
          <t>2025-2</t>
        </is>
      </c>
      <c r="J1582" t="n">
        <v>80</v>
      </c>
      <c r="K1582" t="n">
        <v>93</v>
      </c>
      <c r="L1582" s="59">
        <f>IFERROR(IF(OR(J1582=0,K1582=""),"",IF(E1582="Positivo",MIN(MAX(K1582/J1582,0),1.3),MIN(MAX(J1582/K1582,0),1.3))),"") </f>
        <v/>
      </c>
      <c r="M1582" s="59">
        <f>IFERROR(IF(OR(J1582=0,K1582=""),"",IF(E1582="Positivo",MAX(K1582/J1582,0),MAX(J1582/K1582,0))),"") </f>
        <v/>
      </c>
      <c r="N1582" t="inlineStr">
        <is>
          <t>%</t>
        </is>
      </c>
      <c r="O1582" t="inlineStr">
        <is>
          <t>%</t>
        </is>
      </c>
      <c r="P1582" t="n">
        <v>0</v>
      </c>
      <c r="Q1582" t="n">
        <v>0</v>
      </c>
      <c r="R1582" t="inlineStr">
        <is>
          <t>494-2025-12-31</t>
        </is>
      </c>
    </row>
    <row r="1583">
      <c r="A1583" t="n">
        <v>495</v>
      </c>
      <c r="B1583" t="inlineStr">
        <is>
          <t>Nivel de Satisfacción Servicios Prestados - Contabilidad</t>
        </is>
      </c>
      <c r="C1583" t="inlineStr">
        <is>
          <t>Contabilidad</t>
        </is>
      </c>
      <c r="D1583" t="inlineStr">
        <is>
          <t>Anual</t>
        </is>
      </c>
      <c r="E1583" t="inlineStr">
        <is>
          <t>Positivo</t>
        </is>
      </c>
      <c r="F1583" s="148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92</v>
      </c>
      <c r="L1583" s="59">
        <f>IFERROR(IF(OR(J1583=0,K1583=""),"",IF(E1583="Positivo",MIN(MAX(K1583/J1583,0),1.3),MIN(MAX(J1583/K1583,0),1.3))),"") </f>
        <v/>
      </c>
      <c r="M1583" s="59">
        <f>IFERROR(IF(OR(J1583=0,K1583=""),"",IF(E1583="Positivo",MAX(K1583/J1583,0),MAX(J1583/K1583,0))),"") </f>
        <v/>
      </c>
      <c r="P1583" t="n">
        <v>0</v>
      </c>
      <c r="Q1583" t="n">
        <v>0</v>
      </c>
      <c r="R1583" t="inlineStr">
        <is>
          <t>495-2024-12-31</t>
        </is>
      </c>
    </row>
    <row r="1584">
      <c r="A1584" t="n">
        <v>495</v>
      </c>
      <c r="B1584" t="inlineStr">
        <is>
          <t>Nivel de Satisfacción Servicios Prestados - Contabilidad</t>
        </is>
      </c>
      <c r="C1584" t="inlineStr">
        <is>
          <t>Contabilidad</t>
        </is>
      </c>
      <c r="D1584" t="inlineStr">
        <is>
          <t>Anual</t>
        </is>
      </c>
      <c r="E1584" t="inlineStr">
        <is>
          <t>Positivo</t>
        </is>
      </c>
      <c r="F1584" s="148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63</v>
      </c>
      <c r="L1584" s="59">
        <f>IFERROR(IF(OR(J1584=0,K1584=""),"",IF(E1584="Positivo",MIN(MAX(K1584/J1584,0),1.3),MIN(MAX(J1584/K1584,0),1.3))),"") </f>
        <v/>
      </c>
      <c r="M1584" s="59">
        <f>IFERROR(IF(OR(J1584=0,K1584=""),"",IF(E1584="Positivo",MAX(K1584/J1584,0),MAX(J1584/K1584,0))),"") </f>
        <v/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495-2025-12-31</t>
        </is>
      </c>
    </row>
    <row r="1585">
      <c r="A1585" t="n">
        <v>496</v>
      </c>
      <c r="B1585" t="inlineStr">
        <is>
          <t>Nivel de Satisfacción Servicios Prestados - Planeación Financiera</t>
        </is>
      </c>
      <c r="C1585" t="inlineStr">
        <is>
          <t>Planeación Financiera</t>
        </is>
      </c>
      <c r="D1585" t="inlineStr">
        <is>
          <t>Anual</t>
        </is>
      </c>
      <c r="E1585" t="inlineStr">
        <is>
          <t>Positivo</t>
        </is>
      </c>
      <c r="F1585" s="148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88</v>
      </c>
      <c r="L1585" s="59">
        <f>IFERROR(IF(OR(J1585=0,K1585=""),"",IF(E1585="Positivo",MIN(MAX(K1585/J1585,0),1.3),MIN(MAX(J1585/K1585,0),1.3))),"") </f>
        <v/>
      </c>
      <c r="M1585" s="59">
        <f>IFERROR(IF(OR(J1585=0,K1585=""),"",IF(E1585="Positivo",MAX(K1585/J1585,0),MAX(J1585/K1585,0))),"") </f>
        <v/>
      </c>
      <c r="P1585" t="n">
        <v>0</v>
      </c>
      <c r="Q1585" t="n">
        <v>0</v>
      </c>
      <c r="R1585" t="inlineStr">
        <is>
          <t>496-2024-12-31</t>
        </is>
      </c>
    </row>
    <row r="1586">
      <c r="A1586" t="n">
        <v>496</v>
      </c>
      <c r="B1586" t="inlineStr">
        <is>
          <t>Nivel de Satisfacción Servicios Prestados - Planeación Financiera</t>
        </is>
      </c>
      <c r="C1586" t="inlineStr">
        <is>
          <t>Planeación Financiera</t>
        </is>
      </c>
      <c r="D1586" t="inlineStr">
        <is>
          <t>Anual</t>
        </is>
      </c>
      <c r="E1586" t="inlineStr">
        <is>
          <t>Positivo</t>
        </is>
      </c>
      <c r="F1586" s="148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K1586" t="n">
        <v>100</v>
      </c>
      <c r="L1586" s="59">
        <f>IFERROR(IF(OR(J1586=0,K1586=""),"",IF(E1586="Positivo",MIN(MAX(K1586/J1586,0),1.3),MIN(MAX(J1586/K1586,0),1.3))),"") </f>
        <v/>
      </c>
      <c r="M1586" s="59">
        <f>IFERROR(IF(OR(J1586=0,K1586=""),"",IF(E1586="Positivo",MAX(K1586/J1586,0),MAX(J1586/K1586,0))),"") </f>
        <v/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496-2025-12-31</t>
        </is>
      </c>
    </row>
    <row r="1587">
      <c r="A1587" t="n">
        <v>497</v>
      </c>
      <c r="B1587" t="inlineStr">
        <is>
          <t>Nivel de Satisfacción Servicios Prestados - Tesorería</t>
        </is>
      </c>
      <c r="C1587" t="inlineStr">
        <is>
          <t>Tesorería</t>
        </is>
      </c>
      <c r="D1587" t="inlineStr">
        <is>
          <t>Anual</t>
        </is>
      </c>
      <c r="E1587" t="inlineStr">
        <is>
          <t>Positivo</t>
        </is>
      </c>
      <c r="F1587" s="148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83</v>
      </c>
      <c r="L1587" s="59">
        <f>IFERROR(IF(OR(J1587=0,K1587=""),"",IF(E1587="Positivo",MIN(MAX(K1587/J1587,0),1.3),MIN(MAX(J1587/K1587,0),1.3))),"") </f>
        <v/>
      </c>
      <c r="M1587" s="59">
        <f>IFERROR(IF(OR(J1587=0,K1587=""),"",IF(E1587="Positivo",MAX(K1587/J1587,0),MAX(J1587/K1587,0))),"") </f>
        <v/>
      </c>
      <c r="P1587" t="n">
        <v>0</v>
      </c>
      <c r="Q1587" t="n">
        <v>0</v>
      </c>
      <c r="R1587" t="inlineStr">
        <is>
          <t>497-2024-12-31</t>
        </is>
      </c>
    </row>
    <row r="1588">
      <c r="A1588" t="n">
        <v>498</v>
      </c>
      <c r="B1588" t="inlineStr">
        <is>
          <t>Nivel de Satisfacción Servicios Prestados - Centro de Medios Audiovisuales</t>
        </is>
      </c>
      <c r="C1588" t="inlineStr">
        <is>
          <t>Centro de Medios Audiovisuales</t>
        </is>
      </c>
      <c r="D1588" t="inlineStr">
        <is>
          <t>Anual</t>
        </is>
      </c>
      <c r="E1588" t="inlineStr">
        <is>
          <t>Positivo</t>
        </is>
      </c>
      <c r="F1588" s="148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80</v>
      </c>
      <c r="K1588" t="n">
        <v>92</v>
      </c>
      <c r="L1588" s="59">
        <f>IFERROR(IF(OR(J1588=0,K1588=""),"",IF(E1588="Positivo",MIN(MAX(K1588/J1588,0),1.3),MIN(MAX(J1588/K1588,0),1.3))),"") </f>
        <v/>
      </c>
      <c r="M1588" s="59">
        <f>IFERROR(IF(OR(J1588=0,K1588=""),"",IF(E1588="Positivo",MAX(K1588/J1588,0),MAX(J1588/K1588,0))),"") </f>
        <v/>
      </c>
      <c r="P1588" t="n">
        <v>0</v>
      </c>
      <c r="Q1588" t="n">
        <v>0</v>
      </c>
      <c r="R1588" t="inlineStr">
        <is>
          <t>498-2024-12-31</t>
        </is>
      </c>
    </row>
    <row r="1589">
      <c r="A1589" t="n">
        <v>498</v>
      </c>
      <c r="B1589" t="inlineStr">
        <is>
          <t>Nivel de Satisfacción Servicios Prestados - Centro de Medios Audiovisuales</t>
        </is>
      </c>
      <c r="C1589" t="inlineStr">
        <is>
          <t>Centro de Medios Audiovisuales</t>
        </is>
      </c>
      <c r="D1589" t="inlineStr">
        <is>
          <t>Anual</t>
        </is>
      </c>
      <c r="E1589" t="inlineStr">
        <is>
          <t>Positivo</t>
        </is>
      </c>
      <c r="F1589" s="148" t="n">
        <v>46022</v>
      </c>
      <c r="G1589" t="n">
        <v>2025</v>
      </c>
      <c r="H1589" t="inlineStr">
        <is>
          <t>Diciembre</t>
        </is>
      </c>
      <c r="I1589" t="inlineStr">
        <is>
          <t>2025-2</t>
        </is>
      </c>
      <c r="J1589" t="n">
        <v>80</v>
      </c>
      <c r="K1589" t="n">
        <v>95</v>
      </c>
      <c r="L1589" s="59">
        <f>IFERROR(IF(OR(J1589=0,K1589=""),"",IF(E1589="Positivo",MIN(MAX(K1589/J1589,0),1.3),MIN(MAX(J1589/K1589,0),1.3))),"") </f>
        <v/>
      </c>
      <c r="M1589" s="59">
        <f>IFERROR(IF(OR(J1589=0,K1589=""),"",IF(E1589="Positivo",MAX(K1589/J1589,0),MAX(J1589/K1589,0))),"") </f>
        <v/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498-2025-12-31</t>
        </is>
      </c>
    </row>
    <row r="1590">
      <c r="A1590" t="n">
        <v>499</v>
      </c>
      <c r="B1590" t="inlineStr">
        <is>
          <t>Nivel de Satisfacción Servicios Prestados - Datos y analítica</t>
        </is>
      </c>
      <c r="C1590" t="inlineStr">
        <is>
          <t>DATOS Y ANALÍTICA</t>
        </is>
      </c>
      <c r="D1590" t="inlineStr">
        <is>
          <t>Anual</t>
        </is>
      </c>
      <c r="E1590" t="inlineStr">
        <is>
          <t>Positivo</t>
        </is>
      </c>
      <c r="F1590" s="148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80</v>
      </c>
      <c r="K1590" t="n">
        <v>87</v>
      </c>
      <c r="L1590" s="59">
        <f>IFERROR(IF(OR(J1590=0,K1590=""),"",IF(E1590="Positivo",MIN(MAX(K1590/J1590,0),1.3),MIN(MAX(J1590/K1590,0),1.3))),"") </f>
        <v/>
      </c>
      <c r="M1590" s="59">
        <f>IFERROR(IF(OR(J1590=0,K1590=""),"",IF(E1590="Positivo",MAX(K1590/J1590,0),MAX(J1590/K1590,0))),"") </f>
        <v/>
      </c>
      <c r="P1590" t="n">
        <v>0</v>
      </c>
      <c r="Q1590" t="n">
        <v>0</v>
      </c>
      <c r="R1590" t="inlineStr">
        <is>
          <t>499-2024-12-31</t>
        </is>
      </c>
    </row>
    <row r="1591">
      <c r="A1591" t="n">
        <v>499</v>
      </c>
      <c r="B1591" t="inlineStr">
        <is>
          <t>Nivel de Satisfacción Servicios Prestados - Datos y analítica</t>
        </is>
      </c>
      <c r="C1591" t="inlineStr">
        <is>
          <t>DATOS Y ANALÍTICA</t>
        </is>
      </c>
      <c r="D1591" t="inlineStr">
        <is>
          <t>Anual</t>
        </is>
      </c>
      <c r="E1591" t="inlineStr">
        <is>
          <t>Positivo</t>
        </is>
      </c>
      <c r="F1591" s="148" t="n">
        <v>46022</v>
      </c>
      <c r="G1591" t="n">
        <v>2025</v>
      </c>
      <c r="H1591" t="inlineStr">
        <is>
          <t>Diciembre</t>
        </is>
      </c>
      <c r="I1591" t="inlineStr">
        <is>
          <t>2025-2</t>
        </is>
      </c>
      <c r="J1591" t="n">
        <v>80</v>
      </c>
      <c r="K1591" t="n">
        <v>0</v>
      </c>
      <c r="L1591" s="59">
        <f>IFERROR(IF(OR(J1591=0,K1591=""),"",IF(E1591="Positivo",MIN(MAX(K1591/J1591,0),1.3),MIN(MAX(J1591/K1591,0),1.3))),"") </f>
        <v/>
      </c>
      <c r="M1591" s="59">
        <f>IFERROR(IF(OR(J1591=0,K1591=""),"",IF(E1591="Positivo",MAX(K1591/J1591,0),MAX(J1591/K1591,0))),"") </f>
        <v/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499-2025-12-31</t>
        </is>
      </c>
    </row>
    <row r="1592">
      <c r="A1592" t="n">
        <v>500</v>
      </c>
      <c r="B1592" t="inlineStr">
        <is>
          <t>Nivel de Satisfacción Servicios Prestados -Servicio de Salud</t>
        </is>
      </c>
      <c r="C1592" t="inlineStr">
        <is>
          <t>Servicio de Salud</t>
        </is>
      </c>
      <c r="D1592" t="inlineStr">
        <is>
          <t>Anual</t>
        </is>
      </c>
      <c r="E1592" t="inlineStr">
        <is>
          <t>Positivo</t>
        </is>
      </c>
      <c r="F1592" s="148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80</v>
      </c>
      <c r="K1592" t="n">
        <v>89</v>
      </c>
      <c r="L1592" s="59">
        <f>IFERROR(IF(OR(J1592=0,K1592=""),"",IF(E1592="Positivo",MIN(MAX(K1592/J1592,0),1.3),MIN(MAX(J1592/K1592,0),1.3))),"") </f>
        <v/>
      </c>
      <c r="M1592" s="59">
        <f>IFERROR(IF(OR(J1592=0,K1592=""),"",IF(E1592="Positivo",MAX(K1592/J1592,0),MAX(J1592/K1592,0))),"") </f>
        <v/>
      </c>
      <c r="P1592" t="n">
        <v>0</v>
      </c>
      <c r="Q1592" t="n">
        <v>0</v>
      </c>
      <c r="R1592" t="inlineStr">
        <is>
          <t>500-2024-12-31</t>
        </is>
      </c>
    </row>
    <row r="1593">
      <c r="A1593" t="n">
        <v>500</v>
      </c>
      <c r="B1593" t="inlineStr">
        <is>
          <t>Nivel de Satisfacción Servicios Prestados -Servicio de Salud</t>
        </is>
      </c>
      <c r="C1593" t="inlineStr">
        <is>
          <t>Servicio de Salud</t>
        </is>
      </c>
      <c r="D1593" t="inlineStr">
        <is>
          <t>Anual</t>
        </is>
      </c>
      <c r="E1593" t="inlineStr">
        <is>
          <t>Positivo</t>
        </is>
      </c>
      <c r="F1593" s="148" t="n">
        <v>46022</v>
      </c>
      <c r="G1593" t="n">
        <v>2025</v>
      </c>
      <c r="H1593" t="inlineStr">
        <is>
          <t>Diciembre</t>
        </is>
      </c>
      <c r="I1593" t="inlineStr">
        <is>
          <t>2025-2</t>
        </is>
      </c>
      <c r="J1593" t="n">
        <v>80</v>
      </c>
      <c r="K1593" t="n">
        <v>100</v>
      </c>
      <c r="L1593" s="59">
        <f>IFERROR(IF(OR(J1593=0,K1593=""),"",IF(E1593="Positivo",MIN(MAX(K1593/J1593,0),1.3),MIN(MAX(J1593/K1593,0),1.3))),"") </f>
        <v/>
      </c>
      <c r="M1593" s="59">
        <f>IFERROR(IF(OR(J1593=0,K1593=""),"",IF(E1593="Positivo",MAX(K1593/J1593,0),MAX(J1593/K1593,0))),"") </f>
        <v/>
      </c>
      <c r="N1593" t="inlineStr">
        <is>
          <t>%</t>
        </is>
      </c>
      <c r="O1593" t="inlineStr">
        <is>
          <t>%</t>
        </is>
      </c>
      <c r="P1593" t="n">
        <v>0</v>
      </c>
      <c r="Q1593" t="n">
        <v>0</v>
      </c>
      <c r="R1593" t="inlineStr">
        <is>
          <t>500-2025-12-31</t>
        </is>
      </c>
    </row>
    <row r="1594">
      <c r="A1594" t="n">
        <v>501</v>
      </c>
      <c r="B1594" t="inlineStr">
        <is>
          <t>Nivel de Satisfacción Servicios Prestados -Gestión, evaluación e innovación curricular</t>
        </is>
      </c>
      <c r="C1594" t="inlineStr">
        <is>
          <t>Gestión, Evaluación e Innovación Curricular</t>
        </is>
      </c>
      <c r="D1594" t="inlineStr">
        <is>
          <t>Anual</t>
        </is>
      </c>
      <c r="E1594" t="inlineStr">
        <is>
          <t>Positivo</t>
        </is>
      </c>
      <c r="F1594" s="148" t="n">
        <v>45657</v>
      </c>
      <c r="G1594" t="n">
        <v>2024</v>
      </c>
      <c r="H1594" t="inlineStr">
        <is>
          <t>Diciembre</t>
        </is>
      </c>
      <c r="I1594" t="inlineStr">
        <is>
          <t>2024-2</t>
        </is>
      </c>
      <c r="J1594" t="n">
        <v>80</v>
      </c>
      <c r="K1594" t="n">
        <v>88</v>
      </c>
      <c r="L1594" s="59">
        <f>IFERROR(IF(OR(J1594=0,K1594=""),"",IF(E1594="Positivo",MIN(MAX(K1594/J1594,0),1.3),MIN(MAX(J1594/K1594,0),1.3))),"") </f>
        <v/>
      </c>
      <c r="M1594" s="59">
        <f>IFERROR(IF(OR(J1594=0,K1594=""),"",IF(E1594="Positivo",MAX(K1594/J1594,0),MAX(J1594/K1594,0))),"") </f>
        <v/>
      </c>
      <c r="P1594" t="n">
        <v>0</v>
      </c>
      <c r="Q1594" t="n">
        <v>0</v>
      </c>
      <c r="R1594" t="inlineStr">
        <is>
          <t>501-2024-12-31</t>
        </is>
      </c>
    </row>
    <row r="1595">
      <c r="A1595" t="n">
        <v>501</v>
      </c>
      <c r="B1595" t="inlineStr">
        <is>
          <t>Nivel de Satisfacción Servicios Prestados -Gestión, evaluación e innovación curricular</t>
        </is>
      </c>
      <c r="C1595" t="inlineStr">
        <is>
          <t>Gestión, Evaluación e Innovación Curricular</t>
        </is>
      </c>
      <c r="D1595" t="inlineStr">
        <is>
          <t>Anual</t>
        </is>
      </c>
      <c r="E1595" t="inlineStr">
        <is>
          <t>Positivo</t>
        </is>
      </c>
      <c r="F1595" s="148" t="n">
        <v>46022</v>
      </c>
      <c r="G1595" t="n">
        <v>2025</v>
      </c>
      <c r="H1595" t="inlineStr">
        <is>
          <t>Diciembre</t>
        </is>
      </c>
      <c r="I1595" t="inlineStr">
        <is>
          <t>2025-2</t>
        </is>
      </c>
      <c r="J1595" t="n">
        <v>80</v>
      </c>
      <c r="K1595" t="n">
        <v>100</v>
      </c>
      <c r="L1595" s="59">
        <f>IFERROR(IF(OR(J1595=0,K1595=""),"",IF(E1595="Positivo",MIN(MAX(K1595/J1595,0),1.3),MIN(MAX(J1595/K1595,0),1.3))),"") </f>
        <v/>
      </c>
      <c r="M1595" s="59">
        <f>IFERROR(IF(OR(J1595=0,K1595=""),"",IF(E1595="Positivo",MAX(K1595/J1595,0),MAX(J1595/K1595,0))),"") </f>
        <v/>
      </c>
      <c r="N1595" t="inlineStr">
        <is>
          <t>%</t>
        </is>
      </c>
      <c r="O1595" t="inlineStr">
        <is>
          <t>%</t>
        </is>
      </c>
      <c r="P1595" t="n">
        <v>0</v>
      </c>
      <c r="Q1595" t="n">
        <v>0</v>
      </c>
      <c r="R1595" t="inlineStr">
        <is>
          <t>501-2025-12-31</t>
        </is>
      </c>
    </row>
    <row r="1596">
      <c r="A1596" t="n">
        <v>502</v>
      </c>
      <c r="B1596" t="inlineStr">
        <is>
          <t>Nivel de Satisfacción Servicios Prestados -Formación para la investigación, creación e innovación</t>
        </is>
      </c>
      <c r="C1596" t="inlineStr">
        <is>
          <t>Formación para la investigación, creación e innovación</t>
        </is>
      </c>
      <c r="D1596" t="inlineStr">
        <is>
          <t>Anual</t>
        </is>
      </c>
      <c r="E1596" t="inlineStr">
        <is>
          <t>Positivo</t>
        </is>
      </c>
      <c r="F1596" s="148" t="n">
        <v>45657</v>
      </c>
      <c r="G1596" t="n">
        <v>2024</v>
      </c>
      <c r="H1596" t="inlineStr">
        <is>
          <t>Diciembre</t>
        </is>
      </c>
      <c r="I1596" t="inlineStr">
        <is>
          <t>2024-2</t>
        </is>
      </c>
      <c r="J1596" t="n">
        <v>80</v>
      </c>
      <c r="K1596" t="n">
        <v>90</v>
      </c>
      <c r="L1596" s="59">
        <f>IFERROR(IF(OR(J1596=0,K1596=""),"",IF(E1596="Positivo",MIN(MAX(K1596/J1596,0),1.3),MIN(MAX(J1596/K1596,0),1.3))),"") </f>
        <v/>
      </c>
      <c r="M1596" s="59">
        <f>IFERROR(IF(OR(J1596=0,K1596=""),"",IF(E1596="Positivo",MAX(K1596/J1596,0),MAX(J1596/K1596,0))),"") </f>
        <v/>
      </c>
      <c r="P1596" t="n">
        <v>0</v>
      </c>
      <c r="Q1596" t="n">
        <v>0</v>
      </c>
      <c r="R1596" t="inlineStr">
        <is>
          <t>502-2024-12-31</t>
        </is>
      </c>
    </row>
    <row r="1597">
      <c r="A1597" t="n">
        <v>502</v>
      </c>
      <c r="B1597" t="inlineStr">
        <is>
          <t>Nivel de Satisfacción Servicios Prestados -Formación para la investigación, creación e innovación</t>
        </is>
      </c>
      <c r="C1597" t="inlineStr">
        <is>
          <t>Formación para la investigación, creación e innovación</t>
        </is>
      </c>
      <c r="D1597" t="inlineStr">
        <is>
          <t>Anual</t>
        </is>
      </c>
      <c r="E1597" t="inlineStr">
        <is>
          <t>Positivo</t>
        </is>
      </c>
      <c r="F1597" s="148" t="n">
        <v>46022</v>
      </c>
      <c r="G1597" t="n">
        <v>2025</v>
      </c>
      <c r="H1597" t="inlineStr">
        <is>
          <t>Diciembre</t>
        </is>
      </c>
      <c r="I1597" t="inlineStr">
        <is>
          <t>2025-2</t>
        </is>
      </c>
      <c r="J1597" t="n">
        <v>80</v>
      </c>
      <c r="K1597" t="n">
        <v>97</v>
      </c>
      <c r="L1597" s="59">
        <f>IFERROR(IF(OR(J1597=0,K1597=""),"",IF(E1597="Positivo",MIN(MAX(K1597/J1597,0),1.3),MIN(MAX(J1597/K1597,0),1.3))),"") </f>
        <v/>
      </c>
      <c r="M1597" s="59">
        <f>IFERROR(IF(OR(J1597=0,K1597=""),"",IF(E1597="Positivo",MAX(K1597/J1597,0),MAX(J1597/K1597,0))),"") </f>
        <v/>
      </c>
      <c r="N1597" t="inlineStr">
        <is>
          <t>%</t>
        </is>
      </c>
      <c r="O1597" t="inlineStr">
        <is>
          <t>%</t>
        </is>
      </c>
      <c r="P1597" t="n">
        <v>0</v>
      </c>
      <c r="Q1597" t="n">
        <v>0</v>
      </c>
      <c r="R1597" t="inlineStr">
        <is>
          <t>502-2025-12-31</t>
        </is>
      </c>
    </row>
    <row r="1598">
      <c r="A1598" t="n">
        <v>503</v>
      </c>
      <c r="B1598" t="inlineStr">
        <is>
          <t>Nivel de Satisfacción Servicios Prestados -Gestión de Unidades Académicas</t>
        </is>
      </c>
      <c r="C1598" t="inlineStr">
        <is>
          <t>Gestión de Unidades Académicas</t>
        </is>
      </c>
      <c r="D1598" t="inlineStr">
        <is>
          <t>Anual</t>
        </is>
      </c>
      <c r="E1598" t="inlineStr">
        <is>
          <t>Positivo</t>
        </is>
      </c>
      <c r="F1598" s="148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80</v>
      </c>
      <c r="K1598" t="n">
        <v>86</v>
      </c>
      <c r="L1598" s="59">
        <f>IFERROR(IF(OR(J1598=0,K1598=""),"",IF(E1598="Positivo",MIN(MAX(K1598/J1598,0),1.3),MIN(MAX(J1598/K1598,0),1.3))),"") </f>
        <v/>
      </c>
      <c r="M1598" s="59">
        <f>IFERROR(IF(OR(J1598=0,K1598=""),"",IF(E1598="Positivo",MAX(K1598/J1598,0),MAX(J1598/K1598,0))),"") </f>
        <v/>
      </c>
      <c r="P1598" t="n">
        <v>0</v>
      </c>
      <c r="Q1598" t="n">
        <v>0</v>
      </c>
      <c r="R1598" t="inlineStr">
        <is>
          <t>503-2024-12-31</t>
        </is>
      </c>
    </row>
    <row r="1599">
      <c r="A1599" t="n">
        <v>503</v>
      </c>
      <c r="B1599" t="inlineStr">
        <is>
          <t>Nivel de Satisfacción Servicios Prestados -Gestión de Unidades Académicas</t>
        </is>
      </c>
      <c r="C1599" t="inlineStr">
        <is>
          <t>Gestión de Unidades Académicas</t>
        </is>
      </c>
      <c r="D1599" t="inlineStr">
        <is>
          <t>Anual</t>
        </is>
      </c>
      <c r="E1599" t="inlineStr">
        <is>
          <t>Positivo</t>
        </is>
      </c>
      <c r="F1599" s="148" t="n">
        <v>46022</v>
      </c>
      <c r="G1599" t="n">
        <v>2025</v>
      </c>
      <c r="H1599" t="inlineStr">
        <is>
          <t>Diciembre</t>
        </is>
      </c>
      <c r="I1599" t="inlineStr">
        <is>
          <t>2025-2</t>
        </is>
      </c>
      <c r="J1599" t="n">
        <v>80</v>
      </c>
      <c r="K1599" t="n">
        <v>94</v>
      </c>
      <c r="L1599" s="59">
        <f>IFERROR(IF(OR(J1599=0,K1599=""),"",IF(E1599="Positivo",MIN(MAX(K1599/J1599,0),1.3),MIN(MAX(J1599/K1599,0),1.3))),"") </f>
        <v/>
      </c>
      <c r="M1599" s="59">
        <f>IFERROR(IF(OR(J1599=0,K1599=""),"",IF(E1599="Positivo",MAX(K1599/J1599,0),MAX(J1599/K1599,0))),"") </f>
        <v/>
      </c>
      <c r="N1599" t="inlineStr">
        <is>
          <t>%</t>
        </is>
      </c>
      <c r="O1599" t="inlineStr">
        <is>
          <t>%</t>
        </is>
      </c>
      <c r="P1599" t="n">
        <v>0</v>
      </c>
      <c r="Q1599" t="n">
        <v>0</v>
      </c>
      <c r="R1599" t="inlineStr">
        <is>
          <t>503-2025-12-31</t>
        </is>
      </c>
    </row>
    <row r="1600">
      <c r="A1600" t="n">
        <v>504</v>
      </c>
      <c r="B1600" t="inlineStr">
        <is>
          <t>Nivel de Satisfacción Servicios Prestados - LEI</t>
        </is>
      </c>
      <c r="C1600" t="inlineStr">
        <is>
          <t>LEI</t>
        </is>
      </c>
      <c r="D1600" t="inlineStr">
        <is>
          <t>Anual</t>
        </is>
      </c>
      <c r="E1600" t="inlineStr">
        <is>
          <t>Positivo</t>
        </is>
      </c>
      <c r="F1600" s="148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80</v>
      </c>
      <c r="K1600" t="n">
        <v>88</v>
      </c>
      <c r="L1600" s="59">
        <f>IFERROR(IF(OR(J1600=0,K1600=""),"",IF(E1600="Positivo",MIN(MAX(K1600/J1600,0),1.3),MIN(MAX(J1600/K1600,0),1.3))),"") </f>
        <v/>
      </c>
      <c r="M1600" s="59">
        <f>IFERROR(IF(OR(J1600=0,K1600=""),"",IF(E1600="Positivo",MAX(K1600/J1600,0),MAX(J1600/K1600,0))),"") </f>
        <v/>
      </c>
      <c r="P1600" t="n">
        <v>0</v>
      </c>
      <c r="Q1600" t="n">
        <v>0</v>
      </c>
      <c r="R1600" t="inlineStr">
        <is>
          <t>504-2024-12-31</t>
        </is>
      </c>
    </row>
    <row r="1601">
      <c r="A1601" t="n">
        <v>504</v>
      </c>
      <c r="B1601" t="inlineStr">
        <is>
          <t>Nivel de Satisfacción Servicios Prestados - LEI</t>
        </is>
      </c>
      <c r="C1601" t="inlineStr">
        <is>
          <t>LEI</t>
        </is>
      </c>
      <c r="D1601" t="inlineStr">
        <is>
          <t>Anual</t>
        </is>
      </c>
      <c r="E1601" t="inlineStr">
        <is>
          <t>Positivo</t>
        </is>
      </c>
      <c r="F1601" s="148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88</v>
      </c>
      <c r="L1601" s="59">
        <f>IFERROR(IF(OR(J1601=0,K1601=""),"",IF(E1601="Positivo",MIN(MAX(K1601/J1601,0),1.3),MIN(MAX(J1601/K1601,0),1.3))),"") </f>
        <v/>
      </c>
      <c r="M1601" s="59">
        <f>IFERROR(IF(OR(J1601=0,K1601=""),"",IF(E1601="Positivo",MAX(K1601/J1601,0),MAX(J1601/K1601,0))),"") </f>
        <v/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504-2025-12-31</t>
        </is>
      </c>
    </row>
    <row r="1602">
      <c r="A1602" t="n">
        <v>505</v>
      </c>
      <c r="B1602" t="inlineStr">
        <is>
          <t>Nivel de Satisfacción Servicios Prestados - Mercadeo de programas académicos</t>
        </is>
      </c>
      <c r="C1602" t="inlineStr">
        <is>
          <t>Mercadeo de programas académicos</t>
        </is>
      </c>
      <c r="D1602" t="inlineStr">
        <is>
          <t>Anual</t>
        </is>
      </c>
      <c r="E1602" t="inlineStr">
        <is>
          <t>Positivo</t>
        </is>
      </c>
      <c r="F1602" s="148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85</v>
      </c>
      <c r="L1602" s="59">
        <f>IFERROR(IF(OR(J1602=0,K1602=""),"",IF(E1602="Positivo",MIN(MAX(K1602/J1602,0),1.3),MIN(MAX(J1602/K1602,0),1.3))),"") </f>
        <v/>
      </c>
      <c r="M1602" s="59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505-2024-12-31</t>
        </is>
      </c>
    </row>
    <row r="1603">
      <c r="A1603" t="n">
        <v>505</v>
      </c>
      <c r="B1603" t="inlineStr">
        <is>
          <t>Nivel de Satisfacción Servicios Prestados - Mercadeo de programas académicos</t>
        </is>
      </c>
      <c r="C1603" t="inlineStr">
        <is>
          <t>Mercadeo de programas académicos</t>
        </is>
      </c>
      <c r="D1603" t="inlineStr">
        <is>
          <t>Anual</t>
        </is>
      </c>
      <c r="E1603" t="inlineStr">
        <is>
          <t>Positivo</t>
        </is>
      </c>
      <c r="F1603" s="148" t="n">
        <v>46022</v>
      </c>
      <c r="G1603" t="n">
        <v>2025</v>
      </c>
      <c r="H1603" t="inlineStr">
        <is>
          <t>Diciembre</t>
        </is>
      </c>
      <c r="I1603" t="inlineStr">
        <is>
          <t>2025-2</t>
        </is>
      </c>
      <c r="J1603" t="n">
        <v>80</v>
      </c>
      <c r="K1603" t="n">
        <v>86</v>
      </c>
      <c r="L1603" s="59">
        <f>IFERROR(IF(OR(J1603=0,K1603=""),"",IF(E1603="Positivo",MIN(MAX(K1603/J1603,0),1.3),MIN(MAX(J1603/K1603,0),1.3))),"") </f>
        <v/>
      </c>
      <c r="M1603" s="59">
        <f>IFERROR(IF(OR(J1603=0,K1603=""),"",IF(E1603="Positivo",MAX(K1603/J1603,0),MAX(J1603/K1603,0))),"") </f>
        <v/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505-2025-12-31</t>
        </is>
      </c>
    </row>
    <row r="1604">
      <c r="A1604" t="n">
        <v>506</v>
      </c>
      <c r="B1604" t="inlineStr">
        <is>
          <t>Nivel de Satisfacción Servicios Prestados - Prácticas</t>
        </is>
      </c>
      <c r="C1604" t="inlineStr">
        <is>
          <t>Prácticas</t>
        </is>
      </c>
      <c r="D1604" t="inlineStr">
        <is>
          <t>Anual</t>
        </is>
      </c>
      <c r="E1604" t="inlineStr">
        <is>
          <t>Positivo</t>
        </is>
      </c>
      <c r="F1604" s="148" t="n">
        <v>45657</v>
      </c>
      <c r="G1604" t="n">
        <v>2024</v>
      </c>
      <c r="H1604" t="inlineStr">
        <is>
          <t>Diciembre</t>
        </is>
      </c>
      <c r="I1604" t="inlineStr">
        <is>
          <t>2024-2</t>
        </is>
      </c>
      <c r="J1604" t="n">
        <v>80</v>
      </c>
      <c r="K1604" t="n">
        <v>67</v>
      </c>
      <c r="L1604" s="59">
        <f>IFERROR(IF(OR(J1604=0,K1604=""),"",IF(E1604="Positivo",MIN(MAX(K1604/J1604,0),1.3),MIN(MAX(J1604/K1604,0),1.3))),"") </f>
        <v/>
      </c>
      <c r="M1604" s="59">
        <f>IFERROR(IF(OR(J1604=0,K1604=""),"",IF(E1604="Positivo",MAX(K1604/J1604,0),MAX(J1604/K1604,0))),"") </f>
        <v/>
      </c>
      <c r="P1604" t="n">
        <v>0</v>
      </c>
      <c r="Q1604" t="n">
        <v>0</v>
      </c>
      <c r="R1604" t="inlineStr">
        <is>
          <t>506-2024-12-31</t>
        </is>
      </c>
    </row>
    <row r="1605">
      <c r="A1605" t="n">
        <v>506</v>
      </c>
      <c r="B1605" t="inlineStr">
        <is>
          <t>Nivel de Satisfacción Servicios Prestados - Prácticas</t>
        </is>
      </c>
      <c r="C1605" t="inlineStr">
        <is>
          <t>Prácticas</t>
        </is>
      </c>
      <c r="D1605" t="inlineStr">
        <is>
          <t>Trimestral</t>
        </is>
      </c>
      <c r="E1605" t="inlineStr">
        <is>
          <t>Positivo</t>
        </is>
      </c>
      <c r="F1605" s="148" t="n">
        <v>45838</v>
      </c>
      <c r="G1605" t="n">
        <v>2025</v>
      </c>
      <c r="H1605" t="inlineStr">
        <is>
          <t>Junio</t>
        </is>
      </c>
      <c r="I1605" t="inlineStr">
        <is>
          <t>2025-1</t>
        </is>
      </c>
      <c r="J1605" t="n">
        <v>80</v>
      </c>
      <c r="K1605" t="n">
        <v>95</v>
      </c>
      <c r="L1605" s="59">
        <f>IFERROR(IF(OR(J1605=0,K1605=""),"",IF(E1605="Positivo",MIN(MAX(K1605/J1605,0),1.3),MIN(MAX(J1605/K1605,0),1.3))),"") </f>
        <v/>
      </c>
      <c r="M1605" s="59">
        <f>IFERROR(IF(OR(J1605=0,K1605=""),"",IF(E1605="Positivo",MAX(K1605/J1605,0),MAX(J1605/K1605,0))),"") </f>
        <v/>
      </c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506-2025-06-30</t>
        </is>
      </c>
    </row>
    <row r="1606">
      <c r="A1606" t="n">
        <v>506</v>
      </c>
      <c r="B1606" t="inlineStr">
        <is>
          <t>Nivel de Satisfacción Servicios Prestados - Prácticas</t>
        </is>
      </c>
      <c r="C1606" t="inlineStr">
        <is>
          <t>Prácticas</t>
        </is>
      </c>
      <c r="D1606" t="inlineStr">
        <is>
          <t>Trimestral</t>
        </is>
      </c>
      <c r="E1606" t="inlineStr">
        <is>
          <t>Positivo</t>
        </is>
      </c>
      <c r="F1606" s="148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92.5</v>
      </c>
      <c r="L1606" s="59">
        <f>IFERROR(IF(OR(J1606=0,K1606=""),"",IF(E1606="Positivo",MIN(MAX(K1606/J1606,0),1.3),MIN(MAX(J1606/K1606,0),1.3))),"") </f>
        <v/>
      </c>
      <c r="M1606" s="59">
        <f>IFERROR(IF(OR(J1606=0,K1606=""),"",IF(E1606="Positivo",MAX(K1606/J1606,0),MAX(J1606/K1606,0))),"") </f>
        <v/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506-2025-12-31</t>
        </is>
      </c>
    </row>
    <row r="1607">
      <c r="A1607" t="n">
        <v>507</v>
      </c>
      <c r="B1607" t="inlineStr">
        <is>
          <t>Nivel de Satisfacción Servicios Prestados -Cultura y Deporte</t>
        </is>
      </c>
      <c r="C1607" t="inlineStr">
        <is>
          <t>Cultura y Deporte</t>
        </is>
      </c>
      <c r="D1607" t="inlineStr">
        <is>
          <t>Anual</t>
        </is>
      </c>
      <c r="E1607" t="inlineStr">
        <is>
          <t>Positivo</t>
        </is>
      </c>
      <c r="F1607" s="148" t="n">
        <v>45657</v>
      </c>
      <c r="G1607" t="n">
        <v>2024</v>
      </c>
      <c r="H1607" t="inlineStr">
        <is>
          <t>Diciembre</t>
        </is>
      </c>
      <c r="I1607" t="inlineStr">
        <is>
          <t>2024-2</t>
        </is>
      </c>
      <c r="J1607" t="n">
        <v>80</v>
      </c>
      <c r="K1607" t="n">
        <v>77</v>
      </c>
      <c r="L1607" s="59">
        <f>IFERROR(IF(OR(J1607=0,K1607=""),"",IF(E1607="Positivo",MIN(MAX(K1607/J1607,0),1.3),MIN(MAX(J1607/K1607,0),1.3))),"") </f>
        <v/>
      </c>
      <c r="M1607" s="59">
        <f>IFERROR(IF(OR(J1607=0,K1607=""),"",IF(E1607="Positivo",MAX(K1607/J1607,0),MAX(J1607/K1607,0))),"") </f>
        <v/>
      </c>
      <c r="P1607" t="n">
        <v>0</v>
      </c>
      <c r="Q1607" t="n">
        <v>0</v>
      </c>
      <c r="R1607" t="inlineStr">
        <is>
          <t>507-2024-12-31</t>
        </is>
      </c>
    </row>
    <row r="1608">
      <c r="A1608" t="n">
        <v>507</v>
      </c>
      <c r="B1608" t="inlineStr">
        <is>
          <t>Nivel de Satisfacción Servicios Prestados -Cultura y Deporte</t>
        </is>
      </c>
      <c r="C1608" t="inlineStr">
        <is>
          <t>Cultura y Deporte</t>
        </is>
      </c>
      <c r="D1608" t="inlineStr">
        <is>
          <t>Trimestral</t>
        </is>
      </c>
      <c r="E1608" t="inlineStr">
        <is>
          <t>Positivo</t>
        </is>
      </c>
      <c r="F1608" s="148" t="n">
        <v>45838</v>
      </c>
      <c r="G1608" t="n">
        <v>2025</v>
      </c>
      <c r="H1608" t="inlineStr">
        <is>
          <t>Junio</t>
        </is>
      </c>
      <c r="I1608" t="inlineStr">
        <is>
          <t>2025-1</t>
        </is>
      </c>
      <c r="J1608" t="n">
        <v>80</v>
      </c>
      <c r="K1608" t="n">
        <v>98.75</v>
      </c>
      <c r="L1608" s="59">
        <f>IFERROR(IF(OR(J1608=0,K1608=""),"",IF(E1608="Positivo",MIN(MAX(K1608/J1608,0),1.3),MIN(MAX(J1608/K1608,0),1.3))),"") </f>
        <v/>
      </c>
      <c r="M1608" s="59">
        <f>IFERROR(IF(OR(J1608=0,K1608=""),"",IF(E1608="Positivo",MAX(K1608/J1608,0),MAX(J1608/K1608,0))),"") </f>
        <v/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507-2025-06-30</t>
        </is>
      </c>
    </row>
    <row r="1609">
      <c r="A1609" t="n">
        <v>507</v>
      </c>
      <c r="B1609" t="inlineStr">
        <is>
          <t>Nivel de Satisfacción Servicios Prestados -Cultura y Deporte</t>
        </is>
      </c>
      <c r="C1609" t="inlineStr">
        <is>
          <t>Cultura y Deporte</t>
        </is>
      </c>
      <c r="D1609" t="inlineStr">
        <is>
          <t>Trimestral</t>
        </is>
      </c>
      <c r="E1609" t="inlineStr">
        <is>
          <t>Positivo</t>
        </is>
      </c>
      <c r="F1609" s="148" t="n">
        <v>46022</v>
      </c>
      <c r="G1609" t="n">
        <v>2025</v>
      </c>
      <c r="H1609" t="inlineStr">
        <is>
          <t>Diciembre</t>
        </is>
      </c>
      <c r="I1609" t="inlineStr">
        <is>
          <t>2025-2</t>
        </is>
      </c>
      <c r="J1609" t="n">
        <v>80</v>
      </c>
      <c r="K1609" t="n">
        <v>99</v>
      </c>
      <c r="L1609" s="59">
        <f>IFERROR(IF(OR(J1609=0,K1609=""),"",IF(E1609="Positivo",MIN(MAX(K1609/J1609,0),1.3),MIN(MAX(J1609/K1609,0),1.3))),"") </f>
        <v/>
      </c>
      <c r="M1609" s="59">
        <f>IFERROR(IF(OR(J1609=0,K1609=""),"",IF(E1609="Positivo",MAX(K1609/J1609,0),MAX(J1609/K1609,0))),"") </f>
        <v/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507-2025-12-31</t>
        </is>
      </c>
    </row>
    <row r="1610">
      <c r="A1610" t="n">
        <v>508</v>
      </c>
      <c r="B1610" t="inlineStr">
        <is>
          <t>Nivel de Satisfacción Servicios Prestados - Diseño y contenido virtual</t>
        </is>
      </c>
      <c r="C1610" t="inlineStr">
        <is>
          <t>Diseño de Contenido Virtual</t>
        </is>
      </c>
      <c r="D1610" t="inlineStr">
        <is>
          <t>Anual</t>
        </is>
      </c>
      <c r="E1610" t="inlineStr">
        <is>
          <t>Positivo</t>
        </is>
      </c>
      <c r="F1610" s="148" t="n">
        <v>45657</v>
      </c>
      <c r="G1610" t="n">
        <v>2024</v>
      </c>
      <c r="H1610" t="inlineStr">
        <is>
          <t>Diciembre</t>
        </is>
      </c>
      <c r="I1610" t="inlineStr">
        <is>
          <t>2024-2</t>
        </is>
      </c>
      <c r="J1610" t="n">
        <v>80</v>
      </c>
      <c r="K1610" t="n">
        <v>88</v>
      </c>
      <c r="L1610" s="59">
        <f>IFERROR(IF(OR(J1610=0,K1610=""),"",IF(E1610="Positivo",MIN(MAX(K1610/J1610,0),1.3),MIN(MAX(J1610/K1610,0),1.3))),"") </f>
        <v/>
      </c>
      <c r="M1610" s="59">
        <f>IFERROR(IF(OR(J1610=0,K1610=""),"",IF(E1610="Positivo",MAX(K1610/J1610,0),MAX(J1610/K1610,0))),"") </f>
        <v/>
      </c>
      <c r="P1610" t="n">
        <v>0</v>
      </c>
      <c r="Q1610" t="n">
        <v>0</v>
      </c>
      <c r="R1610" t="inlineStr">
        <is>
          <t>508-2024-12-31</t>
        </is>
      </c>
    </row>
    <row r="1611">
      <c r="A1611" t="n">
        <v>508</v>
      </c>
      <c r="B1611" t="inlineStr">
        <is>
          <t>Nivel de Satisfacción Servicios Prestados - Diseño y contenido virtual</t>
        </is>
      </c>
      <c r="C1611" t="inlineStr">
        <is>
          <t>Diseño de Contenido Virtual</t>
        </is>
      </c>
      <c r="D1611" t="inlineStr">
        <is>
          <t>Anual</t>
        </is>
      </c>
      <c r="E1611" t="inlineStr">
        <is>
          <t>Positivo</t>
        </is>
      </c>
      <c r="F1611" s="148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80</v>
      </c>
      <c r="K1611" t="n">
        <v>89</v>
      </c>
      <c r="L1611" s="59">
        <f>IFERROR(IF(OR(J1611=0,K1611=""),"",IF(E1611="Positivo",MIN(MAX(K1611/J1611,0),1.3),MIN(MAX(J1611/K1611,0),1.3))),"") </f>
        <v/>
      </c>
      <c r="M1611" s="59">
        <f>IFERROR(IF(OR(J1611=0,K1611=""),"",IF(E1611="Positivo",MAX(K1611/J1611,0),MAX(J1611/K1611,0))),"") </f>
        <v/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508-2025-12-31</t>
        </is>
      </c>
    </row>
    <row r="1612">
      <c r="A1612" t="n">
        <v>509</v>
      </c>
      <c r="B1612" t="inlineStr">
        <is>
          <t>Cumplimiento a cronograma de proyectos 2025</t>
        </is>
      </c>
      <c r="C1612" t="inlineStr">
        <is>
          <t>Gestión de Proyectos</t>
        </is>
      </c>
      <c r="D1612" t="inlineStr">
        <is>
          <t>Mensual</t>
        </is>
      </c>
      <c r="E1612" t="inlineStr">
        <is>
          <t>Positivo</t>
        </is>
      </c>
      <c r="F1612" s="148" t="n">
        <v>45838</v>
      </c>
      <c r="G1612" t="n">
        <v>2025</v>
      </c>
      <c r="H1612" t="inlineStr">
        <is>
          <t>Junio</t>
        </is>
      </c>
      <c r="I1612" t="inlineStr">
        <is>
          <t>2025-1</t>
        </is>
      </c>
      <c r="J1612" t="n">
        <v>90</v>
      </c>
      <c r="K1612" t="n">
        <v>100.59</v>
      </c>
      <c r="L1612" s="59">
        <f>IFERROR(IF(OR(J1612=0,K1612=""),"",IF(E1612="Positivo",MIN(MAX(K1612/J1612,0),1.3),MIN(MAX(J1612/K1612,0),1.3))),"") </f>
        <v/>
      </c>
      <c r="M1612" s="59">
        <f>IFERROR(IF(OR(J1612=0,K1612=""),"",IF(E1612="Positivo",MAX(K1612/J1612,0),MAX(J1612/K1612,0))),"") </f>
        <v/>
      </c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509-2025-06-30</t>
        </is>
      </c>
    </row>
    <row r="1613">
      <c r="A1613" t="n">
        <v>509</v>
      </c>
      <c r="B1613" t="inlineStr">
        <is>
          <t>Cumplimiento a cronograma de proyectos 2025</t>
        </is>
      </c>
      <c r="C1613" t="inlineStr">
        <is>
          <t>Gestión de Proyectos</t>
        </is>
      </c>
      <c r="D1613" t="inlineStr">
        <is>
          <t>Mensual</t>
        </is>
      </c>
      <c r="E1613" t="inlineStr">
        <is>
          <t>Positivo</t>
        </is>
      </c>
      <c r="F1613" s="148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J1613" t="n">
        <v>90</v>
      </c>
      <c r="K1613" t="n">
        <v>97.33</v>
      </c>
      <c r="L1613" s="59">
        <f>IFERROR(IF(OR(J1613=0,K1613=""),"",IF(E1613="Positivo",MIN(MAX(K1613/J1613,0),1.3),MIN(MAX(J1613/K1613,0),1.3))),"") </f>
        <v/>
      </c>
      <c r="M1613" s="59">
        <f>IFERROR(IF(OR(J1613=0,K1613=""),"",IF(E1613="Positivo",MAX(K1613/J1613,0),MAX(J1613/K1613,0))),"") </f>
        <v/>
      </c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509-2025-12-31</t>
        </is>
      </c>
    </row>
    <row r="1614">
      <c r="A1614" t="n">
        <v>510</v>
      </c>
      <c r="B1614" t="inlineStr">
        <is>
          <t>Frecuencia de incidentes de riesgos</t>
        </is>
      </c>
      <c r="C1614" t="inlineStr">
        <is>
          <t>GESTIÓN DE RIESGOS</t>
        </is>
      </c>
      <c r="D1614" t="inlineStr">
        <is>
          <t>Semestral</t>
        </is>
      </c>
      <c r="E1614" t="inlineStr">
        <is>
          <t>Positivo</t>
        </is>
      </c>
      <c r="F1614" s="148" t="n">
        <v>45838</v>
      </c>
      <c r="G1614" t="n">
        <v>2025</v>
      </c>
      <c r="H1614" t="inlineStr">
        <is>
          <t>Junio</t>
        </is>
      </c>
      <c r="I1614" t="inlineStr">
        <is>
          <t>2025-1</t>
        </is>
      </c>
      <c r="K1614" t="n">
        <v>0</v>
      </c>
      <c r="L1614" s="59" t="n"/>
      <c r="M1614" s="59" t="n"/>
      <c r="N1614" t="inlineStr">
        <is>
          <t>Linea Base</t>
        </is>
      </c>
      <c r="O1614" t="inlineStr">
        <is>
          <t>%</t>
        </is>
      </c>
      <c r="P1614" t="n">
        <v>0</v>
      </c>
      <c r="Q1614" t="n">
        <v>0</v>
      </c>
      <c r="R1614" t="inlineStr">
        <is>
          <t>510-2025-06-30</t>
        </is>
      </c>
    </row>
    <row r="1615">
      <c r="A1615" t="n">
        <v>510</v>
      </c>
      <c r="B1615" t="inlineStr">
        <is>
          <t>Frecuencia de incidentes de riesgos</t>
        </is>
      </c>
      <c r="C1615" t="inlineStr">
        <is>
          <t>GESTIÓN DE RIESGOS</t>
        </is>
      </c>
      <c r="D1615" t="inlineStr">
        <is>
          <t>Semestral</t>
        </is>
      </c>
      <c r="E1615" t="inlineStr">
        <is>
          <t>Positivo</t>
        </is>
      </c>
      <c r="F1615" s="148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K1615" t="n">
        <v>0</v>
      </c>
      <c r="L1615" s="59" t="n"/>
      <c r="M1615" s="59" t="n"/>
      <c r="N1615" t="inlineStr">
        <is>
          <t>Linea Base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510-2025-12-31</t>
        </is>
      </c>
    </row>
    <row r="1616">
      <c r="A1616" t="n">
        <v>511</v>
      </c>
      <c r="B1616" t="inlineStr">
        <is>
          <t>Eficacia de controles</t>
        </is>
      </c>
      <c r="C1616" t="inlineStr">
        <is>
          <t>GESTIÓN DE RIESGOS</t>
        </is>
      </c>
      <c r="D1616" t="inlineStr">
        <is>
          <t>Semestral</t>
        </is>
      </c>
      <c r="E1616" t="inlineStr">
        <is>
          <t>Positivo</t>
        </is>
      </c>
      <c r="F1616" s="148" t="n">
        <v>45838</v>
      </c>
      <c r="G1616" t="n">
        <v>2025</v>
      </c>
      <c r="H1616" t="inlineStr">
        <is>
          <t>Junio</t>
        </is>
      </c>
      <c r="I1616" t="inlineStr">
        <is>
          <t>2025-1</t>
        </is>
      </c>
      <c r="K1616" t="n">
        <v>86.36</v>
      </c>
      <c r="L1616" s="59" t="n"/>
      <c r="M1616" s="59" t="n"/>
      <c r="N1616" t="inlineStr">
        <is>
          <t>Linea Base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511-2025-06-30</t>
        </is>
      </c>
    </row>
    <row r="1617">
      <c r="A1617" t="n">
        <v>511</v>
      </c>
      <c r="B1617" t="inlineStr">
        <is>
          <t>Eficacia de controles</t>
        </is>
      </c>
      <c r="C1617" t="inlineStr">
        <is>
          <t>GESTIÓN DE RIESGOS</t>
        </is>
      </c>
      <c r="D1617" t="inlineStr">
        <is>
          <t>Semestral</t>
        </is>
      </c>
      <c r="E1617" t="inlineStr">
        <is>
          <t>Positivo</t>
        </is>
      </c>
      <c r="F1617" s="148" t="n">
        <v>46022</v>
      </c>
      <c r="G1617" t="n">
        <v>2025</v>
      </c>
      <c r="H1617" t="inlineStr">
        <is>
          <t>Diciembre</t>
        </is>
      </c>
      <c r="I1617" t="inlineStr">
        <is>
          <t>2025-2</t>
        </is>
      </c>
      <c r="K1617" t="n">
        <v>171.12</v>
      </c>
      <c r="L1617" s="59" t="n"/>
      <c r="M1617" s="59" t="n"/>
      <c r="N1617" t="inlineStr">
        <is>
          <t>Linea Base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511-2025-12-31</t>
        </is>
      </c>
    </row>
    <row r="1618">
      <c r="A1618" t="n">
        <v>513</v>
      </c>
      <c r="B1618" t="inlineStr">
        <is>
          <t>Nivel de cumplimiento del plan de seguimiento a controles</t>
        </is>
      </c>
      <c r="C1618" t="inlineStr">
        <is>
          <t>GESTIÓN DE RIESGOS</t>
        </is>
      </c>
      <c r="D1618" t="inlineStr">
        <is>
          <t>Semestral</t>
        </is>
      </c>
      <c r="E1618" t="inlineStr">
        <is>
          <t>Positivo</t>
        </is>
      </c>
      <c r="F1618" s="148" t="n">
        <v>45838</v>
      </c>
      <c r="G1618" t="n">
        <v>2025</v>
      </c>
      <c r="H1618" t="inlineStr">
        <is>
          <t>Junio</t>
        </is>
      </c>
      <c r="I1618" t="inlineStr">
        <is>
          <t>2025-1</t>
        </is>
      </c>
      <c r="K1618" t="n">
        <v>100</v>
      </c>
      <c r="L1618" s="59" t="n"/>
      <c r="M1618" s="59" t="n"/>
      <c r="N1618" t="inlineStr">
        <is>
          <t>Linea Base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513-2025-06-30</t>
        </is>
      </c>
    </row>
    <row r="1619">
      <c r="A1619" t="n">
        <v>514</v>
      </c>
      <c r="B1619" t="inlineStr">
        <is>
          <t>Respuesta ante nuevas necesidades de control</t>
        </is>
      </c>
      <c r="C1619" t="inlineStr">
        <is>
          <t>GESTIÓN DE RIESGOS</t>
        </is>
      </c>
      <c r="D1619" t="inlineStr">
        <is>
          <t>Trimestral</t>
        </is>
      </c>
      <c r="E1619" t="inlineStr">
        <is>
          <t>Positivo</t>
        </is>
      </c>
      <c r="F1619" s="148" t="n">
        <v>45838</v>
      </c>
      <c r="G1619" t="n">
        <v>2025</v>
      </c>
      <c r="H1619" t="inlineStr">
        <is>
          <t>Junio</t>
        </is>
      </c>
      <c r="I1619" t="inlineStr">
        <is>
          <t>2025-1</t>
        </is>
      </c>
      <c r="J1619" t="n">
        <v>70</v>
      </c>
      <c r="K1619" t="n">
        <v>91.81999999999999</v>
      </c>
      <c r="L1619" s="59">
        <f>IFERROR(IF(OR(J1619=0,K1619=""),"",IF(E1619="Positivo",MIN(MAX(K1619/J1619,0),1.3),MIN(MAX(J1619/K1619,0),1.3))),"") </f>
        <v/>
      </c>
      <c r="M1619" s="59">
        <f>IFERROR(IF(OR(J1619=0,K1619=""),"",IF(E1619="Positivo",MAX(K1619/J1619,0),MAX(J1619/K1619,0))),"") </f>
        <v/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514-2025-06-30</t>
        </is>
      </c>
    </row>
    <row r="1620">
      <c r="A1620" t="n">
        <v>514</v>
      </c>
      <c r="B1620" t="inlineStr">
        <is>
          <t>Respuesta ante nuevas necesidades de control</t>
        </is>
      </c>
      <c r="C1620" t="inlineStr">
        <is>
          <t>GESTIÓN DE RIESGOS</t>
        </is>
      </c>
      <c r="D1620" t="inlineStr">
        <is>
          <t>Trimestral</t>
        </is>
      </c>
      <c r="E1620" t="inlineStr">
        <is>
          <t>Positivo</t>
        </is>
      </c>
      <c r="F1620" s="148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70</v>
      </c>
      <c r="K1620" t="n">
        <v>45.96</v>
      </c>
      <c r="L1620" s="59">
        <f>IFERROR(IF(OR(J1620=0,K1620=""),"",IF(E1620="Positivo",MIN(MAX(K1620/J1620,0),1.3),MIN(MAX(J1620/K1620,0),1.3))),"") </f>
        <v/>
      </c>
      <c r="M1620" s="59">
        <f>IFERROR(IF(OR(J1620=0,K1620=""),"",IF(E1620="Positivo",MAX(K1620/J1620,0),MAX(J1620/K1620,0))),"") </f>
        <v/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514-2025-12-31</t>
        </is>
      </c>
    </row>
    <row r="1621">
      <c r="A1621" t="n">
        <v>515</v>
      </c>
      <c r="B1621" t="inlineStr">
        <is>
          <t>Porcentaje de procesos de control implementados</t>
        </is>
      </c>
      <c r="C1621" t="inlineStr">
        <is>
          <t>GESTIÓN DE LA TECNOLOGÍA E INNOVACIÓN DIGITAL</t>
        </is>
      </c>
      <c r="D1621" t="inlineStr">
        <is>
          <t>Trimestral</t>
        </is>
      </c>
      <c r="E1621" t="inlineStr">
        <is>
          <t>Positivo</t>
        </is>
      </c>
      <c r="F1621" s="148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K1621" t="n">
        <v>66.67</v>
      </c>
      <c r="L1621" s="59" t="n"/>
      <c r="M1621" s="59" t="n"/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515-2025-12-31</t>
        </is>
      </c>
    </row>
    <row r="1622">
      <c r="A1622" t="n">
        <v>516</v>
      </c>
      <c r="B1622" t="inlineStr">
        <is>
          <t>Porcentaje de colaboradores formados en ciberseguridad</t>
        </is>
      </c>
      <c r="C1622" t="inlineStr">
        <is>
          <t>GESTIÓN DE LA TECNOLOGÍA E INNOVACIÓN DIGITAL</t>
        </is>
      </c>
      <c r="D1622" t="inlineStr">
        <is>
          <t>Trimestral</t>
        </is>
      </c>
      <c r="E1622" t="inlineStr">
        <is>
          <t>Positivo</t>
        </is>
      </c>
      <c r="F1622" s="148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K1622" t="n">
        <v>315.79</v>
      </c>
      <c r="L1622" s="59" t="n"/>
      <c r="M1622" s="59" t="n"/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516-2025-12-31</t>
        </is>
      </c>
    </row>
    <row r="1623">
      <c r="A1623" t="n">
        <v>518</v>
      </c>
      <c r="B1623" t="inlineStr">
        <is>
          <t>Cumplimiento programa de auditoría</t>
        </is>
      </c>
      <c r="C1623" t="inlineStr">
        <is>
          <t>AUDITORÍA INTERNA</t>
        </is>
      </c>
      <c r="D1623" t="inlineStr">
        <is>
          <t>Bimestral</t>
        </is>
      </c>
      <c r="E1623" t="inlineStr">
        <is>
          <t>Positivo</t>
        </is>
      </c>
      <c r="F1623" s="148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J1623" t="n">
        <v>100</v>
      </c>
      <c r="K1623" t="n">
        <v>87.5</v>
      </c>
      <c r="L1623" s="59">
        <f>IFERROR(IF(OR(J1623=0,K1623=""),"",IF(E1623="Positivo",MIN(MAX(K1623/J1623,0),1.3),MIN(MAX(J1623/K1623,0),1.3))),"") </f>
        <v/>
      </c>
      <c r="M1623" s="59">
        <f>IFERROR(IF(OR(J1623=0,K1623=""),"",IF(E1623="Positivo",MAX(K1623/J1623,0),MAX(J1623/K1623,0))),"") </f>
        <v/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518-2025-06-30</t>
        </is>
      </c>
    </row>
    <row r="1624">
      <c r="A1624" t="n">
        <v>518</v>
      </c>
      <c r="B1624" t="inlineStr">
        <is>
          <t>Cumplimiento programa de auditoría</t>
        </is>
      </c>
      <c r="C1624" t="inlineStr">
        <is>
          <t>AUDITORÍA INTERNA</t>
        </is>
      </c>
      <c r="D1624" t="inlineStr">
        <is>
          <t>Semestral</t>
        </is>
      </c>
      <c r="E1624" t="inlineStr">
        <is>
          <t>Positivo</t>
        </is>
      </c>
      <c r="F1624" s="148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100</v>
      </c>
      <c r="K1624" t="n">
        <v>137.5</v>
      </c>
      <c r="L1624" s="59">
        <f>IFERROR(IF(OR(J1624=0,K1624=""),"",IF(E1624="Positivo",MIN(MAX(K1624/J1624,0),1.3),MIN(MAX(J1624/K1624,0),1.3))),"") </f>
        <v/>
      </c>
      <c r="M1624" s="59">
        <f>IFERROR(IF(OR(J1624=0,K1624=""),"",IF(E1624="Positivo",MAX(K1624/J1624,0),MAX(J1624/K1624,0))),"") </f>
        <v/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518-2025-12-31</t>
        </is>
      </c>
    </row>
    <row r="1625">
      <c r="A1625" t="n">
        <v>519</v>
      </c>
      <c r="B1625" t="inlineStr">
        <is>
          <t>% de publicaciones con sentimiento neutro o negativo</t>
        </is>
      </c>
      <c r="C1625" t="inlineStr">
        <is>
          <t>Comunicaciones Externas</t>
        </is>
      </c>
      <c r="D1625" t="inlineStr">
        <is>
          <t>Trimestral</t>
        </is>
      </c>
      <c r="E1625" t="inlineStr">
        <is>
          <t>Positivo</t>
        </is>
      </c>
      <c r="F1625" s="148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J1625" t="n">
        <v>100</v>
      </c>
      <c r="K1625" t="n">
        <v>431.45</v>
      </c>
      <c r="L1625" s="59">
        <f>IFERROR(IF(OR(J1625=0,K1625=""),"",IF(E1625="Positivo",MIN(MAX(K1625/J1625,0),1.3),MIN(MAX(J1625/K1625,0),1.3))),"") </f>
        <v/>
      </c>
      <c r="M1625" s="59">
        <f>IFERROR(IF(OR(J1625=0,K1625=""),"",IF(E1625="Positivo",MAX(K1625/J1625,0),MAX(J1625/K1625,0))),"") </f>
        <v/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519-2025-06-30</t>
        </is>
      </c>
    </row>
    <row r="1626">
      <c r="A1626" t="n">
        <v>519</v>
      </c>
      <c r="B1626" t="inlineStr">
        <is>
          <t>% de publicaciones con sentimiento neutro o negativo</t>
        </is>
      </c>
      <c r="C1626" t="inlineStr">
        <is>
          <t>Comunicaciones Externas</t>
        </is>
      </c>
      <c r="D1626" t="inlineStr">
        <is>
          <t>Trimestral</t>
        </is>
      </c>
      <c r="E1626" t="inlineStr">
        <is>
          <t>Positivo</t>
        </is>
      </c>
      <c r="F1626" s="148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J1626" t="n">
        <v>100</v>
      </c>
      <c r="K1626" t="n">
        <v>131.13</v>
      </c>
      <c r="L1626" s="59">
        <f>IFERROR(IF(OR(J1626=0,K1626=""),"",IF(E1626="Positivo",MIN(MAX(K1626/J1626,0),1.3),MIN(MAX(J1626/K1626,0),1.3))),"") </f>
        <v/>
      </c>
      <c r="M1626" s="59">
        <f>IFERROR(IF(OR(J1626=0,K1626=""),"",IF(E1626="Positivo",MAX(K1626/J1626,0),MAX(J1626/K1626,0))),"") </f>
        <v/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519-2025-12-31</t>
        </is>
      </c>
    </row>
    <row r="1627">
      <c r="A1627" t="n">
        <v>522</v>
      </c>
      <c r="B1627" t="inlineStr">
        <is>
          <t>Asignaturas o modulos con mecanismos de evaluación implementados</t>
        </is>
      </c>
      <c r="C1627" t="inlineStr">
        <is>
          <t>Gestión, Evaluación e Innovación Curricular</t>
        </is>
      </c>
      <c r="D1627" t="inlineStr">
        <is>
          <t>Anual</t>
        </is>
      </c>
      <c r="E1627" t="inlineStr">
        <is>
          <t>Positivo</t>
        </is>
      </c>
      <c r="F1627" s="148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20</v>
      </c>
      <c r="K1627" t="n">
        <v>100</v>
      </c>
      <c r="L1627" s="59">
        <f>IFERROR(IF(OR(J1627=0,K1627=""),"",IF(E1627="Positivo",MIN(MAX(K1627/J1627,0),1.3),MIN(MAX(J1627/K1627,0),1.3))),"") </f>
        <v/>
      </c>
      <c r="M1627" s="59">
        <f>IFERROR(IF(OR(J1627=0,K1627=""),"",IF(E1627="Positivo",MAX(K1627/J1627,0),MAX(J1627/K1627,0))),"") </f>
        <v/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522-2025-12-31</t>
        </is>
      </c>
    </row>
    <row r="1628">
      <c r="A1628" t="n">
        <v>523</v>
      </c>
      <c r="B1628" t="inlineStr">
        <is>
          <t>Ingresos totales de educación para la vida</t>
        </is>
      </c>
      <c r="C1628" t="inlineStr">
        <is>
          <t>Planeación Financiera</t>
        </is>
      </c>
      <c r="D1628" t="inlineStr">
        <is>
          <t>Trimestral</t>
        </is>
      </c>
      <c r="E1628" t="inlineStr">
        <is>
          <t>Positivo</t>
        </is>
      </c>
      <c r="F1628" s="148" t="n">
        <v>45838</v>
      </c>
      <c r="G1628" t="n">
        <v>2025</v>
      </c>
      <c r="H1628" t="inlineStr">
        <is>
          <t>Junio</t>
        </is>
      </c>
      <c r="I1628" t="inlineStr">
        <is>
          <t>2025-1</t>
        </is>
      </c>
      <c r="J1628" t="n">
        <v>95</v>
      </c>
      <c r="K1628" t="n">
        <v>128.41</v>
      </c>
      <c r="L1628" s="59">
        <f>IFERROR(IF(OR(J1628=0,K1628=""),"",IF(E1628="Positivo",MIN(MAX(K1628/J1628,0),1.3),MIN(MAX(J1628/K1628,0),1.3))),"") </f>
        <v/>
      </c>
      <c r="M1628" s="59">
        <f>IFERROR(IF(OR(J1628=0,K1628=""),"",IF(E1628="Positivo",MAX(K1628/J1628,0),MAX(J1628/K1628,0))),"") </f>
        <v/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523-2025-06-30</t>
        </is>
      </c>
    </row>
    <row r="1629">
      <c r="A1629" t="n">
        <v>523</v>
      </c>
      <c r="B1629" t="inlineStr">
        <is>
          <t>Ingresos totales de educación para la vida</t>
        </is>
      </c>
      <c r="C1629" t="inlineStr">
        <is>
          <t>Planeación Financiera</t>
        </is>
      </c>
      <c r="D1629" t="inlineStr">
        <is>
          <t>Trimestral</t>
        </is>
      </c>
      <c r="E1629" t="inlineStr">
        <is>
          <t>Positivo</t>
        </is>
      </c>
      <c r="F1629" s="148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J1629" t="n">
        <v>95</v>
      </c>
      <c r="K1629" t="n">
        <v>95.76000000000001</v>
      </c>
      <c r="L1629" s="59">
        <f>IFERROR(IF(OR(J1629=0,K1629=""),"",IF(E1629="Positivo",MIN(MAX(K1629/J1629,0),1.3),MIN(MAX(J1629/K1629,0),1.3))),"") </f>
        <v/>
      </c>
      <c r="M1629" s="59">
        <f>IFERROR(IF(OR(J1629=0,K1629=""),"",IF(E1629="Positivo",MAX(K1629/J1629,0),MAX(J1629/K1629,0))),"") </f>
        <v/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523-2025-12-31</t>
        </is>
      </c>
    </row>
    <row r="1630">
      <c r="A1630" t="n">
        <v>524</v>
      </c>
      <c r="B1630" t="inlineStr">
        <is>
          <t>Total Leads por canales de captación</t>
        </is>
      </c>
      <c r="C1630" t="inlineStr">
        <is>
          <t>Mercadeo de programas académicos</t>
        </is>
      </c>
      <c r="D1630" t="inlineStr">
        <is>
          <t>Trimestral</t>
        </is>
      </c>
      <c r="E1630" t="inlineStr">
        <is>
          <t>Positivo</t>
        </is>
      </c>
      <c r="F1630" s="148" t="n">
        <v>45838</v>
      </c>
      <c r="G1630" t="n">
        <v>2025</v>
      </c>
      <c r="H1630" t="inlineStr">
        <is>
          <t>Junio</t>
        </is>
      </c>
      <c r="I1630" t="inlineStr">
        <is>
          <t>2025-1</t>
        </is>
      </c>
      <c r="J1630" t="n">
        <v>100</v>
      </c>
      <c r="K1630" t="n">
        <v>99.38</v>
      </c>
      <c r="L1630" s="59">
        <f>IFERROR(IF(OR(J1630=0,K1630=""),"",IF(E1630="Positivo",MIN(MAX(K1630/J1630,0),1.3),MIN(MAX(J1630/K1630,0),1.3))),"") </f>
        <v/>
      </c>
      <c r="M1630" s="59">
        <f>IFERROR(IF(OR(J1630=0,K1630=""),"",IF(E1630="Positivo",MAX(K1630/J1630,0),MAX(J1630/K1630,0))),"") </f>
        <v/>
      </c>
      <c r="N1630" t="inlineStr">
        <is>
          <t>ENT</t>
        </is>
      </c>
      <c r="O1630" t="inlineStr">
        <is>
          <t>ENT</t>
        </is>
      </c>
      <c r="P1630" t="n">
        <v>0</v>
      </c>
      <c r="Q1630" t="n">
        <v>0</v>
      </c>
      <c r="R1630" t="inlineStr">
        <is>
          <t>524-2025-06-30</t>
        </is>
      </c>
    </row>
    <row r="1631">
      <c r="A1631" t="n">
        <v>524</v>
      </c>
      <c r="B1631" t="inlineStr">
        <is>
          <t>Total Leads por canales de captación</t>
        </is>
      </c>
      <c r="C1631" t="inlineStr">
        <is>
          <t>Mercadeo de programas académicos</t>
        </is>
      </c>
      <c r="D1631" t="inlineStr">
        <is>
          <t>Trimestral</t>
        </is>
      </c>
      <c r="E1631" t="inlineStr">
        <is>
          <t>Positivo</t>
        </is>
      </c>
      <c r="F1631" s="148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100</v>
      </c>
      <c r="K1631" t="n">
        <v>106.07</v>
      </c>
      <c r="L1631" s="59">
        <f>IFERROR(IF(OR(J1631=0,K1631=""),"",IF(E1631="Positivo",MIN(MAX(K1631/J1631,0),1.3),MIN(MAX(J1631/K1631,0),1.3))),"") </f>
        <v/>
      </c>
      <c r="M1631" s="59">
        <f>IFERROR(IF(OR(J1631=0,K1631=""),"",IF(E1631="Positivo",MAX(K1631/J1631,0),MAX(J1631/K1631,0))),"") </f>
        <v/>
      </c>
      <c r="N1631" t="inlineStr">
        <is>
          <t>ENT</t>
        </is>
      </c>
      <c r="O1631" t="inlineStr">
        <is>
          <t>ENT</t>
        </is>
      </c>
      <c r="P1631" t="n">
        <v>0</v>
      </c>
      <c r="Q1631" t="n">
        <v>0</v>
      </c>
      <c r="R1631" t="inlineStr">
        <is>
          <t>524-2025-12-31</t>
        </is>
      </c>
    </row>
    <row r="1632">
      <c r="A1632" t="n">
        <v>526</v>
      </c>
      <c r="B1632" t="inlineStr">
        <is>
          <t>Cumplimiento Politica Polisigs</t>
        </is>
      </c>
      <c r="C1632" t="inlineStr">
        <is>
          <t>Planificación POLISIGS</t>
        </is>
      </c>
      <c r="D1632" t="inlineStr">
        <is>
          <t>Semestral</t>
        </is>
      </c>
      <c r="E1632" t="inlineStr">
        <is>
          <t>Positivo</t>
        </is>
      </c>
      <c r="F1632" s="148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95</v>
      </c>
      <c r="K1632" t="n">
        <v>96.59999999999999</v>
      </c>
      <c r="L1632" s="59">
        <f>IFERROR(IF(OR(J1632=0,K1632=""),"",IF(E1632="Positivo",MIN(MAX(K1632/J1632,0),1.3),MIN(MAX(J1632/K1632,0),1.3))),"") </f>
        <v/>
      </c>
      <c r="M1632" s="59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526-2025-12-31</t>
        </is>
      </c>
    </row>
    <row r="1633">
      <c r="A1633" t="n">
        <v>527</v>
      </c>
      <c r="B1633" t="inlineStr">
        <is>
          <t>Participación de Grupos de Interés en la construcción del nuevo plan de desarrollo (PDI)</t>
        </is>
      </c>
      <c r="C1633" t="inlineStr">
        <is>
          <t>Planeación Estratégica</t>
        </is>
      </c>
      <c r="D1633" t="inlineStr">
        <is>
          <t>Anual</t>
        </is>
      </c>
      <c r="E1633" t="inlineStr">
        <is>
          <t>Positivo</t>
        </is>
      </c>
      <c r="F1633" s="148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100</v>
      </c>
      <c r="K1633" t="n">
        <v>197.94</v>
      </c>
      <c r="L1633" s="59">
        <f>IFERROR(IF(OR(J1633=0,K1633=""),"",IF(E1633="Positivo",MIN(MAX(K1633/J1633,0),1.3),MIN(MAX(J1633/K1633,0),1.3))),"") </f>
        <v/>
      </c>
      <c r="M1633" s="5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527-2025-12-31</t>
        </is>
      </c>
    </row>
    <row r="1634">
      <c r="A1634" t="n">
        <v>528</v>
      </c>
      <c r="B1634" t="inlineStr">
        <is>
          <t>Participación de la comunidad en la Rendición de Cuentas</t>
        </is>
      </c>
      <c r="C1634" t="inlineStr">
        <is>
          <t>Planeación Estratégica</t>
        </is>
      </c>
      <c r="D1634" t="inlineStr">
        <is>
          <t>Anual</t>
        </is>
      </c>
      <c r="E1634" t="inlineStr">
        <is>
          <t>Positivo</t>
        </is>
      </c>
      <c r="F1634" s="148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100</v>
      </c>
      <c r="K1634" t="n">
        <v>173.92055267703</v>
      </c>
      <c r="L1634" s="59">
        <f>IFERROR(IF(OR(J1634=0,K1634=""),"",IF(E1634="Positivo",MIN(MAX(K1634/J1634,0),1.3),MIN(MAX(J1634/K1634,0),1.3))),"") </f>
        <v/>
      </c>
      <c r="M1634" s="59">
        <f>IFERROR(IF(OR(J1634=0,K1634=""),"",IF(E1634="Positivo",MAX(K1634/J1634,0),MAX(J1634/K1634,0))),"") </f>
        <v/>
      </c>
      <c r="N1634" t="inlineStr">
        <is>
          <t>ENT</t>
        </is>
      </c>
      <c r="O1634" t="inlineStr">
        <is>
          <t>ENT</t>
        </is>
      </c>
      <c r="P1634" t="n">
        <v>0</v>
      </c>
      <c r="Q1634" t="n">
        <v>0</v>
      </c>
      <c r="R1634" t="inlineStr">
        <is>
          <t>528-2025-06-30</t>
        </is>
      </c>
    </row>
    <row r="1635">
      <c r="A1635" t="n">
        <v>528</v>
      </c>
      <c r="B1635" t="inlineStr">
        <is>
          <t>Participación de la comunidad en la Rendición de Cuentas</t>
        </is>
      </c>
      <c r="C1635" t="inlineStr">
        <is>
          <t>Planeación Estratégica</t>
        </is>
      </c>
      <c r="D1635" t="inlineStr">
        <is>
          <t>Anual</t>
        </is>
      </c>
      <c r="E1635" t="inlineStr">
        <is>
          <t>Positivo</t>
        </is>
      </c>
      <c r="F1635" s="148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100</v>
      </c>
      <c r="K1635" t="n">
        <v>1158</v>
      </c>
      <c r="L1635" s="59">
        <f>IFERROR(IF(OR(J1635=0,K1635=""),"",IF(E1635="Positivo",MIN(MAX(K1635/J1635,0),1.3),MIN(MAX(J1635/K1635,0),1.3))),"") </f>
        <v/>
      </c>
      <c r="M1635" s="59">
        <f>IFERROR(IF(OR(J1635=0,K1635=""),"",IF(E1635="Positivo",MAX(K1635/J1635,0),MAX(J1635/K1635,0))),"") </f>
        <v/>
      </c>
      <c r="N1635" t="inlineStr">
        <is>
          <t>ENT</t>
        </is>
      </c>
      <c r="O1635" t="inlineStr">
        <is>
          <t>ENT</t>
        </is>
      </c>
      <c r="P1635" t="n">
        <v>0</v>
      </c>
      <c r="Q1635" t="n">
        <v>0</v>
      </c>
      <c r="R1635" t="inlineStr">
        <is>
          <t>528-2025-12-31</t>
        </is>
      </c>
    </row>
    <row r="1636">
      <c r="A1636" t="n">
        <v>529</v>
      </c>
      <c r="B1636" t="inlineStr">
        <is>
          <t>Oportunidad en la solución de solicitudes de infraestructura</t>
        </is>
      </c>
      <c r="C1636" t="inlineStr">
        <is>
          <t>Gestión Infraestructura Física</t>
        </is>
      </c>
      <c r="D1636" t="inlineStr">
        <is>
          <t>Semestral</t>
        </is>
      </c>
      <c r="E1636" t="inlineStr">
        <is>
          <t>Positivo</t>
        </is>
      </c>
      <c r="F1636" s="148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180</v>
      </c>
      <c r="K1636" t="n">
        <v>294.16</v>
      </c>
      <c r="L1636" s="59">
        <f>IFERROR(IF(OR(J1636=0,K1636=""),"",IF(E1636="Positivo",MIN(MAX(K1636/J1636,0),1.3),MIN(MAX(J1636/K1636,0),1.3))),"") </f>
        <v/>
      </c>
      <c r="M1636" s="59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529-2025-12-31</t>
        </is>
      </c>
    </row>
    <row r="1637">
      <c r="A1637" t="n">
        <v>530</v>
      </c>
      <c r="B1637" t="inlineStr">
        <is>
          <t>Índice de Cumplimiento del Sprint</t>
        </is>
      </c>
      <c r="C1637" t="inlineStr">
        <is>
          <t>GESTIÓN DE LA TECNOLOGÍA E INNOVACIÓN DIGITAL</t>
        </is>
      </c>
      <c r="D1637" t="inlineStr">
        <is>
          <t>Trimestral</t>
        </is>
      </c>
      <c r="E1637" t="inlineStr">
        <is>
          <t>Positivo</t>
        </is>
      </c>
      <c r="F1637" s="148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97</v>
      </c>
      <c r="K1637" t="n">
        <v>85.56</v>
      </c>
      <c r="L1637" s="59">
        <f>IFERROR(IF(OR(J1637=0,K1637=""),"",IF(E1637="Positivo",MIN(MAX(K1637/J1637,0),1.3),MIN(MAX(J1637/K1637,0),1.3))),"") </f>
        <v/>
      </c>
      <c r="M1637" s="59">
        <f>IFERROR(IF(OR(J1637=0,K1637=""),"",IF(E1637="Positivo",MAX(K1637/J1637,0),MAX(J1637/K1637,0))),"") 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530-2025-12-31</t>
        </is>
      </c>
    </row>
    <row r="1638">
      <c r="A1638" t="n">
        <v>531</v>
      </c>
      <c r="B1638" t="inlineStr">
        <is>
          <t>Eficiencia de capacidad instalada</t>
        </is>
      </c>
      <c r="C1638" t="inlineStr">
        <is>
          <t>GESTIÓN DE LA TECNOLOGÍA E INNOVACIÓN DIGITAL</t>
        </is>
      </c>
      <c r="D1638" t="inlineStr">
        <is>
          <t>Trimestral</t>
        </is>
      </c>
      <c r="E1638" t="inlineStr">
        <is>
          <t>Positivo</t>
        </is>
      </c>
      <c r="F1638" s="148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90</v>
      </c>
      <c r="K1638" t="n">
        <v>93.94</v>
      </c>
      <c r="L1638" s="59">
        <f>IFERROR(IF(OR(J1638=0,K1638=""),"",IF(E1638="Positivo",MIN(MAX(K1638/J1638,0),1.3),MIN(MAX(J1638/K1638,0),1.3))),"") </f>
        <v/>
      </c>
      <c r="M1638" s="59">
        <f>IFERROR(IF(OR(J1638=0,K1638=""),"",IF(E1638="Positivo",MAX(K1638/J1638,0),MAX(J1638/K1638,0))),"") 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531-2025-12-31</t>
        </is>
      </c>
    </row>
    <row r="1639">
      <c r="A1639" t="n">
        <v>532</v>
      </c>
      <c r="B1639" t="inlineStr">
        <is>
          <t>Actividades de Cooperación en Internacionalización</t>
        </is>
      </c>
      <c r="C1639" t="inlineStr">
        <is>
          <t>VISIBILIDAD NACIONAL E INTERNACIONAL</t>
        </is>
      </c>
      <c r="D1639" t="inlineStr">
        <is>
          <t>Trimestral</t>
        </is>
      </c>
      <c r="E1639" t="inlineStr">
        <is>
          <t>Positivo</t>
        </is>
      </c>
      <c r="F1639" s="148" t="n">
        <v>45838</v>
      </c>
      <c r="G1639" t="n">
        <v>2025</v>
      </c>
      <c r="H1639" t="inlineStr">
        <is>
          <t>Junio</t>
        </is>
      </c>
      <c r="I1639" t="inlineStr">
        <is>
          <t>2025-1</t>
        </is>
      </c>
      <c r="J1639" t="n">
        <v>100</v>
      </c>
      <c r="K1639" t="n">
        <v>133.15</v>
      </c>
      <c r="L1639" s="59">
        <f>IFERROR(IF(OR(J1639=0,K1639=""),"",IF(E1639="Positivo",MIN(MAX(K1639/J1639,0),1.3),MIN(MAX(J1639/K1639,0),1.3))),"") </f>
        <v/>
      </c>
      <c r="M1639" s="5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532-2025-06-30</t>
        </is>
      </c>
    </row>
    <row r="1640">
      <c r="A1640" t="n">
        <v>532</v>
      </c>
      <c r="B1640" t="inlineStr">
        <is>
          <t>Actividades de Cooperación en Internacionalización</t>
        </is>
      </c>
      <c r="C1640" t="inlineStr">
        <is>
          <t>VISIBILIDAD NACIONAL E INTERNACIONAL</t>
        </is>
      </c>
      <c r="D1640" t="inlineStr">
        <is>
          <t>Trimestral</t>
        </is>
      </c>
      <c r="E1640" t="inlineStr">
        <is>
          <t>Positivo</t>
        </is>
      </c>
      <c r="F1640" s="148" t="n">
        <v>46022</v>
      </c>
      <c r="G1640" t="n">
        <v>2025</v>
      </c>
      <c r="H1640" t="inlineStr">
        <is>
          <t>Diciembre</t>
        </is>
      </c>
      <c r="I1640" t="inlineStr">
        <is>
          <t>2025-2</t>
        </is>
      </c>
      <c r="J1640" t="n">
        <v>100</v>
      </c>
      <c r="K1640" t="n">
        <v>134.78</v>
      </c>
      <c r="L1640" s="59">
        <f>IFERROR(IF(OR(J1640=0,K1640=""),"",IF(E1640="Positivo",MIN(MAX(K1640/J1640,0),1.3),MIN(MAX(J1640/K1640,0),1.3))),"") </f>
        <v/>
      </c>
      <c r="M1640" s="59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532-2025-12-31</t>
        </is>
      </c>
    </row>
    <row r="1641">
      <c r="A1641" t="n">
        <v>533</v>
      </c>
      <c r="B1641" t="inlineStr">
        <is>
          <t>Participación de estudiantes externos invitados a actividades de cooperación nacional e internacional</t>
        </is>
      </c>
      <c r="C1641" t="inlineStr">
        <is>
          <t>VISIBILIDAD NACIONAL E INTERNACIONAL</t>
        </is>
      </c>
      <c r="D1641" t="inlineStr">
        <is>
          <t>Trimestral</t>
        </is>
      </c>
      <c r="E1641" t="inlineStr">
        <is>
          <t>Positivo</t>
        </is>
      </c>
      <c r="F1641" s="148" t="n">
        <v>45838</v>
      </c>
      <c r="G1641" t="n">
        <v>2025</v>
      </c>
      <c r="H1641" t="inlineStr">
        <is>
          <t>Junio</t>
        </is>
      </c>
      <c r="I1641" t="inlineStr">
        <is>
          <t>2025-1</t>
        </is>
      </c>
      <c r="J1641" t="n">
        <v>100</v>
      </c>
      <c r="K1641" t="n">
        <v>124.89</v>
      </c>
      <c r="L1641" s="59">
        <f>IFERROR(IF(OR(J1641=0,K1641=""),"",IF(E1641="Positivo",MIN(MAX(K1641/J1641,0),1.3),MIN(MAX(J1641/K1641,0),1.3))),"") </f>
        <v/>
      </c>
      <c r="M1641" s="5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533-2025-06-30</t>
        </is>
      </c>
    </row>
    <row r="1642">
      <c r="A1642" t="n">
        <v>533</v>
      </c>
      <c r="B1642" t="inlineStr">
        <is>
          <t>Participación de estudiantes externos invitados a actividades de cooperación nacional e internacional</t>
        </is>
      </c>
      <c r="C1642" t="inlineStr">
        <is>
          <t>VISIBILIDAD NACIONAL E INTERNACIONAL</t>
        </is>
      </c>
      <c r="D1642" t="inlineStr">
        <is>
          <t>Trimestral</t>
        </is>
      </c>
      <c r="E1642" t="inlineStr">
        <is>
          <t>Positivo</t>
        </is>
      </c>
      <c r="F1642" s="148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100</v>
      </c>
      <c r="K1642" t="n">
        <v>177.95</v>
      </c>
      <c r="L1642" s="59">
        <f>IFERROR(IF(OR(J1642=0,K1642=""),"",IF(E1642="Positivo",MIN(MAX(K1642/J1642,0),1.3),MIN(MAX(J1642/K1642,0),1.3))),"") </f>
        <v/>
      </c>
      <c r="M1642" s="59">
        <f>IFERROR(IF(OR(J1642=0,K1642=""),"",IF(E1642="Positivo",MAX(K1642/J1642,0),MAX(J1642/K1642,0))),"") 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533-2025-12-31</t>
        </is>
      </c>
    </row>
    <row r="1643">
      <c r="A1643" t="n">
        <v>534</v>
      </c>
      <c r="B1643" t="inlineStr">
        <is>
          <t>Participación de estudiantes POLI en actividades de cooperación nacional e internacional</t>
        </is>
      </c>
      <c r="C1643" t="inlineStr">
        <is>
          <t>VISIBILIDAD NACIONAL E INTERNACIONAL</t>
        </is>
      </c>
      <c r="D1643" t="inlineStr">
        <is>
          <t>Trimestral</t>
        </is>
      </c>
      <c r="E1643" t="inlineStr">
        <is>
          <t>Positivo</t>
        </is>
      </c>
      <c r="F1643" s="148" t="n">
        <v>45838</v>
      </c>
      <c r="G1643" t="n">
        <v>2025</v>
      </c>
      <c r="H1643" t="inlineStr">
        <is>
          <t>Junio</t>
        </is>
      </c>
      <c r="I1643" t="inlineStr">
        <is>
          <t>2025-1</t>
        </is>
      </c>
      <c r="J1643" t="n">
        <v>100</v>
      </c>
      <c r="K1643" t="n">
        <v>134.09</v>
      </c>
      <c r="L1643" s="59">
        <f>IFERROR(IF(OR(J1643=0,K1643=""),"",IF(E1643="Positivo",MIN(MAX(K1643/J1643,0),1.3),MIN(MAX(J1643/K1643,0),1.3))),"") </f>
        <v/>
      </c>
      <c r="M1643" s="59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534-2025-06-30</t>
        </is>
      </c>
    </row>
    <row r="1644">
      <c r="A1644" t="n">
        <v>534</v>
      </c>
      <c r="B1644" t="inlineStr">
        <is>
          <t>Participación de estudiantes POLI en actividades de cooperación nacional e internacional</t>
        </is>
      </c>
      <c r="C1644" t="inlineStr">
        <is>
          <t>VISIBILIDAD NACIONAL E INTERNACIONAL</t>
        </is>
      </c>
      <c r="D1644" t="inlineStr">
        <is>
          <t>Trimestral</t>
        </is>
      </c>
      <c r="E1644" t="inlineStr">
        <is>
          <t>Positivo</t>
        </is>
      </c>
      <c r="F1644" s="148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100</v>
      </c>
      <c r="K1644" t="n">
        <v>134.53</v>
      </c>
      <c r="L1644" s="59">
        <f>IFERROR(IF(OR(J1644=0,K1644=""),"",IF(E1644="Positivo",MIN(MAX(K1644/J1644,0),1.3),MIN(MAX(J1644/K1644,0),1.3))),"") </f>
        <v/>
      </c>
      <c r="M1644" s="59">
        <f>IFERROR(IF(OR(J1644=0,K1644=""),"",IF(E1644="Positivo",MAX(K1644/J1644,0),MAX(J1644/K1644,0))),"") 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534-2025-12-31</t>
        </is>
      </c>
    </row>
    <row r="1645">
      <c r="A1645" t="n">
        <v>535</v>
      </c>
      <c r="B1645" t="inlineStr">
        <is>
          <t>Participación de profesores externos invitados a actividades de cooperación nacional e internacional</t>
        </is>
      </c>
      <c r="C1645" t="inlineStr">
        <is>
          <t>VISIBILIDAD NACIONAL E INTERNACIONAL</t>
        </is>
      </c>
      <c r="D1645" t="inlineStr">
        <is>
          <t>Trimestral</t>
        </is>
      </c>
      <c r="E1645" t="inlineStr">
        <is>
          <t>Positivo</t>
        </is>
      </c>
      <c r="F1645" s="148" t="n">
        <v>45838</v>
      </c>
      <c r="G1645" t="n">
        <v>2025</v>
      </c>
      <c r="H1645" t="inlineStr">
        <is>
          <t>Junio</t>
        </is>
      </c>
      <c r="I1645" t="inlineStr">
        <is>
          <t>2025-1</t>
        </is>
      </c>
      <c r="J1645" t="n">
        <v>100</v>
      </c>
      <c r="K1645" t="n">
        <v>132.67</v>
      </c>
      <c r="L1645" s="59">
        <f>IFERROR(IF(OR(J1645=0,K1645=""),"",IF(E1645="Positivo",MIN(MAX(K1645/J1645,0),1.3),MIN(MAX(J1645/K1645,0),1.3))),"") </f>
        <v/>
      </c>
      <c r="M1645" s="59">
        <f>IFERROR(IF(OR(J1645=0,K1645=""),"",IF(E1645="Positivo",MAX(K1645/J1645,0),MAX(J1645/K1645,0))),"") 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535-2025-06-30</t>
        </is>
      </c>
    </row>
    <row r="1646">
      <c r="A1646" t="n">
        <v>535</v>
      </c>
      <c r="B1646" t="inlineStr">
        <is>
          <t>Participación de profesores externos invitados a actividades de cooperación nacional e internacional</t>
        </is>
      </c>
      <c r="C1646" t="inlineStr">
        <is>
          <t>VISIBILIDAD NACIONAL E INTERNACIONAL</t>
        </is>
      </c>
      <c r="D1646" t="inlineStr">
        <is>
          <t>Trimestral</t>
        </is>
      </c>
      <c r="E1646" t="inlineStr">
        <is>
          <t>Positivo</t>
        </is>
      </c>
      <c r="F1646" s="148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100</v>
      </c>
      <c r="K1646" t="n">
        <v>209.63</v>
      </c>
      <c r="L1646" s="59">
        <f>IFERROR(IF(OR(J1646=0,K1646=""),"",IF(E1646="Positivo",MIN(MAX(K1646/J1646,0),1.3),MIN(MAX(J1646/K1646,0),1.3))),"") </f>
        <v/>
      </c>
      <c r="M1646" s="59">
        <f>IFERROR(IF(OR(J1646=0,K1646=""),"",IF(E1646="Positivo",MAX(K1646/J1646,0),MAX(J1646/K1646,0))),"") 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535-2025-12-31</t>
        </is>
      </c>
    </row>
    <row r="1647">
      <c r="A1647" t="n">
        <v>536</v>
      </c>
      <c r="B1647" t="inlineStr">
        <is>
          <t>Participación de profesores POLI en actividades de cooperación nacional e internacional</t>
        </is>
      </c>
      <c r="C1647" t="inlineStr">
        <is>
          <t>VISIBILIDAD NACIONAL E INTERNACIONAL</t>
        </is>
      </c>
      <c r="D1647" t="inlineStr">
        <is>
          <t>Trimestral</t>
        </is>
      </c>
      <c r="E1647" t="inlineStr">
        <is>
          <t>Positivo</t>
        </is>
      </c>
      <c r="F1647" s="148" t="n">
        <v>45838</v>
      </c>
      <c r="G1647" t="n">
        <v>2025</v>
      </c>
      <c r="H1647" t="inlineStr">
        <is>
          <t>Junio</t>
        </is>
      </c>
      <c r="I1647" t="inlineStr">
        <is>
          <t>2025-1</t>
        </is>
      </c>
      <c r="J1647" t="n">
        <v>100</v>
      </c>
      <c r="K1647" t="n">
        <v>109.33</v>
      </c>
      <c r="L1647" s="59">
        <f>IFERROR(IF(OR(J1647=0,K1647=""),"",IF(E1647="Positivo",MIN(MAX(K1647/J1647,0),1.3),MIN(MAX(J1647/K1647,0),1.3))),"") </f>
        <v/>
      </c>
      <c r="M1647" s="59">
        <f>IFERROR(IF(OR(J1647=0,K1647=""),"",IF(E1647="Positivo",MAX(K1647/J1647,0),MAX(J1647/K1647,0))),"") 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536-2025-06-30</t>
        </is>
      </c>
    </row>
    <row r="1648">
      <c r="A1648" t="n">
        <v>536</v>
      </c>
      <c r="B1648" t="inlineStr">
        <is>
          <t>Participación de profesores POLI en actividades de cooperación nacional e internacional</t>
        </is>
      </c>
      <c r="C1648" t="inlineStr">
        <is>
          <t>VISIBILIDAD NACIONAL E INTERNACIONAL</t>
        </is>
      </c>
      <c r="D1648" t="inlineStr">
        <is>
          <t>Trimestral</t>
        </is>
      </c>
      <c r="E1648" t="inlineStr">
        <is>
          <t>Positivo</t>
        </is>
      </c>
      <c r="F1648" s="148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100</v>
      </c>
      <c r="K1648" t="n">
        <v>260.75</v>
      </c>
      <c r="L1648" s="59">
        <f>IFERROR(IF(OR(J1648=0,K1648=""),"",IF(E1648="Positivo",MIN(MAX(K1648/J1648,0),1.3),MIN(MAX(J1648/K1648,0),1.3))),"") </f>
        <v/>
      </c>
      <c r="M1648" s="59">
        <f>IFERROR(IF(OR(J1648=0,K1648=""),"",IF(E1648="Positivo",MAX(K1648/J1648,0),MAX(J1648/K1648,0))),"") 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536-2025-12-31</t>
        </is>
      </c>
    </row>
    <row r="1649">
      <c r="A1649" t="n">
        <v>537</v>
      </c>
      <c r="B1649" t="inlineStr">
        <is>
          <t>FCR- Resolución en primer contacto</t>
        </is>
      </c>
      <c r="C1649" t="inlineStr">
        <is>
          <t>Servicio</t>
        </is>
      </c>
      <c r="D1649" t="inlineStr">
        <is>
          <t>Trimestral</t>
        </is>
      </c>
      <c r="E1649" t="inlineStr">
        <is>
          <t>Positivo</t>
        </is>
      </c>
      <c r="F1649" s="148" t="n">
        <v>45838</v>
      </c>
      <c r="G1649" t="n">
        <v>2025</v>
      </c>
      <c r="H1649" t="inlineStr">
        <is>
          <t>Junio</t>
        </is>
      </c>
      <c r="I1649" t="inlineStr">
        <is>
          <t>2025-1</t>
        </is>
      </c>
      <c r="J1649" t="n">
        <v>65</v>
      </c>
      <c r="K1649" t="n">
        <v>58.9</v>
      </c>
      <c r="L1649" s="59">
        <f>IFERROR(IF(OR(J1649=0,K1649=""),"",IF(E1649="Positivo",MIN(MAX(K1649/J1649,0),1.3),MIN(MAX(J1649/K1649,0),1.3))),"") </f>
        <v/>
      </c>
      <c r="M1649" s="59">
        <f>IFERROR(IF(OR(J1649=0,K1649=""),"",IF(E1649="Positivo",MAX(K1649/J1649,0),MAX(J1649/K1649,0))),"") </f>
        <v/>
      </c>
      <c r="N1649" t="inlineStr">
        <is>
          <t>ENT</t>
        </is>
      </c>
      <c r="O1649" t="inlineStr">
        <is>
          <t>ENT</t>
        </is>
      </c>
      <c r="P1649" t="n">
        <v>0</v>
      </c>
      <c r="Q1649" t="n">
        <v>0</v>
      </c>
      <c r="R1649" t="inlineStr">
        <is>
          <t>537-2025-06-30</t>
        </is>
      </c>
    </row>
    <row r="1650">
      <c r="A1650" t="n">
        <v>537</v>
      </c>
      <c r="B1650" t="inlineStr">
        <is>
          <t>FCR- Resolución en primer contacto</t>
        </is>
      </c>
      <c r="C1650" t="inlineStr">
        <is>
          <t>Servicio</t>
        </is>
      </c>
      <c r="D1650" t="inlineStr">
        <is>
          <t>Trimestral</t>
        </is>
      </c>
      <c r="E1650" t="inlineStr">
        <is>
          <t>Positivo</t>
        </is>
      </c>
      <c r="F1650" s="148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65</v>
      </c>
      <c r="K1650" t="n">
        <v>64.3</v>
      </c>
      <c r="L1650" s="59">
        <f>IFERROR(IF(OR(J1650=0,K1650=""),"",IF(E1650="Positivo",MIN(MAX(K1650/J1650,0),1.3),MIN(MAX(J1650/K1650,0),1.3))),"") </f>
        <v/>
      </c>
      <c r="M1650" s="59">
        <f>IFERROR(IF(OR(J1650=0,K1650=""),"",IF(E1650="Positivo",MAX(K1650/J1650,0),MAX(J1650/K1650,0))),"") </f>
        <v/>
      </c>
      <c r="N1650" t="inlineStr">
        <is>
          <t>ENT</t>
        </is>
      </c>
      <c r="O1650" t="inlineStr">
        <is>
          <t>ENT</t>
        </is>
      </c>
      <c r="P1650" t="n">
        <v>0</v>
      </c>
      <c r="Q1650" t="n">
        <v>0</v>
      </c>
      <c r="R1650" t="inlineStr">
        <is>
          <t>537-2025-12-31</t>
        </is>
      </c>
    </row>
    <row r="1651">
      <c r="A1651" t="n">
        <v>538</v>
      </c>
      <c r="B1651" t="inlineStr">
        <is>
          <t>Cumplimiento de sesiones de socialización de planeación académica</t>
        </is>
      </c>
      <c r="C1651" t="inlineStr">
        <is>
          <t>Registro y Control</t>
        </is>
      </c>
      <c r="D1651" t="inlineStr">
        <is>
          <t>Trimestral</t>
        </is>
      </c>
      <c r="E1651" t="inlineStr">
        <is>
          <t>Positivo</t>
        </is>
      </c>
      <c r="F1651" s="148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J1651" t="n">
        <v>90</v>
      </c>
      <c r="K1651" t="n">
        <v>100</v>
      </c>
      <c r="L1651" s="59">
        <f>IFERROR(IF(OR(J1651=0,K1651=""),"",IF(E1651="Positivo",MIN(MAX(K1651/J1651,0),1.3),MIN(MAX(J1651/K1651,0),1.3))),"") </f>
        <v/>
      </c>
      <c r="M1651" s="59">
        <f>IFERROR(IF(OR(J1651=0,K1651=""),"",IF(E1651="Positivo",MAX(K1651/J1651,0),MAX(J1651/K1651,0))),"") 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538-2025-12-31</t>
        </is>
      </c>
    </row>
    <row r="1652">
      <c r="A1652" t="n">
        <v>539</v>
      </c>
      <c r="B1652" t="inlineStr">
        <is>
          <t>CES emisión de certificados</t>
        </is>
      </c>
      <c r="C1652" t="inlineStr">
        <is>
          <t>Registro y Control</t>
        </is>
      </c>
      <c r="D1652" t="inlineStr">
        <is>
          <t>Trimestral</t>
        </is>
      </c>
      <c r="E1652" t="inlineStr">
        <is>
          <t>Negativo</t>
        </is>
      </c>
      <c r="F1652" s="148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2.5</v>
      </c>
      <c r="K1652" t="n">
        <v>2.5</v>
      </c>
      <c r="L1652" s="59">
        <f>IFERROR(IF(OR(J1652=0,K1652=""),"",IF(E1652="Positivo",MIN(MAX(K1652/J1652,0),1.3),MIN(MAX(J1652/K1652,0),1.3))),"") </f>
        <v/>
      </c>
      <c r="M1652" s="59">
        <f>IFERROR(IF(OR(J1652=0,K1652=""),"",IF(E1652="Positivo",MAX(K1652/J1652,0),MAX(J1652/K1652,0))),"") 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539-2025-12-31</t>
        </is>
      </c>
    </row>
    <row r="1653">
      <c r="A1653" t="n">
        <v>540</v>
      </c>
      <c r="B1653" t="inlineStr">
        <is>
          <t>Nivel de Calidad de los Datos Cargados al SNIES</t>
        </is>
      </c>
      <c r="C1653" t="inlineStr">
        <is>
          <t>DATOS Y ANALÍTICA</t>
        </is>
      </c>
      <c r="D1653" t="inlineStr">
        <is>
          <t>Trimestral</t>
        </is>
      </c>
      <c r="E1653" t="inlineStr">
        <is>
          <t>Positivo</t>
        </is>
      </c>
      <c r="F1653" s="148" t="n">
        <v>45838</v>
      </c>
      <c r="G1653" t="n">
        <v>2025</v>
      </c>
      <c r="H1653" t="inlineStr">
        <is>
          <t>Junio</t>
        </is>
      </c>
      <c r="I1653" t="inlineStr">
        <is>
          <t>2025-1</t>
        </is>
      </c>
      <c r="J1653" t="n">
        <v>97</v>
      </c>
      <c r="K1653" t="n">
        <v>97.33</v>
      </c>
      <c r="L1653" s="59">
        <f>IFERROR(IF(OR(J1653=0,K1653=""),"",IF(E1653="Positivo",MIN(MAX(K1653/J1653,0),1.3),MIN(MAX(J1653/K1653,0),1.3))),"") </f>
        <v/>
      </c>
      <c r="M1653" s="59">
        <f>IFERROR(IF(OR(J1653=0,K1653=""),"",IF(E1653="Positivo",MAX(K1653/J1653,0),MAX(J1653/K1653,0))),"") </f>
        <v/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540-2025-06-30</t>
        </is>
      </c>
    </row>
    <row r="1654">
      <c r="A1654" t="n">
        <v>540</v>
      </c>
      <c r="B1654" t="inlineStr">
        <is>
          <t>Nivel de Calidad de los Datos Cargados al SNIES</t>
        </is>
      </c>
      <c r="C1654" t="inlineStr">
        <is>
          <t>DATOS Y ANALÍTICA</t>
        </is>
      </c>
      <c r="D1654" t="inlineStr">
        <is>
          <t>Trimestral</t>
        </is>
      </c>
      <c r="E1654" t="inlineStr">
        <is>
          <t>Positivo</t>
        </is>
      </c>
      <c r="F1654" s="148" t="n">
        <v>46022</v>
      </c>
      <c r="G1654" t="n">
        <v>2025</v>
      </c>
      <c r="H1654" t="inlineStr">
        <is>
          <t>Diciembre</t>
        </is>
      </c>
      <c r="I1654" t="inlineStr">
        <is>
          <t>2025-2</t>
        </is>
      </c>
      <c r="J1654" t="n">
        <v>97</v>
      </c>
      <c r="K1654" t="n">
        <v>97.90000000000001</v>
      </c>
      <c r="L1654" s="59">
        <f>IFERROR(IF(OR(J1654=0,K1654=""),"",IF(E1654="Positivo",MIN(MAX(K1654/J1654,0),1.3),MIN(MAX(J1654/K1654,0),1.3))),"") </f>
        <v/>
      </c>
      <c r="M1654" s="59">
        <f>IFERROR(IF(OR(J1654=0,K1654=""),"",IF(E1654="Positivo",MAX(K1654/J1654,0),MAX(J1654/K1654,0))),"") </f>
        <v/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540-2025-12-31</t>
        </is>
      </c>
    </row>
    <row r="1655">
      <c r="A1655" t="n">
        <v>541</v>
      </c>
      <c r="B1655" t="inlineStr">
        <is>
          <t>Participación de graduados en actividades de empleabilidad y relacionamiento</t>
        </is>
      </c>
      <c r="C1655" t="inlineStr">
        <is>
          <t>Gestión de Graduados</t>
        </is>
      </c>
      <c r="D1655" t="inlineStr">
        <is>
          <t>Anual</t>
        </is>
      </c>
      <c r="E1655" t="inlineStr">
        <is>
          <t>Positivo</t>
        </is>
      </c>
      <c r="F1655" s="148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4</v>
      </c>
      <c r="K1655" t="n">
        <v>6.99</v>
      </c>
      <c r="L1655" s="59">
        <f>IFERROR(IF(OR(J1655=0,K1655=""),"",IF(E1655="Positivo",MIN(MAX(K1655/J1655,0),1.3),MIN(MAX(J1655/K1655,0),1.3))),"") </f>
        <v/>
      </c>
      <c r="M1655" s="59">
        <f>IFERROR(IF(OR(J1655=0,K1655=""),"",IF(E1655="Positivo",MAX(K1655/J1655,0),MAX(J1655/K1655,0))),"") </f>
        <v/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541-2025-12-31</t>
        </is>
      </c>
    </row>
    <row r="1656">
      <c r="A1656" t="n">
        <v>542</v>
      </c>
      <c r="B1656" t="inlineStr">
        <is>
          <t>Tasa de cotización del graduado - Metrica</t>
        </is>
      </c>
      <c r="C1656" t="inlineStr">
        <is>
          <t>Gestión de Graduados</t>
        </is>
      </c>
      <c r="D1656" t="inlineStr">
        <is>
          <t>Anual</t>
        </is>
      </c>
      <c r="E1656" t="inlineStr">
        <is>
          <t>Positivo</t>
        </is>
      </c>
      <c r="F1656" s="148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K1656" t="n">
        <v>81.23999999999999</v>
      </c>
      <c r="L1656" s="59" t="n"/>
      <c r="M1656" s="59" t="n"/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542-2025-12-31</t>
        </is>
      </c>
      <c r="S1656" t="inlineStr">
        <is>
          <t>Metrica</t>
        </is>
      </c>
    </row>
    <row r="1657">
      <c r="A1657" t="n">
        <v>543</v>
      </c>
      <c r="B1657" t="inlineStr">
        <is>
          <t>Tasa de interacción por usuario</t>
        </is>
      </c>
      <c r="C1657" t="inlineStr">
        <is>
          <t>Editorial y Publicaciones</t>
        </is>
      </c>
      <c r="D1657" t="inlineStr">
        <is>
          <t>Trimestral</t>
        </is>
      </c>
      <c r="E1657" t="inlineStr">
        <is>
          <t>Positivo</t>
        </is>
      </c>
      <c r="F1657" s="148" t="n">
        <v>45838</v>
      </c>
      <c r="G1657" t="n">
        <v>2025</v>
      </c>
      <c r="H1657" t="inlineStr">
        <is>
          <t>Junio</t>
        </is>
      </c>
      <c r="I1657" t="inlineStr">
        <is>
          <t>2025-1</t>
        </is>
      </c>
      <c r="K1657" t="n">
        <v>7.29</v>
      </c>
      <c r="L1657" s="59" t="n"/>
      <c r="M1657" s="59" t="n"/>
      <c r="N1657" t="inlineStr">
        <is>
          <t>ENT</t>
        </is>
      </c>
      <c r="O1657" t="inlineStr">
        <is>
          <t>ENT</t>
        </is>
      </c>
      <c r="P1657" t="n">
        <v>0</v>
      </c>
      <c r="Q1657" t="n">
        <v>0</v>
      </c>
      <c r="R1657" t="inlineStr">
        <is>
          <t>543-2025-06-30</t>
        </is>
      </c>
    </row>
    <row r="1658">
      <c r="A1658" t="n">
        <v>543</v>
      </c>
      <c r="B1658" t="inlineStr">
        <is>
          <t>Tasa de interacción por usuario</t>
        </is>
      </c>
      <c r="C1658" t="inlineStr">
        <is>
          <t>Editorial y Publicaciones</t>
        </is>
      </c>
      <c r="D1658" t="inlineStr">
        <is>
          <t>Trimestral</t>
        </is>
      </c>
      <c r="E1658" t="inlineStr">
        <is>
          <t>Positivo</t>
        </is>
      </c>
      <c r="F1658" s="148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K1658" t="n">
        <v>6.91</v>
      </c>
      <c r="L1658" s="59" t="n"/>
      <c r="M1658" s="59" t="n"/>
      <c r="N1658" t="inlineStr">
        <is>
          <t>ENT</t>
        </is>
      </c>
      <c r="O1658" t="inlineStr">
        <is>
          <t>ENT</t>
        </is>
      </c>
      <c r="P1658" t="n">
        <v>0</v>
      </c>
      <c r="Q1658" t="n">
        <v>0</v>
      </c>
      <c r="R1658" t="inlineStr">
        <is>
          <t>543-2025-12-31</t>
        </is>
      </c>
    </row>
    <row r="1659">
      <c r="A1659" t="n">
        <v>544</v>
      </c>
      <c r="B1659" t="inlineStr">
        <is>
          <t>Producción de ambientes inmersivos LEI</t>
        </is>
      </c>
      <c r="C1659" t="inlineStr">
        <is>
          <t>LEI</t>
        </is>
      </c>
      <c r="D1659" t="inlineStr">
        <is>
          <t>Trimestral</t>
        </is>
      </c>
      <c r="E1659" t="inlineStr">
        <is>
          <t>Positivo</t>
        </is>
      </c>
      <c r="F1659" s="148" t="n">
        <v>45838</v>
      </c>
      <c r="G1659" t="n">
        <v>2025</v>
      </c>
      <c r="H1659" t="inlineStr">
        <is>
          <t>Junio</t>
        </is>
      </c>
      <c r="I1659" t="inlineStr">
        <is>
          <t>2025-1</t>
        </is>
      </c>
      <c r="J1659" t="n">
        <v>100</v>
      </c>
      <c r="K1659" t="n">
        <v>250</v>
      </c>
      <c r="L1659" s="59">
        <f>IFERROR(IF(OR(J1659=0,K1659=""),"",IF(E1659="Positivo",MIN(MAX(K1659/J1659,0),1.3),MIN(MAX(J1659/K1659,0),1.3))),"") </f>
        <v/>
      </c>
      <c r="M1659" s="59">
        <f>IFERROR(IF(OR(J1659=0,K1659=""),"",IF(E1659="Positivo",MAX(K1659/J1659,0),MAX(J1659/K1659,0))),"") </f>
        <v/>
      </c>
      <c r="N1659" t="inlineStr">
        <is>
          <t>ENT</t>
        </is>
      </c>
      <c r="O1659" t="inlineStr">
        <is>
          <t>ENT</t>
        </is>
      </c>
      <c r="P1659" t="n">
        <v>0</v>
      </c>
      <c r="Q1659" t="n">
        <v>0</v>
      </c>
      <c r="R1659" t="inlineStr">
        <is>
          <t>544-2025-06-30</t>
        </is>
      </c>
    </row>
    <row r="1660">
      <c r="A1660" t="n">
        <v>544</v>
      </c>
      <c r="B1660" t="inlineStr">
        <is>
          <t>Producción de ambientes inmersivos LEI</t>
        </is>
      </c>
      <c r="C1660" t="inlineStr">
        <is>
          <t>LEI</t>
        </is>
      </c>
      <c r="D1660" t="inlineStr">
        <is>
          <t>Trimestral</t>
        </is>
      </c>
      <c r="E1660" t="inlineStr">
        <is>
          <t>Positivo</t>
        </is>
      </c>
      <c r="F1660" s="148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J1660" t="n">
        <v>100</v>
      </c>
      <c r="K1660" t="n">
        <v>162.5</v>
      </c>
      <c r="L1660" s="59">
        <f>IFERROR(IF(OR(J1660=0,K1660=""),"",IF(E1660="Positivo",MIN(MAX(K1660/J1660,0),1.3),MIN(MAX(J1660/K1660,0),1.3))),"") </f>
        <v/>
      </c>
      <c r="M1660" s="59">
        <f>IFERROR(IF(OR(J1660=0,K1660=""),"",IF(E1660="Positivo",MAX(K1660/J1660,0),MAX(J1660/K1660,0))),"") </f>
        <v/>
      </c>
      <c r="N1660" t="inlineStr">
        <is>
          <t>ENT</t>
        </is>
      </c>
      <c r="O1660" t="inlineStr">
        <is>
          <t>ENT</t>
        </is>
      </c>
      <c r="P1660" t="n">
        <v>0</v>
      </c>
      <c r="Q1660" t="n">
        <v>0</v>
      </c>
      <c r="R1660" t="inlineStr">
        <is>
          <t>544-2025-12-31</t>
        </is>
      </c>
    </row>
    <row r="1661">
      <c r="A1661" t="n">
        <v>546</v>
      </c>
      <c r="B1661" t="inlineStr">
        <is>
          <t>Tasa de participación de graduados en instrumentos de seguimiento (M0, M1, M5)</t>
        </is>
      </c>
      <c r="C1661" t="inlineStr">
        <is>
          <t>Gestión de Graduados</t>
        </is>
      </c>
      <c r="D1661" t="inlineStr">
        <is>
          <t>Anual</t>
        </is>
      </c>
      <c r="E1661" t="inlineStr">
        <is>
          <t>Positivo</t>
        </is>
      </c>
      <c r="F1661" s="148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100</v>
      </c>
      <c r="K1661" t="n">
        <v>113.38</v>
      </c>
      <c r="L1661" s="59">
        <f>IFERROR(IF(OR(J1661=0,K1661=""),"",IF(E1661="Positivo",MIN(MAX(K1661/J1661,0),1.3),MIN(MAX(J1661/K1661,0),1.3))),"") </f>
        <v/>
      </c>
      <c r="M1661" s="59">
        <f>IFERROR(IF(OR(J1661=0,K1661=""),"",IF(E1661="Positivo",MAX(K1661/J1661,0),MAX(J1661/K1661,0))),"") </f>
        <v/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546-2025-12-31</t>
        </is>
      </c>
    </row>
    <row r="1662">
      <c r="A1662" t="n">
        <v>547</v>
      </c>
      <c r="B1662" t="inlineStr">
        <is>
          <t>Nivel de satisfacción del graduado con la institución</t>
        </is>
      </c>
      <c r="C1662" t="inlineStr">
        <is>
          <t>Gestión de Graduados</t>
        </is>
      </c>
      <c r="D1662" t="inlineStr">
        <is>
          <t>Anual</t>
        </is>
      </c>
      <c r="E1662" t="inlineStr">
        <is>
          <t>Positivo</t>
        </is>
      </c>
      <c r="F1662" s="148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K1662" t="n">
        <v>92</v>
      </c>
      <c r="L1662" s="59" t="n"/>
      <c r="M1662" s="59" t="n"/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547-2025-12-31</t>
        </is>
      </c>
    </row>
    <row r="1663">
      <c r="A1663" t="n">
        <v>550</v>
      </c>
      <c r="B1663" t="inlineStr">
        <is>
          <t>Nivel de satisfacción con las actividades de formación</t>
        </is>
      </c>
      <c r="C1663" t="inlineStr">
        <is>
          <t>Emprendimiento</t>
        </is>
      </c>
      <c r="D1663" t="inlineStr">
        <is>
          <t>Trimestral</t>
        </is>
      </c>
      <c r="E1663" t="inlineStr">
        <is>
          <t>Positivo</t>
        </is>
      </c>
      <c r="F1663" s="148" t="n">
        <v>45838</v>
      </c>
      <c r="G1663" t="n">
        <v>2025</v>
      </c>
      <c r="H1663" t="inlineStr">
        <is>
          <t>Junio</t>
        </is>
      </c>
      <c r="I1663" t="inlineStr">
        <is>
          <t>2025-1</t>
        </is>
      </c>
      <c r="J1663" t="n">
        <v>80</v>
      </c>
      <c r="K1663" t="n">
        <v>95</v>
      </c>
      <c r="L1663" s="59">
        <f>IFERROR(IF(OR(J1663=0,K1663=""),"",IF(E1663="Positivo",MIN(MAX(K1663/J1663,0),1.3),MIN(MAX(J1663/K1663,0),1.3))),"") </f>
        <v/>
      </c>
      <c r="M1663" s="59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550-2025-06-30</t>
        </is>
      </c>
    </row>
    <row r="1664">
      <c r="A1664" t="n">
        <v>550</v>
      </c>
      <c r="B1664" t="inlineStr">
        <is>
          <t>Nivel de satisfacción con las actividades de formación</t>
        </is>
      </c>
      <c r="C1664" t="inlineStr">
        <is>
          <t>Emprendimiento</t>
        </is>
      </c>
      <c r="D1664" t="inlineStr">
        <is>
          <t>Trimestral</t>
        </is>
      </c>
      <c r="E1664" t="inlineStr">
        <is>
          <t>Positivo</t>
        </is>
      </c>
      <c r="F1664" s="148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80</v>
      </c>
      <c r="K1664" t="n">
        <v>95.5</v>
      </c>
      <c r="L1664" s="59">
        <f>IFERROR(IF(OR(J1664=0,K1664=""),"",IF(E1664="Positivo",MIN(MAX(K1664/J1664,0),1.3),MIN(MAX(J1664/K1664,0),1.3))),"") </f>
        <v/>
      </c>
      <c r="M1664" s="59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550-2025-12-31</t>
        </is>
      </c>
    </row>
    <row r="1665">
      <c r="A1665" t="n">
        <v>551</v>
      </c>
      <c r="B1665" t="inlineStr">
        <is>
          <t>Evaluación del desempeño de los mentores</t>
        </is>
      </c>
      <c r="C1665" t="inlineStr">
        <is>
          <t>Emprendimiento</t>
        </is>
      </c>
      <c r="D1665" t="inlineStr">
        <is>
          <t>Trimestral</t>
        </is>
      </c>
      <c r="E1665" t="inlineStr">
        <is>
          <t>Positivo</t>
        </is>
      </c>
      <c r="F1665" s="148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4</v>
      </c>
      <c r="K1665" t="n">
        <v>5</v>
      </c>
      <c r="L1665" s="59">
        <f>IFERROR(IF(OR(J1665=0,K1665=""),"",IF(E1665="Positivo",MIN(MAX(K1665/J1665,0),1.3),MIN(MAX(J1665/K1665,0),1.3))),"") </f>
        <v/>
      </c>
      <c r="M1665" s="59">
        <f>IFERROR(IF(OR(J1665=0,K1665=""),"",IF(E1665="Positivo",MAX(K1665/J1665,0),MAX(J1665/K1665,0))),"") </f>
        <v/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551-2025-06-30</t>
        </is>
      </c>
    </row>
    <row r="1666">
      <c r="A1666" t="n">
        <v>551</v>
      </c>
      <c r="B1666" t="inlineStr">
        <is>
          <t>Evaluación del desempeño de los mentores</t>
        </is>
      </c>
      <c r="C1666" t="inlineStr">
        <is>
          <t>Emprendimiento</t>
        </is>
      </c>
      <c r="D1666" t="inlineStr">
        <is>
          <t>Trimestral</t>
        </is>
      </c>
      <c r="E1666" t="inlineStr">
        <is>
          <t>Positivo</t>
        </is>
      </c>
      <c r="F1666" s="148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4</v>
      </c>
      <c r="K1666" t="n">
        <v>5</v>
      </c>
      <c r="L1666" s="59">
        <f>IFERROR(IF(OR(J1666=0,K1666=""),"",IF(E1666="Positivo",MIN(MAX(K1666/J1666,0),1.3),MIN(MAX(J1666/K1666,0),1.3))),"") </f>
        <v/>
      </c>
      <c r="M1666" s="59">
        <f>IFERROR(IF(OR(J1666=0,K1666=""),"",IF(E1666="Positivo",MAX(K1666/J1666,0),MAX(J1666/K1666,0))),"") </f>
        <v/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551-2025-12-31</t>
        </is>
      </c>
    </row>
    <row r="1667">
      <c r="A1667" t="n">
        <v>552</v>
      </c>
      <c r="B1667" t="inlineStr">
        <is>
          <t>Nivel de Satisfacción Servicios Prestados -Gestión de la Responsabilidad Social</t>
        </is>
      </c>
      <c r="C1667" t="inlineStr">
        <is>
          <t>Gestión de la Responsabilidad Social</t>
        </is>
      </c>
      <c r="D1667" t="inlineStr">
        <is>
          <t>Anual</t>
        </is>
      </c>
      <c r="E1667" t="inlineStr">
        <is>
          <t>Positivo</t>
        </is>
      </c>
      <c r="F1667" s="148" t="n">
        <v>45838</v>
      </c>
      <c r="G1667" t="n">
        <v>2025</v>
      </c>
      <c r="H1667" t="inlineStr">
        <is>
          <t>Junio</t>
        </is>
      </c>
      <c r="I1667" t="inlineStr">
        <is>
          <t>2025-1</t>
        </is>
      </c>
      <c r="J1667" t="n">
        <v>80</v>
      </c>
      <c r="K1667" t="n">
        <v>92</v>
      </c>
      <c r="L1667" s="59">
        <f>IFERROR(IF(OR(J1667=0,K1667=""),"",IF(E1667="Positivo",MIN(MAX(K1667/J1667,0),1.3),MIN(MAX(J1667/K1667,0),1.3))),"") </f>
        <v/>
      </c>
      <c r="M1667" s="59">
        <f>IFERROR(IF(OR(J1667=0,K1667=""),"",IF(E1667="Positivo",MAX(K1667/J1667,0),MAX(J1667/K1667,0))),"") </f>
        <v/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552-2025-06-30</t>
        </is>
      </c>
    </row>
    <row r="1668">
      <c r="A1668" t="n">
        <v>552</v>
      </c>
      <c r="B1668" t="inlineStr">
        <is>
          <t>Nivel de Satisfacción Servicios Prestados -Gestión de la Responsabilidad Social</t>
        </is>
      </c>
      <c r="C1668" t="inlineStr">
        <is>
          <t>Gestión de la Responsabilidad Social</t>
        </is>
      </c>
      <c r="D1668" t="inlineStr">
        <is>
          <t>Anual</t>
        </is>
      </c>
      <c r="E1668" t="inlineStr">
        <is>
          <t>Positivo</t>
        </is>
      </c>
      <c r="F1668" s="148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J1668" t="n">
        <v>80</v>
      </c>
      <c r="K1668" t="n">
        <v>92</v>
      </c>
      <c r="L1668" s="59">
        <f>IFERROR(IF(OR(J1668=0,K1668=""),"",IF(E1668="Positivo",MIN(MAX(K1668/J1668,0),1.3),MIN(MAX(J1668/K1668,0),1.3))),"") </f>
        <v/>
      </c>
      <c r="M1668" s="59">
        <f>IFERROR(IF(OR(J1668=0,K1668=""),"",IF(E1668="Positivo",MAX(K1668/J1668,0),MAX(J1668/K1668,0))),"") </f>
        <v/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552-2025-12-31</t>
        </is>
      </c>
    </row>
    <row r="1669">
      <c r="A1669" t="n">
        <v>553</v>
      </c>
      <c r="B1669" t="inlineStr">
        <is>
          <t>Nivel de Satisfacción Servicios Prestados -Inscripción, admisión y matrícula de estudiantes nuevos</t>
        </is>
      </c>
      <c r="C1669" t="inlineStr">
        <is>
          <t>Inscripción, admisión y matrícula de estudiantes nuevos</t>
        </is>
      </c>
      <c r="D1669" t="inlineStr">
        <is>
          <t>Anual</t>
        </is>
      </c>
      <c r="E1669" t="inlineStr">
        <is>
          <t>Positivo</t>
        </is>
      </c>
      <c r="F1669" s="148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80</v>
      </c>
      <c r="K1669" t="n">
        <v>83</v>
      </c>
      <c r="L1669" s="59">
        <f>IFERROR(IF(OR(J1669=0,K1669=""),"",IF(E1669="Positivo",MIN(MAX(K1669/J1669,0),1.3),MIN(MAX(J1669/K1669,0),1.3))),"") </f>
        <v/>
      </c>
      <c r="M1669" s="59">
        <f>IFERROR(IF(OR(J1669=0,K1669=""),"",IF(E1669="Positivo",MAX(K1669/J1669,0),MAX(J1669/K1669,0))),"") </f>
        <v/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553-2025-12-31</t>
        </is>
      </c>
    </row>
    <row r="1670">
      <c r="A1670" t="n">
        <v>554</v>
      </c>
      <c r="B1670" t="inlineStr">
        <is>
          <t>Nivel de Satisfacción Servicios Prestados -Permanencia</t>
        </is>
      </c>
      <c r="C1670" t="inlineStr">
        <is>
          <t>Permanencia</t>
        </is>
      </c>
      <c r="D1670" t="inlineStr">
        <is>
          <t>Trimestral</t>
        </is>
      </c>
      <c r="E1670" t="inlineStr">
        <is>
          <t>Positivo</t>
        </is>
      </c>
      <c r="F1670" s="148" t="n">
        <v>45838</v>
      </c>
      <c r="G1670" t="n">
        <v>2025</v>
      </c>
      <c r="H1670" t="inlineStr">
        <is>
          <t>Junio</t>
        </is>
      </c>
      <c r="I1670" t="inlineStr">
        <is>
          <t>2025-1</t>
        </is>
      </c>
      <c r="J1670" t="n">
        <v>80</v>
      </c>
      <c r="K1670" t="n">
        <v>0</v>
      </c>
      <c r="L1670" s="59">
        <f>IFERROR(IF(OR(J1670=0,K1670=""),"",IF(E1670="Positivo",MIN(MAX(K1670/J1670,0),1.3),MIN(MAX(J1670/K1670,0),1.3))),"") </f>
        <v/>
      </c>
      <c r="M1670" s="59">
        <f>IFERROR(IF(OR(J1670=0,K1670=""),"",IF(E1670="Positivo",MAX(K1670/J1670,0),MAX(J1670/K1670,0))),"") </f>
        <v/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554-2025-06-30</t>
        </is>
      </c>
    </row>
    <row r="1671">
      <c r="A1671" t="n">
        <v>554</v>
      </c>
      <c r="B1671" t="inlineStr">
        <is>
          <t>Nivel de Satisfacción Servicios Prestados -Permanencia</t>
        </is>
      </c>
      <c r="C1671" t="inlineStr">
        <is>
          <t>Permanencia</t>
        </is>
      </c>
      <c r="D1671" t="inlineStr">
        <is>
          <t>Trimestral</t>
        </is>
      </c>
      <c r="E1671" t="inlineStr">
        <is>
          <t>Positivo</t>
        </is>
      </c>
      <c r="F1671" s="148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80</v>
      </c>
      <c r="K1671" t="n">
        <v>95</v>
      </c>
      <c r="L1671" s="59">
        <f>IFERROR(IF(OR(J1671=0,K1671=""),"",IF(E1671="Positivo",MIN(MAX(K1671/J1671,0),1.3),MIN(MAX(J1671/K1671,0),1.3))),"") </f>
        <v/>
      </c>
      <c r="M1671" s="59">
        <f>IFERROR(IF(OR(J1671=0,K1671=""),"",IF(E1671="Positivo",MAX(K1671/J1671,0),MAX(J1671/K1671,0))),"") </f>
        <v/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554-2025-12-31</t>
        </is>
      </c>
    </row>
    <row r="1672">
      <c r="A1672" t="n">
        <v>555</v>
      </c>
      <c r="B1672" t="inlineStr">
        <is>
          <t>Nivel de Satisfacción Servicios Prestados -Mercadeo y venta de educación para la vida</t>
        </is>
      </c>
      <c r="C1672" t="inlineStr">
        <is>
          <t>Mercadeo y venta de educación para la vida</t>
        </is>
      </c>
      <c r="D1672" t="inlineStr">
        <is>
          <t>Trimestral</t>
        </is>
      </c>
      <c r="E1672" t="inlineStr">
        <is>
          <t>Positivo</t>
        </is>
      </c>
      <c r="F1672" s="148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J1672" t="n">
        <v>80</v>
      </c>
      <c r="K1672" t="n">
        <v>100</v>
      </c>
      <c r="L1672" s="59">
        <f>IFERROR(IF(OR(J1672=0,K1672=""),"",IF(E1672="Positivo",MIN(MAX(K1672/J1672,0),1.3),MIN(MAX(J1672/K1672,0),1.3))),"") </f>
        <v/>
      </c>
      <c r="M1672" s="59">
        <f>IFERROR(IF(OR(J1672=0,K1672=""),"",IF(E1672="Positivo",MAX(K1672/J1672,0),MAX(J1672/K1672,0))),"") </f>
        <v/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555-2025-12-31</t>
        </is>
      </c>
    </row>
    <row r="1673">
      <c r="A1673" t="n">
        <v>556</v>
      </c>
      <c r="B1673" t="inlineStr">
        <is>
          <t>Cumplimiento Plan de formación Institucional</t>
        </is>
      </c>
      <c r="C1673" t="inlineStr">
        <is>
          <t>GESTIÓN Y DESARROLLO DEL TALENTO HUMANO</t>
        </is>
      </c>
      <c r="D1673" t="inlineStr">
        <is>
          <t>Anual</t>
        </is>
      </c>
      <c r="E1673" t="inlineStr">
        <is>
          <t>Positivo</t>
        </is>
      </c>
      <c r="F1673" s="148" t="n">
        <v>46022</v>
      </c>
      <c r="G1673" t="n">
        <v>2025</v>
      </c>
      <c r="H1673" t="inlineStr">
        <is>
          <t>Diciembre</t>
        </is>
      </c>
      <c r="I1673" t="inlineStr">
        <is>
          <t>2025-2</t>
        </is>
      </c>
      <c r="J1673" t="n">
        <v>70</v>
      </c>
      <c r="K1673" t="n">
        <v>113.75</v>
      </c>
      <c r="L1673" s="59">
        <f>IFERROR(IF(OR(J1673=0,K1673=""),"",IF(E1673="Positivo",MIN(MAX(K1673/J1673,0),1.3),MIN(MAX(J1673/K1673,0),1.3))),"") </f>
        <v/>
      </c>
      <c r="M1673" s="59">
        <f>IFERROR(IF(OR(J1673=0,K1673=""),"",IF(E1673="Positivo",MAX(K1673/J1673,0),MAX(J1673/K1673,0))),"") </f>
        <v/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556-2025-12-31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85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38" t="inlineStr">
        <is>
          <t>Año</t>
        </is>
      </c>
      <c r="H1" s="38" t="inlineStr">
        <is>
          <t>Mes</t>
        </is>
      </c>
      <c r="I1" s="3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4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28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44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28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44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28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44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28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44" t="n">
        <v>46022</v>
      </c>
      <c r="G9" s="16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23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44" t="n">
        <v>44926</v>
      </c>
      <c r="G10" s="16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44" t="n">
        <v>45291</v>
      </c>
      <c r="G11" s="5" t="n">
        <v>2023</v>
      </c>
      <c r="H11" s="5" t="inlineStr">
        <is>
          <t>Diciembre</t>
        </is>
      </c>
      <c r="I11" s="6" t="inlineStr">
        <is>
          <t>2023-2</t>
        </is>
      </c>
      <c r="J11" s="119" t="n">
        <v>20</v>
      </c>
      <c r="K11" s="123" t="n">
        <v>18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44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44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44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16" t="n">
        <v>85.4473684210525</v>
      </c>
      <c r="L14" s="28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44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28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44" t="n">
        <v>45657</v>
      </c>
      <c r="G16" s="16" t="n">
        <v>2024</v>
      </c>
      <c r="H16" s="6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102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43" t="n">
        <v>46022</v>
      </c>
      <c r="G17" s="16" t="n">
        <v>2025</v>
      </c>
      <c r="H17" s="6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43" t="n">
        <v>44926</v>
      </c>
      <c r="G18" s="16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43" t="n">
        <v>45291</v>
      </c>
      <c r="G19" s="16" t="n">
        <v>2023</v>
      </c>
      <c r="H19" s="6" t="inlineStr">
        <is>
          <t>Diciembre</t>
        </is>
      </c>
      <c r="I19" s="6" t="inlineStr">
        <is>
          <t>2023-2</t>
        </is>
      </c>
      <c r="J19" s="124" t="n">
        <v>97</v>
      </c>
      <c r="K19" s="124" t="n">
        <v>97.63333333333333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44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123" t="n">
        <v>97</v>
      </c>
      <c r="K20" s="123" t="n">
        <v>97.4325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44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44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28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  <c r="S22" t="inlineStr"/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44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28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44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44" t="n">
        <v>45291</v>
      </c>
      <c r="G25" s="16" t="n">
        <v>2023</v>
      </c>
      <c r="H25" s="6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44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28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44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28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44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28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44" t="n">
        <v>46022</v>
      </c>
      <c r="G29" s="16" t="n">
        <v>2025</v>
      </c>
      <c r="H29" s="6" t="inlineStr">
        <is>
          <t>Diciembre</t>
        </is>
      </c>
      <c r="I29" s="6" t="inlineStr">
        <is>
          <t>2025-2</t>
        </is>
      </c>
      <c r="J29" s="5" t="n">
        <v>100</v>
      </c>
      <c r="K29" s="10" t="n">
        <v>100</v>
      </c>
      <c r="L29" s="28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44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28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44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44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44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28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44" t="n">
        <v>45291</v>
      </c>
      <c r="G35" s="16" t="n">
        <v>2023</v>
      </c>
      <c r="H35" s="6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44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44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44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44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44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28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28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44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44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44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44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44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44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44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44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4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119" t="n">
        <v>100</v>
      </c>
      <c r="K50" s="123" t="n">
        <v>100</v>
      </c>
      <c r="L50" s="28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4" t="n">
        <v>45291</v>
      </c>
      <c r="G51" s="16" t="n">
        <v>2023</v>
      </c>
      <c r="H51" s="6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28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4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28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4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10" t="n">
        <v>100</v>
      </c>
      <c r="L53" s="28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4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28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4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4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119" t="n">
        <v>100</v>
      </c>
      <c r="K56" s="123" t="n">
        <v>100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4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>
        <f>IFERROR(IF(OR(J57=0,K57=""),"",IF(E57="Positivo",MIN(MAX(K57/J57,0),1.3),MIN(MAX(J57/K57,0),1.3))),"") </f>
        <v/>
      </c>
      <c r="M57" s="28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44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44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44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5" t="n">
        <v>100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44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16" t="n">
        <v>100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44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44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44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44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44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124" t="n">
        <v>100</v>
      </c>
      <c r="K66" s="124" t="n">
        <v>100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44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28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44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44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44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28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4" t="n">
        <v>44926</v>
      </c>
      <c r="G71" s="16" t="n">
        <v>2022</v>
      </c>
      <c r="H71" s="6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4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4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4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28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44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44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44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28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44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44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102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44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28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44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44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0</v>
      </c>
      <c r="K82" s="5" t="n">
        <v>0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44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28" t="n"/>
      <c r="M83" s="28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44" t="n">
        <v>45230</v>
      </c>
      <c r="G84" s="16" t="n">
        <v>2023</v>
      </c>
      <c r="H84" s="6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  <c r="S84" t="inlineStr"/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44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119" t="n">
        <v>80</v>
      </c>
      <c r="K85" s="123" t="n">
        <v>87.3927677036683</v>
      </c>
      <c r="L85" s="28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44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119" t="n">
        <v>80</v>
      </c>
      <c r="K86" s="123" t="n">
        <v>85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  <c r="S86" t="inlineStr"/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44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123" t="n">
        <v>80</v>
      </c>
      <c r="K87" s="123" t="n">
        <v>85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44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119" t="n">
        <v>80</v>
      </c>
      <c r="K88" s="123" t="n">
        <v>94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  <c r="S88" t="inlineStr"/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4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28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44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5" t="n">
        <v>80</v>
      </c>
      <c r="K90" s="5" t="n">
        <v>73.4019151138716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44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78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144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28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44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44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3" t="n">
        <v>80</v>
      </c>
      <c r="K94" s="3" t="n">
        <v>92.675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144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119" t="n">
        <v>80</v>
      </c>
      <c r="K95" s="123" t="n">
        <v>93.93333333333334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44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44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44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44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44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44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28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44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44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44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44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44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44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4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4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76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4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115-2024-10-31</t>
        </is>
      </c>
      <c r="S110" t="inlineStr"/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4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28" t="n"/>
      <c r="M111" s="28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44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44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44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144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28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44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44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28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44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28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44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44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5" t="n">
        <v>88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44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5" t="n">
        <v>80</v>
      </c>
      <c r="K121" s="5" t="n">
        <v>94</v>
      </c>
      <c r="L121" s="28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  <c r="S121" t="inlineStr"/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44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5" t="n">
        <v>94.1385767790262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44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  <c r="S123" t="inlineStr"/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44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44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44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44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5" t="n">
        <v>102</v>
      </c>
      <c r="K127" s="5" t="n">
        <v>111.3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44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44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5" t="n">
        <v>104.92</v>
      </c>
      <c r="L129" s="120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44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20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  <c r="S130" t="inlineStr"/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144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44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44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44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28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44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28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  <c r="S135" t="inlineStr"/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44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119" t="n">
        <v>1.6</v>
      </c>
      <c r="K136" s="123" t="n">
        <v>0.030416483088426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44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44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3" t="n">
        <v>0.01299822966260462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44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44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  <c r="S140" t="inlineStr"/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44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44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44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11" t="inlineStr">
        <is>
          <t>DEC</t>
        </is>
      </c>
      <c r="O143" s="11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44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44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  <c r="S145" t="inlineStr"/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44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44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5" t="n">
        <v>2</v>
      </c>
      <c r="K147" s="5" t="n">
        <v>0.12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44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44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44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28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44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44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44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44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44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44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44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44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5" t="n">
        <v>1</v>
      </c>
      <c r="K158" s="5" t="n">
        <v>0.8149999999999999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  <c r="S158" t="inlineStr"/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44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5" t="n">
        <v>80</v>
      </c>
      <c r="K159" s="5" t="n">
        <v>90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44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28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  <c r="S160" t="inlineStr"/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44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44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  <c r="S162" t="inlineStr"/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44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80</v>
      </c>
      <c r="K163" s="5" t="n">
        <v>91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44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144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144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44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144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5" t="n">
        <v>1338.614396</v>
      </c>
      <c r="K168" s="5" t="n">
        <v>1214.751881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144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28" t="n"/>
      <c r="M169" s="28" t="n"/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44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144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" t="n">
        <v>123.5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144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5" t="n">
        <v>100</v>
      </c>
      <c r="K172" s="5" t="n">
        <v>175</v>
      </c>
      <c r="L172" s="28" t="n"/>
      <c r="M172" s="28" t="n"/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44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44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44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44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4</v>
      </c>
      <c r="K176" s="5" t="n">
        <v>1.95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144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1</v>
      </c>
      <c r="K177" s="5" t="n">
        <v>2.1186440677966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44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144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144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5" t="n">
        <v>1.68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44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230</v>
      </c>
      <c r="K181" s="5" t="n">
        <v>111.085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44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230</v>
      </c>
      <c r="K182" s="5" t="n">
        <v>134.785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4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44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" t="n">
        <v>120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44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" t="n">
        <v>11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44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119" t="n">
        <v>13</v>
      </c>
      <c r="K186" s="123" t="n">
        <v>12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44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44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ENT</t>
        </is>
      </c>
      <c r="O188" s="58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44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44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5" t="n">
        <v>3.75</v>
      </c>
      <c r="K190" s="5" t="n">
        <v>4.91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44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5</v>
      </c>
      <c r="K191" s="5" t="n">
        <v>5.3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44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44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44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124" t="n">
        <v>80</v>
      </c>
      <c r="K194" s="5" t="n">
        <v>94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150-2023-10-31</t>
        </is>
      </c>
      <c r="S194" t="inlineStr"/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44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5" t="n">
        <v>84.34350070811109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44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5" t="n">
        <v>80</v>
      </c>
      <c r="K196" s="5" t="n">
        <v>89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150-2024-10-31</t>
        </is>
      </c>
      <c r="S196" t="inlineStr"/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44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80</v>
      </c>
      <c r="K197" s="5" t="n">
        <v>89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44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5" t="n">
        <v>80</v>
      </c>
      <c r="K198" s="5" t="n">
        <v>83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44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151-2023-10-31</t>
        </is>
      </c>
      <c r="S199" t="inlineStr"/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44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28" t="n"/>
      <c r="M200" s="28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44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5" t="n">
        <v>80</v>
      </c>
      <c r="K201" s="5" t="n">
        <v>80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151-2024-10-31</t>
        </is>
      </c>
      <c r="S201" t="inlineStr"/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44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" t="n"/>
      <c r="L202" s="28" t="n"/>
      <c r="M202" s="28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44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44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144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144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44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144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119" t="n">
        <v>80</v>
      </c>
      <c r="K208" s="124" t="n">
        <v>96.40000000000001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144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5" t="n">
        <v>80</v>
      </c>
      <c r="K209" s="5" t="n">
        <v>100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144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44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144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144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11" t="n">
        <v>93.815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44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119" t="n">
        <v>90</v>
      </c>
      <c r="K214" s="67" t="n">
        <v>97.8793018866355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44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119" t="n">
        <v>95</v>
      </c>
      <c r="K215" s="123" t="n">
        <v>94.5154285714286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44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123" t="n">
        <v>95</v>
      </c>
      <c r="K216" s="123" t="n">
        <v>92.20395946789137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44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44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  <c r="S218" t="inlineStr"/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44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144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95</v>
      </c>
      <c r="K220" s="5" t="n"/>
      <c r="L220" s="28" t="n"/>
      <c r="M220" s="28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4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86" t="n">
        <v>81.37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44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44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44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44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44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5" t="n">
        <v>93.5</v>
      </c>
      <c r="K226" s="5" t="n">
        <v>95.60499999999999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44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119" t="n">
        <v>73</v>
      </c>
      <c r="K227" s="123" t="n">
        <v>83.11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44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80</v>
      </c>
      <c r="K228" s="5" t="n">
        <v>81.91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44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5" t="n">
        <v>89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144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37</v>
      </c>
      <c r="K230" s="5" t="n">
        <v>26.62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144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90</v>
      </c>
      <c r="K231" s="5" t="n">
        <v>100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44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90</v>
      </c>
      <c r="K232" s="5" t="n">
        <v>100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144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144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5" t="n">
        <v>100.1075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144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95</v>
      </c>
      <c r="K235" s="5" t="n">
        <v>87.66833333333349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199-2023-12-31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144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70</v>
      </c>
      <c r="K236" s="5" t="n">
        <v>92.5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199-2024-12-31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Trimestral</t>
        </is>
      </c>
      <c r="E237" s="5" t="inlineStr">
        <is>
          <t>Positivo</t>
        </is>
      </c>
      <c r="F237" s="144" t="n">
        <v>46022</v>
      </c>
      <c r="G237" s="5" t="n">
        <v>2025</v>
      </c>
      <c r="H237" s="5" t="inlineStr">
        <is>
          <t>Diciembre</t>
        </is>
      </c>
      <c r="I237" s="6" t="inlineStr">
        <is>
          <t>2025-2</t>
        </is>
      </c>
      <c r="J237" s="5" t="n">
        <v>80</v>
      </c>
      <c r="K237" s="5" t="n">
        <v>92.495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199-2025-12-31</t>
        </is>
      </c>
    </row>
    <row r="238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144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70</v>
      </c>
      <c r="K238" s="5" t="n"/>
      <c r="L238" s="28" t="n"/>
      <c r="M238" s="28" t="n"/>
      <c r="N238" s="5" t="inlineStr">
        <is>
          <t>%</t>
        </is>
      </c>
      <c r="O238" s="5" t="inlineStr">
        <is>
          <t>No Aplica</t>
        </is>
      </c>
      <c r="P238" s="5" t="n">
        <v>0</v>
      </c>
      <c r="Q238" s="5" t="n">
        <v>1</v>
      </c>
      <c r="R238" s="5" t="inlineStr">
        <is>
          <t>200-2022-12-31</t>
        </is>
      </c>
      <c r="S238" t="inlineStr">
        <is>
          <t>No Aplica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44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70</v>
      </c>
      <c r="K239" s="5" t="n">
        <v>90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Linea Base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200-2023-12-31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44" t="n">
        <v>45657</v>
      </c>
      <c r="G240" s="5" t="n">
        <v>2024</v>
      </c>
      <c r="H240" s="5" t="inlineStr">
        <is>
          <t>Diciembre</t>
        </is>
      </c>
      <c r="I240" s="6" t="inlineStr">
        <is>
          <t>2024-2</t>
        </is>
      </c>
      <c r="J240" s="5" t="n">
        <v>80</v>
      </c>
      <c r="K240" s="5" t="n">
        <v>87.40000000000001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200-2024-12-31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44" t="n">
        <v>46022</v>
      </c>
      <c r="G241" s="5" t="n">
        <v>2025</v>
      </c>
      <c r="H241" s="5" t="inlineStr">
        <is>
          <t>Diciembre</t>
        </is>
      </c>
      <c r="I241" s="6" t="inlineStr">
        <is>
          <t>2025-2</t>
        </is>
      </c>
      <c r="J241" s="5" t="n">
        <v>87</v>
      </c>
      <c r="K241" s="5" t="n">
        <v>90.84999999999999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200-2025-12-31</t>
        </is>
      </c>
    </row>
    <row r="242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44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66</v>
      </c>
      <c r="K242" s="5" t="n">
        <v>64.7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DEC</t>
        </is>
      </c>
      <c r="P242" s="5" t="n">
        <v>0</v>
      </c>
      <c r="Q242" s="5" t="n">
        <v>1</v>
      </c>
      <c r="R242" s="5" t="inlineStr">
        <is>
          <t>202-2023-12-31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44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/>
      <c r="K243" s="5" t="n">
        <v>0</v>
      </c>
      <c r="L243" s="28" t="n"/>
      <c r="M243" s="28" t="n"/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202-2024-12-31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44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68.7</v>
      </c>
      <c r="K244" s="5" t="n">
        <v>81</v>
      </c>
      <c r="L244" s="120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202-2025-12-31</t>
        </is>
      </c>
    </row>
    <row r="245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144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224440</v>
      </c>
      <c r="K245" s="5" t="n">
        <v>241706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203-2022-12-31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44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95</v>
      </c>
      <c r="K246" s="5" t="n">
        <v>103.36740380481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203-2023-12-31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144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95</v>
      </c>
      <c r="K247" s="5" t="n">
        <v>102.84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203-2024-12-31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44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5" t="n">
        <v>95</v>
      </c>
      <c r="K248" s="5" t="n">
        <v>111.33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203-2025-12-31</t>
        </is>
      </c>
    </row>
    <row r="249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44" t="n">
        <v>44925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82987</v>
      </c>
      <c r="K249" s="5" t="n">
        <v>18386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204-2022-12-30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44" t="n">
        <v>45291</v>
      </c>
      <c r="G250" s="5" t="n">
        <v>2023</v>
      </c>
      <c r="H250" s="5" t="inlineStr">
        <is>
          <t>Diciembre</t>
        </is>
      </c>
      <c r="I250" s="6" t="inlineStr">
        <is>
          <t>2023-2</t>
        </is>
      </c>
      <c r="J250" s="5" t="n">
        <v>95</v>
      </c>
      <c r="K250" s="5" t="n">
        <v>162.37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204-2023-12-31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44" t="n">
        <v>45657</v>
      </c>
      <c r="G251" s="5" t="n">
        <v>2024</v>
      </c>
      <c r="H251" s="5" t="inlineStr">
        <is>
          <t>Diciembre</t>
        </is>
      </c>
      <c r="I251" s="6" t="inlineStr">
        <is>
          <t>2024-2</t>
        </is>
      </c>
      <c r="J251" s="5" t="n">
        <v>95</v>
      </c>
      <c r="K251" s="5" t="n">
        <v>144.53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204-2024-12-31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44" t="n">
        <v>46022</v>
      </c>
      <c r="G252" s="5" t="n">
        <v>2025</v>
      </c>
      <c r="H252" s="5" t="inlineStr">
        <is>
          <t>Diciembre</t>
        </is>
      </c>
      <c r="I252" s="6" t="inlineStr">
        <is>
          <t>2025-2</t>
        </is>
      </c>
      <c r="J252" s="5" t="n">
        <v>95</v>
      </c>
      <c r="K252" s="5" t="n">
        <v>152.24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204-2025-12-31</t>
        </is>
      </c>
    </row>
    <row r="253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44" t="n">
        <v>44926</v>
      </c>
      <c r="G253" s="5" t="n">
        <v>2022</v>
      </c>
      <c r="H253" s="5" t="inlineStr">
        <is>
          <t>Diciembre</t>
        </is>
      </c>
      <c r="I253" s="6" t="inlineStr">
        <is>
          <t>2022-2</t>
        </is>
      </c>
      <c r="J253" s="5" t="n">
        <v>2605</v>
      </c>
      <c r="K253" s="5" t="n">
        <v>2605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205-2022-12-31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44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>
        <v>95</v>
      </c>
      <c r="K254" s="5" t="n">
        <v>426.51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205-2023-12-31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44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>
        <v>95</v>
      </c>
      <c r="K255" s="5" t="n">
        <v>184.72</v>
      </c>
      <c r="L255" s="28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205-2024-12-31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44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95</v>
      </c>
      <c r="K256" s="5" t="n">
        <v>123.05</v>
      </c>
      <c r="L256" s="28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205-2025-12-31</t>
        </is>
      </c>
    </row>
    <row r="257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44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1</v>
      </c>
      <c r="K257" s="5" t="n">
        <v>4.606790289121734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206-2023-12-31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44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1</v>
      </c>
      <c r="K258" s="5" t="n">
        <v>1.37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206-2024-12-31</t>
        </is>
      </c>
    </row>
    <row r="259">
      <c r="A259" s="5" t="n">
        <v>206</v>
      </c>
      <c r="B259" s="5" t="inlineStr">
        <is>
          <t>Inversión en CAPEX de la utilidad anterior</t>
        </is>
      </c>
      <c r="C259" s="5" t="inlineStr">
        <is>
          <t>Planeación Financiera</t>
        </is>
      </c>
      <c r="D259" s="5" t="inlineStr">
        <is>
          <t>Anual</t>
        </is>
      </c>
      <c r="E259" s="5" t="inlineStr">
        <is>
          <t>Positivo</t>
        </is>
      </c>
      <c r="F259" s="144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5" t="n">
        <v>1</v>
      </c>
      <c r="K259" s="5" t="n">
        <v>2.14</v>
      </c>
      <c r="L259" s="28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206-2025-12-31</t>
        </is>
      </c>
    </row>
    <row r="260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144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100</v>
      </c>
      <c r="K260" s="5" t="n">
        <v>103.6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207-2023-12-31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144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100</v>
      </c>
      <c r="K261" s="5" t="n">
        <v>102.2</v>
      </c>
      <c r="L261" s="28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207-2024-12-31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144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100</v>
      </c>
      <c r="K262" s="5" t="n">
        <v>110.62</v>
      </c>
      <c r="L262" s="28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207-2025-12-31</t>
        </is>
      </c>
    </row>
    <row r="263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144" t="n">
        <v>44926</v>
      </c>
      <c r="G263" s="5" t="n">
        <v>2022</v>
      </c>
      <c r="H263" s="5" t="inlineStr">
        <is>
          <t>Diciembre</t>
        </is>
      </c>
      <c r="I263" s="6" t="inlineStr">
        <is>
          <t>2022-2</t>
        </is>
      </c>
      <c r="J263" s="5" t="n">
        <v>1700</v>
      </c>
      <c r="K263" s="5" t="n">
        <v>0</v>
      </c>
      <c r="L263" s="28">
        <f>IFERROR(IF(OR(J263=0,K263=""),"",IF(E263="Positivo",MIN(MAX(K263/J263,0),1.0),MIN(MAX(J263/K263,0),1.0))),"") </f>
        <v/>
      </c>
      <c r="M263" s="28">
        <f>IFERROR(IF(OR(J263=0,K263=""),"",IF(E263="Positivo",MAX(K263/J263,0),MAX(J263/K263,0))),"") </f>
        <v/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208-2022-12-31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44" t="n">
        <v>45291</v>
      </c>
      <c r="G264" s="5" t="n">
        <v>2023</v>
      </c>
      <c r="H264" s="5" t="inlineStr">
        <is>
          <t>Diciembre</t>
        </is>
      </c>
      <c r="I264" s="6" t="inlineStr">
        <is>
          <t>2023-2</t>
        </is>
      </c>
      <c r="J264" s="5" t="n">
        <v>1700</v>
      </c>
      <c r="K264" s="5" t="n">
        <v>1228.308333333333</v>
      </c>
      <c r="L264" s="28">
        <f>IFERROR(IF(OR(J264=0,K264=""),"",IF(E264="Positivo",MIN(MAX(K264/J264,0),1.0),MIN(MAX(J264/K264,0),1.0))),"") </f>
        <v/>
      </c>
      <c r="M264" s="78">
        <f>IFERROR(IF(OR(J264=0,K264=""),"",IF(E264="Positivo",MAX(K264/J264,0),MAX(J264/K264,0))),"") </f>
        <v/>
      </c>
      <c r="N264" s="5" t="inlineStr">
        <is>
          <t>Linea Base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208-2023-12-31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44" t="n">
        <v>45657</v>
      </c>
      <c r="G265" s="5" t="n">
        <v>2024</v>
      </c>
      <c r="H265" s="5" t="inlineStr">
        <is>
          <t>Diciembre</t>
        </is>
      </c>
      <c r="I265" s="6" t="inlineStr">
        <is>
          <t>2024-2</t>
        </is>
      </c>
      <c r="J265" s="5" t="n">
        <v>1700</v>
      </c>
      <c r="K265" s="5" t="n">
        <v>1306.208333333333</v>
      </c>
      <c r="L265" s="28">
        <f>IFERROR(IF(OR(J265=0,K265=""),"",IF(E265="Positivo",MIN(MAX(K265/J265,0),1.0),MIN(MAX(J265/K265,0),1.0))),"") </f>
        <v/>
      </c>
      <c r="M265" s="28">
        <f>IFERROR(IF(OR(J265=0,K265=""),"",IF(E265="Positivo",MAX(K265/J265,0),MAX(J265/K265,0))),"") </f>
        <v/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208-2024-12-31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44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1700</v>
      </c>
      <c r="K266" s="5" t="n">
        <v>1204.541666666667</v>
      </c>
      <c r="L266" s="28">
        <f>IFERROR(IF(OR(J266=0,K266=""),"",IF(E266="Positivo",MIN(MAX(K266/J266,0),1.0),MIN(MAX(J266/K266,0),1.0))),"") </f>
        <v/>
      </c>
      <c r="M266" s="28">
        <f>IFERROR(IF(OR(J266=0,K266=""),"",IF(E266="Positivo",MAX(K266/J266,0),MAX(J266/K266,0))),"") </f>
        <v/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208-2025-12-31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44" t="n">
        <v>46053</v>
      </c>
      <c r="G267" s="5" t="n">
        <v>2026</v>
      </c>
      <c r="H267" s="5" t="inlineStr">
        <is>
          <t>Enero</t>
        </is>
      </c>
      <c r="I267" s="6" t="inlineStr">
        <is>
          <t>2026-1</t>
        </is>
      </c>
      <c r="J267" s="5" t="n">
        <v>1700</v>
      </c>
      <c r="K267" s="5" t="n">
        <v>881</v>
      </c>
      <c r="L267" s="28">
        <f>IFERROR(IF(OR(J267=0,K267=""),"",IF(E267="Positivo",MIN(MAX(K267/J267,0),1.0),MIN(MAX(J267/K267,0),1.0))),"") </f>
        <v/>
      </c>
      <c r="M267" s="28">
        <f>IFERROR(IF(OR(J267=0,K267=""),"",IF(E267="Positivo",MAX(K267/J267,0),MAX(J267/K267,0))),"") </f>
        <v/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208-2026-01-31</t>
        </is>
      </c>
      <c r="S267" t="inlineStr"/>
    </row>
    <row r="268">
      <c r="A268" s="5" t="n">
        <v>210</v>
      </c>
      <c r="B268" s="5" t="inlineStr">
        <is>
          <t>Aporte de los Procesos a los Objetivos de Desarrollo Sostenible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144" t="n">
        <v>45291</v>
      </c>
      <c r="G268" s="5" t="n">
        <v>2023</v>
      </c>
      <c r="H268" s="5" t="inlineStr">
        <is>
          <t>Diciembre</t>
        </is>
      </c>
      <c r="I268" s="6" t="inlineStr">
        <is>
          <t>2023-2</t>
        </is>
      </c>
      <c r="J268" s="5" t="n"/>
      <c r="K268" s="5" t="n"/>
      <c r="L268" s="28" t="n"/>
      <c r="M268" s="28" t="n"/>
      <c r="N268" s="5" t="inlineStr">
        <is>
          <t>Sin Reporte</t>
        </is>
      </c>
      <c r="O268" s="5" t="inlineStr">
        <is>
          <t>Sin Reporte</t>
        </is>
      </c>
      <c r="P268" s="5" t="n">
        <v>0</v>
      </c>
      <c r="Q268" s="5" t="n">
        <v>0</v>
      </c>
      <c r="R268" s="5" t="inlineStr">
        <is>
          <t>210-2023-12-31</t>
        </is>
      </c>
    </row>
    <row r="269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Semestral</t>
        </is>
      </c>
      <c r="E269" s="5" t="inlineStr">
        <is>
          <t>Positivo</t>
        </is>
      </c>
      <c r="F269" s="144" t="n">
        <v>44926</v>
      </c>
      <c r="G269" s="5" t="n">
        <v>2022</v>
      </c>
      <c r="H269" s="5" t="inlineStr">
        <is>
          <t>Diciembre</t>
        </is>
      </c>
      <c r="I269" s="6" t="inlineStr">
        <is>
          <t>2022-2</t>
        </is>
      </c>
      <c r="J269" s="119" t="n">
        <v>90</v>
      </c>
      <c r="K269" s="123" t="n">
        <v>0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213-2022-12-31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144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90</v>
      </c>
      <c r="K270" s="5" t="n">
        <v>100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213-2023-12-31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144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90</v>
      </c>
      <c r="K271" s="5" t="n">
        <v>100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213-2024-12-31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144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90</v>
      </c>
      <c r="K272" s="5" t="n">
        <v>100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213-2025-12-31</t>
        </is>
      </c>
    </row>
    <row r="273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144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90000</v>
      </c>
      <c r="K273" s="5" t="n">
        <v>0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214-2022-12-31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44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90000</v>
      </c>
      <c r="K274" s="5" t="n">
        <v>44656.3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214-2023-12-31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44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90000</v>
      </c>
      <c r="K275" s="5" t="n">
        <v>32812.91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214-2024-12-31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44" t="n">
        <v>46022</v>
      </c>
      <c r="G276" s="5" t="n">
        <v>2025</v>
      </c>
      <c r="H276" s="5" t="inlineStr">
        <is>
          <t>Diciembre</t>
        </is>
      </c>
      <c r="I276" s="6" t="inlineStr">
        <is>
          <t>2025-2</t>
        </is>
      </c>
      <c r="J276" s="5" t="n">
        <v>90000</v>
      </c>
      <c r="K276" s="10" t="n">
        <v>51322.57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214-2025-12-31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44" t="n">
        <v>46053</v>
      </c>
      <c r="G277" s="5" t="n">
        <v>2026</v>
      </c>
      <c r="H277" s="5" t="inlineStr">
        <is>
          <t>Enero</t>
        </is>
      </c>
      <c r="I277" s="6" t="inlineStr">
        <is>
          <t>2026-1</t>
        </is>
      </c>
      <c r="J277" s="5" t="n">
        <v>7500</v>
      </c>
      <c r="K277" s="5" t="n">
        <v>1139.249969482422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214-2026-01-31</t>
        </is>
      </c>
      <c r="S277" t="inlineStr"/>
    </row>
    <row r="278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Trimestral</t>
        </is>
      </c>
      <c r="E278" s="5" t="inlineStr">
        <is>
          <t>Positivo</t>
        </is>
      </c>
      <c r="F278" s="144" t="n">
        <v>44926</v>
      </c>
      <c r="G278" s="5" t="n">
        <v>2022</v>
      </c>
      <c r="H278" s="5" t="inlineStr">
        <is>
          <t>Diciembre</t>
        </is>
      </c>
      <c r="I278" s="6" t="inlineStr">
        <is>
          <t>2022-2</t>
        </is>
      </c>
      <c r="J278" s="5" t="n">
        <v>1</v>
      </c>
      <c r="K278" s="5" t="n">
        <v>-23.628691983122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215-2022-12-31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144" t="n">
        <v>45291</v>
      </c>
      <c r="G279" s="5" t="n">
        <v>2023</v>
      </c>
      <c r="H279" s="5" t="inlineStr">
        <is>
          <t>Diciembre</t>
        </is>
      </c>
      <c r="I279" s="6" t="inlineStr">
        <is>
          <t>2023-2</t>
        </is>
      </c>
      <c r="J279" s="5" t="n">
        <v>1</v>
      </c>
      <c r="K279" s="5" t="n">
        <v>-124.72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215-2023-12-31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144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1</v>
      </c>
      <c r="K280" s="5" t="n">
        <v>-18.825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215-2024-12-31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144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1</v>
      </c>
      <c r="K281" s="5" t="n">
        <v>-60.48999999999999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215-2025-12-31</t>
        </is>
      </c>
    </row>
    <row r="282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144" t="n">
        <v>44926</v>
      </c>
      <c r="G282" s="5" t="n">
        <v>2022</v>
      </c>
      <c r="H282" s="5" t="inlineStr">
        <is>
          <t>Diciembre</t>
        </is>
      </c>
      <c r="I282" s="6" t="inlineStr">
        <is>
          <t>2022-2</t>
        </is>
      </c>
      <c r="J282" s="5" t="n">
        <v>100</v>
      </c>
      <c r="K282" s="5" t="n">
        <v>0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216-2022-12-31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44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100</v>
      </c>
      <c r="K283" s="5" t="n">
        <v>100</v>
      </c>
      <c r="L283" s="28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216-2023-12-31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44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100</v>
      </c>
      <c r="K284" s="5" t="n">
        <v>100</v>
      </c>
      <c r="L284" s="28">
        <f>IFERROR(IF(OR(J284=0,K284=""),"",IF(E284="Positivo",MIN(MAX(K284/J284,0),1.3),MIN(MAX(J284/K284,0),1.3))),"") </f>
        <v/>
      </c>
      <c r="M284" s="28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216-2024-12-31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44" t="n">
        <v>46022</v>
      </c>
      <c r="G285" s="5" t="n">
        <v>2025</v>
      </c>
      <c r="H285" s="5" t="inlineStr">
        <is>
          <t>Diciembre</t>
        </is>
      </c>
      <c r="I285" s="6" t="inlineStr">
        <is>
          <t>2025-2</t>
        </is>
      </c>
      <c r="J285" s="5" t="n">
        <v>100</v>
      </c>
      <c r="K285" s="5" t="n">
        <v>100</v>
      </c>
      <c r="L285" s="28">
        <f>IFERROR(IF(OR(J285=0,K285=""),"",IF(E285="Positivo",MIN(MAX(K285/J285,0),1.3),MIN(MAX(J285/K285,0),1.3))),"") </f>
        <v/>
      </c>
      <c r="M285" s="28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216-2025-12-31</t>
        </is>
      </c>
    </row>
    <row r="286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144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240</v>
      </c>
      <c r="K286" s="5" t="n">
        <v>453.0290027272653</v>
      </c>
      <c r="L286" s="28">
        <f>IFERROR(IF(OR(J286=0,K286=""),"",IF(E286="Positivo",MIN(MAX(K286/J286,0),1.3),MIN(MAX(J286/K286,0),1.3))),"") </f>
        <v/>
      </c>
      <c r="M286" s="28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217-2023-12-31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44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240</v>
      </c>
      <c r="K287" s="5" t="n">
        <v>303.9027505108846</v>
      </c>
      <c r="L287" s="28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217-2024-12-31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144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240</v>
      </c>
      <c r="K288" s="5" t="n">
        <v>877.0699999999999</v>
      </c>
      <c r="L288" s="28">
        <f>IFERROR(IF(OR(J288=0,K288=""),"",IF(E288="Positivo",MIN(MAX(K288/J288,0),1.3),MIN(MAX(J288/K288,0),1.3))),"") </f>
        <v/>
      </c>
      <c r="M288" s="28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217-2025-12-31</t>
        </is>
      </c>
    </row>
    <row r="289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144" t="n">
        <v>44926</v>
      </c>
      <c r="G289" s="5" t="n">
        <v>2022</v>
      </c>
      <c r="H289" s="5" t="inlineStr">
        <is>
          <t>Diciembre</t>
        </is>
      </c>
      <c r="I289" s="6" t="inlineStr">
        <is>
          <t>2022-2</t>
        </is>
      </c>
      <c r="J289" s="119" t="n">
        <v>2064000</v>
      </c>
      <c r="K289" s="123" t="n">
        <v>0</v>
      </c>
      <c r="L289" s="28">
        <f>IFERROR(IF(OR(J289=0,K289=""),"",IF(E289="Positivo",MIN(MAX(K289/J289,0),1.0),MIN(MAX(J289/K289,0),1.0))),"") </f>
        <v/>
      </c>
      <c r="M289" s="28">
        <f>IFERROR(IF(OR(J289=0,K289=""),"",IF(E289="Positivo",MAX(K289/J289,0),MAX(J289/K289,0))),"") </f>
        <v/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218-2022-12-31</t>
        </is>
      </c>
    </row>
    <row r="290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144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2064000</v>
      </c>
      <c r="K290" s="5" t="n">
        <v>1604699.23</v>
      </c>
      <c r="L290" s="28">
        <f>IFERROR(IF(OR(J290=0,K290=""),"",IF(E290="Positivo",MIN(MAX(K290/J290,0),1.0),MIN(MAX(J290/K290,0),1.0))),"") </f>
        <v/>
      </c>
      <c r="M290" s="28">
        <f>IFERROR(IF(OR(J290=0,K290=""),"",IF(E290="Positivo",MAX(K290/J290,0),MAX(J290/K290,0))),"") </f>
        <v/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218-2023-12-31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44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2064000</v>
      </c>
      <c r="K291" s="5" t="n">
        <v>1724302.82</v>
      </c>
      <c r="L291" s="28">
        <f>IFERROR(IF(OR(J291=0,K291=""),"",IF(E291="Positivo",MIN(MAX(K291/J291,0),1.0),MIN(MAX(J291/K291,0),1.0))),"") </f>
        <v/>
      </c>
      <c r="M291" s="28">
        <f>IFERROR(IF(OR(J291=0,K291=""),"",IF(E291="Positivo",MAX(K291/J291,0),MAX(J291/K291,0))),"") </f>
        <v/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218-2024-12-31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44" t="n">
        <v>46022</v>
      </c>
      <c r="G292" s="5" t="n">
        <v>2025</v>
      </c>
      <c r="H292" s="5" t="inlineStr">
        <is>
          <t>Diciembre</t>
        </is>
      </c>
      <c r="I292" s="6" t="inlineStr">
        <is>
          <t>2025-2</t>
        </is>
      </c>
      <c r="J292" s="5" t="n">
        <v>2064000</v>
      </c>
      <c r="K292" s="10" t="n">
        <v>1661978.66</v>
      </c>
      <c r="L292" s="28">
        <f>IFERROR(IF(OR(J292=0,K292=""),"",IF(E292="Positivo",MIN(MAX(K292/J292,0),1.0),MIN(MAX(J292/K292,0),1.0))),"") </f>
        <v/>
      </c>
      <c r="M292" s="28">
        <f>IFERROR(IF(OR(J292=0,K292=""),"",IF(E292="Positivo",MAX(K292/J292,0),MAX(J292/K292,0))),"") </f>
        <v/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218-2025-12-31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44" t="n">
        <v>46053</v>
      </c>
      <c r="G293" s="5" t="n">
        <v>2026</v>
      </c>
      <c r="H293" s="5" t="inlineStr">
        <is>
          <t>Enero</t>
        </is>
      </c>
      <c r="I293" s="6" t="inlineStr">
        <is>
          <t>2026-1</t>
        </is>
      </c>
      <c r="J293" s="5" t="n">
        <v>172000</v>
      </c>
      <c r="K293" s="5" t="n">
        <v>88930.98890626431</v>
      </c>
      <c r="L293" s="28">
        <f>IFERROR(IF(OR(J293=0,K293=""),"",IF(E293="Positivo",MIN(MAX(K293/J293,0),1.0),MIN(MAX(J293/K293,0),1.0))),"") </f>
        <v/>
      </c>
      <c r="M293" s="28">
        <f>IFERROR(IF(OR(J293=0,K293=""),"",IF(E293="Positivo",MAX(K293/J293,0),MAX(J293/K293,0))),"") </f>
        <v/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218-2026-01-31</t>
        </is>
      </c>
      <c r="S293" t="inlineStr"/>
    </row>
    <row r="294">
      <c r="A294" s="5" t="n">
        <v>219</v>
      </c>
      <c r="B294" s="5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Trimestral</t>
        </is>
      </c>
      <c r="E294" s="5" t="inlineStr">
        <is>
          <t>Positivo</t>
        </is>
      </c>
      <c r="F294" s="144" t="n">
        <v>44926</v>
      </c>
      <c r="G294" s="5" t="n">
        <v>2022</v>
      </c>
      <c r="H294" s="5" t="inlineStr">
        <is>
          <t>Diciembre</t>
        </is>
      </c>
      <c r="I294" s="6" t="inlineStr">
        <is>
          <t>2022-2</t>
        </is>
      </c>
      <c r="J294" s="5" t="n">
        <v>1</v>
      </c>
      <c r="K294" s="5" t="n">
        <v>-26.0522196435235</v>
      </c>
      <c r="L294" s="28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219-2022-12-31</t>
        </is>
      </c>
    </row>
    <row r="295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144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1</v>
      </c>
      <c r="K295" s="5" t="n">
        <v>7.628518413137146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219-2023-12-31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Semestral</t>
        </is>
      </c>
      <c r="E296" s="5" t="inlineStr">
        <is>
          <t>Positivo</t>
        </is>
      </c>
      <c r="F296" s="144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119" t="n">
        <v>1</v>
      </c>
      <c r="K296" s="123" t="n">
        <v>-0.2949999999999999</v>
      </c>
      <c r="L296" s="28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219-2024-12-31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44" t="n">
        <v>46022</v>
      </c>
      <c r="G297" s="5" t="n">
        <v>2025</v>
      </c>
      <c r="H297" s="5" t="inlineStr">
        <is>
          <t>Diciembre</t>
        </is>
      </c>
      <c r="I297" s="6" t="inlineStr">
        <is>
          <t>2025-2</t>
        </is>
      </c>
      <c r="J297" s="5" t="n">
        <v>1</v>
      </c>
      <c r="K297" s="5" t="n">
        <v>0.07499999999999929</v>
      </c>
      <c r="L297" s="28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219-2025-12-31</t>
        </is>
      </c>
    </row>
    <row r="298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Trimestral</t>
        </is>
      </c>
      <c r="E298" s="5" t="inlineStr">
        <is>
          <t>Positivo</t>
        </is>
      </c>
      <c r="F298" s="144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1</v>
      </c>
      <c r="K298" s="5" t="n">
        <v>-87.24648787075901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220-2022-12-31</t>
        </is>
      </c>
    </row>
    <row r="299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44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5" t="n">
        <v>1</v>
      </c>
      <c r="K299" s="5" t="n">
        <v>1.049203896717607</v>
      </c>
      <c r="L299" s="28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220-2023-12-31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Semestral</t>
        </is>
      </c>
      <c r="E300" s="5" t="inlineStr">
        <is>
          <t>Positivo</t>
        </is>
      </c>
      <c r="F300" s="144" t="n">
        <v>45657</v>
      </c>
      <c r="G300" s="5" t="n">
        <v>2024</v>
      </c>
      <c r="H300" s="5" t="inlineStr">
        <is>
          <t>Diciembre</t>
        </is>
      </c>
      <c r="I300" s="6" t="inlineStr">
        <is>
          <t>2024-2</t>
        </is>
      </c>
      <c r="J300" s="5" t="n">
        <v>1</v>
      </c>
      <c r="K300" s="5" t="n">
        <v>8.315000000000001</v>
      </c>
      <c r="L300" s="28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220-2024-12-31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44" t="n">
        <v>46022</v>
      </c>
      <c r="G301" s="5" t="n">
        <v>2025</v>
      </c>
      <c r="H301" s="5" t="inlineStr">
        <is>
          <t>Diciembre</t>
        </is>
      </c>
      <c r="I301" s="6" t="inlineStr">
        <is>
          <t>2025-2</t>
        </is>
      </c>
      <c r="J301" s="5" t="n">
        <v>1</v>
      </c>
      <c r="K301" s="5" t="n">
        <v>11.9</v>
      </c>
      <c r="L301" s="28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220-2025-12-31</t>
        </is>
      </c>
    </row>
    <row r="302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144" t="n">
        <v>44926</v>
      </c>
      <c r="G302" s="5" t="n">
        <v>2022</v>
      </c>
      <c r="H302" s="5" t="inlineStr">
        <is>
          <t>Diciembre</t>
        </is>
      </c>
      <c r="I302" s="6" t="inlineStr">
        <is>
          <t>2022-2</t>
        </is>
      </c>
      <c r="J302" s="5" t="n">
        <v>100</v>
      </c>
      <c r="K302" s="5" t="n">
        <v>0</v>
      </c>
      <c r="L302" s="28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221-2022-12-31</t>
        </is>
      </c>
    </row>
    <row r="303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144" t="n">
        <v>45291</v>
      </c>
      <c r="G303" s="5" t="n">
        <v>2023</v>
      </c>
      <c r="H303" s="5" t="inlineStr">
        <is>
          <t>Diciembre</t>
        </is>
      </c>
      <c r="I303" s="6" t="inlineStr">
        <is>
          <t>2023-2</t>
        </is>
      </c>
      <c r="J303" s="5" t="n">
        <v>100</v>
      </c>
      <c r="K303" s="5" t="n">
        <v>100</v>
      </c>
      <c r="L303" s="28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221-2023-12-31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44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100</v>
      </c>
      <c r="K304" s="5" t="n">
        <v>33.33</v>
      </c>
      <c r="L304" s="28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221-2024-12-31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44" t="n">
        <v>46022</v>
      </c>
      <c r="G305" s="5" t="n">
        <v>2025</v>
      </c>
      <c r="H305" s="5" t="inlineStr">
        <is>
          <t>Diciembre</t>
        </is>
      </c>
      <c r="I305" s="6" t="inlineStr">
        <is>
          <t>2025-2</t>
        </is>
      </c>
      <c r="J305" s="5" t="n">
        <v>100</v>
      </c>
      <c r="K305" s="5" t="n">
        <v>27.5</v>
      </c>
      <c r="L305" s="28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221-2025-12-31</t>
        </is>
      </c>
    </row>
    <row r="306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44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90</v>
      </c>
      <c r="K306" s="5" t="n">
        <v>93.75</v>
      </c>
      <c r="L306" s="28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222-2022-12-31</t>
        </is>
      </c>
    </row>
    <row r="307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44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90</v>
      </c>
      <c r="K307" s="5" t="n">
        <v>68.75</v>
      </c>
      <c r="L307" s="28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222-2023-12-31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44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90</v>
      </c>
      <c r="K308" s="5" t="n">
        <v>68.75</v>
      </c>
      <c r="L308" s="28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222-2024-12-31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44" t="n">
        <v>46022</v>
      </c>
      <c r="G309" s="5" t="n">
        <v>2025</v>
      </c>
      <c r="H309" s="5" t="inlineStr">
        <is>
          <t>Diciembre</t>
        </is>
      </c>
      <c r="I309" s="6" t="inlineStr">
        <is>
          <t>2025-2</t>
        </is>
      </c>
      <c r="J309" s="5" t="n">
        <v>90</v>
      </c>
      <c r="K309" s="5" t="n">
        <v>68.75</v>
      </c>
      <c r="L309" s="28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222-2025-12-31</t>
        </is>
      </c>
    </row>
    <row r="310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44" t="n">
        <v>44926</v>
      </c>
      <c r="G310" s="5" t="n">
        <v>2022</v>
      </c>
      <c r="H310" s="5" t="inlineStr">
        <is>
          <t>Diciembre</t>
        </is>
      </c>
      <c r="I310" s="6" t="inlineStr">
        <is>
          <t>2022-2</t>
        </is>
      </c>
      <c r="J310" s="5" t="n">
        <v>100</v>
      </c>
      <c r="K310" s="5" t="n">
        <v>0</v>
      </c>
      <c r="L310" s="28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223-2022-12-31</t>
        </is>
      </c>
    </row>
    <row r="31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44" t="n">
        <v>45291</v>
      </c>
      <c r="G311" s="5" t="n">
        <v>2023</v>
      </c>
      <c r="H311" s="5" t="inlineStr">
        <is>
          <t>Diciembre</t>
        </is>
      </c>
      <c r="I311" s="6" t="inlineStr">
        <is>
          <t>2023-2</t>
        </is>
      </c>
      <c r="J311" s="5" t="n">
        <v>100</v>
      </c>
      <c r="K311" s="5" t="n">
        <v>100</v>
      </c>
      <c r="L311" s="28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223-2023-12-31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44" t="n">
        <v>45657</v>
      </c>
      <c r="G312" s="5" t="n">
        <v>2024</v>
      </c>
      <c r="H312" s="5" t="inlineStr">
        <is>
          <t>Diciembre</t>
        </is>
      </c>
      <c r="I312" s="6" t="inlineStr">
        <is>
          <t>2024-2</t>
        </is>
      </c>
      <c r="J312" s="5" t="n">
        <v>100</v>
      </c>
      <c r="K312" s="5" t="n">
        <v>94.12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223-2024-12-31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44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100</v>
      </c>
      <c r="K313" s="5" t="n">
        <v>91.67</v>
      </c>
      <c r="L313" s="28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223-2025-12-31</t>
        </is>
      </c>
    </row>
    <row r="314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44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100</v>
      </c>
      <c r="K314" s="5" t="n">
        <v>71.42857142857143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224-2022-12-31</t>
        </is>
      </c>
    </row>
    <row r="315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44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100</v>
      </c>
      <c r="K315" s="5" t="n">
        <v>40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224-2023-12-31</t>
        </is>
      </c>
    </row>
    <row r="316">
      <c r="A316" s="5" t="n">
        <v>224</v>
      </c>
      <c r="B316" s="102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44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100</v>
      </c>
      <c r="K316" s="5" t="n">
        <v>100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224-2024-12-31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44" t="n">
        <v>46022</v>
      </c>
      <c r="G317" s="16" t="n">
        <v>2025</v>
      </c>
      <c r="H317" s="6" t="inlineStr">
        <is>
          <t>Diciembre</t>
        </is>
      </c>
      <c r="I317" s="6" t="inlineStr">
        <is>
          <t>2025-2</t>
        </is>
      </c>
      <c r="J317" s="5" t="n">
        <v>100</v>
      </c>
      <c r="K317" s="5" t="n">
        <v>100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224-2025-12-31</t>
        </is>
      </c>
    </row>
    <row r="318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144" t="n">
        <v>44926</v>
      </c>
      <c r="G318" s="5" t="n">
        <v>2022</v>
      </c>
      <c r="H318" s="5" t="inlineStr">
        <is>
          <t>Diciembre</t>
        </is>
      </c>
      <c r="I318" s="6" t="inlineStr">
        <is>
          <t>2022-2</t>
        </is>
      </c>
      <c r="J318" s="5" t="n">
        <v>1</v>
      </c>
      <c r="K318" s="5" t="n">
        <v>0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225-2022-12-31</t>
        </is>
      </c>
    </row>
    <row r="319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144" t="n">
        <v>45291</v>
      </c>
      <c r="G319" s="5" t="n">
        <v>2023</v>
      </c>
      <c r="H319" s="5" t="inlineStr">
        <is>
          <t>Diciembre</t>
        </is>
      </c>
      <c r="I319" s="6" t="inlineStr">
        <is>
          <t>2023-2</t>
        </is>
      </c>
      <c r="J319" s="5" t="n">
        <v>1</v>
      </c>
      <c r="K319" s="5" t="n">
        <v>20.41666666666667</v>
      </c>
      <c r="L319" s="28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225-2023-12-31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44" t="n">
        <v>45657</v>
      </c>
      <c r="G320" s="5" t="n">
        <v>2024</v>
      </c>
      <c r="H320" s="5" t="inlineStr">
        <is>
          <t>Diciembre</t>
        </is>
      </c>
      <c r="I320" s="6" t="inlineStr">
        <is>
          <t>2024-2</t>
        </is>
      </c>
      <c r="J320" s="5" t="n">
        <v>1</v>
      </c>
      <c r="K320" s="5" t="n">
        <v>20.5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225-2024-12-31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44" t="n">
        <v>46022</v>
      </c>
      <c r="G321" s="5" t="n">
        <v>2025</v>
      </c>
      <c r="H321" s="5" t="inlineStr">
        <is>
          <t>Diciembre</t>
        </is>
      </c>
      <c r="I321" s="6" t="inlineStr">
        <is>
          <t>2025-2</t>
        </is>
      </c>
      <c r="J321" s="119" t="n">
        <v>1</v>
      </c>
      <c r="K321" s="124" t="n">
        <v>19.41666666666667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225-2025-12-31</t>
        </is>
      </c>
    </row>
    <row r="322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144" t="n">
        <v>44926</v>
      </c>
      <c r="G322" s="5" t="n">
        <v>2022</v>
      </c>
      <c r="H322" s="5" t="inlineStr">
        <is>
          <t>Diciembre</t>
        </is>
      </c>
      <c r="I322" s="6" t="inlineStr">
        <is>
          <t>2022-2</t>
        </is>
      </c>
      <c r="J322" s="5" t="n">
        <v>2</v>
      </c>
      <c r="K322" s="10" t="n">
        <v>476.4899959564209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226-2022-12-31</t>
        </is>
      </c>
    </row>
    <row r="323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144" t="n">
        <v>45291</v>
      </c>
      <c r="G323" s="5" t="n">
        <v>2023</v>
      </c>
      <c r="H323" s="5" t="inlineStr">
        <is>
          <t>Diciembre</t>
        </is>
      </c>
      <c r="I323" s="6" t="inlineStr">
        <is>
          <t>2023-2</t>
        </is>
      </c>
      <c r="J323" s="5" t="n">
        <v>2</v>
      </c>
      <c r="K323" s="10" t="n">
        <v>622.6900000000001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5" t="inlineStr">
        <is>
          <t>tCO2e</t>
        </is>
      </c>
      <c r="O323" s="5" t="inlineStr">
        <is>
          <t>tCO2e</t>
        </is>
      </c>
      <c r="P323" s="5" t="n">
        <v>0</v>
      </c>
      <c r="Q323" s="5" t="n">
        <v>0</v>
      </c>
      <c r="R323" s="5" t="inlineStr">
        <is>
          <t>226-2023-12-31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44" t="n">
        <v>45657</v>
      </c>
      <c r="G324" s="5" t="n">
        <v>2024</v>
      </c>
      <c r="H324" s="5" t="inlineStr">
        <is>
          <t>Diciembre</t>
        </is>
      </c>
      <c r="I324" s="6" t="inlineStr">
        <is>
          <t>2024-2</t>
        </is>
      </c>
      <c r="J324" s="123" t="n">
        <v>2</v>
      </c>
      <c r="K324" s="123" t="n">
        <v>3531.11</v>
      </c>
      <c r="L324" s="28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226-2024-12-31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144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2</v>
      </c>
      <c r="K325" s="11" t="n"/>
      <c r="L325" s="28" t="n"/>
      <c r="M325" s="28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0</v>
      </c>
      <c r="R325" s="5" t="inlineStr">
        <is>
          <t>226-2025-12-31</t>
        </is>
      </c>
      <c r="S325" t="inlineStr">
        <is>
          <t>No Aplica</t>
        </is>
      </c>
    </row>
    <row r="326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144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0.3</v>
      </c>
      <c r="K326" s="5" t="n">
        <v>0.01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227-2022-12-31</t>
        </is>
      </c>
    </row>
    <row r="327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144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0.3</v>
      </c>
      <c r="K327" s="5" t="n">
        <v>0.01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227-2023-12-31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144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0.3</v>
      </c>
      <c r="K328" s="5" t="n">
        <v>3531.11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227-2024-12-31</t>
        </is>
      </c>
    </row>
    <row r="329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44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100</v>
      </c>
      <c r="K329" s="5" t="n">
        <v>100.1070326764465</v>
      </c>
      <c r="L329" s="28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0</v>
      </c>
      <c r="R329" s="5" t="inlineStr">
        <is>
          <t>228-2022-12-31</t>
        </is>
      </c>
    </row>
    <row r="330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44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100</v>
      </c>
      <c r="K330" s="5" t="n">
        <v>100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228-2023-12-31</t>
        </is>
      </c>
    </row>
    <row r="331">
      <c r="A331" s="5" t="n">
        <v>228</v>
      </c>
      <c r="B331" s="5" t="inlineStr">
        <is>
          <t>Compensación de Gases de Efecto Invernadero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144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100</v>
      </c>
      <c r="K331" s="5" t="n">
        <v>3531.11</v>
      </c>
      <c r="L331" s="28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5" t="inlineStr">
        <is>
          <t>tCO2e</t>
        </is>
      </c>
      <c r="O331" s="5" t="inlineStr">
        <is>
          <t>tCO2e</t>
        </is>
      </c>
      <c r="P331" s="5" t="n">
        <v>1</v>
      </c>
      <c r="Q331" s="5" t="n">
        <v>1</v>
      </c>
      <c r="R331" s="5" t="inlineStr">
        <is>
          <t>228-2024-12-31</t>
        </is>
      </c>
    </row>
    <row r="332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144" t="n">
        <v>45291</v>
      </c>
      <c r="G332" s="5" t="n">
        <v>2023</v>
      </c>
      <c r="H332" s="5" t="inlineStr">
        <is>
          <t>Diciembre</t>
        </is>
      </c>
      <c r="I332" s="6" t="inlineStr">
        <is>
          <t>2023-2</t>
        </is>
      </c>
      <c r="J332" s="5" t="n">
        <v>90</v>
      </c>
      <c r="K332" s="5" t="n">
        <v>100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230-2023-12-31</t>
        </is>
      </c>
    </row>
    <row r="333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Semestral</t>
        </is>
      </c>
      <c r="E333" s="5" t="inlineStr">
        <is>
          <t>Positivo</t>
        </is>
      </c>
      <c r="F333" s="144" t="n">
        <v>45657</v>
      </c>
      <c r="G333" s="5" t="n">
        <v>2024</v>
      </c>
      <c r="H333" s="5" t="inlineStr">
        <is>
          <t>Diciembre</t>
        </is>
      </c>
      <c r="I333" s="6" t="inlineStr">
        <is>
          <t>2024-2</t>
        </is>
      </c>
      <c r="J333" s="5" t="n">
        <v>90</v>
      </c>
      <c r="K333" s="5" t="n">
        <v>100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230-2024-12-31</t>
        </is>
      </c>
    </row>
    <row r="334">
      <c r="A334" s="5" t="n">
        <v>230</v>
      </c>
      <c r="B334" s="5" t="inlineStr">
        <is>
          <t>Ejecución de Eventos de Formación en Materia Ambiental</t>
        </is>
      </c>
      <c r="C334" s="5" t="inlineStr">
        <is>
          <t>GESTIÓN AMBIENTAL</t>
        </is>
      </c>
      <c r="D334" s="5" t="inlineStr">
        <is>
          <t>Trimestral</t>
        </is>
      </c>
      <c r="E334" s="5" t="inlineStr">
        <is>
          <t>Positivo</t>
        </is>
      </c>
      <c r="F334" s="144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90</v>
      </c>
      <c r="K334" s="5" t="n">
        <v>96.745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230-2025-12-31</t>
        </is>
      </c>
    </row>
    <row r="335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44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70</v>
      </c>
      <c r="K335" s="5" t="n">
        <v>137.02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231-2023-12-31</t>
        </is>
      </c>
    </row>
    <row r="336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44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70</v>
      </c>
      <c r="K336" s="5" t="n">
        <v>200.94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231-2024-12-31</t>
        </is>
      </c>
    </row>
    <row r="337">
      <c r="A337" s="5" t="n">
        <v>231</v>
      </c>
      <c r="B337" s="5" t="inlineStr">
        <is>
          <t>Asistencia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144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70</v>
      </c>
      <c r="K337" s="5" t="n">
        <v>7848.87</v>
      </c>
      <c r="L337" s="28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231-2025-12-31</t>
        </is>
      </c>
    </row>
    <row r="338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44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180</v>
      </c>
      <c r="K338" s="5" t="n">
        <v>191.3</v>
      </c>
      <c r="L338" s="28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232-2023-12-31</t>
        </is>
      </c>
    </row>
    <row r="339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44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180</v>
      </c>
      <c r="K339" s="5" t="n">
        <v>195.45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232-2024-12-31</t>
        </is>
      </c>
    </row>
    <row r="340">
      <c r="A340" s="5" t="n">
        <v>232</v>
      </c>
      <c r="B340" s="5" t="inlineStr">
        <is>
          <t>Ejecución de las Comunicaciones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44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180</v>
      </c>
      <c r="K340" s="5" t="n">
        <v>166.56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232-2025-12-31</t>
        </is>
      </c>
    </row>
    <row r="34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44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20</v>
      </c>
      <c r="K341" s="5" t="n">
        <v>32.25307583019057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233-2023-12-31</t>
        </is>
      </c>
    </row>
    <row r="342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Trimestral</t>
        </is>
      </c>
      <c r="E342" s="5" t="inlineStr">
        <is>
          <t>Positivo</t>
        </is>
      </c>
      <c r="F342" s="144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20</v>
      </c>
      <c r="K342" s="5" t="n">
        <v>32.91282268901744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233-2024-12-31</t>
        </is>
      </c>
    </row>
    <row r="343">
      <c r="A343" s="5" t="n">
        <v>233</v>
      </c>
      <c r="B343" s="5" t="inlineStr">
        <is>
          <t>Impacto de las Comunicaciones Correo Electrónico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144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20</v>
      </c>
      <c r="K343" s="5" t="n">
        <v>22.315</v>
      </c>
      <c r="L343" s="76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233-2025-12-31</t>
        </is>
      </c>
    </row>
    <row r="344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44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4000</v>
      </c>
      <c r="K344" s="5" t="n">
        <v>6785.75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234-2023-12-31</t>
        </is>
      </c>
    </row>
    <row r="345">
      <c r="A345" s="5" t="n">
        <v>234</v>
      </c>
      <c r="B345" s="5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44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4000</v>
      </c>
      <c r="K345" s="5" t="n">
        <v>4301.86111111111</v>
      </c>
      <c r="L345" s="28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234-2024-12-31</t>
        </is>
      </c>
    </row>
    <row r="346">
      <c r="A346" s="5" t="n">
        <v>234</v>
      </c>
      <c r="B346" s="5" t="inlineStr">
        <is>
          <t>Impacto de las Comunicaciones en Materia Ambiental a Través de Redes Sociales - Instagram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144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4000</v>
      </c>
      <c r="K346" s="5" t="n">
        <v>10577.25</v>
      </c>
      <c r="L346" s="28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ENT</t>
        </is>
      </c>
      <c r="O346" s="5" t="inlineStr">
        <is>
          <t>ENT</t>
        </is>
      </c>
      <c r="P346" s="5" t="n">
        <v>0</v>
      </c>
      <c r="Q346" s="5" t="n">
        <v>0</v>
      </c>
      <c r="R346" s="5" t="inlineStr">
        <is>
          <t>234-2025-12-31</t>
        </is>
      </c>
    </row>
    <row r="347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144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100</v>
      </c>
      <c r="K347" s="5" t="n">
        <v>81.65289256198299</v>
      </c>
      <c r="L347" s="28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235-2023-12-31</t>
        </is>
      </c>
    </row>
    <row r="348">
      <c r="A348" s="5" t="n">
        <v>235</v>
      </c>
      <c r="B348" s="5" t="inlineStr">
        <is>
          <t>Cumplimiento de Requisitos Legales Ambientales Aplicables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Positivo</t>
        </is>
      </c>
      <c r="F348" s="144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100</v>
      </c>
      <c r="K348" s="5" t="n">
        <v>92.012779552716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235-2024-12-31</t>
        </is>
      </c>
    </row>
    <row r="349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144" t="n">
        <v>45291</v>
      </c>
      <c r="G349" s="5" t="n">
        <v>2023</v>
      </c>
      <c r="H349" s="5" t="inlineStr">
        <is>
          <t>Diciembre</t>
        </is>
      </c>
      <c r="I349" s="6" t="inlineStr">
        <is>
          <t>2023-2</t>
        </is>
      </c>
      <c r="J349" s="5" t="n">
        <v>0</v>
      </c>
      <c r="K349" s="5" t="n">
        <v>0</v>
      </c>
      <c r="L349" s="28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236-2023-12-31</t>
        </is>
      </c>
    </row>
    <row r="350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144" t="n">
        <v>45657</v>
      </c>
      <c r="G350" s="5" t="n">
        <v>2024</v>
      </c>
      <c r="H350" s="5" t="inlineStr">
        <is>
          <t>Diciembre</t>
        </is>
      </c>
      <c r="I350" s="6" t="inlineStr">
        <is>
          <t>2024-2</t>
        </is>
      </c>
      <c r="J350" s="5" t="n">
        <v>0</v>
      </c>
      <c r="K350" s="5" t="n">
        <v>0</v>
      </c>
      <c r="L350" s="28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236-2024-12-31</t>
        </is>
      </c>
    </row>
    <row r="351">
      <c r="A351" s="5" t="n">
        <v>236</v>
      </c>
      <c r="B351" s="5" t="inlineStr">
        <is>
          <t>Actos Administrativos o Decisiones Judiciales Ambientales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Negativo</t>
        </is>
      </c>
      <c r="F351" s="144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0</v>
      </c>
      <c r="K351" s="5" t="n">
        <v>0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236-2025-12-31</t>
        </is>
      </c>
    </row>
    <row r="352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144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90</v>
      </c>
      <c r="K352" s="5" t="n">
        <v>87.52088554720135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238-2023-12-31</t>
        </is>
      </c>
    </row>
    <row r="353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Trimestral</t>
        </is>
      </c>
      <c r="E353" s="5" t="inlineStr">
        <is>
          <t>Positivo</t>
        </is>
      </c>
      <c r="F353" s="144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90</v>
      </c>
      <c r="K353" s="5" t="n">
        <v>79.63150062656641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238-2024-12-31</t>
        </is>
      </c>
    </row>
    <row r="354">
      <c r="A354" s="5" t="n">
        <v>238</v>
      </c>
      <c r="B354" s="5" t="inlineStr">
        <is>
          <t>Cumplimiento de la Protección del Medio Ambiente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Positivo</t>
        </is>
      </c>
      <c r="F354" s="144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90</v>
      </c>
      <c r="K354" s="5" t="n">
        <v>84.53333333333335</v>
      </c>
      <c r="L354" s="28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Sin Reporte</t>
        </is>
      </c>
      <c r="O354" s="5" t="inlineStr">
        <is>
          <t>Sin Reporte</t>
        </is>
      </c>
      <c r="P354" s="5" t="n">
        <v>0</v>
      </c>
      <c r="Q354" s="5" t="n">
        <v>0</v>
      </c>
      <c r="R354" s="5" t="inlineStr">
        <is>
          <t>238-2025-12-31</t>
        </is>
      </c>
    </row>
    <row r="355">
      <c r="A355" s="5" t="n">
        <v>239</v>
      </c>
      <c r="B355" s="5" t="inlineStr">
        <is>
          <t>Portafolio de Proyectos - Metrica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144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/>
      <c r="K355" s="5" t="n">
        <v>0</v>
      </c>
      <c r="L355" s="28" t="n"/>
      <c r="M355" s="28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239-2022-12-31</t>
        </is>
      </c>
      <c r="S355" t="inlineStr">
        <is>
          <t>Metrica</t>
        </is>
      </c>
    </row>
    <row r="356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144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/>
      <c r="K356" s="5" t="n">
        <v>0</v>
      </c>
      <c r="L356" s="28" t="n"/>
      <c r="M356" s="28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239-2023-12-31</t>
        </is>
      </c>
    </row>
    <row r="357">
      <c r="A357" s="5" t="n">
        <v>239</v>
      </c>
      <c r="B357" s="5" t="inlineStr">
        <is>
          <t>Portafolio de Proyectos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14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/>
      <c r="K357" s="5" t="n">
        <v>0</v>
      </c>
      <c r="L357" s="28" t="n"/>
      <c r="M357" s="28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239-2024-12-31</t>
        </is>
      </c>
    </row>
    <row r="358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144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/>
      <c r="K358" s="5" t="n">
        <v>44</v>
      </c>
      <c r="L358" s="28" t="n"/>
      <c r="M358" s="28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239-2025-12-31</t>
        </is>
      </c>
      <c r="S358" t="inlineStr">
        <is>
          <t>Metrica</t>
        </is>
      </c>
    </row>
    <row r="359" customFormat="1" s="48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44" t="n">
        <v>46081</v>
      </c>
      <c r="G359" s="5" t="n">
        <v>2026</v>
      </c>
      <c r="H359" s="5" t="inlineStr">
        <is>
          <t>Febrero</t>
        </is>
      </c>
      <c r="I359" s="6" t="inlineStr">
        <is>
          <t>2026-1</t>
        </is>
      </c>
      <c r="J359" s="5" t="n"/>
      <c r="K359" s="5" t="n">
        <v>44</v>
      </c>
      <c r="L359" s="28" t="n"/>
      <c r="M359" s="28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239-2026-02-28</t>
        </is>
      </c>
      <c r="S359" t="inlineStr">
        <is>
          <t>Metrica</t>
        </is>
      </c>
    </row>
    <row r="360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144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65</v>
      </c>
      <c r="L360" s="28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240-2023-12-31</t>
        </is>
      </c>
    </row>
    <row r="36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Trimestral</t>
        </is>
      </c>
      <c r="E361" s="5" t="inlineStr">
        <is>
          <t>Positivo</t>
        </is>
      </c>
      <c r="F361" s="144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100</v>
      </c>
      <c r="K361" s="5" t="n">
        <v>97.91666666666666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240-2024-12-31</t>
        </is>
      </c>
    </row>
    <row r="362">
      <c r="A362" s="5" t="n">
        <v>240</v>
      </c>
      <c r="B362" s="5" t="inlineStr">
        <is>
          <t>Cumplimiento de Gestión De Proyectos Cerrados</t>
        </is>
      </c>
      <c r="C362" s="5" t="inlineStr">
        <is>
          <t>Gestión de Proyectos</t>
        </is>
      </c>
      <c r="D362" s="5" t="inlineStr">
        <is>
          <t>Semestral</t>
        </is>
      </c>
      <c r="E362" s="5" t="inlineStr">
        <is>
          <t>Positivo</t>
        </is>
      </c>
      <c r="F362" s="144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>
        <v>100</v>
      </c>
      <c r="K362" s="5" t="n">
        <v>100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240-2025-12-31</t>
        </is>
      </c>
    </row>
    <row r="363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44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80</v>
      </c>
      <c r="K363" s="5" t="n">
        <v>92.54929292929292</v>
      </c>
      <c r="L363" s="28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241-2023-12-31</t>
        </is>
      </c>
    </row>
    <row r="364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144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80</v>
      </c>
      <c r="K364" s="5" t="n">
        <v>88.93920893920894</v>
      </c>
      <c r="L364" s="28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241-2024-12-31</t>
        </is>
      </c>
    </row>
    <row r="365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144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80</v>
      </c>
      <c r="K365" s="5" t="n">
        <v>99.30583333333334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241-2025-12-31</t>
        </is>
      </c>
    </row>
    <row r="366">
      <c r="A366" s="5" t="n">
        <v>241</v>
      </c>
      <c r="B366" s="5" t="inlineStr">
        <is>
          <t>Cumplimiento de gestión de proyectos fase inicio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144" t="n">
        <v>46053</v>
      </c>
      <c r="G366" s="5" t="n">
        <v>2026</v>
      </c>
      <c r="H366" s="5" t="inlineStr">
        <is>
          <t>Enero</t>
        </is>
      </c>
      <c r="I366" s="6" t="inlineStr">
        <is>
          <t>2026-1</t>
        </is>
      </c>
      <c r="J366" s="5" t="n">
        <v>80</v>
      </c>
      <c r="K366" s="5" t="n">
        <v>90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241-2026-01-31</t>
        </is>
      </c>
      <c r="S366" t="inlineStr"/>
    </row>
    <row r="367">
      <c r="A367" s="5" t="n">
        <v>242</v>
      </c>
      <c r="B367" s="5" t="inlineStr">
        <is>
          <t>Cumplimiento a cronograma de proyectos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144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90</v>
      </c>
      <c r="K367" s="5" t="n">
        <v>96.08</v>
      </c>
      <c r="L367" s="28">
        <f>IFERROR(IF(OR(J367=0,K367=""),"",IF(E367="Positivo",MIN(MAX(K367/J367,0),1.3),MIN(MAX(J367/K367,0),1.3))),"") </f>
        <v/>
      </c>
      <c r="M367" s="28">
        <f>IFERROR(IF(OR(J367=0,K367=""),"",IF(E367="Positivo",MAX(K367/J367,0),MAX(J367/K367,0))),"") </f>
        <v/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242-2023-12-31</t>
        </is>
      </c>
    </row>
    <row r="368">
      <c r="A368" s="5" t="n">
        <v>243</v>
      </c>
      <c r="B368" s="5" t="inlineStr">
        <is>
          <t>Cumplimiento de gestión de proyectos control de cambios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Negativo</t>
        </is>
      </c>
      <c r="F368" s="144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138" t="n"/>
      <c r="K368" s="123" t="n">
        <v>4.96</v>
      </c>
      <c r="L368" s="28" t="n"/>
      <c r="M368" s="28" t="n"/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243-2023-12-31</t>
        </is>
      </c>
    </row>
    <row r="369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144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25</v>
      </c>
      <c r="K369" s="5" t="n">
        <v>24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244-2023-12-31</t>
        </is>
      </c>
    </row>
    <row r="370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144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25</v>
      </c>
      <c r="K370" s="5" t="n">
        <v>25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244-2024-12-31</t>
        </is>
      </c>
    </row>
    <row r="371">
      <c r="A371" s="5" t="n">
        <v>244</v>
      </c>
      <c r="B371" s="5" t="inlineStr">
        <is>
          <t>GreenMetric - Nacional</t>
        </is>
      </c>
      <c r="C371" s="5" t="inlineStr">
        <is>
          <t>GESTIÓN AMBIENTAL</t>
        </is>
      </c>
      <c r="D371" s="5" t="inlineStr">
        <is>
          <t>Anual</t>
        </is>
      </c>
      <c r="E371" s="5" t="inlineStr">
        <is>
          <t>Negativo</t>
        </is>
      </c>
      <c r="F371" s="144" t="n">
        <v>46022</v>
      </c>
      <c r="G371" s="5" t="n">
        <v>2025</v>
      </c>
      <c r="H371" s="5" t="inlineStr">
        <is>
          <t>Diciembre</t>
        </is>
      </c>
      <c r="I371" s="6" t="inlineStr">
        <is>
          <t>2025-2</t>
        </is>
      </c>
      <c r="J371" s="5" t="n">
        <v>25</v>
      </c>
      <c r="K371" s="5" t="n">
        <v>13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ENT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244-2025-12-31</t>
        </is>
      </c>
    </row>
    <row r="372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144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87</v>
      </c>
      <c r="K372" s="5" t="n">
        <v>98.14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245-2023-12-31</t>
        </is>
      </c>
    </row>
    <row r="373">
      <c r="A373" s="5" t="n">
        <v>245</v>
      </c>
      <c r="B373" s="5" t="inlineStr">
        <is>
          <t>Permanencia Intersemestral</t>
        </is>
      </c>
      <c r="C373" s="5" t="inlineStr">
        <is>
          <t>Permanencia</t>
        </is>
      </c>
      <c r="D373" s="5" t="inlineStr">
        <is>
          <t>Semestral</t>
        </is>
      </c>
      <c r="E373" s="5" t="inlineStr">
        <is>
          <t>Positivo</t>
        </is>
      </c>
      <c r="F373" s="144" t="n">
        <v>45657</v>
      </c>
      <c r="G373" s="5" t="n">
        <v>2024</v>
      </c>
      <c r="H373" s="5" t="inlineStr">
        <is>
          <t>Diciembre</t>
        </is>
      </c>
      <c r="I373" s="6" t="inlineStr">
        <is>
          <t>2024-2</t>
        </is>
      </c>
      <c r="J373" s="5" t="n">
        <v>100</v>
      </c>
      <c r="K373" s="5" t="n">
        <v>100.22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245-2024-12-31</t>
        </is>
      </c>
    </row>
    <row r="374">
      <c r="A374" s="5" t="n">
        <v>245</v>
      </c>
      <c r="B374" s="5" t="inlineStr">
        <is>
          <t>Permanencia Intersemestral</t>
        </is>
      </c>
      <c r="C374" s="5" t="inlineStr">
        <is>
          <t>Permanencia</t>
        </is>
      </c>
      <c r="D374" s="5" t="inlineStr">
        <is>
          <t>Semestral</t>
        </is>
      </c>
      <c r="E374" s="5" t="inlineStr">
        <is>
          <t>Positivo</t>
        </is>
      </c>
      <c r="F374" s="144" t="n">
        <v>46022</v>
      </c>
      <c r="G374" s="5" t="n">
        <v>2025</v>
      </c>
      <c r="H374" s="5" t="inlineStr">
        <is>
          <t>Diciembre</t>
        </is>
      </c>
      <c r="I374" s="6" t="inlineStr">
        <is>
          <t>2025-2</t>
        </is>
      </c>
      <c r="J374" s="5" t="n">
        <v>100</v>
      </c>
      <c r="K374" s="5" t="n">
        <v>100.12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%</t>
        </is>
      </c>
      <c r="O374" s="5" t="inlineStr">
        <is>
          <t>%</t>
        </is>
      </c>
      <c r="P374" s="5" t="n">
        <v>1</v>
      </c>
      <c r="Q374" s="5" t="n">
        <v>1</v>
      </c>
      <c r="R374" s="5" t="inlineStr">
        <is>
          <t>245-2025-12-31</t>
        </is>
      </c>
    </row>
    <row r="375">
      <c r="A375" s="5" t="n">
        <v>246</v>
      </c>
      <c r="B375" s="5" t="inlineStr">
        <is>
          <t>Satisfacción del proceso de grados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144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85</v>
      </c>
      <c r="K375" s="5" t="n">
        <v>61.4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246-2023-12-31</t>
        </is>
      </c>
    </row>
    <row r="376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Semestral</t>
        </is>
      </c>
      <c r="E376" s="5" t="inlineStr">
        <is>
          <t>Positivo</t>
        </is>
      </c>
      <c r="F376" s="144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67.5</v>
      </c>
      <c r="K376" s="5" t="n">
        <v>94.40000000000001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246-2024-12-31</t>
        </is>
      </c>
    </row>
    <row r="377">
      <c r="A377" s="5" t="n">
        <v>246</v>
      </c>
      <c r="B377" s="5" t="inlineStr">
        <is>
          <t>Satisfacción del proceso de grados presencial</t>
        </is>
      </c>
      <c r="C377" s="5" t="inlineStr">
        <is>
          <t>Registro y Control</t>
        </is>
      </c>
      <c r="D377" s="5" t="inlineStr">
        <is>
          <t>Trimestral</t>
        </is>
      </c>
      <c r="E377" s="5" t="inlineStr">
        <is>
          <t>Positivo</t>
        </is>
      </c>
      <c r="F377" s="144" t="n">
        <v>46022</v>
      </c>
      <c r="G377" s="5" t="n">
        <v>2025</v>
      </c>
      <c r="H377" s="5" t="inlineStr">
        <is>
          <t>Diciembre</t>
        </is>
      </c>
      <c r="I377" s="6" t="inlineStr">
        <is>
          <t>2025-2</t>
        </is>
      </c>
      <c r="J377" s="5" t="n">
        <v>90</v>
      </c>
      <c r="K377" s="5" t="n">
        <v>92.7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246-2025-12-31</t>
        </is>
      </c>
    </row>
    <row r="378">
      <c r="A378" s="5" t="n">
        <v>247</v>
      </c>
      <c r="B378" s="5" t="inlineStr">
        <is>
          <t>Solicitud de certificados</t>
        </is>
      </c>
      <c r="C378" s="5" t="inlineStr">
        <is>
          <t>Registro y Control</t>
        </is>
      </c>
      <c r="D378" s="5" t="inlineStr">
        <is>
          <t>Mensual</t>
        </is>
      </c>
      <c r="E378" s="5" t="inlineStr">
        <is>
          <t>Positivo</t>
        </is>
      </c>
      <c r="F378" s="144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69.8</v>
      </c>
      <c r="L378" s="28" t="n"/>
      <c r="M378" s="28" t="n"/>
      <c r="N378" s="5" t="inlineStr">
        <is>
          <t>%</t>
        </is>
      </c>
      <c r="O378" s="5" t="inlineStr">
        <is>
          <t>DEC</t>
        </is>
      </c>
      <c r="P378" s="5" t="n">
        <v>1</v>
      </c>
      <c r="Q378" s="5" t="n">
        <v>1</v>
      </c>
      <c r="R378" s="5" t="inlineStr">
        <is>
          <t>247-2023-12-31</t>
        </is>
      </c>
    </row>
    <row r="379">
      <c r="A379" s="5" t="n">
        <v>248</v>
      </c>
      <c r="B379" s="5" t="inlineStr">
        <is>
          <t>Programas con reforzamiento curricular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144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44</v>
      </c>
      <c r="K379" s="5" t="n">
        <v>44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248-2023-12-31</t>
        </is>
      </c>
    </row>
    <row r="380">
      <c r="A380" s="5" t="n">
        <v>249</v>
      </c>
      <c r="B380" s="5" t="inlineStr">
        <is>
          <t>Programas con matriz de resultado de aprendizaje</t>
        </is>
      </c>
      <c r="C380" s="5" t="inlineStr">
        <is>
          <t>Gestión, Evaluación e Innovación Curricular</t>
        </is>
      </c>
      <c r="D380" s="5" t="inlineStr">
        <is>
          <t>Semestral</t>
        </is>
      </c>
      <c r="E380" s="5" t="inlineStr">
        <is>
          <t>Positivo</t>
        </is>
      </c>
      <c r="F380" s="144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98</v>
      </c>
      <c r="K380" s="5" t="n">
        <v>98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ENT</t>
        </is>
      </c>
      <c r="O380" s="5" t="inlineStr">
        <is>
          <t>ENT</t>
        </is>
      </c>
      <c r="P380" s="5" t="n">
        <v>0</v>
      </c>
      <c r="Q380" s="5" t="n">
        <v>0</v>
      </c>
      <c r="R380" s="5" t="inlineStr">
        <is>
          <t>249-2023-12-31</t>
        </is>
      </c>
    </row>
    <row r="38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144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100</v>
      </c>
      <c r="K381" s="5" t="n">
        <v>100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251-2023-12-31</t>
        </is>
      </c>
    </row>
    <row r="382">
      <c r="A382" s="5" t="n">
        <v>251</v>
      </c>
      <c r="B382" s="5" t="inlineStr">
        <is>
          <t>Subprocesos Con CMI Estructurado</t>
        </is>
      </c>
      <c r="C382" s="5" t="inlineStr">
        <is>
          <t>Desempeño Institucional</t>
        </is>
      </c>
      <c r="D382" s="5" t="inlineStr">
        <is>
          <t>Trimestral</t>
        </is>
      </c>
      <c r="E382" s="5" t="inlineStr">
        <is>
          <t>Positivo</t>
        </is>
      </c>
      <c r="F382" s="144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100</v>
      </c>
      <c r="K382" s="5" t="n">
        <v>96.22641509433964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251-2024-12-31</t>
        </is>
      </c>
    </row>
    <row r="383">
      <c r="A383" s="5" t="n">
        <v>251</v>
      </c>
      <c r="B383" s="5" t="inlineStr">
        <is>
          <t>Subprocesos Con indicadores definidos</t>
        </is>
      </c>
      <c r="C383" s="5" t="inlineStr">
        <is>
          <t>Desempeño Institucional</t>
        </is>
      </c>
      <c r="D383" s="5" t="inlineStr">
        <is>
          <t>Semestral</t>
        </is>
      </c>
      <c r="E383" s="5" t="inlineStr">
        <is>
          <t>Positivo</t>
        </is>
      </c>
      <c r="F383" s="144" t="n">
        <v>46022</v>
      </c>
      <c r="G383" s="5" t="n">
        <v>2025</v>
      </c>
      <c r="H383" s="5" t="inlineStr">
        <is>
          <t>Diciembre</t>
        </is>
      </c>
      <c r="I383" s="6" t="inlineStr">
        <is>
          <t>2025-2</t>
        </is>
      </c>
      <c r="J383" s="5" t="n">
        <v>100</v>
      </c>
      <c r="K383" s="5" t="n">
        <v>100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251-2025-12-31</t>
        </is>
      </c>
    </row>
    <row r="384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144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68</v>
      </c>
      <c r="K384" s="5" t="n">
        <v>109.91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1</v>
      </c>
      <c r="R384" s="5" t="inlineStr">
        <is>
          <t>252-2023-12-31</t>
        </is>
      </c>
    </row>
    <row r="385">
      <c r="A385" s="5" t="n">
        <v>252</v>
      </c>
      <c r="B385" s="5" t="inlineStr">
        <is>
          <t>Permanencia intersemestral ingresantes</t>
        </is>
      </c>
      <c r="C385" s="5" t="inlineStr">
        <is>
          <t>Permanencia</t>
        </is>
      </c>
      <c r="D385" s="5" t="inlineStr">
        <is>
          <t>Semestral</t>
        </is>
      </c>
      <c r="E385" s="5" t="inlineStr">
        <is>
          <t>Positivo</t>
        </is>
      </c>
      <c r="F385" s="144" t="n">
        <v>45657</v>
      </c>
      <c r="G385" s="5" t="n">
        <v>2024</v>
      </c>
      <c r="H385" s="5" t="inlineStr">
        <is>
          <t>Diciembre</t>
        </is>
      </c>
      <c r="I385" s="6" t="inlineStr">
        <is>
          <t>2024-2</t>
        </is>
      </c>
      <c r="J385" s="5" t="n">
        <v>72.90000000000001</v>
      </c>
      <c r="K385" s="5" t="n">
        <v>99.48999999999999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252-2024-12-31</t>
        </is>
      </c>
    </row>
    <row r="386">
      <c r="A386" s="5" t="n">
        <v>252</v>
      </c>
      <c r="B386" s="5" t="inlineStr">
        <is>
          <t>Tasa de Permanencia Intersemestral de Estudiantes Ingresantes</t>
        </is>
      </c>
      <c r="C386" s="5" t="inlineStr">
        <is>
          <t>Permanencia</t>
        </is>
      </c>
      <c r="D386" s="5" t="inlineStr">
        <is>
          <t>Trimestral</t>
        </is>
      </c>
      <c r="E386" s="5" t="inlineStr">
        <is>
          <t>Positivo</t>
        </is>
      </c>
      <c r="F386" s="144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100</v>
      </c>
      <c r="K386" s="5" t="n">
        <v>104.31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%</t>
        </is>
      </c>
      <c r="O386" s="5" t="inlineStr">
        <is>
          <t>%</t>
        </is>
      </c>
      <c r="P386" s="5" t="n">
        <v>1</v>
      </c>
      <c r="Q386" s="5" t="n">
        <v>1</v>
      </c>
      <c r="R386" s="5" t="inlineStr">
        <is>
          <t>252-2025-12-31</t>
        </is>
      </c>
    </row>
    <row r="387">
      <c r="A387" s="5" t="n">
        <v>253</v>
      </c>
      <c r="B387" s="5" t="inlineStr">
        <is>
          <t>Oportunidad en la entrega de informes de auditoria</t>
        </is>
      </c>
      <c r="C387" s="5" t="inlineStr">
        <is>
          <t>AUDITORÍA INTERNA</t>
        </is>
      </c>
      <c r="D387" s="5" t="inlineStr">
        <is>
          <t>Bimestral</t>
        </is>
      </c>
      <c r="E387" s="5" t="inlineStr">
        <is>
          <t>Negativo</t>
        </is>
      </c>
      <c r="F387" s="144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5" t="n">
        <v>8</v>
      </c>
      <c r="K387" s="5" t="n">
        <v>5.56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Días</t>
        </is>
      </c>
      <c r="O387" s="5" t="inlineStr">
        <is>
          <t>Días</t>
        </is>
      </c>
      <c r="P387" s="5" t="n">
        <v>0</v>
      </c>
      <c r="Q387" s="5" t="n">
        <v>0</v>
      </c>
      <c r="R387" s="5" t="inlineStr">
        <is>
          <t>253-2023-12-31</t>
        </is>
      </c>
    </row>
    <row r="388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144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100</v>
      </c>
      <c r="K388" s="5" t="n">
        <v>100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254-2023-12-31</t>
        </is>
      </c>
    </row>
    <row r="389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Trimestral</t>
        </is>
      </c>
      <c r="E389" s="5" t="inlineStr">
        <is>
          <t>Positivo</t>
        </is>
      </c>
      <c r="F389" s="144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5" t="n">
        <v>100</v>
      </c>
      <c r="K389" s="5" t="n">
        <v>100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254-2024-12-31</t>
        </is>
      </c>
    </row>
    <row r="390">
      <c r="A390" s="5" t="n">
        <v>254</v>
      </c>
      <c r="B390" s="5" t="inlineStr">
        <is>
          <t>Áreas con reportes de plan de retos</t>
        </is>
      </c>
      <c r="C390" s="5" t="inlineStr">
        <is>
          <t>Planeación Estratégica</t>
        </is>
      </c>
      <c r="D390" s="5" t="inlineStr">
        <is>
          <t>Semestral</t>
        </is>
      </c>
      <c r="E390" s="5" t="inlineStr">
        <is>
          <t>Positivo</t>
        </is>
      </c>
      <c r="F390" s="144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5" t="n">
        <v>100</v>
      </c>
      <c r="K390" s="5" t="n">
        <v>100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254-2025-12-31</t>
        </is>
      </c>
    </row>
    <row r="39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144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100</v>
      </c>
      <c r="K391" s="5" t="n">
        <v>18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255-2023-12-31</t>
        </is>
      </c>
    </row>
    <row r="392">
      <c r="A392" s="5" t="n">
        <v>255</v>
      </c>
      <c r="B392" s="5" t="inlineStr">
        <is>
          <t>Informe anual de variación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144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5" t="n">
        <v>100</v>
      </c>
      <c r="K392" s="5" t="n">
        <v>15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255-2024-12-31</t>
        </is>
      </c>
    </row>
    <row r="393">
      <c r="A393" s="5" t="n">
        <v>255</v>
      </c>
      <c r="B393" s="5" t="inlineStr">
        <is>
          <t>Informe anual de índice H</t>
        </is>
      </c>
      <c r="C393" s="5" t="inlineStr">
        <is>
          <t>Editorial y Publicaciones</t>
        </is>
      </c>
      <c r="D393" s="5" t="inlineStr">
        <is>
          <t>Anual</t>
        </is>
      </c>
      <c r="E393" s="5" t="inlineStr">
        <is>
          <t>Positivo</t>
        </is>
      </c>
      <c r="F393" s="144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/>
      <c r="K393" s="5" t="n">
        <v>17.5</v>
      </c>
      <c r="L393" s="28" t="n"/>
      <c r="M393" s="28" t="n"/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255-2025-12-31</t>
        </is>
      </c>
    </row>
    <row r="394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144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200</v>
      </c>
      <c r="K394" s="5" t="n">
        <v>247.05941176471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256-2023-12-31</t>
        </is>
      </c>
    </row>
    <row r="395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Semestral</t>
        </is>
      </c>
      <c r="E395" s="5" t="inlineStr">
        <is>
          <t>Positivo</t>
        </is>
      </c>
      <c r="F395" s="144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200</v>
      </c>
      <c r="K395" s="5" t="n">
        <v>270.59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256-2024-12-31</t>
        </is>
      </c>
    </row>
    <row r="396">
      <c r="A396" s="5" t="n">
        <v>256</v>
      </c>
      <c r="B396" s="5" t="inlineStr">
        <is>
          <t>Publicaciones editadas por la editorial</t>
        </is>
      </c>
      <c r="C396" s="5" t="inlineStr">
        <is>
          <t>Editorial y Publicaciones</t>
        </is>
      </c>
      <c r="D396" s="5" t="inlineStr">
        <is>
          <t>Trimestral</t>
        </is>
      </c>
      <c r="E396" s="5" t="inlineStr">
        <is>
          <t>Positivo</t>
        </is>
      </c>
      <c r="F396" s="144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200</v>
      </c>
      <c r="K396" s="5" t="n">
        <v>270.59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256-2025-12-31</t>
        </is>
      </c>
    </row>
    <row r="397">
      <c r="A397" s="5" t="n">
        <v>257</v>
      </c>
      <c r="B397" s="5" t="inlineStr">
        <is>
          <t>N de publicaciones aprobadas en convocatorias</t>
        </is>
      </c>
      <c r="C397" s="5" t="inlineStr">
        <is>
          <t>Editorial y Publicaciones</t>
        </is>
      </c>
      <c r="D397" s="5" t="inlineStr">
        <is>
          <t>Semestral</t>
        </is>
      </c>
      <c r="E397" s="5" t="inlineStr">
        <is>
          <t>Positivo</t>
        </is>
      </c>
      <c r="F397" s="144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42</v>
      </c>
      <c r="K397" s="5" t="n">
        <v>39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257-2023-12-31</t>
        </is>
      </c>
    </row>
    <row r="398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144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100</v>
      </c>
      <c r="K398" s="5" t="n">
        <v>70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259-2023-12-31</t>
        </is>
      </c>
    </row>
    <row r="399">
      <c r="A399" s="5" t="n">
        <v>259</v>
      </c>
      <c r="B399" s="5" t="inlineStr">
        <is>
          <t>Subprocesos con indicadores reportados oportunamente</t>
        </is>
      </c>
      <c r="C399" s="5" t="inlineStr">
        <is>
          <t>Desempeño Institucional</t>
        </is>
      </c>
      <c r="D399" s="5" t="inlineStr">
        <is>
          <t>Trimestral</t>
        </is>
      </c>
      <c r="E399" s="5" t="inlineStr">
        <is>
          <t>Positivo</t>
        </is>
      </c>
      <c r="F399" s="144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90</v>
      </c>
      <c r="K399" s="16" t="n">
        <v>78.43000000000001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259-2024-12-31</t>
        </is>
      </c>
    </row>
    <row r="400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144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3</v>
      </c>
      <c r="K400" s="5" t="n">
        <v>2.9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260-2023-12-31</t>
        </is>
      </c>
    </row>
    <row r="40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Semestral</t>
        </is>
      </c>
      <c r="E401" s="5" t="inlineStr">
        <is>
          <t>Negativo</t>
        </is>
      </c>
      <c r="F401" s="144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2.8</v>
      </c>
      <c r="K401" s="5" t="n">
        <v>2.1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260-2024-12-31</t>
        </is>
      </c>
    </row>
    <row r="402">
      <c r="A402" s="5" t="n">
        <v>260</v>
      </c>
      <c r="B402" s="5" t="inlineStr">
        <is>
          <t>CES- Costumer Effort Score del proceso de Rematrícula</t>
        </is>
      </c>
      <c r="C402" s="5" t="inlineStr">
        <is>
          <t>Rematrícula</t>
        </is>
      </c>
      <c r="D402" s="5" t="inlineStr">
        <is>
          <t>Trimestral</t>
        </is>
      </c>
      <c r="E402" s="5" t="inlineStr">
        <is>
          <t>Negativo</t>
        </is>
      </c>
      <c r="F402" s="144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2.1</v>
      </c>
      <c r="K402" s="5" t="n">
        <v>1.9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1</v>
      </c>
      <c r="R402" s="5" t="inlineStr">
        <is>
          <t>260-2025-12-31</t>
        </is>
      </c>
    </row>
    <row r="403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144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3</v>
      </c>
      <c r="K403" s="5" t="n">
        <v>2.06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inlineStr">
        <is>
          <t>ENT</t>
        </is>
      </c>
      <c r="O403" s="5" t="inlineStr">
        <is>
          <t>DEC</t>
        </is>
      </c>
      <c r="P403" s="5" t="n">
        <v>2</v>
      </c>
      <c r="Q403" s="5" t="n">
        <v>2</v>
      </c>
      <c r="R403" s="5" t="inlineStr">
        <is>
          <t>261-2023-12-31</t>
        </is>
      </c>
    </row>
    <row r="404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Semestral</t>
        </is>
      </c>
      <c r="E404" s="5" t="inlineStr">
        <is>
          <t>Negativo</t>
        </is>
      </c>
      <c r="F404" s="144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3</v>
      </c>
      <c r="K404" s="10" t="n">
        <v>2.2</v>
      </c>
      <c r="L404" s="28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261-2024-12-31</t>
        </is>
      </c>
    </row>
    <row r="405">
      <c r="A405" s="5" t="n">
        <v>261</v>
      </c>
      <c r="B405" s="5" t="inlineStr">
        <is>
          <t>CES- Costumer Effort Score del proceso de Saber Pro</t>
        </is>
      </c>
      <c r="C405" s="5" t="inlineStr">
        <is>
          <t>Servicio</t>
        </is>
      </c>
      <c r="D405" s="5" t="inlineStr">
        <is>
          <t>Trimestral</t>
        </is>
      </c>
      <c r="E405" s="5" t="inlineStr">
        <is>
          <t>Negativo</t>
        </is>
      </c>
      <c r="F405" s="144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3</v>
      </c>
      <c r="K405" s="5" t="n">
        <v>2.1</v>
      </c>
      <c r="L405" s="28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inlineStr">
        <is>
          <t>ENT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261-2025-12-31</t>
        </is>
      </c>
    </row>
    <row r="406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144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20</v>
      </c>
      <c r="K406" s="5" t="n">
        <v>11.11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262-2023-12-31</t>
        </is>
      </c>
    </row>
    <row r="407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Semestral</t>
        </is>
      </c>
      <c r="E407" s="5" t="inlineStr">
        <is>
          <t>Negativo</t>
        </is>
      </c>
      <c r="F407" s="144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20</v>
      </c>
      <c r="K407" s="5" t="n">
        <v>0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262-2024-12-31</t>
        </is>
      </c>
    </row>
    <row r="408">
      <c r="A408" s="5" t="n">
        <v>262</v>
      </c>
      <c r="B408" s="5" t="inlineStr">
        <is>
          <t>Reducción de número de sentencias condenatorias en contra del Poli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Negativo</t>
        </is>
      </c>
      <c r="F408" s="144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10</v>
      </c>
      <c r="K408" s="5" t="n">
        <v>0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262-2025-12-31</t>
        </is>
      </c>
    </row>
    <row r="409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144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100</v>
      </c>
      <c r="K409" s="5" t="n">
        <v>100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263-2023-12-31</t>
        </is>
      </c>
    </row>
    <row r="410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Trimestral</t>
        </is>
      </c>
      <c r="E410" s="5" t="inlineStr">
        <is>
          <t>Positivo</t>
        </is>
      </c>
      <c r="F410" s="144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119" t="n">
        <v>100</v>
      </c>
      <c r="K410" s="123" t="n">
        <v>100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263-2024-12-31</t>
        </is>
      </c>
    </row>
    <row r="411">
      <c r="A411" s="5" t="n">
        <v>263</v>
      </c>
      <c r="B411" s="5" t="inlineStr">
        <is>
          <t>Oportunidad de respuesta de PQRS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144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5" t="n">
        <v>100</v>
      </c>
      <c r="K411" s="5" t="n">
        <v>100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263-2025-12-31</t>
        </is>
      </c>
    </row>
    <row r="412">
      <c r="A412" s="5" t="n">
        <v>264</v>
      </c>
      <c r="B412" s="5" t="inlineStr">
        <is>
          <t>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144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100</v>
      </c>
      <c r="K412" s="5" t="n">
        <v>100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264-2023-12-31</t>
        </is>
      </c>
    </row>
    <row r="413">
      <c r="A413" s="5" t="n">
        <v>264</v>
      </c>
      <c r="B413" s="5" t="inlineStr">
        <is>
          <t>Eficiencia Emisión De Conceptos Jurídicos (Educación)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144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100</v>
      </c>
      <c r="K413" s="5" t="n">
        <v>100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264-2024-12-31</t>
        </is>
      </c>
    </row>
    <row r="414">
      <c r="A414" s="5" t="n">
        <v>265</v>
      </c>
      <c r="B414" s="5" t="inlineStr">
        <is>
          <t>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144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5" t="n">
        <v>100</v>
      </c>
      <c r="K414" s="5" t="n">
        <v>88.565</v>
      </c>
      <c r="L414" s="28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265-2023-12-31</t>
        </is>
      </c>
    </row>
    <row r="415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44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5" t="n">
        <v>95</v>
      </c>
      <c r="K415" s="5" t="n">
        <v>100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265-2024-12-31</t>
        </is>
      </c>
    </row>
    <row r="416">
      <c r="A416" s="5" t="n">
        <v>265</v>
      </c>
      <c r="B416" s="5" t="inlineStr">
        <is>
          <t>Eficiencia Emisión De Conceptos Jurídicos (Jurídicos)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44" t="n">
        <v>46022</v>
      </c>
      <c r="G416" s="5" t="n">
        <v>2025</v>
      </c>
      <c r="H416" s="5" t="inlineStr">
        <is>
          <t>Diciembre</t>
        </is>
      </c>
      <c r="I416" s="6" t="inlineStr">
        <is>
          <t>2025-2</t>
        </is>
      </c>
      <c r="J416" s="5" t="n">
        <v>95</v>
      </c>
      <c r="K416" s="5" t="n">
        <v>100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265-2025-12-31</t>
        </is>
      </c>
    </row>
    <row r="417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44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95</v>
      </c>
      <c r="K417" s="5" t="n">
        <v>93.488519256308</v>
      </c>
      <c r="L417" s="28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266-2023-12-31</t>
        </is>
      </c>
    </row>
    <row r="418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44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95</v>
      </c>
      <c r="K418" s="5" t="n">
        <v>88.47499999999999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266-2024-12-31</t>
        </is>
      </c>
    </row>
    <row r="419">
      <c r="A419" s="5" t="n">
        <v>266</v>
      </c>
      <c r="B419" s="5" t="inlineStr">
        <is>
          <t>Oportunidad en la elaboración de contratos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44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95</v>
      </c>
      <c r="K419" s="5" t="n">
        <v>76.45</v>
      </c>
      <c r="L419" s="28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266-2025-12-31</t>
        </is>
      </c>
    </row>
    <row r="420">
      <c r="A420" s="5" t="n">
        <v>267</v>
      </c>
      <c r="B420" s="5" t="inlineStr">
        <is>
          <t>Satisfacción procesos de Homologaciones</t>
        </is>
      </c>
      <c r="C420" s="5" t="inlineStr">
        <is>
          <t>Registro y Control</t>
        </is>
      </c>
      <c r="D420" s="5" t="inlineStr">
        <is>
          <t>Anual</t>
        </is>
      </c>
      <c r="E420" s="5" t="inlineStr">
        <is>
          <t>Positivo</t>
        </is>
      </c>
      <c r="F420" s="144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/>
      <c r="L420" s="28" t="n"/>
      <c r="M420" s="28" t="n"/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267-2023-12-31</t>
        </is>
      </c>
    </row>
    <row r="42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144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/>
      <c r="K421" s="5" t="n">
        <v>727</v>
      </c>
      <c r="L421" s="28" t="n"/>
      <c r="M421" s="28" t="n"/>
      <c r="N421" s="5" t="inlineStr">
        <is>
          <t>%</t>
        </is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268-2023-12-31</t>
        </is>
      </c>
    </row>
    <row r="422">
      <c r="A422" s="5" t="n">
        <v>268</v>
      </c>
      <c r="B422" s="5" t="inlineStr">
        <is>
          <t>Cantidad de usuarios</t>
        </is>
      </c>
      <c r="C422" s="5" t="inlineStr">
        <is>
          <t>Centro de Medios Audiovisuales</t>
        </is>
      </c>
      <c r="D422" s="5" t="inlineStr">
        <is>
          <t>Semestral</t>
        </is>
      </c>
      <c r="E422" s="5" t="inlineStr">
        <is>
          <t>Positivo</t>
        </is>
      </c>
      <c r="F422" s="144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0</v>
      </c>
      <c r="K422" s="5" t="n">
        <v>732</v>
      </c>
      <c r="L422" s="28">
        <f>IFERROR(IF(OR(J422=0,K422=""),"",IF(E422="Positivo",MIN(MAX(K422/J422,0),1.3),MIN(MAX(J422/K422,0),1.3))),"") </f>
        <v/>
      </c>
      <c r="M422" s="28">
        <f>IFERROR(IF(OR(J422=0,K422=""),"",IF(E422="Positivo",MAX(K422/J422,0),MAX(J422/K422,0))),"") </f>
        <v/>
      </c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268-2024-12-31</t>
        </is>
      </c>
    </row>
    <row r="423">
      <c r="A423" s="5" t="n">
        <v>268</v>
      </c>
      <c r="B423" s="5" t="inlineStr">
        <is>
          <t>Cantidad de usuarios - (Metrica)</t>
        </is>
      </c>
      <c r="C423" s="5" t="inlineStr">
        <is>
          <t>Centro de Medios Audiovisuales</t>
        </is>
      </c>
      <c r="D423" s="5" t="inlineStr">
        <is>
          <t>Trimestral</t>
        </is>
      </c>
      <c r="E423" s="5" t="inlineStr">
        <is>
          <t>Positivo</t>
        </is>
      </c>
      <c r="F423" s="144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/>
      <c r="K423" s="10" t="n">
        <v>877</v>
      </c>
      <c r="L423" s="28" t="n"/>
      <c r="M423" s="28" t="n"/>
      <c r="N423" s="5" t="inlineStr">
        <is>
          <t>%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268-2025-12-31</t>
        </is>
      </c>
      <c r="S423" t="inlineStr">
        <is>
          <t>Metrica</t>
        </is>
      </c>
    </row>
    <row r="424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144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0</v>
      </c>
      <c r="K424" s="5" t="n">
        <v>1.276978417266187</v>
      </c>
      <c r="L424" s="28">
        <f>IFERROR(IF(OR(J424=0,K424=""),"",IF(E424="Positivo",MIN(MAX(K424/J424,0),1.3),MIN(MAX(J424/K424,0),1.3))),"") </f>
        <v/>
      </c>
      <c r="M424" s="28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269-2023-12-31</t>
        </is>
      </c>
    </row>
    <row r="425">
      <c r="A425" s="5" t="n">
        <v>269</v>
      </c>
      <c r="B425" s="5" t="inlineStr">
        <is>
          <t>N de personas promedio por evento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144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/>
      <c r="K425" s="5" t="n">
        <v>1.28</v>
      </c>
      <c r="L425" s="28" t="n"/>
      <c r="M425" s="28" t="n"/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269-2024-12-31</t>
        </is>
      </c>
    </row>
    <row r="426">
      <c r="A426" s="5" t="n">
        <v>269</v>
      </c>
      <c r="B426" s="5" t="inlineStr">
        <is>
          <t>N de personas promedio por evento - (Metrica)</t>
        </is>
      </c>
      <c r="C426" s="5" t="inlineStr">
        <is>
          <t>Centro de Medios Audiovisuales</t>
        </is>
      </c>
      <c r="D426" s="5" t="inlineStr">
        <is>
          <t>Trimestral</t>
        </is>
      </c>
      <c r="E426" s="5" t="inlineStr">
        <is>
          <t>Positivo</t>
        </is>
      </c>
      <c r="F426" s="144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545</v>
      </c>
      <c r="K426" s="5" t="n">
        <v>1.65</v>
      </c>
      <c r="L426" s="28" t="n"/>
      <c r="M426" s="28" t="n"/>
      <c r="N426" s="5" t="inlineStr">
        <is>
          <t>DEC</t>
        </is>
      </c>
      <c r="O426" s="5" t="inlineStr">
        <is>
          <t>DEC</t>
        </is>
      </c>
      <c r="P426" s="5" t="n">
        <v>2</v>
      </c>
      <c r="Q426" s="5" t="n">
        <v>2</v>
      </c>
      <c r="R426" s="5" t="inlineStr">
        <is>
          <t>269-2025-12-31</t>
        </is>
      </c>
      <c r="S426" t="inlineStr">
        <is>
          <t>Metrica</t>
        </is>
      </c>
    </row>
    <row r="427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144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/>
      <c r="K427" s="5" t="n">
        <v>3.83</v>
      </c>
      <c r="L427" s="28" t="n"/>
      <c r="M427" s="28" t="n"/>
      <c r="N427" s="5" t="inlineStr">
        <is>
          <t>DEC</t>
        </is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270-2023-12-31</t>
        </is>
      </c>
    </row>
    <row r="428">
      <c r="A428" s="5" t="n">
        <v>270</v>
      </c>
      <c r="B428" s="5" t="inlineStr">
        <is>
          <t>N de horas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144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119" t="n">
        <v>0</v>
      </c>
      <c r="K428" s="123" t="n">
        <v>4.57</v>
      </c>
      <c r="L428" s="28">
        <f>IFERROR(IF(OR(J428=0,K428=""),"",IF(E428="Positivo",MIN(MAX(K428/J428,0),1.3),MIN(MAX(J428/K428,0),1.3))),"") </f>
        <v/>
      </c>
      <c r="M428" s="28">
        <f>IFERROR(IF(OR(J428=0,K428=""),"",IF(E428="Positivo",MAX(K428/J428,0),MAX(J428/K428,0))),"") </f>
        <v/>
      </c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270-2024-12-31</t>
        </is>
      </c>
    </row>
    <row r="429">
      <c r="A429" s="5" t="n">
        <v>270</v>
      </c>
      <c r="B429" s="5" t="inlineStr">
        <is>
          <t>N de horas promedio por evento - (Metrica)</t>
        </is>
      </c>
      <c r="C429" s="5" t="inlineStr">
        <is>
          <t>Centro de Medios Audiovisuales</t>
        </is>
      </c>
      <c r="D429" s="5" t="inlineStr">
        <is>
          <t>Trimestral</t>
        </is>
      </c>
      <c r="E429" s="5" t="inlineStr">
        <is>
          <t>Positivo</t>
        </is>
      </c>
      <c r="F429" s="144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>
        <v>545</v>
      </c>
      <c r="K429" s="5" t="n">
        <v>4.3</v>
      </c>
      <c r="L429" s="28" t="n"/>
      <c r="M429" s="28" t="n"/>
      <c r="N429" s="5" t="inlineStr">
        <is>
          <t>DEC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270-2025-12-31</t>
        </is>
      </c>
      <c r="S429" t="inlineStr">
        <is>
          <t>Metrica</t>
        </is>
      </c>
    </row>
    <row r="430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44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16.17233646643447</v>
      </c>
      <c r="L430" s="28" t="n"/>
      <c r="M430" s="28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271-2023-12-31</t>
        </is>
      </c>
    </row>
    <row r="431">
      <c r="A431" s="5" t="n">
        <v>271</v>
      </c>
      <c r="B431" s="5" t="inlineStr">
        <is>
          <t>N de horas por solicitud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44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/>
      <c r="K431" s="11" t="n">
        <v>16.86</v>
      </c>
      <c r="L431" s="28" t="n"/>
      <c r="M431" s="28" t="n"/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271-2024-12-31</t>
        </is>
      </c>
    </row>
    <row r="432">
      <c r="A432" s="5" t="n">
        <v>271</v>
      </c>
      <c r="B432" s="5" t="inlineStr">
        <is>
          <t>N de horas por solicitud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144" t="n">
        <v>46022</v>
      </c>
      <c r="G432" s="5" t="n">
        <v>2025</v>
      </c>
      <c r="H432" s="5" t="inlineStr">
        <is>
          <t>Diciembre</t>
        </is>
      </c>
      <c r="I432" s="6" t="inlineStr">
        <is>
          <t>2025-2</t>
        </is>
      </c>
      <c r="J432" s="5" t="n">
        <v>30907</v>
      </c>
      <c r="K432" s="11" t="n">
        <v>19.93</v>
      </c>
      <c r="L432" s="28" t="n"/>
      <c r="M432" s="28" t="n"/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271-2025-12-31</t>
        </is>
      </c>
      <c r="S432" t="inlineStr">
        <is>
          <t>Metrica</t>
        </is>
      </c>
    </row>
    <row r="433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144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0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272-2023-12-31</t>
        </is>
      </c>
    </row>
    <row r="434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144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>
        <v>0</v>
      </c>
      <c r="K434" s="5" t="n">
        <v>0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272-2024-12-31</t>
        </is>
      </c>
    </row>
    <row r="435">
      <c r="A435" s="5" t="n">
        <v>272</v>
      </c>
      <c r="B435" s="5" t="inlineStr">
        <is>
          <t>Proporción de accidentes de trabajo mortales</t>
        </is>
      </c>
      <c r="C435" s="5" t="inlineStr">
        <is>
          <t>GESTIÓN DE SEGURIDAD Y SALUD EN EL TRABAJO</t>
        </is>
      </c>
      <c r="D435" s="5" t="inlineStr">
        <is>
          <t>Anual</t>
        </is>
      </c>
      <c r="E435" s="5" t="inlineStr">
        <is>
          <t>Negativo</t>
        </is>
      </c>
      <c r="F435" s="144" t="n">
        <v>46022</v>
      </c>
      <c r="G435" s="5" t="n">
        <v>2025</v>
      </c>
      <c r="H435" s="5" t="inlineStr">
        <is>
          <t>Diciembre</t>
        </is>
      </c>
      <c r="I435" s="6" t="inlineStr">
        <is>
          <t>2025-2</t>
        </is>
      </c>
      <c r="J435" s="119" t="n">
        <v>0</v>
      </c>
      <c r="K435" s="5" t="n">
        <v>0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n">
        <v>0</v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272-2025-12-31</t>
        </is>
      </c>
    </row>
    <row r="436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144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>
        <v>200</v>
      </c>
      <c r="K436" s="5" t="n">
        <v>200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273-2023-12-31</t>
        </is>
      </c>
    </row>
    <row r="437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Semestral</t>
        </is>
      </c>
      <c r="E437" s="5" t="inlineStr">
        <is>
          <t>Positivo</t>
        </is>
      </c>
      <c r="F437" s="144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119" t="n">
        <v>200</v>
      </c>
      <c r="K437" s="5" t="n">
        <v>200</v>
      </c>
      <c r="L437" s="28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273-2024-12-31</t>
        </is>
      </c>
    </row>
    <row r="438">
      <c r="A438" s="5" t="n">
        <v>273</v>
      </c>
      <c r="B438" s="5" t="inlineStr">
        <is>
          <t>Número de programas con condiciones iniciales elaboradas y analizadas institucionalmente</t>
        </is>
      </c>
      <c r="C438" s="5" t="inlineStr">
        <is>
          <t>Autoevaluación de programas académicos</t>
        </is>
      </c>
      <c r="D438" s="5" t="inlineStr">
        <is>
          <t>Trimestral</t>
        </is>
      </c>
      <c r="E438" s="5" t="inlineStr">
        <is>
          <t>Positivo</t>
        </is>
      </c>
      <c r="F438" s="144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119" t="n">
        <v>200</v>
      </c>
      <c r="K438" s="124" t="n">
        <v>250</v>
      </c>
      <c r="L438" s="28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273-2025-12-31</t>
        </is>
      </c>
    </row>
    <row r="439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144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>
        <v>200</v>
      </c>
      <c r="K439" s="86" t="n">
        <v>195.360521164251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274-2023-12-31</t>
        </is>
      </c>
    </row>
    <row r="440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Semestral</t>
        </is>
      </c>
      <c r="E440" s="5" t="inlineStr">
        <is>
          <t>Positivo</t>
        </is>
      </c>
      <c r="F440" s="144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>
        <v>200</v>
      </c>
      <c r="K440" s="5" t="n">
        <v>203.9480518469645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274-2024-12-31</t>
        </is>
      </c>
    </row>
    <row r="441">
      <c r="A441" s="5" t="n">
        <v>274</v>
      </c>
      <c r="B441" s="5" t="inlineStr">
        <is>
          <t>Cumplimiento total estudiantes antiguos</t>
        </is>
      </c>
      <c r="C441" s="5" t="inlineStr">
        <is>
          <t>Rematrícula</t>
        </is>
      </c>
      <c r="D441" s="5" t="inlineStr">
        <is>
          <t>Semestral</t>
        </is>
      </c>
      <c r="E441" s="5" t="inlineStr">
        <is>
          <t>Positivo</t>
        </is>
      </c>
      <c r="F441" s="144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200</v>
      </c>
      <c r="K441" s="5" t="n">
        <v>207.83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274-2025-12-31</t>
        </is>
      </c>
    </row>
    <row r="442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Trimestral</t>
        </is>
      </c>
      <c r="E442" s="5" t="inlineStr">
        <is>
          <t>Positivo</t>
        </is>
      </c>
      <c r="F442" s="144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80</v>
      </c>
      <c r="K442" s="5" t="n">
        <v>0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275-2023-12-31</t>
        </is>
      </c>
    </row>
    <row r="443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Semestral</t>
        </is>
      </c>
      <c r="E443" s="5" t="inlineStr">
        <is>
          <t>Positivo</t>
        </is>
      </c>
      <c r="F443" s="144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80</v>
      </c>
      <c r="K443" s="5" t="n">
        <v>106.665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275-2024-12-31</t>
        </is>
      </c>
    </row>
    <row r="444">
      <c r="A444" s="5" t="n">
        <v>275</v>
      </c>
      <c r="B444" s="5" t="inlineStr">
        <is>
          <t>Satisfacción Institucional por grupo de interes</t>
        </is>
      </c>
      <c r="C444" s="5" t="inlineStr">
        <is>
          <t>EXPERIENCIA INSTITUCIONAL</t>
        </is>
      </c>
      <c r="D444" s="5" t="inlineStr">
        <is>
          <t>Trimestral</t>
        </is>
      </c>
      <c r="E444" s="5" t="inlineStr">
        <is>
          <t>Positivo</t>
        </is>
      </c>
      <c r="F444" s="144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80</v>
      </c>
      <c r="K444" s="5" t="n">
        <v>90.83500000000001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275-2025-12-31</t>
        </is>
      </c>
    </row>
    <row r="445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144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85</v>
      </c>
      <c r="K445" s="5" t="n">
        <v>84.5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ENT</t>
        </is>
      </c>
      <c r="O445" s="5" t="inlineStr">
        <is>
          <t>DEC</t>
        </is>
      </c>
      <c r="P445" s="5" t="n">
        <v>0</v>
      </c>
      <c r="Q445" s="5" t="n">
        <v>1</v>
      </c>
      <c r="R445" s="5" t="inlineStr">
        <is>
          <t>276-2023-12-31</t>
        </is>
      </c>
    </row>
    <row r="446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Semestral</t>
        </is>
      </c>
      <c r="E446" s="5" t="inlineStr">
        <is>
          <t>Negativo</t>
        </is>
      </c>
      <c r="F446" s="144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75</v>
      </c>
      <c r="K446" s="5" t="n">
        <v>82.68000000000001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276-2024-12-31</t>
        </is>
      </c>
    </row>
    <row r="447">
      <c r="A447" s="5" t="n">
        <v>276</v>
      </c>
      <c r="B447" s="5" t="inlineStr">
        <is>
          <t>Relación Estudiante-Docente Tiempo completo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144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81</v>
      </c>
      <c r="K447" s="5" t="n">
        <v>82.81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ENT</t>
        </is>
      </c>
      <c r="O447" s="5" t="inlineStr">
        <is>
          <t>DEC</t>
        </is>
      </c>
      <c r="P447" s="5" t="n">
        <v>0</v>
      </c>
      <c r="Q447" s="5" t="n">
        <v>1</v>
      </c>
      <c r="R447" s="5" t="inlineStr">
        <is>
          <t>276-2025-12-31</t>
        </is>
      </c>
    </row>
    <row r="448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144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85</v>
      </c>
      <c r="K448" s="10" t="n">
        <v>73.29000000000001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277-2023-12-31</t>
        </is>
      </c>
    </row>
    <row r="449">
      <c r="A449" s="5" t="n">
        <v>277</v>
      </c>
      <c r="B449" s="5" t="inlineStr">
        <is>
          <t>Relación estudiante docente Tiempo Completo Equivalente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144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73</v>
      </c>
      <c r="K449" s="5" t="n">
        <v>71.23999999999999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277-2024-12-31</t>
        </is>
      </c>
    </row>
    <row r="450">
      <c r="A450" s="5" t="n">
        <v>277</v>
      </c>
      <c r="B450" s="5" t="inlineStr">
        <is>
          <t>Relación estudiante docente Tiempo Completo Equivalente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144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71</v>
      </c>
      <c r="K450" s="5" t="n">
        <v>68.40000000000001</v>
      </c>
      <c r="L450" s="28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ENT</t>
        </is>
      </c>
      <c r="O450" s="5" t="inlineStr">
        <is>
          <t>DEC</t>
        </is>
      </c>
      <c r="P450" s="5" t="n">
        <v>1</v>
      </c>
      <c r="Q450" s="5" t="n">
        <v>1</v>
      </c>
      <c r="R450" s="5" t="inlineStr">
        <is>
          <t>277-2025-12-31</t>
        </is>
      </c>
    </row>
    <row r="45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144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/>
      <c r="K451" s="5" t="n">
        <v>1017</v>
      </c>
      <c r="L451" s="28" t="n"/>
      <c r="M451" s="28" t="n"/>
      <c r="N451" s="5" t="inlineStr">
        <is>
          <t>ENT</t>
        </is>
      </c>
      <c r="O451" s="5" t="inlineStr">
        <is>
          <t>ENT</t>
        </is>
      </c>
      <c r="P451" s="5" t="n">
        <v>0</v>
      </c>
      <c r="Q451" s="5" t="n">
        <v>0</v>
      </c>
      <c r="R451" s="5" t="inlineStr">
        <is>
          <t>278-2023-12-31</t>
        </is>
      </c>
    </row>
    <row r="452">
      <c r="A452" s="5" t="n">
        <v>278</v>
      </c>
      <c r="B452" s="5" t="inlineStr">
        <is>
          <t>Docentes contratados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Positivo</t>
        </is>
      </c>
      <c r="F452" s="144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/>
      <c r="K452" s="5" t="n">
        <v>2098</v>
      </c>
      <c r="L452" s="28" t="n"/>
      <c r="M452" s="28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278-2024-12-31</t>
        </is>
      </c>
    </row>
    <row r="453">
      <c r="A453" s="5" t="n">
        <v>278</v>
      </c>
      <c r="B453" s="5" t="inlineStr">
        <is>
          <t>Docentes contratados - Metrica</t>
        </is>
      </c>
      <c r="C453" s="5" t="inlineStr">
        <is>
          <t>Gestión Docente</t>
        </is>
      </c>
      <c r="D453" s="5" t="inlineStr">
        <is>
          <t>Trimestral</t>
        </is>
      </c>
      <c r="E453" s="5" t="inlineStr">
        <is>
          <t>Positivo</t>
        </is>
      </c>
      <c r="F453" s="144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/>
      <c r="K453" s="5" t="n">
        <v>2170</v>
      </c>
      <c r="L453" s="28" t="n"/>
      <c r="M453" s="28" t="n"/>
      <c r="N453" s="5" t="inlineStr">
        <is>
          <t>Metrica</t>
        </is>
      </c>
      <c r="O453" s="5" t="inlineStr">
        <is>
          <t>Metrica</t>
        </is>
      </c>
      <c r="P453" s="5" t="n">
        <v>0</v>
      </c>
      <c r="Q453" s="5" t="n">
        <v>0</v>
      </c>
      <c r="R453" s="5" t="inlineStr">
        <is>
          <t>278-2025-12-31</t>
        </is>
      </c>
      <c r="S453" t="inlineStr">
        <is>
          <t>Metrica</t>
        </is>
      </c>
    </row>
    <row r="454">
      <c r="A454" s="5" t="n">
        <v>279</v>
      </c>
      <c r="B454" s="5" t="inlineStr">
        <is>
          <t>Docentes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144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/>
      <c r="K454" s="5" t="n">
        <v>608</v>
      </c>
      <c r="L454" s="28" t="n"/>
      <c r="M454" s="28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279-2023-12-31</t>
        </is>
      </c>
    </row>
    <row r="455">
      <c r="A455" s="5" t="n">
        <v>280</v>
      </c>
      <c r="B455" s="5" t="inlineStr">
        <is>
          <t>Docentes medio tiempo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44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186</v>
      </c>
      <c r="L455" s="28" t="n"/>
      <c r="M455" s="28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280-2023-12-31</t>
        </is>
      </c>
    </row>
    <row r="456">
      <c r="A456" s="5" t="n">
        <v>281</v>
      </c>
      <c r="B456" s="5" t="inlineStr">
        <is>
          <t>Docentes cátedra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44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/>
      <c r="K456" s="5" t="n">
        <v>223</v>
      </c>
      <c r="L456" s="28" t="n"/>
      <c r="M456" s="28" t="n"/>
      <c r="N456" s="5" t="n">
        <v>0</v>
      </c>
      <c r="O456" s="5" t="inlineStr">
        <is>
          <t>ENT</t>
        </is>
      </c>
      <c r="P456" s="5" t="n">
        <v>0</v>
      </c>
      <c r="Q456" s="5" t="n">
        <v>0</v>
      </c>
      <c r="R456" s="5" t="inlineStr">
        <is>
          <t>281-2023-12-31</t>
        </is>
      </c>
    </row>
    <row r="457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144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192</v>
      </c>
      <c r="K457" s="5" t="n">
        <v>194.36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282-2023-12-31</t>
        </is>
      </c>
    </row>
    <row r="458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144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194</v>
      </c>
      <c r="K458" s="5" t="n">
        <v>193.86</v>
      </c>
      <c r="L458" s="28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282-2024-12-31</t>
        </is>
      </c>
    </row>
    <row r="459">
      <c r="A459" s="5" t="n">
        <v>282</v>
      </c>
      <c r="B459" s="5" t="inlineStr">
        <is>
          <t>Docentes evaluados</t>
        </is>
      </c>
      <c r="C459" s="5" t="inlineStr">
        <is>
          <t>Gestión Docente</t>
        </is>
      </c>
      <c r="D459" s="5" t="inlineStr">
        <is>
          <t>Trimestral</t>
        </is>
      </c>
      <c r="E459" s="5" t="inlineStr">
        <is>
          <t>Positivo</t>
        </is>
      </c>
      <c r="F459" s="144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194</v>
      </c>
      <c r="K459" s="5" t="n">
        <v>194.97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282-2025-12-31</t>
        </is>
      </c>
    </row>
    <row r="460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44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4.5</v>
      </c>
      <c r="K460" s="5" t="n">
        <v>4.55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283-2023-12-31</t>
        </is>
      </c>
    </row>
    <row r="46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44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4.5</v>
      </c>
      <c r="K461" s="5" t="n">
        <v>4.64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283-2024-12-31</t>
        </is>
      </c>
    </row>
    <row r="462">
      <c r="A462" s="5" t="n">
        <v>283</v>
      </c>
      <c r="B462" s="5" t="inlineStr">
        <is>
          <t>Resultado evaluación docente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144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4.6</v>
      </c>
      <c r="K462" s="5" t="n">
        <v>4.67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5" t="n">
        <v>1</v>
      </c>
      <c r="Q462" s="5" t="n">
        <v>2</v>
      </c>
      <c r="R462" s="5" t="inlineStr">
        <is>
          <t>283-2025-12-31</t>
        </is>
      </c>
    </row>
    <row r="463">
      <c r="A463" s="5" t="n">
        <v>284</v>
      </c>
      <c r="B463" s="5" t="inlineStr">
        <is>
          <t>Número Horas semanales docentes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44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>
        <v>16281</v>
      </c>
      <c r="L463" s="28" t="n"/>
      <c r="M463" s="28" t="n"/>
      <c r="N463" s="5" t="inlineStr">
        <is>
          <t>DEC</t>
        </is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284-2023-12-31</t>
        </is>
      </c>
    </row>
    <row r="464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44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100</v>
      </c>
      <c r="K464" s="5" t="n">
        <v>100</v>
      </c>
      <c r="L464" s="28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285-2023-12-31</t>
        </is>
      </c>
    </row>
    <row r="465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44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100</v>
      </c>
      <c r="K465" s="5" t="n">
        <v>100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285-2024-12-31</t>
        </is>
      </c>
    </row>
    <row r="466">
      <c r="A466" s="5" t="n">
        <v>285</v>
      </c>
      <c r="B466" s="5" t="inlineStr">
        <is>
          <t>Docentes con plan de trabajo asignado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144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100</v>
      </c>
      <c r="K466" s="5" t="n">
        <v>100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285-2025-12-31</t>
        </is>
      </c>
    </row>
    <row r="467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44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1017</v>
      </c>
      <c r="L467" s="28" t="n"/>
      <c r="M467" s="28" t="n"/>
      <c r="N467" s="5" t="inlineStr">
        <is>
          <t>%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286-2023-12-31</t>
        </is>
      </c>
    </row>
    <row r="468">
      <c r="A468" s="5" t="n">
        <v>286</v>
      </c>
      <c r="B468" s="5" t="inlineStr">
        <is>
          <t>Total docentes por nivel de estudios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144" t="n">
        <v>45657</v>
      </c>
      <c r="G468" s="5" t="n">
        <v>2024</v>
      </c>
      <c r="H468" s="5" t="inlineStr">
        <is>
          <t>Diciembre</t>
        </is>
      </c>
      <c r="I468" s="6" t="inlineStr">
        <is>
          <t>2024-2</t>
        </is>
      </c>
      <c r="J468" s="5" t="n"/>
      <c r="K468" s="5" t="n">
        <v>2098</v>
      </c>
      <c r="L468" s="28" t="n"/>
      <c r="M468" s="28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286-2024-12-31</t>
        </is>
      </c>
    </row>
    <row r="469">
      <c r="A469" s="5" t="n">
        <v>286</v>
      </c>
      <c r="B469" s="5" t="inlineStr">
        <is>
          <t>Total docentes por nivel de estudios - Metrica</t>
        </is>
      </c>
      <c r="C469" s="5" t="inlineStr">
        <is>
          <t>Gestión Docente</t>
        </is>
      </c>
      <c r="D469" s="5" t="inlineStr">
        <is>
          <t>Trimestral</t>
        </is>
      </c>
      <c r="E469" s="5" t="inlineStr">
        <is>
          <t>Positivo</t>
        </is>
      </c>
      <c r="F469" s="144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/>
      <c r="K469" s="5" t="n">
        <v>2170</v>
      </c>
      <c r="L469" s="28" t="n"/>
      <c r="M469" s="28" t="n"/>
      <c r="N469" s="5" t="inlineStr">
        <is>
          <t>Metrica</t>
        </is>
      </c>
      <c r="O469" s="5" t="inlineStr">
        <is>
          <t>Metrica</t>
        </is>
      </c>
      <c r="P469" s="5" t="n">
        <v>0</v>
      </c>
      <c r="Q469" s="5" t="n">
        <v>0</v>
      </c>
      <c r="R469" s="5" t="inlineStr">
        <is>
          <t>286-2025-12-31</t>
        </is>
      </c>
      <c r="S469" t="inlineStr">
        <is>
          <t>Metrica</t>
        </is>
      </c>
    </row>
    <row r="470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44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85</v>
      </c>
      <c r="K470" s="5" t="n">
        <v>112.5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288-2023-12-31</t>
        </is>
      </c>
    </row>
    <row r="47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144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85</v>
      </c>
      <c r="K471" s="5" t="n">
        <v>26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288-2024-12-31</t>
        </is>
      </c>
    </row>
    <row r="472">
      <c r="A472" s="5" t="n">
        <v>288</v>
      </c>
      <c r="B472" s="5" t="inlineStr">
        <is>
          <t>Número docentes escalafonados presentados en convocatoria</t>
        </is>
      </c>
      <c r="C472" s="5" t="inlineStr">
        <is>
          <t>Gestión Docente</t>
        </is>
      </c>
      <c r="D472" s="5" t="inlineStr">
        <is>
          <t>Anual</t>
        </is>
      </c>
      <c r="E472" s="5" t="inlineStr">
        <is>
          <t>Positivo</t>
        </is>
      </c>
      <c r="F472" s="144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100</v>
      </c>
      <c r="K472" s="5" t="n">
        <v>100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288-2025-06-30</t>
        </is>
      </c>
    </row>
    <row r="473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144" t="n">
        <v>45291</v>
      </c>
      <c r="G473" s="5" t="n">
        <v>2023</v>
      </c>
      <c r="H473" s="5" t="inlineStr">
        <is>
          <t>Diciembre</t>
        </is>
      </c>
      <c r="I473" s="6" t="inlineStr">
        <is>
          <t>2023-2</t>
        </is>
      </c>
      <c r="J473" s="5" t="n">
        <v>95</v>
      </c>
      <c r="K473" s="5" t="n">
        <v>87.5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289-2023-12-31</t>
        </is>
      </c>
    </row>
    <row r="474">
      <c r="A474" s="5" t="n">
        <v>289</v>
      </c>
      <c r="B474" s="5" t="inlineStr">
        <is>
          <t>Cumplimiento plan de comunicaciones SGC</t>
        </is>
      </c>
      <c r="C474" s="5" t="inlineStr">
        <is>
          <t>Gestión de calidad</t>
        </is>
      </c>
      <c r="D474" s="5" t="inlineStr">
        <is>
          <t>Trimestral</t>
        </is>
      </c>
      <c r="E474" s="5" t="inlineStr">
        <is>
          <t>Positivo</t>
        </is>
      </c>
      <c r="F474" s="144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95</v>
      </c>
      <c r="K474" s="10" t="n">
        <v>100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289-2024-12-31</t>
        </is>
      </c>
    </row>
    <row r="475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144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>
        <v>90</v>
      </c>
      <c r="K475" s="5" t="n">
        <v>89.36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290-2023-12-31</t>
        </is>
      </c>
    </row>
    <row r="476">
      <c r="A476" s="5" t="n">
        <v>290</v>
      </c>
      <c r="B476" s="5" t="inlineStr">
        <is>
          <t>Cierre eficaz de las oportunidades de mejora</t>
        </is>
      </c>
      <c r="C476" s="5" t="inlineStr">
        <is>
          <t>Planificación POLISIGS</t>
        </is>
      </c>
      <c r="D476" s="5" t="inlineStr">
        <is>
          <t>Bimestral</t>
        </is>
      </c>
      <c r="E476" s="5" t="inlineStr">
        <is>
          <t>Positivo</t>
        </is>
      </c>
      <c r="F476" s="144" t="n">
        <v>45657</v>
      </c>
      <c r="G476" s="5" t="n">
        <v>2024</v>
      </c>
      <c r="H476" s="5" t="inlineStr">
        <is>
          <t>Diciembre</t>
        </is>
      </c>
      <c r="I476" s="6" t="inlineStr">
        <is>
          <t>2024-2</t>
        </is>
      </c>
      <c r="J476" s="5" t="n">
        <v>90</v>
      </c>
      <c r="K476" s="5" t="n">
        <v>100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290-2024-12-31</t>
        </is>
      </c>
    </row>
    <row r="477">
      <c r="A477" s="5" t="n">
        <v>290</v>
      </c>
      <c r="B477" s="5" t="inlineStr">
        <is>
          <t>Cierre eficaz de las oportunidades de mejora</t>
        </is>
      </c>
      <c r="C477" s="5" t="inlineStr">
        <is>
          <t>Planificación POLISIGS</t>
        </is>
      </c>
      <c r="D477" s="5" t="inlineStr">
        <is>
          <t>Bimestral</t>
        </is>
      </c>
      <c r="E477" s="5" t="inlineStr">
        <is>
          <t>Positivo</t>
        </is>
      </c>
      <c r="F477" s="144" t="n">
        <v>45838</v>
      </c>
      <c r="G477" s="5" t="n">
        <v>2025</v>
      </c>
      <c r="H477" s="5" t="inlineStr">
        <is>
          <t>Junio</t>
        </is>
      </c>
      <c r="I477" s="6" t="inlineStr">
        <is>
          <t>2025-1</t>
        </is>
      </c>
      <c r="J477" s="5" t="n">
        <v>90</v>
      </c>
      <c r="K477" s="5" t="n">
        <v>93.33</v>
      </c>
      <c r="L477" s="28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290-2025-06-30</t>
        </is>
      </c>
    </row>
    <row r="478">
      <c r="A478" s="5" t="n">
        <v>291</v>
      </c>
      <c r="B478" s="5" t="inlineStr">
        <is>
          <t>Cumplimiento del cronograma de actividades deportivas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144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100</v>
      </c>
      <c r="K478" s="5" t="n">
        <v>100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291-2023-12-31</t>
        </is>
      </c>
    </row>
    <row r="479">
      <c r="A479" s="5" t="n">
        <v>291</v>
      </c>
      <c r="B479" s="5" t="inlineStr">
        <is>
          <t>Cumplimiento del cronograma de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144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100</v>
      </c>
      <c r="K479" s="5" t="n">
        <v>100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291-2024-12-31</t>
        </is>
      </c>
    </row>
    <row r="480">
      <c r="A480" s="5" t="n">
        <v>292</v>
      </c>
      <c r="B480" s="5" t="inlineStr">
        <is>
          <t>Participación en Actividades deportivas presenciales</t>
        </is>
      </c>
      <c r="C480" s="5" t="inlineStr">
        <is>
          <t>Cultura y Deporte</t>
        </is>
      </c>
      <c r="D480" s="5" t="inlineStr">
        <is>
          <t>Semestral</t>
        </is>
      </c>
      <c r="E480" s="5" t="inlineStr">
        <is>
          <t>Positivo</t>
        </is>
      </c>
      <c r="F480" s="144" t="n">
        <v>45291</v>
      </c>
      <c r="G480" s="5" t="n">
        <v>2023</v>
      </c>
      <c r="H480" s="5" t="inlineStr">
        <is>
          <t>Diciembre</t>
        </is>
      </c>
      <c r="I480" s="6" t="inlineStr">
        <is>
          <t>2023-2</t>
        </is>
      </c>
      <c r="J480" s="5" t="n">
        <v>6</v>
      </c>
      <c r="K480" s="5" t="n">
        <v>38.649673477986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292-2023-12-31</t>
        </is>
      </c>
    </row>
    <row r="481">
      <c r="A481" s="5" t="n">
        <v>292</v>
      </c>
      <c r="B481" s="5" t="inlineStr">
        <is>
          <t>Participación en Actividades deportivas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144" t="n">
        <v>45657</v>
      </c>
      <c r="G481" s="5" t="n">
        <v>2024</v>
      </c>
      <c r="H481" s="5" t="inlineStr">
        <is>
          <t>Diciembre</t>
        </is>
      </c>
      <c r="I481" s="6" t="inlineStr">
        <is>
          <t>2024-2</t>
        </is>
      </c>
      <c r="J481" s="5" t="n">
        <v>6</v>
      </c>
      <c r="K481" s="5" t="n">
        <v>37.57776741179673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292-2024-12-31</t>
        </is>
      </c>
    </row>
    <row r="482">
      <c r="A482" s="5" t="n">
        <v>292</v>
      </c>
      <c r="B482" s="5" t="inlineStr">
        <is>
          <t>Participación en Actividades deportivas</t>
        </is>
      </c>
      <c r="C482" s="5" t="inlineStr">
        <is>
          <t>Cultura y Deporte</t>
        </is>
      </c>
      <c r="D482" s="5" t="inlineStr">
        <is>
          <t>Trimestral</t>
        </is>
      </c>
      <c r="E482" s="5" t="inlineStr">
        <is>
          <t>Positivo</t>
        </is>
      </c>
      <c r="F482" s="144" t="n">
        <v>46022</v>
      </c>
      <c r="G482" s="5" t="n">
        <v>2025</v>
      </c>
      <c r="H482" s="5" t="inlineStr">
        <is>
          <t>Diciembre</t>
        </is>
      </c>
      <c r="I482" s="6" t="inlineStr">
        <is>
          <t>2025-2</t>
        </is>
      </c>
      <c r="J482" s="5" t="n">
        <v>16</v>
      </c>
      <c r="K482" s="5" t="n">
        <v>21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292-2025-12-31</t>
        </is>
      </c>
    </row>
    <row r="483">
      <c r="A483" s="5" t="n">
        <v>293</v>
      </c>
      <c r="B483" s="5" t="inlineStr">
        <is>
          <t>Cumplimiento del cronograma de actividades culturales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44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100</v>
      </c>
      <c r="K483" s="5" t="n">
        <v>100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293-2023-12-31</t>
        </is>
      </c>
    </row>
    <row r="484">
      <c r="A484" s="5" t="n">
        <v>293</v>
      </c>
      <c r="B484" s="5" t="inlineStr">
        <is>
          <t>Cumplimiento del cronograma de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44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100</v>
      </c>
      <c r="K484" s="5" t="n">
        <v>100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293-2024-12-31</t>
        </is>
      </c>
    </row>
    <row r="485">
      <c r="A485" s="5" t="n">
        <v>294</v>
      </c>
      <c r="B485" s="5" t="inlineStr">
        <is>
          <t>Participación en actividades culturales presenciales</t>
        </is>
      </c>
      <c r="C485" s="5" t="inlineStr">
        <is>
          <t>Cultura y Deporte</t>
        </is>
      </c>
      <c r="D485" s="5" t="inlineStr">
        <is>
          <t>Semestral</t>
        </is>
      </c>
      <c r="E485" s="5" t="inlineStr">
        <is>
          <t>Positivo</t>
        </is>
      </c>
      <c r="F485" s="144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6</v>
      </c>
      <c r="K485" s="5" t="n">
        <v>72.145485125617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294-2023-12-31</t>
        </is>
      </c>
    </row>
    <row r="486">
      <c r="A486" s="5" t="n">
        <v>294</v>
      </c>
      <c r="B486" s="5" t="inlineStr">
        <is>
          <t>Participación en actividades culturales</t>
        </is>
      </c>
      <c r="C486" s="5" t="inlineStr">
        <is>
          <t>Cultura y Deporte</t>
        </is>
      </c>
      <c r="D486" s="5" t="inlineStr">
        <is>
          <t>Semestral</t>
        </is>
      </c>
      <c r="E486" s="5" t="inlineStr">
        <is>
          <t>Positivo</t>
        </is>
      </c>
      <c r="F486" s="144" t="n">
        <v>45657</v>
      </c>
      <c r="G486" s="5" t="n">
        <v>2024</v>
      </c>
      <c r="H486" s="5" t="inlineStr">
        <is>
          <t>Diciembre</t>
        </is>
      </c>
      <c r="I486" s="6" t="inlineStr">
        <is>
          <t>2024-2</t>
        </is>
      </c>
      <c r="J486" s="5" t="n">
        <v>6</v>
      </c>
      <c r="K486" s="5" t="n">
        <v>31.77669452181987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294-2024-12-31</t>
        </is>
      </c>
    </row>
    <row r="487">
      <c r="A487" s="5" t="n">
        <v>294</v>
      </c>
      <c r="B487" s="5" t="inlineStr">
        <is>
          <t>Participación en actividades culturales</t>
        </is>
      </c>
      <c r="C487" s="5" t="inlineStr">
        <is>
          <t>Cultura y Deporte</t>
        </is>
      </c>
      <c r="D487" s="5" t="inlineStr">
        <is>
          <t>Trimestral</t>
        </is>
      </c>
      <c r="E487" s="5" t="inlineStr">
        <is>
          <t>Positivo</t>
        </is>
      </c>
      <c r="F487" s="144" t="n">
        <v>46022</v>
      </c>
      <c r="G487" s="5" t="n">
        <v>2025</v>
      </c>
      <c r="H487" s="5" t="inlineStr">
        <is>
          <t>Diciembre</t>
        </is>
      </c>
      <c r="I487" s="6" t="inlineStr">
        <is>
          <t>2025-2</t>
        </is>
      </c>
      <c r="J487" s="5" t="n">
        <v>16</v>
      </c>
      <c r="K487" s="5" t="n">
        <v>44.83000000000001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294-2025-12-31</t>
        </is>
      </c>
    </row>
    <row r="488">
      <c r="A488" s="5" t="n">
        <v>295</v>
      </c>
      <c r="B488" s="5" t="inlineStr">
        <is>
          <t>Cumplimiento Del Cierre De Oportunidades De Mejora De Auditoria</t>
        </is>
      </c>
      <c r="C488" s="5" t="inlineStr">
        <is>
          <t>AUDITORÍA INTERNA</t>
        </is>
      </c>
      <c r="D488" s="5" t="inlineStr">
        <is>
          <t>Semestral</t>
        </is>
      </c>
      <c r="E488" s="5" t="inlineStr">
        <is>
          <t>Positivo</t>
        </is>
      </c>
      <c r="F488" s="144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32</v>
      </c>
      <c r="K488" s="5" t="n">
        <v>14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295-2023-12-31</t>
        </is>
      </c>
    </row>
    <row r="489">
      <c r="A489" s="5" t="n">
        <v>295</v>
      </c>
      <c r="B489" s="5" t="inlineStr">
        <is>
          <t>Cumplimiento Del Cierre De Oportunidades De Mejora De Auditoria</t>
        </is>
      </c>
      <c r="C489" s="5" t="inlineStr">
        <is>
          <t>AUDITORÍA INTERNA</t>
        </is>
      </c>
      <c r="D489" s="5" t="inlineStr">
        <is>
          <t>Semestral</t>
        </is>
      </c>
      <c r="E489" s="5" t="inlineStr">
        <is>
          <t>Positivo</t>
        </is>
      </c>
      <c r="F489" s="144" t="n">
        <v>45473</v>
      </c>
      <c r="G489" s="5" t="n">
        <v>2024</v>
      </c>
      <c r="H489" s="5" t="inlineStr">
        <is>
          <t>Junio</t>
        </is>
      </c>
      <c r="I489" s="6" t="inlineStr">
        <is>
          <t>2024-1</t>
        </is>
      </c>
      <c r="J489" s="5" t="n">
        <v>60</v>
      </c>
      <c r="K489" s="5" t="n">
        <v>52.38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ENT</t>
        </is>
      </c>
      <c r="O489" s="5" t="inlineStr">
        <is>
          <t>ENT</t>
        </is>
      </c>
      <c r="P489" s="5" t="n">
        <v>0</v>
      </c>
      <c r="Q489" s="5" t="n">
        <v>0</v>
      </c>
      <c r="R489" s="5" t="inlineStr">
        <is>
          <t>295-2024-06-30</t>
        </is>
      </c>
    </row>
    <row r="490">
      <c r="A490" s="5" t="n">
        <v>296</v>
      </c>
      <c r="B490" s="5" t="inlineStr">
        <is>
          <t>Gestión de riesgos por subprocesos</t>
        </is>
      </c>
      <c r="C490" s="5" t="inlineStr">
        <is>
          <t>GESTIÓN DE RIESGOS</t>
        </is>
      </c>
      <c r="D490" s="5" t="inlineStr">
        <is>
          <t>Bimestral</t>
        </is>
      </c>
      <c r="E490" s="5" t="inlineStr">
        <is>
          <t>Positivo</t>
        </is>
      </c>
      <c r="F490" s="144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85.45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ENT</t>
        </is>
      </c>
      <c r="O490" s="5" t="inlineStr">
        <is>
          <t>DEC</t>
        </is>
      </c>
      <c r="P490" s="5" t="n">
        <v>1</v>
      </c>
      <c r="Q490" s="5" t="n">
        <v>1</v>
      </c>
      <c r="R490" s="5" t="inlineStr">
        <is>
          <t>296-2023-12-31</t>
        </is>
      </c>
    </row>
    <row r="491">
      <c r="A491" s="5" t="n">
        <v>297</v>
      </c>
      <c r="B491" s="5" t="inlineStr">
        <is>
          <t>N de riesgos operacionales intervenidos</t>
        </is>
      </c>
      <c r="C491" s="5" t="inlineStr">
        <is>
          <t>GESTIÓN DE RIESGOS</t>
        </is>
      </c>
      <c r="D491" s="5" t="inlineStr">
        <is>
          <t>Bimestral</t>
        </is>
      </c>
      <c r="E491" s="5" t="inlineStr">
        <is>
          <t>Negativo</t>
        </is>
      </c>
      <c r="F491" s="144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20</v>
      </c>
      <c r="K491" s="5" t="n">
        <v>0.93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ENT</t>
        </is>
      </c>
      <c r="O491" s="5" t="inlineStr">
        <is>
          <t>DEC</t>
        </is>
      </c>
      <c r="P491" s="5" t="n">
        <v>1</v>
      </c>
      <c r="Q491" s="5" t="n">
        <v>1</v>
      </c>
      <c r="R491" s="5" t="inlineStr">
        <is>
          <t>297-2023-12-31</t>
        </is>
      </c>
    </row>
    <row r="492">
      <c r="A492" s="5" t="n">
        <v>298</v>
      </c>
      <c r="B492" s="5" t="inlineStr">
        <is>
          <t>N de riesgos materializados</t>
        </is>
      </c>
      <c r="C492" s="5" t="inlineStr">
        <is>
          <t>GESTIÓN DE RIESGOS</t>
        </is>
      </c>
      <c r="D492" s="5" t="inlineStr">
        <is>
          <t>Semestral</t>
        </is>
      </c>
      <c r="E492" s="5" t="inlineStr">
        <is>
          <t>Negativo</t>
        </is>
      </c>
      <c r="F492" s="144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/>
      <c r="K492" s="5" t="n">
        <v>1</v>
      </c>
      <c r="L492" s="28" t="n"/>
      <c r="M492" s="28" t="n"/>
      <c r="N492" s="5" t="inlineStr">
        <is>
          <t>Linea Base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298-2023-12-31</t>
        </is>
      </c>
    </row>
    <row r="493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Trimestral</t>
        </is>
      </c>
      <c r="E493" s="5" t="inlineStr">
        <is>
          <t>Positivo</t>
        </is>
      </c>
      <c r="F493" s="14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100</v>
      </c>
      <c r="K493" s="5" t="n">
        <v>100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8" t="inlineStr">
        <is>
          <t>%</t>
        </is>
      </c>
      <c r="O493" s="58" t="inlineStr">
        <is>
          <t>%</t>
        </is>
      </c>
      <c r="P493" s="5" t="n">
        <v>0</v>
      </c>
      <c r="Q493" s="5" t="n">
        <v>0</v>
      </c>
      <c r="R493" s="5" t="inlineStr">
        <is>
          <t>300-2023-12-31</t>
        </is>
      </c>
    </row>
    <row r="494">
      <c r="A494" s="5" t="n">
        <v>300</v>
      </c>
      <c r="B494" s="5" t="inlineStr">
        <is>
          <t>Cumplimiento de Inspecciones de control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144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100</v>
      </c>
      <c r="K494" s="5" t="n">
        <v>100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300-2024-12-31</t>
        </is>
      </c>
    </row>
    <row r="495">
      <c r="A495" s="5" t="n">
        <v>300</v>
      </c>
      <c r="B495" s="5" t="inlineStr">
        <is>
          <t>Cumplimiento de Inspecciones de control</t>
        </is>
      </c>
      <c r="C495" s="5" t="inlineStr">
        <is>
          <t>Administración de Servicios Generales</t>
        </is>
      </c>
      <c r="D495" s="5" t="inlineStr">
        <is>
          <t>Semestral</t>
        </is>
      </c>
      <c r="E495" s="5" t="inlineStr">
        <is>
          <t>Positivo</t>
        </is>
      </c>
      <c r="F495" s="144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100</v>
      </c>
      <c r="K495" s="5" t="n">
        <v>100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300-2025-12-31</t>
        </is>
      </c>
    </row>
    <row r="496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Trimestral</t>
        </is>
      </c>
      <c r="E496" s="5" t="inlineStr">
        <is>
          <t>Positivo</t>
        </is>
      </c>
      <c r="F496" s="144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100</v>
      </c>
      <c r="K496" s="5" t="n">
        <v>100</v>
      </c>
      <c r="L496" s="28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301-2023-12-31</t>
        </is>
      </c>
    </row>
    <row r="497">
      <c r="A497" s="5" t="n">
        <v>301</v>
      </c>
      <c r="B497" s="5" t="inlineStr">
        <is>
          <t>Cumplimiento plan de trabajo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144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100</v>
      </c>
      <c r="K497" s="5" t="n">
        <v>100</v>
      </c>
      <c r="L497" s="28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301-2024-12-31</t>
        </is>
      </c>
    </row>
    <row r="498">
      <c r="A498" s="5" t="n">
        <v>301</v>
      </c>
      <c r="B498" s="5" t="inlineStr">
        <is>
          <t>Cumplimiento plan de trabajo</t>
        </is>
      </c>
      <c r="C498" s="5" t="inlineStr">
        <is>
          <t>Administración de Servicios Generales</t>
        </is>
      </c>
      <c r="D498" s="5" t="inlineStr">
        <is>
          <t>Semestral</t>
        </is>
      </c>
      <c r="E498" s="5" t="inlineStr">
        <is>
          <t>Positivo</t>
        </is>
      </c>
      <c r="F498" s="144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100</v>
      </c>
      <c r="K498" s="5" t="n">
        <v>100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301-2025-12-31</t>
        </is>
      </c>
    </row>
    <row r="499">
      <c r="A499" s="5" t="n">
        <v>302</v>
      </c>
      <c r="B499" s="5" t="inlineStr">
        <is>
          <t>N de solicitudes radicadas</t>
        </is>
      </c>
      <c r="C499" s="5" t="inlineStr">
        <is>
          <t>Centro de Medios Audiovisuales</t>
        </is>
      </c>
      <c r="D499" s="5" t="inlineStr">
        <is>
          <t>Semestral</t>
        </is>
      </c>
      <c r="E499" s="5" t="inlineStr">
        <is>
          <t>Positivo</t>
        </is>
      </c>
      <c r="F499" s="144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/>
      <c r="K499" s="5" t="n">
        <v>0</v>
      </c>
      <c r="L499" s="28" t="n"/>
      <c r="M499" s="28" t="n"/>
      <c r="N499" s="5" t="inlineStr">
        <is>
          <t>%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302-2023-12-31</t>
        </is>
      </c>
    </row>
    <row r="500">
      <c r="A500" s="5" t="n">
        <v>302</v>
      </c>
      <c r="B500" s="5" t="inlineStr">
        <is>
          <t>N de solicitudes radicadas</t>
        </is>
      </c>
      <c r="C500" s="5" t="inlineStr">
        <is>
          <t>Centro de Medios Audiovisuales</t>
        </is>
      </c>
      <c r="D500" s="5" t="inlineStr">
        <is>
          <t>Semestral</t>
        </is>
      </c>
      <c r="E500" s="5" t="inlineStr">
        <is>
          <t>Positivo</t>
        </is>
      </c>
      <c r="F500" s="144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0</v>
      </c>
      <c r="K500" s="5" t="n">
        <v>37020</v>
      </c>
      <c r="L500" s="28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n">
        <v>0</v>
      </c>
      <c r="O500" s="5" t="inlineStr">
        <is>
          <t>ENT</t>
        </is>
      </c>
      <c r="P500" s="5" t="n">
        <v>0</v>
      </c>
      <c r="Q500" s="5" t="n">
        <v>0</v>
      </c>
      <c r="R500" s="5" t="inlineStr">
        <is>
          <t>302-2024-12-31</t>
        </is>
      </c>
    </row>
    <row r="501">
      <c r="A501" s="5" t="n">
        <v>302</v>
      </c>
      <c r="B501" s="5" t="inlineStr">
        <is>
          <t>N de solicitudes radicadas - (Metrica)</t>
        </is>
      </c>
      <c r="C501" s="5" t="inlineStr">
        <is>
          <t>Centro de Medios Audiovisuales</t>
        </is>
      </c>
      <c r="D501" s="5" t="inlineStr">
        <is>
          <t>Trimestral</t>
        </is>
      </c>
      <c r="E501" s="5" t="inlineStr">
        <is>
          <t>Positivo</t>
        </is>
      </c>
      <c r="F501" s="144" t="n">
        <v>46022</v>
      </c>
      <c r="G501" s="5" t="n">
        <v>2025</v>
      </c>
      <c r="H501" s="5" t="inlineStr">
        <is>
          <t>Diciembre</t>
        </is>
      </c>
      <c r="I501" s="6" t="inlineStr">
        <is>
          <t>2025-2</t>
        </is>
      </c>
      <c r="J501" s="5" t="n"/>
      <c r="K501" s="5" t="n">
        <v>53083</v>
      </c>
      <c r="L501" s="28" t="n"/>
      <c r="M501" s="28" t="n"/>
      <c r="N501" s="5" t="inlineStr">
        <is>
          <t>%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302-2025-12-31</t>
        </is>
      </c>
      <c r="S501" t="inlineStr">
        <is>
          <t>Metrica</t>
        </is>
      </c>
    </row>
    <row r="502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Semestral</t>
        </is>
      </c>
      <c r="E502" s="5" t="inlineStr">
        <is>
          <t>Positivo</t>
        </is>
      </c>
      <c r="F502" s="144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200</v>
      </c>
      <c r="K502" s="5" t="n">
        <v>155.3030303030305</v>
      </c>
      <c r="L502" s="28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303-2023-12-31</t>
        </is>
      </c>
    </row>
    <row r="503">
      <c r="A503" s="5" t="n">
        <v>303</v>
      </c>
      <c r="B503" s="5" t="inlineStr">
        <is>
          <t>Cumplimiento del cronograma de actividades de salud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144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190</v>
      </c>
      <c r="K503" s="5" t="n">
        <v>195.6521739130435</v>
      </c>
      <c r="L503" s="28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303-2024-12-31</t>
        </is>
      </c>
    </row>
    <row r="504">
      <c r="A504" s="26" t="n">
        <v>303</v>
      </c>
      <c r="B504" s="23" t="inlineStr">
        <is>
          <t>Cumplimiento del cronograma de actividades de salud</t>
        </is>
      </c>
      <c r="C504" s="5" t="inlineStr">
        <is>
          <t>Servicio de Salud</t>
        </is>
      </c>
      <c r="D504" s="5" t="inlineStr">
        <is>
          <t>Trimestral</t>
        </is>
      </c>
      <c r="E504" s="5" t="inlineStr">
        <is>
          <t>Positivo</t>
        </is>
      </c>
      <c r="F504" s="144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190</v>
      </c>
      <c r="K504" s="5" t="n">
        <v>190.32</v>
      </c>
      <c r="L504" s="28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303-2025-12-31</t>
        </is>
      </c>
    </row>
    <row r="505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Semestral</t>
        </is>
      </c>
      <c r="E505" s="5" t="inlineStr">
        <is>
          <t>Positivo</t>
        </is>
      </c>
      <c r="F505" s="144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200</v>
      </c>
      <c r="K505" s="5" t="n">
        <v>366.1900000000001</v>
      </c>
      <c r="L505" s="28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304-2023-12-31</t>
        </is>
      </c>
    </row>
    <row r="506">
      <c r="A506" s="5" t="n">
        <v>304</v>
      </c>
      <c r="B506" s="5" t="inlineStr">
        <is>
          <t>Impacto de Campañas de promoción y prevención</t>
        </is>
      </c>
      <c r="C506" s="5" t="inlineStr">
        <is>
          <t>Servicio de Salud</t>
        </is>
      </c>
      <c r="D506" s="5" t="inlineStr">
        <is>
          <t>Semestral</t>
        </is>
      </c>
      <c r="E506" s="5" t="inlineStr">
        <is>
          <t>Positivo</t>
        </is>
      </c>
      <c r="F506" s="144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200</v>
      </c>
      <c r="K506" s="5" t="n">
        <v>183.68</v>
      </c>
      <c r="L506" s="28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5" t="inlineStr">
        <is>
          <t>ENT</t>
        </is>
      </c>
      <c r="O506" s="5" t="inlineStr">
        <is>
          <t>ENT</t>
        </is>
      </c>
      <c r="P506" s="5" t="n">
        <v>0</v>
      </c>
      <c r="Q506" s="5" t="n">
        <v>0</v>
      </c>
      <c r="R506" s="5" t="inlineStr">
        <is>
          <t>304-2024-12-31</t>
        </is>
      </c>
    </row>
    <row r="507">
      <c r="A507" s="5" t="n">
        <v>304</v>
      </c>
      <c r="B507" s="5" t="inlineStr">
        <is>
          <t>Impacto de Campañas de promoción y prevención</t>
        </is>
      </c>
      <c r="C507" s="5" t="inlineStr">
        <is>
          <t>Servicio de Salud</t>
        </is>
      </c>
      <c r="D507" s="5" t="inlineStr">
        <is>
          <t>Trimestral</t>
        </is>
      </c>
      <c r="E507" s="5" t="inlineStr">
        <is>
          <t>Positivo</t>
        </is>
      </c>
      <c r="F507" s="144" t="n">
        <v>46022</v>
      </c>
      <c r="G507" s="5" t="n">
        <v>2025</v>
      </c>
      <c r="H507" s="5" t="inlineStr">
        <is>
          <t>Diciembre</t>
        </is>
      </c>
      <c r="I507" s="6" t="inlineStr">
        <is>
          <t>2025-2</t>
        </is>
      </c>
      <c r="J507" s="5" t="n">
        <v>200</v>
      </c>
      <c r="K507" s="5" t="n">
        <v>214.56</v>
      </c>
      <c r="L507" s="28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5" t="inlineStr">
        <is>
          <t>ENT</t>
        </is>
      </c>
      <c r="O507" s="5" t="inlineStr">
        <is>
          <t>ENT</t>
        </is>
      </c>
      <c r="P507" s="5" t="n">
        <v>0</v>
      </c>
      <c r="Q507" s="5" t="n">
        <v>0</v>
      </c>
      <c r="R507" s="5" t="inlineStr">
        <is>
          <t>304-2025-12-31</t>
        </is>
      </c>
    </row>
    <row r="508">
      <c r="A508" s="5" t="n">
        <v>305</v>
      </c>
      <c r="B508" s="5" t="inlineStr">
        <is>
          <t>Cumplimiento del plan anual de mantenimiento de equipos médicos</t>
        </is>
      </c>
      <c r="C508" s="5" t="inlineStr">
        <is>
          <t>Servicio de Salud</t>
        </is>
      </c>
      <c r="D508" s="5" t="inlineStr">
        <is>
          <t>Anual</t>
        </is>
      </c>
      <c r="E508" s="5" t="inlineStr">
        <is>
          <t>Positivo</t>
        </is>
      </c>
      <c r="F508" s="144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100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305-2023-12-31</t>
        </is>
      </c>
    </row>
    <row r="509">
      <c r="A509" s="5" t="n">
        <v>305</v>
      </c>
      <c r="B509" s="5" t="inlineStr">
        <is>
          <t>Cumplimiento del plan anual de mantenimiento de equipos médicos</t>
        </is>
      </c>
      <c r="C509" s="5" t="inlineStr">
        <is>
          <t>Servicio de Salud</t>
        </is>
      </c>
      <c r="D509" s="5" t="inlineStr">
        <is>
          <t>Anual</t>
        </is>
      </c>
      <c r="E509" s="5" t="inlineStr">
        <is>
          <t>Positivo</t>
        </is>
      </c>
      <c r="F509" s="144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5" t="n">
        <v>100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305-2024-12-31</t>
        </is>
      </c>
    </row>
    <row r="510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Trimestral</t>
        </is>
      </c>
      <c r="E510" s="5" t="inlineStr">
        <is>
          <t>Positivo</t>
        </is>
      </c>
      <c r="F510" s="144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100</v>
      </c>
      <c r="K510" s="5" t="n">
        <v>156.5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306-2023-12-31</t>
        </is>
      </c>
    </row>
    <row r="511">
      <c r="A511" s="5" t="n">
        <v>306</v>
      </c>
      <c r="B511" s="5" t="inlineStr">
        <is>
          <t>Seguimiento KPI Plan de Desarrollo Institucional</t>
        </is>
      </c>
      <c r="C511" s="5" t="inlineStr">
        <is>
          <t>Desempeño Institucional</t>
        </is>
      </c>
      <c r="D511" s="5" t="inlineStr">
        <is>
          <t>Trimestral</t>
        </is>
      </c>
      <c r="E511" s="5" t="inlineStr">
        <is>
          <t>Positivo</t>
        </is>
      </c>
      <c r="F511" s="144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5" t="n">
        <v>175.5</v>
      </c>
      <c r="L511" s="28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306-2024-12-31</t>
        </is>
      </c>
    </row>
    <row r="512">
      <c r="A512" s="5" t="n">
        <v>306</v>
      </c>
      <c r="B512" s="5" t="inlineStr">
        <is>
          <t>Seguimiento KPI Plan de Desarrollo Institucional</t>
        </is>
      </c>
      <c r="C512" s="5" t="inlineStr">
        <is>
          <t>Desempeño Institucional</t>
        </is>
      </c>
      <c r="D512" s="5" t="inlineStr">
        <is>
          <t>Semestral</t>
        </is>
      </c>
      <c r="E512" s="5" t="inlineStr">
        <is>
          <t>Positivo</t>
        </is>
      </c>
      <c r="F512" s="144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100</v>
      </c>
      <c r="K512" s="5" t="n">
        <v>107.3733333333333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306-2025-12-31</t>
        </is>
      </c>
    </row>
    <row r="513">
      <c r="A513" s="5" t="n">
        <v>307</v>
      </c>
      <c r="B513" s="5" t="inlineStr">
        <is>
          <t>Organización de escenarios de visibilidad nacional e internacional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144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46</v>
      </c>
      <c r="K513" s="5" t="n">
        <v>107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307-2023-12-31</t>
        </is>
      </c>
    </row>
    <row r="514">
      <c r="A514" s="5" t="n">
        <v>307</v>
      </c>
      <c r="B514" s="5" t="inlineStr">
        <is>
          <t>Organización de escenarios de visibilidad nacional e internacional</t>
        </is>
      </c>
      <c r="C514" s="5" t="inlineStr">
        <is>
          <t>VISIBILIDAD NACIONAL E INTERNACIONAL</t>
        </is>
      </c>
      <c r="D514" s="5" t="inlineStr">
        <is>
          <t>Semestral</t>
        </is>
      </c>
      <c r="E514" s="5" t="inlineStr">
        <is>
          <t>Positivo</t>
        </is>
      </c>
      <c r="F514" s="144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413.33</v>
      </c>
      <c r="L514" s="28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307-2024-12-31</t>
        </is>
      </c>
    </row>
    <row r="515">
      <c r="A515" s="5" t="n">
        <v>308</v>
      </c>
      <c r="B515" s="5" t="inlineStr">
        <is>
          <t>Movilidad Física Entrantes Profesores</t>
        </is>
      </c>
      <c r="C515" s="5" t="inlineStr">
        <is>
          <t>VISIBILIDAD NACIONAL E INTERNACIONAL</t>
        </is>
      </c>
      <c r="D515" s="5" t="inlineStr">
        <is>
          <t>Semestral</t>
        </is>
      </c>
      <c r="E515" s="5" t="inlineStr">
        <is>
          <t>Positivo</t>
        </is>
      </c>
      <c r="F515" s="144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32</v>
      </c>
      <c r="K515" s="5" t="n">
        <v>81</v>
      </c>
      <c r="L515" s="28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308-2023-12-31</t>
        </is>
      </c>
    </row>
    <row r="516">
      <c r="A516" s="5" t="n">
        <v>308</v>
      </c>
      <c r="B516" s="5" t="inlineStr">
        <is>
          <t>Movilidad Física Entrantes Profesores</t>
        </is>
      </c>
      <c r="C516" s="5" t="inlineStr">
        <is>
          <t>VISIBILIDAD NACIONAL E INTERNACIONAL</t>
        </is>
      </c>
      <c r="D516" s="5" t="inlineStr">
        <is>
          <t>Semestral</t>
        </is>
      </c>
      <c r="E516" s="5" t="inlineStr">
        <is>
          <t>Positivo</t>
        </is>
      </c>
      <c r="F516" s="144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100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308-2024-12-31</t>
        </is>
      </c>
    </row>
    <row r="517">
      <c r="A517" s="5" t="n">
        <v>309</v>
      </c>
      <c r="B517" s="5" t="inlineStr">
        <is>
          <t>Movilidad Física Profesores Salientes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144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64</v>
      </c>
      <c r="K517" s="5" t="n">
        <v>103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309-2023-12-31</t>
        </is>
      </c>
    </row>
    <row r="518">
      <c r="A518" s="5" t="n">
        <v>309</v>
      </c>
      <c r="B518" s="5" t="inlineStr">
        <is>
          <t>Movilidad Física Salientes Profesores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144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154.67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309-2024-12-31</t>
        </is>
      </c>
    </row>
    <row r="519">
      <c r="A519" s="5" t="n">
        <v>310</v>
      </c>
      <c r="B519" s="5" t="inlineStr">
        <is>
          <t>Movilidad Física Entrante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144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84</v>
      </c>
      <c r="K519" s="5" t="n">
        <v>166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310-2023-12-31</t>
        </is>
      </c>
    </row>
    <row r="520">
      <c r="A520" s="5" t="n">
        <v>310</v>
      </c>
      <c r="B520" s="5" t="inlineStr">
        <is>
          <t>Movilidad Física Entrante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144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79.13</v>
      </c>
      <c r="L520" s="28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310-2024-12-31</t>
        </is>
      </c>
    </row>
    <row r="521">
      <c r="A521" s="5" t="n">
        <v>311</v>
      </c>
      <c r="B521" s="5" t="inlineStr">
        <is>
          <t>Movilidad Física Saliente Estudiantes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144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267</v>
      </c>
      <c r="K521" s="5" t="n">
        <v>332</v>
      </c>
      <c r="L521" s="28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311-2023-12-31</t>
        </is>
      </c>
    </row>
    <row r="522">
      <c r="A522" s="5" t="n">
        <v>311</v>
      </c>
      <c r="B522" s="5" t="inlineStr">
        <is>
          <t>Movilidad Física Saliente Estudiantes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144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67.76000000000001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311-2024-12-31</t>
        </is>
      </c>
    </row>
    <row r="523">
      <c r="A523" s="5" t="n">
        <v>312</v>
      </c>
      <c r="B523" s="5" t="inlineStr">
        <is>
          <t>Clases espejo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221</v>
      </c>
      <c r="K523" s="5" t="n">
        <v>243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312-2023-12-31</t>
        </is>
      </c>
    </row>
    <row r="524">
      <c r="A524" s="5" t="n">
        <v>312</v>
      </c>
      <c r="B524" s="5" t="inlineStr">
        <is>
          <t>Clases espejo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144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137</v>
      </c>
      <c r="L524" s="28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312-2024-12-31</t>
        </is>
      </c>
    </row>
    <row r="525">
      <c r="A525" s="5" t="n">
        <v>313</v>
      </c>
      <c r="B525" s="5" t="inlineStr">
        <is>
          <t>Seminarios y cursos internacionales virtuales impartidos y certificados por entidades externas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144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28</v>
      </c>
      <c r="K525" s="5" t="n">
        <v>25</v>
      </c>
      <c r="L525" s="28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313-2023-12-31</t>
        </is>
      </c>
    </row>
    <row r="526">
      <c r="A526" s="5" t="n">
        <v>313</v>
      </c>
      <c r="B526" s="5" t="inlineStr">
        <is>
          <t>Seminarios y cursos internacionales virtuales impartidos y certificados por entidades externas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144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100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313-2024-12-31</t>
        </is>
      </c>
    </row>
    <row r="527">
      <c r="A527" s="5" t="n">
        <v>314</v>
      </c>
      <c r="B527" s="5" t="inlineStr">
        <is>
          <t>N de asignaturas COIL - (Collaborative Online International Learning)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144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23</v>
      </c>
      <c r="K527" s="5" t="n">
        <v>29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314-2023-12-31</t>
        </is>
      </c>
    </row>
    <row r="528">
      <c r="A528" s="5" t="n">
        <v>314</v>
      </c>
      <c r="B528" s="5" t="inlineStr">
        <is>
          <t>N de asignaturas COIL - (Collaborative Online International Learning)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144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100</v>
      </c>
      <c r="K528" s="5" t="n">
        <v>145</v>
      </c>
      <c r="L528" s="28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314-2024-12-31</t>
        </is>
      </c>
    </row>
    <row r="529">
      <c r="A529" s="5" t="n">
        <v>315</v>
      </c>
      <c r="B529" s="5" t="inlineStr">
        <is>
          <t>Convenios con doble titulación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144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5</v>
      </c>
      <c r="K529" s="5" t="n">
        <v>7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315-2023-12-31</t>
        </is>
      </c>
    </row>
    <row r="530">
      <c r="A530" s="5" t="n">
        <v>315</v>
      </c>
      <c r="B530" s="5" t="inlineStr">
        <is>
          <t>Num de programas con convenios de doble titulación</t>
        </is>
      </c>
      <c r="C530" s="5" t="inlineStr">
        <is>
          <t>VISIBILIDAD NACIONAL E INTERNACIONAL</t>
        </is>
      </c>
      <c r="D530" s="5" t="inlineStr">
        <is>
          <t>Semestral</t>
        </is>
      </c>
      <c r="E530" s="5" t="inlineStr">
        <is>
          <t>Positivo</t>
        </is>
      </c>
      <c r="F530" s="144" t="n">
        <v>45657</v>
      </c>
      <c r="G530" s="5" t="n">
        <v>2024</v>
      </c>
      <c r="H530" s="5" t="inlineStr">
        <is>
          <t>Diciembre</t>
        </is>
      </c>
      <c r="I530" s="6" t="inlineStr">
        <is>
          <t>2024-2</t>
        </is>
      </c>
      <c r="J530" s="5" t="n"/>
      <c r="K530" s="5" t="n"/>
      <c r="L530" s="28" t="n"/>
      <c r="M530" s="28" t="n"/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315-2024-12-31</t>
        </is>
      </c>
    </row>
    <row r="531">
      <c r="A531" s="5" t="n">
        <v>316</v>
      </c>
      <c r="B531" s="5" t="inlineStr">
        <is>
          <t>Asignaturas con sesiones en segundo idioma</t>
        </is>
      </c>
      <c r="C531" s="5" t="inlineStr">
        <is>
          <t>VISIBILIDAD NACIONAL E INTERNACIONAL</t>
        </is>
      </c>
      <c r="D531" s="5" t="inlineStr">
        <is>
          <t>Semestral</t>
        </is>
      </c>
      <c r="E531" s="5" t="inlineStr">
        <is>
          <t>Positivo</t>
        </is>
      </c>
      <c r="F531" s="144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21</v>
      </c>
      <c r="K531" s="5" t="n">
        <v>22</v>
      </c>
      <c r="L531" s="28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316-2023-12-31</t>
        </is>
      </c>
    </row>
    <row r="532">
      <c r="A532" s="5" t="n">
        <v>317</v>
      </c>
      <c r="B532" s="5" t="inlineStr">
        <is>
          <t>Plan De Internacionalización A 7 Años</t>
        </is>
      </c>
      <c r="C532" s="5" t="inlineStr">
        <is>
          <t>VISIBILIDAD NACIONAL E INTERNACIONAL</t>
        </is>
      </c>
      <c r="D532" s="5" t="inlineStr">
        <is>
          <t>Anual</t>
        </is>
      </c>
      <c r="E532" s="5" t="inlineStr">
        <is>
          <t>Positivo</t>
        </is>
      </c>
      <c r="F532" s="144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12</v>
      </c>
      <c r="K532" s="5" t="n">
        <v>12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317-2023-12-31</t>
        </is>
      </c>
    </row>
    <row r="533">
      <c r="A533" s="5" t="n">
        <v>317</v>
      </c>
      <c r="B533" s="5" t="inlineStr">
        <is>
          <t>Plan De Internacionalización A 7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144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100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317-2024-12-31</t>
        </is>
      </c>
    </row>
    <row r="534">
      <c r="A534" s="5" t="n">
        <v>318</v>
      </c>
      <c r="B534" s="5" t="inlineStr">
        <is>
          <t>Convenios, alianzas activas con actividades desde 2018</t>
        </is>
      </c>
      <c r="C534" s="5" t="inlineStr">
        <is>
          <t>VISIBILIDAD NACIONAL E INTERNACIONAL</t>
        </is>
      </c>
      <c r="D534" s="5" t="inlineStr">
        <is>
          <t>Semestral</t>
        </is>
      </c>
      <c r="E534" s="5" t="inlineStr">
        <is>
          <t>Positivo</t>
        </is>
      </c>
      <c r="F534" s="144" t="n">
        <v>45291</v>
      </c>
      <c r="G534" s="5" t="n">
        <v>2023</v>
      </c>
      <c r="H534" s="5" t="inlineStr">
        <is>
          <t>Diciembre</t>
        </is>
      </c>
      <c r="I534" s="6" t="inlineStr">
        <is>
          <t>2023-2</t>
        </is>
      </c>
      <c r="J534" s="5" t="n">
        <v>80</v>
      </c>
      <c r="K534" s="5" t="n">
        <v>90.90909090909091</v>
      </c>
      <c r="L534" s="28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318-2023-12-31</t>
        </is>
      </c>
    </row>
    <row r="535">
      <c r="A535" s="5" t="n">
        <v>318</v>
      </c>
      <c r="B535" s="5" t="inlineStr">
        <is>
          <t>Convenios, alianzas activas con actividades en los últimos 5 años</t>
        </is>
      </c>
      <c r="C535" s="5" t="inlineStr">
        <is>
          <t>VISIBILIDAD NACIONAL E INTERNACIONAL</t>
        </is>
      </c>
      <c r="D535" s="5" t="inlineStr">
        <is>
          <t>Anual</t>
        </is>
      </c>
      <c r="E535" s="5" t="inlineStr">
        <is>
          <t>Positivo</t>
        </is>
      </c>
      <c r="F535" s="144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80</v>
      </c>
      <c r="K535" s="5" t="n">
        <v>90.28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318-2024-12-31</t>
        </is>
      </c>
    </row>
    <row r="536">
      <c r="A536" s="5" t="n">
        <v>318</v>
      </c>
      <c r="B536" s="5" t="inlineStr">
        <is>
          <t>Convenios, alianzas activas con actividades en los últimos 5 años</t>
        </is>
      </c>
      <c r="C536" s="5" t="inlineStr">
        <is>
          <t>VISIBILIDAD NACIONAL E INTERNACIONAL</t>
        </is>
      </c>
      <c r="D536" s="5" t="inlineStr">
        <is>
          <t>Anual</t>
        </is>
      </c>
      <c r="E536" s="5" t="inlineStr">
        <is>
          <t>Positivo</t>
        </is>
      </c>
      <c r="F536" s="144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85</v>
      </c>
      <c r="K536" s="5" t="n">
        <v>86.16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318-2025-12-31</t>
        </is>
      </c>
    </row>
    <row r="537">
      <c r="A537" s="5" t="n">
        <v>319</v>
      </c>
      <c r="B537" s="5" t="inlineStr">
        <is>
          <t>Nivel de cumplimiento de la gestión de internacionalización descrito en el plan de trabajo de la ORNI</t>
        </is>
      </c>
      <c r="C537" s="5" t="inlineStr">
        <is>
          <t>VISIBILIDAD NACIONAL E INTERNACIONAL</t>
        </is>
      </c>
      <c r="D537" s="5" t="inlineStr">
        <is>
          <t>Semestral</t>
        </is>
      </c>
      <c r="E537" s="5" t="inlineStr">
        <is>
          <t>Positivo</t>
        </is>
      </c>
      <c r="F537" s="144" t="n">
        <v>45291</v>
      </c>
      <c r="G537" s="16" t="n">
        <v>2023</v>
      </c>
      <c r="H537" s="6" t="inlineStr">
        <is>
          <t>Diciembre</t>
        </is>
      </c>
      <c r="I537" s="6" t="inlineStr">
        <is>
          <t>2023-2</t>
        </is>
      </c>
      <c r="J537" s="119" t="n">
        <v>100</v>
      </c>
      <c r="K537" s="123" t="n">
        <v>100</v>
      </c>
      <c r="L537" s="28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319-2023-12-31</t>
        </is>
      </c>
    </row>
    <row r="538">
      <c r="A538" s="5" t="n">
        <v>319</v>
      </c>
      <c r="B538" s="5" t="inlineStr">
        <is>
          <t>Nivel de cumplimiento de la gestión de internacionalización descrito en el plan de trabajo de la ORNI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44" t="n">
        <v>45657</v>
      </c>
      <c r="G538" s="16" t="n">
        <v>2024</v>
      </c>
      <c r="H538" s="6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100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319-2024-12-31</t>
        </is>
      </c>
    </row>
    <row r="539">
      <c r="A539" s="5" t="n">
        <v>320</v>
      </c>
      <c r="B539" s="5" t="inlineStr">
        <is>
          <t>Participación docentes eventos académicos internacionales virtuales</t>
        </is>
      </c>
      <c r="C539" s="5" t="inlineStr">
        <is>
          <t>VISIBILIDAD NACIONAL E INTERNACIONAL</t>
        </is>
      </c>
      <c r="D539" s="13" t="inlineStr">
        <is>
          <t>Semestral</t>
        </is>
      </c>
      <c r="E539" s="5" t="inlineStr">
        <is>
          <t>Positivo</t>
        </is>
      </c>
      <c r="F539" s="144" t="n">
        <v>45291</v>
      </c>
      <c r="G539" s="16" t="n">
        <v>2023</v>
      </c>
      <c r="H539" s="6" t="inlineStr">
        <is>
          <t>Diciembre</t>
        </is>
      </c>
      <c r="I539" s="6" t="inlineStr">
        <is>
          <t>2023-2</t>
        </is>
      </c>
      <c r="J539" s="5" t="n">
        <v>41</v>
      </c>
      <c r="K539" s="5" t="n">
        <v>29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320-2023-12-31</t>
        </is>
      </c>
    </row>
    <row r="540">
      <c r="A540" s="5" t="n">
        <v>320</v>
      </c>
      <c r="B540" s="5" t="inlineStr">
        <is>
          <t>Participación docentes Poli en eventos académicos internacionales virtuales</t>
        </is>
      </c>
      <c r="C540" s="5" t="inlineStr">
        <is>
          <t>VISIBILIDAD NACIONAL E INTERNACIONAL</t>
        </is>
      </c>
      <c r="D540" s="13" t="inlineStr">
        <is>
          <t>Semestral</t>
        </is>
      </c>
      <c r="E540" s="5" t="inlineStr">
        <is>
          <t>Positivo</t>
        </is>
      </c>
      <c r="F540" s="144" t="n">
        <v>45657</v>
      </c>
      <c r="G540" s="16" t="n">
        <v>2024</v>
      </c>
      <c r="H540" s="6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115</v>
      </c>
      <c r="L540" s="28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320-2024-12-31</t>
        </is>
      </c>
    </row>
    <row r="541">
      <c r="A541" s="5" t="n">
        <v>321</v>
      </c>
      <c r="B541" s="5" t="inlineStr">
        <is>
          <t>Participación estudiantes eventos académicos internacionales virtuales</t>
        </is>
      </c>
      <c r="C541" s="5" t="inlineStr">
        <is>
          <t>VISIBILIDAD NACIONAL E INTERNACIONAL</t>
        </is>
      </c>
      <c r="D541" s="5" t="inlineStr">
        <is>
          <t>Semestral</t>
        </is>
      </c>
      <c r="E541" s="5" t="inlineStr">
        <is>
          <t>Positivo</t>
        </is>
      </c>
      <c r="F541" s="144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360</v>
      </c>
      <c r="K541" s="5" t="n">
        <v>467</v>
      </c>
      <c r="L541" s="28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321-2023-12-31</t>
        </is>
      </c>
    </row>
    <row r="542">
      <c r="A542" s="5" t="n">
        <v>321</v>
      </c>
      <c r="B542" s="5" t="inlineStr">
        <is>
          <t>Participación estudiantes Poli en eventos académicos internacionales virtuales</t>
        </is>
      </c>
      <c r="C542" s="5" t="inlineStr">
        <is>
          <t>VISIBILIDAD NACIONAL E INTERNACIONAL</t>
        </is>
      </c>
      <c r="D542" s="5" t="inlineStr">
        <is>
          <t>Semestral</t>
        </is>
      </c>
      <c r="E542" s="5" t="inlineStr">
        <is>
          <t>Positivo</t>
        </is>
      </c>
      <c r="F542" s="144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100</v>
      </c>
      <c r="K542" s="5" t="n">
        <v>502.17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321-2024-12-31</t>
        </is>
      </c>
    </row>
    <row r="543">
      <c r="A543" s="5" t="n">
        <v>323</v>
      </c>
      <c r="B543" s="5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45291</v>
      </c>
      <c r="G543" s="5" t="n">
        <v>2023</v>
      </c>
      <c r="H543" s="5" t="inlineStr">
        <is>
          <t>Diciembre</t>
        </is>
      </c>
      <c r="I543" s="6" t="inlineStr">
        <is>
          <t>2023-2</t>
        </is>
      </c>
      <c r="J543" s="5" t="n">
        <v>200</v>
      </c>
      <c r="K543" s="5" t="n">
        <v>200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323-2023-12-31</t>
        </is>
      </c>
    </row>
    <row r="544">
      <c r="A544" s="5" t="n">
        <v>323</v>
      </c>
      <c r="B544" s="5" t="inlineStr">
        <is>
          <t>Número de renovaciones de registro calificado</t>
        </is>
      </c>
      <c r="C544" s="5" t="inlineStr">
        <is>
          <t>Creación, modificación y cierre de programas académicos</t>
        </is>
      </c>
      <c r="D544" s="5" t="inlineStr">
        <is>
          <t>Semestral</t>
        </is>
      </c>
      <c r="E544" s="5" t="inlineStr">
        <is>
          <t>Positivo</t>
        </is>
      </c>
      <c r="F544" s="144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200</v>
      </c>
      <c r="K544" s="5" t="n">
        <v>100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323-2024-12-31</t>
        </is>
      </c>
    </row>
    <row r="545">
      <c r="A545" s="5" t="n">
        <v>323</v>
      </c>
      <c r="B545" s="5" t="inlineStr">
        <is>
          <t>Número de renovaciones de registro calificado</t>
        </is>
      </c>
      <c r="C545" s="5" t="inlineStr">
        <is>
          <t>Creación, modificación y cierre de programas académicos</t>
        </is>
      </c>
      <c r="D545" s="5" t="inlineStr">
        <is>
          <t>Semestral</t>
        </is>
      </c>
      <c r="E545" s="5" t="inlineStr">
        <is>
          <t>Positivo</t>
        </is>
      </c>
      <c r="F545" s="144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200</v>
      </c>
      <c r="K545" s="5" t="n">
        <v>200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323-2025-12-31</t>
        </is>
      </c>
    </row>
    <row r="546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5" t="inlineStr">
        <is>
          <t>Semestral</t>
        </is>
      </c>
      <c r="E546" s="5" t="inlineStr">
        <is>
          <t>Positivo</t>
        </is>
      </c>
      <c r="F546" s="144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200</v>
      </c>
      <c r="K546" s="5" t="n">
        <v>100</v>
      </c>
      <c r="L546" s="28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324-2023-12-31</t>
        </is>
      </c>
    </row>
    <row r="547">
      <c r="A547" s="5" t="n">
        <v>324</v>
      </c>
      <c r="B547" s="5" t="inlineStr">
        <is>
          <t>Número de programas nuevos radicados en el Ministerio de Educación</t>
        </is>
      </c>
      <c r="C547" s="5" t="inlineStr">
        <is>
          <t>Creación, modificación y cierre de programas académicos</t>
        </is>
      </c>
      <c r="D547" s="5" t="inlineStr">
        <is>
          <t>Semestral</t>
        </is>
      </c>
      <c r="E547" s="5" t="inlineStr">
        <is>
          <t>Positivo</t>
        </is>
      </c>
      <c r="F547" s="144" t="n">
        <v>45657</v>
      </c>
      <c r="G547" s="5" t="n">
        <v>2024</v>
      </c>
      <c r="H547" s="5" t="inlineStr">
        <is>
          <t>Diciembre</t>
        </is>
      </c>
      <c r="I547" s="6" t="inlineStr">
        <is>
          <t>2024-2</t>
        </is>
      </c>
      <c r="J547" s="5" t="n">
        <v>200</v>
      </c>
      <c r="K547" s="5" t="n">
        <v>100</v>
      </c>
      <c r="L547" s="28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324-2024-12-31</t>
        </is>
      </c>
    </row>
    <row r="548">
      <c r="A548" s="5" t="n">
        <v>324</v>
      </c>
      <c r="B548" s="5" t="inlineStr">
        <is>
          <t>Número de programas nuevos radicados en el Ministerio de Educación</t>
        </is>
      </c>
      <c r="C548" s="5" t="inlineStr">
        <is>
          <t>Creación, modificación y cierre de programas académicos</t>
        </is>
      </c>
      <c r="D548" s="5" t="inlineStr">
        <is>
          <t>Trimestral</t>
        </is>
      </c>
      <c r="E548" s="5" t="inlineStr">
        <is>
          <t>Positivo</t>
        </is>
      </c>
      <c r="F548" s="144" t="n">
        <v>46022</v>
      </c>
      <c r="G548" s="5" t="n">
        <v>2025</v>
      </c>
      <c r="H548" s="5" t="inlineStr">
        <is>
          <t>Diciembre</t>
        </is>
      </c>
      <c r="I548" s="6" t="inlineStr">
        <is>
          <t>2025-2</t>
        </is>
      </c>
      <c r="J548" s="5" t="n">
        <v>200</v>
      </c>
      <c r="K548" s="5" t="n">
        <v>300</v>
      </c>
      <c r="L548" s="28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324-2025-12-31</t>
        </is>
      </c>
    </row>
    <row r="549">
      <c r="A549" s="5" t="n">
        <v>325</v>
      </c>
      <c r="B549" s="5" t="inlineStr">
        <is>
          <t>Número de programas nuevos con registro calificado aprobado</t>
        </is>
      </c>
      <c r="C549" s="5" t="inlineStr">
        <is>
          <t>Creación, modificación y cierre de programas académicos</t>
        </is>
      </c>
      <c r="D549" s="5" t="inlineStr">
        <is>
          <t>Semestral</t>
        </is>
      </c>
      <c r="E549" s="5" t="inlineStr">
        <is>
          <t>Positivo</t>
        </is>
      </c>
      <c r="F549" s="144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200</v>
      </c>
      <c r="K549" s="5" t="n">
        <v>100</v>
      </c>
      <c r="L549" s="28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325-2023-12-31</t>
        </is>
      </c>
    </row>
    <row r="550">
      <c r="A550" s="5" t="n">
        <v>325</v>
      </c>
      <c r="B550" s="5" t="inlineStr">
        <is>
          <t>Número de programas nuevos con registro calificado aprobado</t>
        </is>
      </c>
      <c r="C550" s="5" t="inlineStr">
        <is>
          <t>Creación, modificación y cierre de programas académicos</t>
        </is>
      </c>
      <c r="D550" s="5" t="inlineStr">
        <is>
          <t>Semestral</t>
        </is>
      </c>
      <c r="E550" s="5" t="inlineStr">
        <is>
          <t>Positivo</t>
        </is>
      </c>
      <c r="F550" s="144" t="n">
        <v>45657</v>
      </c>
      <c r="G550" s="5" t="n">
        <v>2024</v>
      </c>
      <c r="H550" s="5" t="inlineStr">
        <is>
          <t>Diciembre</t>
        </is>
      </c>
      <c r="I550" s="6" t="inlineStr">
        <is>
          <t>2024-2</t>
        </is>
      </c>
      <c r="J550" s="5" t="n">
        <v>200</v>
      </c>
      <c r="K550" s="5" t="n">
        <v>200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325-2024-12-31</t>
        </is>
      </c>
    </row>
    <row r="551">
      <c r="A551" s="5" t="n">
        <v>325</v>
      </c>
      <c r="B551" s="5" t="inlineStr">
        <is>
          <t>Número de programas nuevos con registro calificado aprobado</t>
        </is>
      </c>
      <c r="C551" s="5" t="inlineStr">
        <is>
          <t>Creación, modificación y cierre de programas académicos</t>
        </is>
      </c>
      <c r="D551" s="5" t="inlineStr">
        <is>
          <t>Semestral</t>
        </is>
      </c>
      <c r="E551" s="5" t="inlineStr">
        <is>
          <t>Positivo</t>
        </is>
      </c>
      <c r="F551" s="144" t="n">
        <v>46022</v>
      </c>
      <c r="G551" s="5" t="n">
        <v>2025</v>
      </c>
      <c r="H551" s="5" t="inlineStr">
        <is>
          <t>Diciembre</t>
        </is>
      </c>
      <c r="I551" s="6" t="inlineStr">
        <is>
          <t>2025-2</t>
        </is>
      </c>
      <c r="J551" s="5" t="n">
        <v>12</v>
      </c>
      <c r="K551" s="5" t="n">
        <v>200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325-2025-12-31</t>
        </is>
      </c>
    </row>
    <row r="552">
      <c r="A552" s="5" t="n">
        <v>326</v>
      </c>
      <c r="B552" s="5" t="inlineStr">
        <is>
          <t>Número de informes de autoevaluación con fines de acreditación en alta calidad radicados</t>
        </is>
      </c>
      <c r="C552" s="5" t="inlineStr">
        <is>
          <t>Autoevaluación de programas académicos</t>
        </is>
      </c>
      <c r="D552" s="5" t="inlineStr">
        <is>
          <t>Anual</t>
        </is>
      </c>
      <c r="E552" s="5" t="inlineStr">
        <is>
          <t>Positivo</t>
        </is>
      </c>
      <c r="F552" s="144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100</v>
      </c>
      <c r="K552" s="5" t="n">
        <v>100</v>
      </c>
      <c r="L552" s="28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326-2023-12-31</t>
        </is>
      </c>
    </row>
    <row r="553">
      <c r="A553" s="5" t="n">
        <v>326</v>
      </c>
      <c r="B553" s="5" t="inlineStr">
        <is>
          <t>Número de informes de autoevaluación con fines de acreditación en alta calidad radicados- Metrica</t>
        </is>
      </c>
      <c r="C553" s="5" t="inlineStr">
        <is>
          <t>Autoevaluación de programas académicos</t>
        </is>
      </c>
      <c r="D553" s="5" t="inlineStr">
        <is>
          <t>Anual</t>
        </is>
      </c>
      <c r="E553" s="5" t="inlineStr">
        <is>
          <t>Positivo</t>
        </is>
      </c>
      <c r="F553" s="144" t="n">
        <v>45657</v>
      </c>
      <c r="G553" s="5" t="n">
        <v>2024</v>
      </c>
      <c r="H553" s="5" t="inlineStr">
        <is>
          <t>Diciembre</t>
        </is>
      </c>
      <c r="I553" s="6" t="inlineStr">
        <is>
          <t>2024-2</t>
        </is>
      </c>
      <c r="J553" s="5" t="n">
        <v>0</v>
      </c>
      <c r="K553" s="5" t="n">
        <v>0</v>
      </c>
      <c r="L553" s="28" t="n"/>
      <c r="M553" s="28" t="n"/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326-2024-12-31</t>
        </is>
      </c>
      <c r="S553" t="inlineStr">
        <is>
          <t>Metrica</t>
        </is>
      </c>
    </row>
    <row r="554">
      <c r="A554" s="5" t="n">
        <v>326</v>
      </c>
      <c r="B554" s="5" t="inlineStr">
        <is>
          <t>Número de informes de autoevaluación con fines de acreditación en alta calidad radicados- Metrica</t>
        </is>
      </c>
      <c r="C554" s="5" t="inlineStr">
        <is>
          <t>Autoevaluación de programas académicos</t>
        </is>
      </c>
      <c r="D554" s="5" t="inlineStr">
        <is>
          <t>Anual</t>
        </is>
      </c>
      <c r="E554" s="5" t="inlineStr">
        <is>
          <t>Positivo</t>
        </is>
      </c>
      <c r="F554" s="144" t="n">
        <v>46022</v>
      </c>
      <c r="G554" s="5" t="n">
        <v>2025</v>
      </c>
      <c r="H554" s="5" t="inlineStr">
        <is>
          <t>Diciembre</t>
        </is>
      </c>
      <c r="I554" s="6" t="inlineStr">
        <is>
          <t>2025-2</t>
        </is>
      </c>
      <c r="J554" s="5" t="n">
        <v>3</v>
      </c>
      <c r="K554" s="5" t="n">
        <v>100</v>
      </c>
      <c r="L554" s="28" t="n"/>
      <c r="M554" s="28" t="n"/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326-2025-12-31</t>
        </is>
      </c>
      <c r="S554" t="inlineStr">
        <is>
          <t>Metrica</t>
        </is>
      </c>
    </row>
    <row r="555">
      <c r="A555" s="5" t="n">
        <v>327</v>
      </c>
      <c r="B555" s="5" t="inlineStr">
        <is>
          <t>Número de programas con obtención de acreditación por primera vez</t>
        </is>
      </c>
      <c r="C555" s="5" t="inlineStr">
        <is>
          <t>Autoevaluación de programas académicos</t>
        </is>
      </c>
      <c r="D555" s="5" t="inlineStr">
        <is>
          <t>Semestral</t>
        </is>
      </c>
      <c r="E555" s="5" t="inlineStr">
        <is>
          <t>Positivo</t>
        </is>
      </c>
      <c r="F555" s="144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200</v>
      </c>
      <c r="K555" s="5" t="n">
        <v>100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327-2023-12-31</t>
        </is>
      </c>
    </row>
    <row r="556">
      <c r="A556" s="5" t="n">
        <v>327</v>
      </c>
      <c r="B556" s="102" t="inlineStr">
        <is>
          <t>Número de programas con obtención de acreditación por primera vez</t>
        </is>
      </c>
      <c r="C556" s="5" t="inlineStr">
        <is>
          <t>Autoevaluación de programas académicos</t>
        </is>
      </c>
      <c r="D556" s="5" t="inlineStr">
        <is>
          <t>Semestral</t>
        </is>
      </c>
      <c r="E556" s="5" t="inlineStr">
        <is>
          <t>Positivo</t>
        </is>
      </c>
      <c r="F556" s="144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0</v>
      </c>
      <c r="L556" s="28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327-2024-12-31</t>
        </is>
      </c>
    </row>
    <row r="557">
      <c r="A557" s="5" t="n">
        <v>327</v>
      </c>
      <c r="B557" s="5" t="inlineStr">
        <is>
          <t>Número de programas con obtención de acreditación por primera vez- Metrica</t>
        </is>
      </c>
      <c r="C557" s="5" t="inlineStr">
        <is>
          <t>Autoevaluación de programas académicos</t>
        </is>
      </c>
      <c r="D557" s="5" t="inlineStr">
        <is>
          <t>Trimestral</t>
        </is>
      </c>
      <c r="E557" s="5" t="inlineStr">
        <is>
          <t>Positivo</t>
        </is>
      </c>
      <c r="F557" s="144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>
        <v>200</v>
      </c>
      <c r="K557" s="5" t="n">
        <v>200</v>
      </c>
      <c r="L557" s="28" t="n"/>
      <c r="M557" s="28" t="n"/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327-2025-12-31</t>
        </is>
      </c>
      <c r="S557" t="inlineStr">
        <is>
          <t>Metrica</t>
        </is>
      </c>
    </row>
    <row r="558">
      <c r="A558" s="5" t="n">
        <v>328</v>
      </c>
      <c r="B558" s="5" t="inlineStr">
        <is>
          <t>Nivel de encuestas obtenidas en el encuentro institucional de graduados</t>
        </is>
      </c>
      <c r="C558" s="5" t="inlineStr">
        <is>
          <t>Gestión de Graduados</t>
        </is>
      </c>
      <c r="D558" s="5" t="inlineStr">
        <is>
          <t>Anual</t>
        </is>
      </c>
      <c r="E558" s="5" t="inlineStr">
        <is>
          <t>Positivo</t>
        </is>
      </c>
      <c r="F558" s="144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800</v>
      </c>
      <c r="K558" s="5" t="n">
        <v>1035</v>
      </c>
      <c r="L558" s="28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328-2023-12-31</t>
        </is>
      </c>
    </row>
    <row r="559">
      <c r="A559" s="5" t="n">
        <v>328</v>
      </c>
      <c r="B559" s="5" t="inlineStr">
        <is>
          <t>Nivel de encuestas obtenidas en el encuentro institucional de graduados</t>
        </is>
      </c>
      <c r="C559" s="5" t="inlineStr">
        <is>
          <t>Gestión de Graduados</t>
        </is>
      </c>
      <c r="D559" s="5" t="inlineStr">
        <is>
          <t>Anual</t>
        </is>
      </c>
      <c r="E559" s="5" t="inlineStr">
        <is>
          <t>Positivo</t>
        </is>
      </c>
      <c r="F559" s="144" t="n">
        <v>45657</v>
      </c>
      <c r="G559" s="5" t="n">
        <v>2024</v>
      </c>
      <c r="H559" s="5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157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328-2024-12-31</t>
        </is>
      </c>
    </row>
    <row r="560">
      <c r="A560" s="5" t="n">
        <v>329</v>
      </c>
      <c r="B560" s="5" t="inlineStr">
        <is>
          <t>Participación en actividades diseñadas para graduados</t>
        </is>
      </c>
      <c r="C560" s="5" t="inlineStr">
        <is>
          <t>Gestión de Graduados</t>
        </is>
      </c>
      <c r="D560" s="5" t="inlineStr">
        <is>
          <t>Anual</t>
        </is>
      </c>
      <c r="E560" s="5" t="inlineStr">
        <is>
          <t>Positivo</t>
        </is>
      </c>
      <c r="F560" s="144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3000</v>
      </c>
      <c r="K560" s="5" t="n">
        <v>3315</v>
      </c>
      <c r="L560" s="28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329-2023-12-31</t>
        </is>
      </c>
    </row>
    <row r="561">
      <c r="A561" s="5" t="n">
        <v>329</v>
      </c>
      <c r="B561" s="5" t="inlineStr">
        <is>
          <t>Participación en actividades diseñadas para graduados</t>
        </is>
      </c>
      <c r="C561" s="5" t="inlineStr">
        <is>
          <t>Gestión de Graduados</t>
        </is>
      </c>
      <c r="D561" s="5" t="inlineStr">
        <is>
          <t>Anual</t>
        </is>
      </c>
      <c r="E561" s="5" t="inlineStr">
        <is>
          <t>Positivo</t>
        </is>
      </c>
      <c r="F561" s="144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>
        <v>100</v>
      </c>
      <c r="K561" s="5" t="n">
        <v>106.63</v>
      </c>
      <c r="L561" s="28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329-2024-12-31</t>
        </is>
      </c>
    </row>
    <row r="562">
      <c r="A562" s="5" t="n">
        <v>331</v>
      </c>
      <c r="B562" s="5" t="inlineStr">
        <is>
          <t>Nivel de empleabilidad del graduado</t>
        </is>
      </c>
      <c r="C562" s="5" t="inlineStr">
        <is>
          <t>Gestión de Graduados</t>
        </is>
      </c>
      <c r="D562" s="5" t="inlineStr">
        <is>
          <t>Anual</t>
        </is>
      </c>
      <c r="E562" s="5" t="inlineStr">
        <is>
          <t>Positivo</t>
        </is>
      </c>
      <c r="F562" s="144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/>
      <c r="K562" s="5" t="n">
        <v>81</v>
      </c>
      <c r="L562" s="28" t="n"/>
      <c r="M562" s="28" t="n"/>
      <c r="N562" s="5" t="inlineStr">
        <is>
          <t>No Aplica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331-2023-12-31</t>
        </is>
      </c>
    </row>
    <row r="563">
      <c r="A563" s="5" t="n">
        <v>331</v>
      </c>
      <c r="B563" s="5" t="inlineStr">
        <is>
          <t>Nivel de empleabilidad del graduado</t>
        </is>
      </c>
      <c r="C563" s="5" t="inlineStr">
        <is>
          <t>Gestión de Graduados</t>
        </is>
      </c>
      <c r="D563" s="5" t="inlineStr">
        <is>
          <t>Anual</t>
        </is>
      </c>
      <c r="E563" s="5" t="inlineStr">
        <is>
          <t>Positivo</t>
        </is>
      </c>
      <c r="F563" s="144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/>
      <c r="K563" s="5" t="n">
        <v>82</v>
      </c>
      <c r="L563" s="28" t="n"/>
      <c r="M563" s="28" t="n"/>
      <c r="N563" s="5" t="inlineStr">
        <is>
          <t>No Aplica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331-2024-12-31</t>
        </is>
      </c>
    </row>
    <row r="564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5" t="inlineStr">
        <is>
          <t>Semestral</t>
        </is>
      </c>
      <c r="E564" s="5" t="inlineStr">
        <is>
          <t>Negativo</t>
        </is>
      </c>
      <c r="F564" s="144" t="n">
        <v>45291</v>
      </c>
      <c r="G564" s="5" t="n">
        <v>2023</v>
      </c>
      <c r="H564" s="5" t="inlineStr">
        <is>
          <t>Diciembre</t>
        </is>
      </c>
      <c r="I564" s="6" t="inlineStr">
        <is>
          <t>2023-2</t>
        </is>
      </c>
      <c r="J564" s="5" t="n">
        <v>1.8</v>
      </c>
      <c r="K564" s="5" t="n">
        <v>1.435</v>
      </c>
      <c r="L564" s="28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1</v>
      </c>
      <c r="R564" s="5" t="inlineStr">
        <is>
          <t>332-2023-12-31</t>
        </is>
      </c>
    </row>
    <row r="565">
      <c r="A565" s="5" t="n">
        <v>332</v>
      </c>
      <c r="B565" s="5" t="inlineStr">
        <is>
          <t>Índice de rotación</t>
        </is>
      </c>
      <c r="C565" s="5" t="inlineStr">
        <is>
          <t>GESTIÓN Y DESARROLLO DEL TALENTO HUMANO</t>
        </is>
      </c>
      <c r="D565" s="5" t="inlineStr">
        <is>
          <t>Semestral</t>
        </is>
      </c>
      <c r="E565" s="5" t="inlineStr">
        <is>
          <t>Negativo</t>
        </is>
      </c>
      <c r="F565" s="144" t="n">
        <v>45657</v>
      </c>
      <c r="G565" s="5" t="n">
        <v>2024</v>
      </c>
      <c r="H565" s="5" t="inlineStr">
        <is>
          <t>Diciembre</t>
        </is>
      </c>
      <c r="I565" s="6" t="inlineStr">
        <is>
          <t>2024-2</t>
        </is>
      </c>
      <c r="J565" s="5" t="n">
        <v>1.65</v>
      </c>
      <c r="K565" s="10" t="n">
        <v>1.15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DEC</t>
        </is>
      </c>
      <c r="O565" s="5" t="inlineStr">
        <is>
          <t>DEC</t>
        </is>
      </c>
      <c r="P565" s="5" t="n">
        <v>1</v>
      </c>
      <c r="Q565" s="5" t="n">
        <v>2</v>
      </c>
      <c r="R565" s="5" t="inlineStr">
        <is>
          <t>332-2024-12-31</t>
        </is>
      </c>
    </row>
    <row r="566">
      <c r="A566" s="5" t="n">
        <v>332</v>
      </c>
      <c r="B566" s="5" t="inlineStr">
        <is>
          <t>Índice de rotación</t>
        </is>
      </c>
      <c r="C566" s="5" t="inlineStr">
        <is>
          <t>GESTIÓN Y DESARROLLO DEL TALENTO HUMANO</t>
        </is>
      </c>
      <c r="D566" s="5" t="inlineStr">
        <is>
          <t>Semestral</t>
        </is>
      </c>
      <c r="E566" s="5" t="inlineStr">
        <is>
          <t>Negativo</t>
        </is>
      </c>
      <c r="F566" s="144" t="n">
        <v>46022</v>
      </c>
      <c r="G566" s="5" t="n">
        <v>2025</v>
      </c>
      <c r="H566" s="5" t="inlineStr">
        <is>
          <t>Diciembre</t>
        </is>
      </c>
      <c r="I566" s="6" t="inlineStr">
        <is>
          <t>2025-2</t>
        </is>
      </c>
      <c r="J566" s="5" t="n">
        <v>1.18</v>
      </c>
      <c r="K566" s="5" t="n">
        <v>0.89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DEC</t>
        </is>
      </c>
      <c r="O566" s="5" t="inlineStr">
        <is>
          <t>DEC</t>
        </is>
      </c>
      <c r="P566" s="5" t="n">
        <v>2</v>
      </c>
      <c r="Q566" s="5" t="n">
        <v>2</v>
      </c>
      <c r="R566" s="5" t="inlineStr">
        <is>
          <t>332-2025-12-31</t>
        </is>
      </c>
    </row>
    <row r="567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5" t="inlineStr">
        <is>
          <t>Anual</t>
        </is>
      </c>
      <c r="E567" s="5" t="inlineStr">
        <is>
          <t>Positivo</t>
        </is>
      </c>
      <c r="F567" s="144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88</v>
      </c>
      <c r="K567" s="5" t="n">
        <v>88.39</v>
      </c>
      <c r="L567" s="28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334-2023-12-31</t>
        </is>
      </c>
    </row>
    <row r="568">
      <c r="A568" s="5" t="n">
        <v>334</v>
      </c>
      <c r="B568" s="5" t="inlineStr">
        <is>
          <t>Resultado de la evaluación 360 (evaluación por competencias)</t>
        </is>
      </c>
      <c r="C568" s="5" t="inlineStr">
        <is>
          <t>GESTIÓN Y DESARROLLO DEL TALENTO HUMANO</t>
        </is>
      </c>
      <c r="D568" s="5" t="inlineStr">
        <is>
          <t>Anual</t>
        </is>
      </c>
      <c r="E568" s="5" t="inlineStr">
        <is>
          <t>Positivo</t>
        </is>
      </c>
      <c r="F568" s="144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88</v>
      </c>
      <c r="K568" s="16" t="n">
        <v>88.84</v>
      </c>
      <c r="L568" s="28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ENT</t>
        </is>
      </c>
      <c r="O568" s="5" t="inlineStr">
        <is>
          <t>DEC</t>
        </is>
      </c>
      <c r="P568" s="5" t="n">
        <v>0</v>
      </c>
      <c r="Q568" s="5" t="n">
        <v>1</v>
      </c>
      <c r="R568" s="5" t="inlineStr">
        <is>
          <t>334-2024-12-31</t>
        </is>
      </c>
    </row>
    <row r="569">
      <c r="A569" s="5" t="n">
        <v>334</v>
      </c>
      <c r="B569" s="5" t="inlineStr">
        <is>
          <t>Resultado de la evaluación 360 (evaluación por competencias)</t>
        </is>
      </c>
      <c r="C569" s="5" t="inlineStr">
        <is>
          <t>GESTIÓN Y DESARROLLO DEL TALENTO HUMANO</t>
        </is>
      </c>
      <c r="D569" s="5" t="inlineStr">
        <is>
          <t>Anual</t>
        </is>
      </c>
      <c r="E569" s="5" t="inlineStr">
        <is>
          <t>Positivo</t>
        </is>
      </c>
      <c r="F569" s="144" t="n">
        <v>46022</v>
      </c>
      <c r="G569" s="5" t="n">
        <v>2025</v>
      </c>
      <c r="H569" s="5" t="inlineStr">
        <is>
          <t>Diciembre</t>
        </is>
      </c>
      <c r="I569" s="6" t="inlineStr">
        <is>
          <t>2025-2</t>
        </is>
      </c>
      <c r="J569" s="5" t="n">
        <v>89</v>
      </c>
      <c r="K569" s="5" t="n">
        <v>90.09999999999999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ENT</t>
        </is>
      </c>
      <c r="O569" s="5" t="inlineStr">
        <is>
          <t>DEC</t>
        </is>
      </c>
      <c r="P569" s="5" t="n">
        <v>0</v>
      </c>
      <c r="Q569" s="5" t="n">
        <v>1</v>
      </c>
      <c r="R569" s="5" t="inlineStr">
        <is>
          <t>334-2025-12-31</t>
        </is>
      </c>
    </row>
    <row r="570">
      <c r="A570" s="5" t="n">
        <v>335</v>
      </c>
      <c r="B570" s="5" t="inlineStr">
        <is>
          <t>Cumplimiento de diagnóstico necesidades de capacitación por área</t>
        </is>
      </c>
      <c r="C570" s="5" t="inlineStr">
        <is>
          <t>GESTIÓN Y DESARROLLO DEL TALENTO HUMANO</t>
        </is>
      </c>
      <c r="D570" s="5" t="inlineStr">
        <is>
          <t>Anual</t>
        </is>
      </c>
      <c r="E570" s="5" t="inlineStr">
        <is>
          <t>Positivo</t>
        </is>
      </c>
      <c r="F570" s="14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5" t="n">
        <v>93.84999999999999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335-2023-12-31</t>
        </is>
      </c>
    </row>
    <row r="571">
      <c r="A571" s="5" t="n">
        <v>335</v>
      </c>
      <c r="B571" s="5" t="inlineStr">
        <is>
          <t>Cumplimiento de diagnóstico necesidades de capacitación por área</t>
        </is>
      </c>
      <c r="C571" s="5" t="inlineStr">
        <is>
          <t>GESTIÓN Y DESARROLLO DEL TALENTO HUMANO</t>
        </is>
      </c>
      <c r="D571" s="5" t="inlineStr">
        <is>
          <t>Anual</t>
        </is>
      </c>
      <c r="E571" s="5" t="inlineStr">
        <is>
          <t>Positivo</t>
        </is>
      </c>
      <c r="F571" s="144" t="n">
        <v>45657</v>
      </c>
      <c r="G571" s="16" t="n">
        <v>2024</v>
      </c>
      <c r="H571" s="6" t="inlineStr">
        <is>
          <t>Diciembre</t>
        </is>
      </c>
      <c r="I571" s="6" t="inlineStr">
        <is>
          <t>2024-2</t>
        </is>
      </c>
      <c r="J571" s="5" t="n">
        <v>82</v>
      </c>
      <c r="K571" s="5" t="n">
        <v>80.95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335-2024-12-31</t>
        </is>
      </c>
    </row>
    <row r="572">
      <c r="A572" s="5" t="n">
        <v>336</v>
      </c>
      <c r="B572" s="5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5" t="inlineStr">
        <is>
          <t>Anual</t>
        </is>
      </c>
      <c r="E572" s="5" t="inlineStr">
        <is>
          <t>Negativo</t>
        </is>
      </c>
      <c r="F572" s="144" t="n">
        <v>45291</v>
      </c>
      <c r="G572" s="16" t="n">
        <v>2023</v>
      </c>
      <c r="H572" s="6" t="inlineStr">
        <is>
          <t>Diciembre</t>
        </is>
      </c>
      <c r="I572" s="6" t="inlineStr">
        <is>
          <t>2023-2</t>
        </is>
      </c>
      <c r="J572" s="5" t="n">
        <v>2</v>
      </c>
      <c r="K572" s="5" t="n">
        <v>1.742198218602321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336-2023-12-31</t>
        </is>
      </c>
    </row>
    <row r="573">
      <c r="A573" s="5" t="n">
        <v>336</v>
      </c>
      <c r="B573" s="5" t="inlineStr">
        <is>
          <t>Materiales bibliográficos en formato físico con estado de perdida</t>
        </is>
      </c>
      <c r="C573" s="5" t="inlineStr">
        <is>
          <t>Biblioteca Institucional</t>
        </is>
      </c>
      <c r="D573" s="5" t="inlineStr">
        <is>
          <t>Anual</t>
        </is>
      </c>
      <c r="E573" s="5" t="inlineStr">
        <is>
          <t>Negativo</t>
        </is>
      </c>
      <c r="F573" s="144" t="n">
        <v>45657</v>
      </c>
      <c r="G573" s="16" t="n">
        <v>2024</v>
      </c>
      <c r="H573" s="6" t="inlineStr">
        <is>
          <t>Diciembre</t>
        </is>
      </c>
      <c r="I573" s="6" t="inlineStr">
        <is>
          <t>2024-2</t>
        </is>
      </c>
      <c r="J573" s="5" t="n">
        <v>2</v>
      </c>
      <c r="K573" s="5" t="n">
        <v>0.79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336-2024-12-31</t>
        </is>
      </c>
    </row>
    <row r="574">
      <c r="A574" s="5" t="n">
        <v>336</v>
      </c>
      <c r="B574" s="5" t="inlineStr">
        <is>
          <t>Materiales bibliográficos en formato físico con estado de perdida</t>
        </is>
      </c>
      <c r="C574" s="5" t="inlineStr">
        <is>
          <t>Biblioteca Institucional</t>
        </is>
      </c>
      <c r="D574" s="5" t="inlineStr">
        <is>
          <t>Anual</t>
        </is>
      </c>
      <c r="E574" s="5" t="inlineStr">
        <is>
          <t>Negativo</t>
        </is>
      </c>
      <c r="F574" s="144" t="n">
        <v>46022</v>
      </c>
      <c r="G574" s="16" t="n">
        <v>2025</v>
      </c>
      <c r="H574" s="6" t="inlineStr">
        <is>
          <t>Diciembre</t>
        </is>
      </c>
      <c r="I574" s="6" t="inlineStr">
        <is>
          <t>2025-2</t>
        </is>
      </c>
      <c r="J574" s="5" t="n">
        <v>2</v>
      </c>
      <c r="K574" s="5" t="n">
        <v>0.36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336-2025-12-31</t>
        </is>
      </c>
    </row>
    <row r="575">
      <c r="A575" s="5" t="n">
        <v>337</v>
      </c>
      <c r="B575" s="5" t="inlineStr">
        <is>
          <t>Número de programas con renovación de acreditación en alta calidad</t>
        </is>
      </c>
      <c r="C575" s="5" t="inlineStr">
        <is>
          <t>Autoevaluación de programas académicos</t>
        </is>
      </c>
      <c r="D575" s="5" t="inlineStr">
        <is>
          <t>Semestral</t>
        </is>
      </c>
      <c r="E575" s="5" t="inlineStr">
        <is>
          <t>Positivo</t>
        </is>
      </c>
      <c r="F575" s="144" t="n">
        <v>45291</v>
      </c>
      <c r="G575" s="16" t="n">
        <v>2023</v>
      </c>
      <c r="H575" s="6" t="inlineStr">
        <is>
          <t>Diciembre</t>
        </is>
      </c>
      <c r="I575" s="6" t="inlineStr">
        <is>
          <t>2023-2</t>
        </is>
      </c>
      <c r="J575" s="5" t="n">
        <v>200</v>
      </c>
      <c r="K575" s="5" t="n">
        <v>100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337-2023-12-31</t>
        </is>
      </c>
    </row>
    <row r="576">
      <c r="A576" s="5" t="n">
        <v>337</v>
      </c>
      <c r="B576" s="5" t="inlineStr">
        <is>
          <t>Número de programas con renovación de acreditación en alta calidad</t>
        </is>
      </c>
      <c r="C576" s="5" t="inlineStr">
        <is>
          <t>Autoevaluación de programas académicos</t>
        </is>
      </c>
      <c r="D576" s="5" t="inlineStr">
        <is>
          <t>Semestral</t>
        </is>
      </c>
      <c r="E576" s="5" t="inlineStr">
        <is>
          <t>Positivo</t>
        </is>
      </c>
      <c r="F576" s="144" t="n">
        <v>45657</v>
      </c>
      <c r="G576" s="16" t="n">
        <v>2024</v>
      </c>
      <c r="H576" s="6" t="inlineStr">
        <is>
          <t>Diciembre</t>
        </is>
      </c>
      <c r="I576" s="6" t="inlineStr">
        <is>
          <t>2024-2</t>
        </is>
      </c>
      <c r="J576" s="5" t="n">
        <v>200</v>
      </c>
      <c r="K576" s="10" t="n">
        <v>100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337-2024-12-31</t>
        </is>
      </c>
    </row>
    <row r="577">
      <c r="A577" s="5" t="n">
        <v>337</v>
      </c>
      <c r="B577" s="5" t="inlineStr">
        <is>
          <t>Número de programas con renovación de acreditación en alta calidad - Metrica</t>
        </is>
      </c>
      <c r="C577" s="5" t="inlineStr">
        <is>
          <t>Autoevaluación de programas académicos</t>
        </is>
      </c>
      <c r="D577" s="5" t="inlineStr">
        <is>
          <t>Semestral</t>
        </is>
      </c>
      <c r="E577" s="5" t="inlineStr">
        <is>
          <t>Positivo</t>
        </is>
      </c>
      <c r="F577" s="144" t="n">
        <v>45838</v>
      </c>
      <c r="G577" s="16" t="n">
        <v>2025</v>
      </c>
      <c r="H577" s="6" t="inlineStr">
        <is>
          <t>Junio</t>
        </is>
      </c>
      <c r="I577" s="6" t="inlineStr">
        <is>
          <t>2025-1</t>
        </is>
      </c>
      <c r="J577" s="5" t="n">
        <v>100</v>
      </c>
      <c r="K577" s="10" t="n"/>
      <c r="L577" s="28" t="n"/>
      <c r="M577" s="28" t="n"/>
      <c r="N577" s="5" t="n"/>
      <c r="O577" s="5" t="n"/>
      <c r="P577" s="5" t="n">
        <v>0</v>
      </c>
      <c r="Q577" s="5" t="n">
        <v>0</v>
      </c>
      <c r="R577" s="5" t="inlineStr">
        <is>
          <t>337-2025-06-30</t>
        </is>
      </c>
    </row>
    <row r="578">
      <c r="A578" s="5" t="n">
        <v>338</v>
      </c>
      <c r="B578" s="5" t="inlineStr">
        <is>
          <t>Número de programas con condiciones iniciales aprobadas</t>
        </is>
      </c>
      <c r="C578" s="5" t="inlineStr">
        <is>
          <t>Autoevaluación de programas académicos</t>
        </is>
      </c>
      <c r="D578" s="5" t="inlineStr">
        <is>
          <t>Semestral</t>
        </is>
      </c>
      <c r="E578" s="5" t="inlineStr">
        <is>
          <t>Positivo</t>
        </is>
      </c>
      <c r="F578" s="144" t="n">
        <v>45291</v>
      </c>
      <c r="G578" s="16" t="n">
        <v>2023</v>
      </c>
      <c r="H578" s="6" t="inlineStr">
        <is>
          <t>Diciembre</t>
        </is>
      </c>
      <c r="I578" s="6" t="inlineStr">
        <is>
          <t>2023-2</t>
        </is>
      </c>
      <c r="J578" s="5" t="n">
        <v>100</v>
      </c>
      <c r="K578" s="5" t="n">
        <v>100</v>
      </c>
      <c r="L578" s="28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ENT</t>
        </is>
      </c>
      <c r="O578" s="5" t="inlineStr">
        <is>
          <t>ENT</t>
        </is>
      </c>
      <c r="P578" s="5" t="n">
        <v>0</v>
      </c>
      <c r="Q578" s="5" t="n">
        <v>0</v>
      </c>
      <c r="R578" s="5" t="inlineStr">
        <is>
          <t>338-2023-12-31</t>
        </is>
      </c>
    </row>
    <row r="579">
      <c r="A579" s="26" t="n">
        <v>338</v>
      </c>
      <c r="B579" s="23" t="inlineStr">
        <is>
          <t>Número de programas con condiciones iniciales aprobadas</t>
        </is>
      </c>
      <c r="C579" s="5" t="inlineStr">
        <is>
          <t>Autoevaluación de programas académicos</t>
        </is>
      </c>
      <c r="D579" s="5" t="inlineStr">
        <is>
          <t>Semestral</t>
        </is>
      </c>
      <c r="E579" s="5" t="inlineStr">
        <is>
          <t>Positivo</t>
        </is>
      </c>
      <c r="F579" s="144" t="n">
        <v>45657</v>
      </c>
      <c r="G579" s="16" t="n">
        <v>2024</v>
      </c>
      <c r="H579" s="6" t="inlineStr">
        <is>
          <t>Diciembre</t>
        </is>
      </c>
      <c r="I579" s="6" t="inlineStr">
        <is>
          <t>2024-2</t>
        </is>
      </c>
      <c r="J579" s="5" t="n">
        <v>200</v>
      </c>
      <c r="K579" s="5" t="n">
        <v>100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338-2024-12-31</t>
        </is>
      </c>
    </row>
    <row r="580">
      <c r="A580" s="5" t="n">
        <v>338</v>
      </c>
      <c r="B580" s="5" t="inlineStr">
        <is>
          <t>Número de programas con condiciones iniciales aprobadas (indicador externo)- Metrica</t>
        </is>
      </c>
      <c r="C580" s="5" t="inlineStr">
        <is>
          <t>Autoevaluación de programas académicos</t>
        </is>
      </c>
      <c r="D580" s="5" t="inlineStr">
        <is>
          <t>Trimestral</t>
        </is>
      </c>
      <c r="E580" s="5" t="inlineStr">
        <is>
          <t>Positivo</t>
        </is>
      </c>
      <c r="F580" s="144" t="n">
        <v>46022</v>
      </c>
      <c r="G580" s="16" t="n">
        <v>2025</v>
      </c>
      <c r="H580" s="6" t="inlineStr">
        <is>
          <t>Diciembre</t>
        </is>
      </c>
      <c r="I580" s="6" t="inlineStr">
        <is>
          <t>2025-2</t>
        </is>
      </c>
      <c r="J580" s="5" t="n">
        <v>200</v>
      </c>
      <c r="K580" s="5" t="n">
        <v>200</v>
      </c>
      <c r="L580" s="28" t="n"/>
      <c r="M580" s="28" t="n"/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338-2025-12-31</t>
        </is>
      </c>
      <c r="S580" t="inlineStr">
        <is>
          <t>Metrica</t>
        </is>
      </c>
    </row>
    <row r="581">
      <c r="A581" s="5" t="n">
        <v>339</v>
      </c>
      <c r="B581" s="5" t="inlineStr">
        <is>
          <t>% Programas acreditables acreditados Sede Bogotá</t>
        </is>
      </c>
      <c r="C581" s="5" t="inlineStr">
        <is>
          <t>Autoevaluación institucional</t>
        </is>
      </c>
      <c r="D581" s="5" t="inlineStr">
        <is>
          <t>Anual</t>
        </is>
      </c>
      <c r="E581" s="5" t="inlineStr">
        <is>
          <t>Positivo</t>
        </is>
      </c>
      <c r="F581" s="144" t="n">
        <v>45291</v>
      </c>
      <c r="G581" s="16" t="n">
        <v>2023</v>
      </c>
      <c r="H581" s="6" t="inlineStr">
        <is>
          <t>Diciembre</t>
        </is>
      </c>
      <c r="I581" s="6" t="inlineStr">
        <is>
          <t>2023-2</t>
        </is>
      </c>
      <c r="J581" s="5" t="n">
        <v>30</v>
      </c>
      <c r="K581" s="5" t="n">
        <v>28.57142857142857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1</v>
      </c>
      <c r="R581" s="5" t="inlineStr">
        <is>
          <t>339-2023-12-31</t>
        </is>
      </c>
    </row>
    <row r="582">
      <c r="A582" s="5" t="n">
        <v>339</v>
      </c>
      <c r="B582" s="5" t="inlineStr">
        <is>
          <t>% Programas acreditables acreditados Sede Bogotá</t>
        </is>
      </c>
      <c r="C582" s="5" t="inlineStr">
        <is>
          <t>Autoevaluación institucional</t>
        </is>
      </c>
      <c r="D582" s="5" t="inlineStr">
        <is>
          <t>Anual</t>
        </is>
      </c>
      <c r="E582" s="5" t="inlineStr">
        <is>
          <t>Positivo</t>
        </is>
      </c>
      <c r="F582" s="144" t="n">
        <v>45657</v>
      </c>
      <c r="G582" s="16" t="n">
        <v>2024</v>
      </c>
      <c r="H582" s="6" t="inlineStr">
        <is>
          <t>Diciembre</t>
        </is>
      </c>
      <c r="I582" s="6" t="inlineStr">
        <is>
          <t>2024-2</t>
        </is>
      </c>
      <c r="J582" s="5" t="n">
        <v>30</v>
      </c>
      <c r="K582" s="5" t="n">
        <v>30.3</v>
      </c>
      <c r="L582" s="28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339-2024-12-31</t>
        </is>
      </c>
    </row>
    <row r="583">
      <c r="A583" s="5" t="n">
        <v>339</v>
      </c>
      <c r="B583" s="5" t="inlineStr">
        <is>
          <t>% Programas acreditables acreditados Sede Bogotá</t>
        </is>
      </c>
      <c r="C583" s="5" t="inlineStr">
        <is>
          <t>Autoevaluación institucional</t>
        </is>
      </c>
      <c r="D583" s="13" t="inlineStr">
        <is>
          <t>Anual</t>
        </is>
      </c>
      <c r="E583" s="5" t="inlineStr">
        <is>
          <t>Positivo</t>
        </is>
      </c>
      <c r="F583" s="144" t="n">
        <v>46022</v>
      </c>
      <c r="G583" s="16" t="n">
        <v>2025</v>
      </c>
      <c r="H583" s="6" t="inlineStr">
        <is>
          <t>Diciembre</t>
        </is>
      </c>
      <c r="I583" s="6" t="inlineStr">
        <is>
          <t>2025-2</t>
        </is>
      </c>
      <c r="J583" s="5" t="n">
        <v>30</v>
      </c>
      <c r="K583" s="5" t="n">
        <v>35.29</v>
      </c>
      <c r="L583" s="28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1</v>
      </c>
      <c r="R583" s="5" t="inlineStr">
        <is>
          <t>339-2025-12-31</t>
        </is>
      </c>
    </row>
    <row r="584">
      <c r="A584" s="5" t="n">
        <v>340</v>
      </c>
      <c r="B584" s="5" t="inlineStr">
        <is>
          <t>Cumplimiento cronograma revisiones locativas</t>
        </is>
      </c>
      <c r="C584" s="5" t="inlineStr">
        <is>
          <t>Gestión Infraestructura Física</t>
        </is>
      </c>
      <c r="D584" s="13" t="inlineStr">
        <is>
          <t>Trimestral</t>
        </is>
      </c>
      <c r="E584" s="5" t="inlineStr">
        <is>
          <t>Positivo</t>
        </is>
      </c>
      <c r="F584" s="144" t="n">
        <v>45291</v>
      </c>
      <c r="G584" s="16" t="n">
        <v>2023</v>
      </c>
      <c r="H584" s="6" t="inlineStr">
        <is>
          <t>Diciembre</t>
        </is>
      </c>
      <c r="I584" s="6" t="inlineStr">
        <is>
          <t>2023-2</t>
        </is>
      </c>
      <c r="J584" s="5" t="n">
        <v>90</v>
      </c>
      <c r="K584" s="5" t="n">
        <v>100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340-2023-12-31</t>
        </is>
      </c>
    </row>
    <row r="585">
      <c r="A585" s="5" t="n">
        <v>340</v>
      </c>
      <c r="B585" s="5" t="inlineStr">
        <is>
          <t>Cumplimiento cronograma revisiones locativas</t>
        </is>
      </c>
      <c r="C585" s="5" t="inlineStr">
        <is>
          <t>Gestión Infraestructura Física</t>
        </is>
      </c>
      <c r="D585" s="13" t="inlineStr">
        <is>
          <t>Trimestral</t>
        </is>
      </c>
      <c r="E585" s="5" t="inlineStr">
        <is>
          <t>Positivo</t>
        </is>
      </c>
      <c r="F585" s="144" t="n">
        <v>45657</v>
      </c>
      <c r="G585" s="16" t="n">
        <v>2024</v>
      </c>
      <c r="H585" s="6" t="inlineStr">
        <is>
          <t>Diciembre</t>
        </is>
      </c>
      <c r="I585" s="6" t="inlineStr">
        <is>
          <t>2024-2</t>
        </is>
      </c>
      <c r="J585" s="5" t="n">
        <v>95</v>
      </c>
      <c r="K585" s="5" t="n">
        <v>100</v>
      </c>
      <c r="L585" s="28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340-2024-12-31</t>
        </is>
      </c>
    </row>
    <row r="586">
      <c r="A586" s="5" t="n">
        <v>341</v>
      </c>
      <c r="B586" s="5" t="inlineStr">
        <is>
          <t>Monto total de ahorro en gestión de abastecimiento</t>
        </is>
      </c>
      <c r="C586" s="5" t="inlineStr">
        <is>
          <t>GESTIÓN DE ABASTECIMIENTO</t>
        </is>
      </c>
      <c r="D586" s="13" t="inlineStr">
        <is>
          <t>Semestral</t>
        </is>
      </c>
      <c r="E586" s="5" t="inlineStr">
        <is>
          <t>Positivo</t>
        </is>
      </c>
      <c r="F586" s="144" t="n">
        <v>45291</v>
      </c>
      <c r="G586" s="16" t="n">
        <v>2023</v>
      </c>
      <c r="H586" s="6" t="inlineStr">
        <is>
          <t>Diciembre</t>
        </is>
      </c>
      <c r="I586" s="6" t="inlineStr">
        <is>
          <t>2023-2</t>
        </is>
      </c>
      <c r="J586" s="5" t="n">
        <v>200</v>
      </c>
      <c r="K586" s="5" t="n">
        <v>254.43966666667</v>
      </c>
      <c r="L586" s="28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inlineStr">
        <is>
          <t>$</t>
        </is>
      </c>
      <c r="O586" s="5" t="inlineStr">
        <is>
          <t>$</t>
        </is>
      </c>
      <c r="P586" s="5" t="n">
        <v>0</v>
      </c>
      <c r="Q586" s="5" t="n">
        <v>0</v>
      </c>
      <c r="R586" s="5" t="inlineStr">
        <is>
          <t>341-2023-12-31</t>
        </is>
      </c>
    </row>
    <row r="587">
      <c r="A587" s="5" t="n">
        <v>341</v>
      </c>
      <c r="B587" s="5" t="inlineStr">
        <is>
          <t>Reducción de costos en gestión de abastecimiento</t>
        </is>
      </c>
      <c r="C587" s="5" t="inlineStr">
        <is>
          <t>GESTIÓN DE ABASTECIMIENTO</t>
        </is>
      </c>
      <c r="D587" s="13" t="inlineStr">
        <is>
          <t>Semestral</t>
        </is>
      </c>
      <c r="E587" s="5" t="inlineStr">
        <is>
          <t>Positivo</t>
        </is>
      </c>
      <c r="F587" s="144" t="n">
        <v>45657</v>
      </c>
      <c r="G587" s="16" t="n">
        <v>2024</v>
      </c>
      <c r="H587" s="6" t="inlineStr">
        <is>
          <t>Diciembre</t>
        </is>
      </c>
      <c r="I587" s="6" t="inlineStr">
        <is>
          <t>2024-2</t>
        </is>
      </c>
      <c r="J587" s="5" t="n">
        <v>200</v>
      </c>
      <c r="K587" s="5" t="n">
        <v>227.44</v>
      </c>
      <c r="L587" s="28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inlineStr">
        <is>
          <t>$</t>
        </is>
      </c>
      <c r="O587" s="5" t="inlineStr">
        <is>
          <t>$</t>
        </is>
      </c>
      <c r="P587" s="5" t="n">
        <v>0</v>
      </c>
      <c r="Q587" s="5" t="n">
        <v>0</v>
      </c>
      <c r="R587" s="5" t="inlineStr">
        <is>
          <t>341-2024-12-31</t>
        </is>
      </c>
    </row>
    <row r="588">
      <c r="A588" s="5" t="n">
        <v>341</v>
      </c>
      <c r="B588" s="5" t="inlineStr">
        <is>
          <t>Eficiencia en la reducción de costos en la gestión del abastecimiento</t>
        </is>
      </c>
      <c r="C588" s="5" t="inlineStr">
        <is>
          <t>GESTIÓN DE ABASTECIMIENTO</t>
        </is>
      </c>
      <c r="D588" s="13" t="inlineStr">
        <is>
          <t>Trimestral</t>
        </is>
      </c>
      <c r="E588" s="5" t="inlineStr">
        <is>
          <t>Positivo</t>
        </is>
      </c>
      <c r="F588" s="144" t="n">
        <v>46022</v>
      </c>
      <c r="G588" s="16" t="n">
        <v>2025</v>
      </c>
      <c r="H588" s="6" t="inlineStr">
        <is>
          <t>Diciembre</t>
        </is>
      </c>
      <c r="I588" s="6" t="inlineStr">
        <is>
          <t>2025-2</t>
        </is>
      </c>
      <c r="J588" s="5" t="n">
        <v>200</v>
      </c>
      <c r="K588" s="5" t="n">
        <v>204.9</v>
      </c>
      <c r="L588" s="28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inlineStr">
        <is>
          <t>$</t>
        </is>
      </c>
      <c r="O588" s="5" t="inlineStr">
        <is>
          <t>$</t>
        </is>
      </c>
      <c r="P588" s="5" t="n">
        <v>0</v>
      </c>
      <c r="Q588" s="5" t="n">
        <v>0</v>
      </c>
      <c r="R588" s="5" t="inlineStr">
        <is>
          <t>341-2025-12-31</t>
        </is>
      </c>
    </row>
    <row r="589">
      <c r="A589" s="5" t="n">
        <v>344</v>
      </c>
      <c r="B589" s="5" t="inlineStr">
        <is>
          <t>Cumplimiento del plan de Inducción institucional</t>
        </is>
      </c>
      <c r="C589" s="5" t="inlineStr">
        <is>
          <t>GESTIÓN Y DESARROLLO DEL TALENTO HUMANO</t>
        </is>
      </c>
      <c r="D589" s="13" t="inlineStr">
        <is>
          <t>Semestral</t>
        </is>
      </c>
      <c r="E589" s="5" t="inlineStr">
        <is>
          <t>Positivo</t>
        </is>
      </c>
      <c r="F589" s="144" t="n">
        <v>45291</v>
      </c>
      <c r="G589" s="16" t="n">
        <v>2023</v>
      </c>
      <c r="H589" s="6" t="inlineStr">
        <is>
          <t>Diciembre</t>
        </is>
      </c>
      <c r="I589" s="6" t="inlineStr">
        <is>
          <t>2023-2</t>
        </is>
      </c>
      <c r="J589" s="5" t="n">
        <v>90</v>
      </c>
      <c r="K589" s="5" t="n">
        <v>97.752180451128</v>
      </c>
      <c r="L589" s="28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344-2023-12-31</t>
        </is>
      </c>
    </row>
    <row r="590">
      <c r="A590" s="5" t="n">
        <v>344</v>
      </c>
      <c r="B590" s="5" t="inlineStr">
        <is>
          <t>Cumplimiento del plan de Inducción institucional</t>
        </is>
      </c>
      <c r="C590" s="5" t="inlineStr">
        <is>
          <t>GESTIÓN Y DESARROLLO DEL TALENTO HUMANO</t>
        </is>
      </c>
      <c r="D590" s="13" t="inlineStr">
        <is>
          <t>Semestral</t>
        </is>
      </c>
      <c r="E590" s="5" t="inlineStr">
        <is>
          <t>Positivo</t>
        </is>
      </c>
      <c r="F590" s="144" t="n">
        <v>45657</v>
      </c>
      <c r="G590" s="16" t="n">
        <v>2024</v>
      </c>
      <c r="H590" s="6" t="inlineStr">
        <is>
          <t>Diciembre</t>
        </is>
      </c>
      <c r="I590" s="6" t="inlineStr">
        <is>
          <t>2024-2</t>
        </is>
      </c>
      <c r="J590" s="5" t="n">
        <v>93</v>
      </c>
      <c r="K590" s="5" t="n">
        <v>98.265</v>
      </c>
      <c r="L590" s="28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344-2024-12-31</t>
        </is>
      </c>
    </row>
    <row r="591">
      <c r="A591" s="5" t="n">
        <v>344</v>
      </c>
      <c r="B591" s="5" t="inlineStr">
        <is>
          <t>Cumplimiento del plan de Inducción institucional</t>
        </is>
      </c>
      <c r="C591" s="5" t="inlineStr">
        <is>
          <t>GESTIÓN Y DESARROLLO DEL TALENTO HUMANO</t>
        </is>
      </c>
      <c r="D591" s="13" t="inlineStr">
        <is>
          <t>Trimestral</t>
        </is>
      </c>
      <c r="E591" s="5" t="inlineStr">
        <is>
          <t>Positivo</t>
        </is>
      </c>
      <c r="F591" s="144" t="n">
        <v>46022</v>
      </c>
      <c r="G591" s="16" t="n">
        <v>2025</v>
      </c>
      <c r="H591" s="6" t="inlineStr">
        <is>
          <t>Diciembre</t>
        </is>
      </c>
      <c r="I591" s="6" t="inlineStr">
        <is>
          <t>2025-2</t>
        </is>
      </c>
      <c r="J591" s="5" t="n">
        <v>93</v>
      </c>
      <c r="K591" s="5" t="n">
        <v>99.715</v>
      </c>
      <c r="L591" s="28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344-2025-12-31</t>
        </is>
      </c>
    </row>
    <row r="592">
      <c r="A592" s="5" t="n">
        <v>345</v>
      </c>
      <c r="B592" s="5" t="inlineStr">
        <is>
          <t>% de profesores impactados plan de desarrollo docente</t>
        </is>
      </c>
      <c r="C592" s="5" t="inlineStr">
        <is>
          <t>GESTIÓN Y DESARROLLO DEL TALENTO HUMANO</t>
        </is>
      </c>
      <c r="D592" s="13" t="inlineStr">
        <is>
          <t>Anual</t>
        </is>
      </c>
      <c r="E592" s="5" t="inlineStr">
        <is>
          <t>Positivo</t>
        </is>
      </c>
      <c r="F592" s="144" t="n">
        <v>45291</v>
      </c>
      <c r="G592" s="16" t="n">
        <v>2023</v>
      </c>
      <c r="H592" s="6" t="inlineStr">
        <is>
          <t>Diciembre</t>
        </is>
      </c>
      <c r="I592" s="6" t="inlineStr">
        <is>
          <t>2023-2</t>
        </is>
      </c>
      <c r="J592" s="5" t="n"/>
      <c r="K592" s="5" t="n">
        <v>94.84999999999999</v>
      </c>
      <c r="L592" s="28" t="n"/>
      <c r="M592" s="28" t="n"/>
      <c r="N592" s="5" t="inlineStr">
        <is>
          <t>Linea Base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345-2023-12-31</t>
        </is>
      </c>
    </row>
    <row r="593">
      <c r="A593" s="5" t="n">
        <v>346</v>
      </c>
      <c r="B593" s="5" t="inlineStr">
        <is>
          <t>% de profesores impactados en actividades de Bienestar</t>
        </is>
      </c>
      <c r="C593" s="5" t="inlineStr">
        <is>
          <t>GESTIÓN Y DESARROLLO DEL TALENTO HUMANO</t>
        </is>
      </c>
      <c r="D593" s="13" t="inlineStr">
        <is>
          <t>Anual</t>
        </is>
      </c>
      <c r="E593" s="5" t="inlineStr">
        <is>
          <t>Positivo</t>
        </is>
      </c>
      <c r="F593" s="144" t="n">
        <v>45291</v>
      </c>
      <c r="G593" s="16" t="n">
        <v>2023</v>
      </c>
      <c r="H593" s="6" t="inlineStr">
        <is>
          <t>Diciembre</t>
        </is>
      </c>
      <c r="I593" s="6" t="inlineStr">
        <is>
          <t>2023-2</t>
        </is>
      </c>
      <c r="J593" s="5" t="n"/>
      <c r="K593" s="5" t="n">
        <v>83.91608391608392</v>
      </c>
      <c r="L593" s="28" t="n"/>
      <c r="M593" s="28" t="n"/>
      <c r="N593" s="5" t="inlineStr">
        <is>
          <t>Linea Base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346-2023-12-31</t>
        </is>
      </c>
    </row>
    <row r="594">
      <c r="A594" s="5" t="n">
        <v>346</v>
      </c>
      <c r="B594" s="5" t="inlineStr">
        <is>
          <t>% de profesores impactados en actividades de Bienestar</t>
        </is>
      </c>
      <c r="C594" s="5" t="inlineStr">
        <is>
          <t>GESTIÓN Y DESARROLLO DEL TALENTO HUMANO</t>
        </is>
      </c>
      <c r="D594" s="13" t="inlineStr">
        <is>
          <t>Anual</t>
        </is>
      </c>
      <c r="E594" s="5" t="inlineStr">
        <is>
          <t>Positivo</t>
        </is>
      </c>
      <c r="F594" s="144" t="n">
        <v>45657</v>
      </c>
      <c r="G594" s="16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85</v>
      </c>
      <c r="K594" s="5" t="n">
        <v>91.88</v>
      </c>
      <c r="L594" s="28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Linea Base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346-2024-12-31</t>
        </is>
      </c>
    </row>
    <row r="595">
      <c r="A595" s="5" t="n">
        <v>346</v>
      </c>
      <c r="B595" s="5" t="inlineStr">
        <is>
          <t>% de profesores impactados en actividades de Bienestar</t>
        </is>
      </c>
      <c r="C595" s="5" t="inlineStr">
        <is>
          <t>GESTIÓN Y DESARROLLO DEL TALENTO HUMANO</t>
        </is>
      </c>
      <c r="D595" s="13" t="inlineStr">
        <is>
          <t>Anual</t>
        </is>
      </c>
      <c r="E595" s="5" t="inlineStr">
        <is>
          <t>Positivo</t>
        </is>
      </c>
      <c r="F595" s="144" t="n">
        <v>46022</v>
      </c>
      <c r="G595" s="16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85</v>
      </c>
      <c r="K595" s="5" t="n">
        <v>97.28</v>
      </c>
      <c r="L595" s="28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Linea Base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346-2025-12-31</t>
        </is>
      </c>
    </row>
    <row r="596">
      <c r="A596" s="5" t="n">
        <v>347</v>
      </c>
      <c r="B596" s="5" t="inlineStr">
        <is>
          <t>Legalizaciones y anticipos</t>
        </is>
      </c>
      <c r="C596" s="5" t="inlineStr">
        <is>
          <t>Contabilidad</t>
        </is>
      </c>
      <c r="D596" s="13" t="inlineStr">
        <is>
          <t>Trimestral</t>
        </is>
      </c>
      <c r="E596" s="5" t="inlineStr">
        <is>
          <t>Negativo</t>
        </is>
      </c>
      <c r="F596" s="144" t="n">
        <v>45291</v>
      </c>
      <c r="G596" s="16" t="n">
        <v>2023</v>
      </c>
      <c r="H596" s="6" t="inlineStr">
        <is>
          <t>Diciembre</t>
        </is>
      </c>
      <c r="I596" s="6" t="inlineStr">
        <is>
          <t>2023-2</t>
        </is>
      </c>
      <c r="J596" s="5" t="n">
        <v>0</v>
      </c>
      <c r="K596" s="10" t="n">
        <v>6.75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ENT</t>
        </is>
      </c>
      <c r="O596" s="5" t="inlineStr">
        <is>
          <t>ENT</t>
        </is>
      </c>
      <c r="P596" s="5" t="n">
        <v>0</v>
      </c>
      <c r="Q596" s="5" t="n">
        <v>0</v>
      </c>
      <c r="R596" s="5" t="inlineStr">
        <is>
          <t>347-2023-12-31</t>
        </is>
      </c>
    </row>
    <row r="597">
      <c r="A597" s="5" t="n">
        <v>347</v>
      </c>
      <c r="B597" s="5" t="inlineStr">
        <is>
          <t>Legalizaciones y anticipos</t>
        </is>
      </c>
      <c r="C597" s="5" t="inlineStr">
        <is>
          <t>Contabilidad</t>
        </is>
      </c>
      <c r="D597" s="13" t="inlineStr">
        <is>
          <t>Trimestral</t>
        </is>
      </c>
      <c r="E597" s="5" t="inlineStr">
        <is>
          <t>Negativo</t>
        </is>
      </c>
      <c r="F597" s="144" t="n">
        <v>45657</v>
      </c>
      <c r="G597" s="16" t="n">
        <v>2024</v>
      </c>
      <c r="H597" s="6" t="inlineStr">
        <is>
          <t>Diciembre</t>
        </is>
      </c>
      <c r="I597" s="6" t="inlineStr">
        <is>
          <t>2024-2</t>
        </is>
      </c>
      <c r="J597" s="5" t="n">
        <v>5</v>
      </c>
      <c r="K597" s="5" t="n">
        <v>0.75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ENT</t>
        </is>
      </c>
      <c r="O597" s="5" t="inlineStr">
        <is>
          <t>ENT</t>
        </is>
      </c>
      <c r="P597" s="5" t="n">
        <v>0</v>
      </c>
      <c r="Q597" s="5" t="n">
        <v>0</v>
      </c>
      <c r="R597" s="5" t="inlineStr">
        <is>
          <t>347-2024-12-31</t>
        </is>
      </c>
    </row>
    <row r="598">
      <c r="A598" s="5" t="n">
        <v>347</v>
      </c>
      <c r="B598" s="5" t="inlineStr">
        <is>
          <t>Legalizaciones y anticipos</t>
        </is>
      </c>
      <c r="C598" s="5" t="inlineStr">
        <is>
          <t>Contabilidad</t>
        </is>
      </c>
      <c r="D598" s="13" t="inlineStr">
        <is>
          <t>Semestral</t>
        </is>
      </c>
      <c r="E598" s="5" t="inlineStr">
        <is>
          <t>Negativo</t>
        </is>
      </c>
      <c r="F598" s="144" t="n">
        <v>46022</v>
      </c>
      <c r="G598" s="16" t="n">
        <v>2025</v>
      </c>
      <c r="H598" s="6" t="inlineStr">
        <is>
          <t>Diciembre</t>
        </is>
      </c>
      <c r="I598" s="6" t="inlineStr">
        <is>
          <t>2025-2</t>
        </is>
      </c>
      <c r="J598" s="5" t="n">
        <v>5</v>
      </c>
      <c r="K598" s="5" t="n">
        <v>2.25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ENT</t>
        </is>
      </c>
      <c r="O598" s="5" t="inlineStr">
        <is>
          <t>ENT</t>
        </is>
      </c>
      <c r="P598" s="5" t="n">
        <v>0</v>
      </c>
      <c r="Q598" s="5" t="n">
        <v>0</v>
      </c>
      <c r="R598" s="5" t="inlineStr">
        <is>
          <t>347-2025-12-31</t>
        </is>
      </c>
    </row>
    <row r="599">
      <c r="A599" s="5" t="n">
        <v>348</v>
      </c>
      <c r="B599" s="5" t="inlineStr">
        <is>
          <t>Cuentas por pagar</t>
        </is>
      </c>
      <c r="C599" s="5" t="inlineStr">
        <is>
          <t>Contabilidad</t>
        </is>
      </c>
      <c r="D599" s="13" t="inlineStr">
        <is>
          <t>Trimestral</t>
        </is>
      </c>
      <c r="E599" s="5" t="inlineStr">
        <is>
          <t>Positivo</t>
        </is>
      </c>
      <c r="F599" s="144" t="n">
        <v>45291</v>
      </c>
      <c r="G599" s="16" t="n">
        <v>2023</v>
      </c>
      <c r="H599" s="6" t="inlineStr">
        <is>
          <t>Diciembre</t>
        </is>
      </c>
      <c r="I599" s="6" t="inlineStr">
        <is>
          <t>2023-2</t>
        </is>
      </c>
      <c r="J599" s="5" t="n">
        <v>99</v>
      </c>
      <c r="K599" s="5" t="n">
        <v>99.908847789973</v>
      </c>
      <c r="L599" s="28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1</v>
      </c>
      <c r="Q599" s="5" t="n">
        <v>0</v>
      </c>
      <c r="R599" s="5" t="inlineStr">
        <is>
          <t>348-2023-12-31</t>
        </is>
      </c>
    </row>
    <row r="600">
      <c r="A600" s="5" t="n">
        <v>348</v>
      </c>
      <c r="B600" s="5" t="inlineStr">
        <is>
          <t>Cuentas por pagar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Positivo</t>
        </is>
      </c>
      <c r="F600" s="144" t="n">
        <v>45657</v>
      </c>
      <c r="G600" s="16" t="n">
        <v>2024</v>
      </c>
      <c r="H600" s="6" t="inlineStr">
        <is>
          <t>Diciembre</t>
        </is>
      </c>
      <c r="I600" s="6" t="inlineStr">
        <is>
          <t>2024-2</t>
        </is>
      </c>
      <c r="J600" s="5" t="n">
        <v>99</v>
      </c>
      <c r="K600" s="5" t="n">
        <v>99.96250000000001</v>
      </c>
      <c r="L600" s="28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1</v>
      </c>
      <c r="Q600" s="5" t="n">
        <v>0</v>
      </c>
      <c r="R600" s="5" t="inlineStr">
        <is>
          <t>348-2024-12-31</t>
        </is>
      </c>
    </row>
    <row r="601">
      <c r="A601" s="5" t="n">
        <v>348</v>
      </c>
      <c r="B601" s="5" t="inlineStr">
        <is>
          <t>Cuentas por pagar</t>
        </is>
      </c>
      <c r="C601" s="5" t="inlineStr">
        <is>
          <t>Contabilidad</t>
        </is>
      </c>
      <c r="D601" s="13" t="inlineStr">
        <is>
          <t>Semestral</t>
        </is>
      </c>
      <c r="E601" s="5" t="inlineStr">
        <is>
          <t>Positivo</t>
        </is>
      </c>
      <c r="F601" s="144" t="n">
        <v>46022</v>
      </c>
      <c r="G601" s="16" t="n">
        <v>2025</v>
      </c>
      <c r="H601" s="6" t="inlineStr">
        <is>
          <t>Diciembre</t>
        </is>
      </c>
      <c r="I601" s="6" t="inlineStr">
        <is>
          <t>2025-2</t>
        </is>
      </c>
      <c r="J601" s="5" t="n">
        <v>99</v>
      </c>
      <c r="K601" s="5" t="n">
        <v>100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348-2025-12-31</t>
        </is>
      </c>
    </row>
    <row r="602">
      <c r="A602" s="5" t="n">
        <v>349</v>
      </c>
      <c r="B602" s="5" t="inlineStr">
        <is>
          <t>Número de redes de investigación</t>
        </is>
      </c>
      <c r="C602" s="5" t="inlineStr">
        <is>
          <t>Investigación, desarrollo tecnológico, innovación y creación</t>
        </is>
      </c>
      <c r="D602" s="13" t="inlineStr">
        <is>
          <t>Anual</t>
        </is>
      </c>
      <c r="E602" s="5" t="inlineStr">
        <is>
          <t>Positivo</t>
        </is>
      </c>
      <c r="F602" s="144" t="n">
        <v>45291</v>
      </c>
      <c r="G602" s="16" t="n">
        <v>2023</v>
      </c>
      <c r="H602" s="6" t="inlineStr">
        <is>
          <t>Diciembre</t>
        </is>
      </c>
      <c r="I602" s="6" t="inlineStr">
        <is>
          <t>2023-2</t>
        </is>
      </c>
      <c r="J602" s="5" t="n"/>
      <c r="K602" s="5" t="n"/>
      <c r="L602" s="28" t="n"/>
      <c r="M602" s="28" t="n"/>
      <c r="N602" s="5" t="inlineStr">
        <is>
          <t>ENT</t>
        </is>
      </c>
      <c r="O602" s="5" t="inlineStr">
        <is>
          <t>DEC</t>
        </is>
      </c>
      <c r="P602" s="5" t="n">
        <v>0</v>
      </c>
      <c r="Q602" s="5" t="n">
        <v>0</v>
      </c>
      <c r="R602" s="5" t="inlineStr">
        <is>
          <t>349-2023-12-31</t>
        </is>
      </c>
    </row>
    <row r="603">
      <c r="A603" s="5" t="n">
        <v>350</v>
      </c>
      <c r="B603" s="5" t="inlineStr">
        <is>
          <t>Centros de investigación, ciencia y de apoyo a CTI en consolidación</t>
        </is>
      </c>
      <c r="C603" s="5" t="inlineStr">
        <is>
          <t>Investigación, desarrollo tecnológico, innovación y creación</t>
        </is>
      </c>
      <c r="D603" s="13" t="inlineStr">
        <is>
          <t>Anual</t>
        </is>
      </c>
      <c r="E603" s="5" t="inlineStr">
        <is>
          <t>Positivo</t>
        </is>
      </c>
      <c r="F603" s="144" t="n">
        <v>45291</v>
      </c>
      <c r="G603" s="16" t="n">
        <v>2023</v>
      </c>
      <c r="H603" s="6" t="inlineStr">
        <is>
          <t>Diciembre</t>
        </is>
      </c>
      <c r="I603" s="6" t="inlineStr">
        <is>
          <t>2023-2</t>
        </is>
      </c>
      <c r="J603" s="5" t="n"/>
      <c r="K603" s="5" t="n"/>
      <c r="L603" s="28" t="n"/>
      <c r="M603" s="28" t="n"/>
      <c r="N603" s="5" t="inlineStr">
        <is>
          <t>ENT</t>
        </is>
      </c>
      <c r="O603" s="5" t="inlineStr">
        <is>
          <t>DEC</t>
        </is>
      </c>
      <c r="P603" s="5" t="n">
        <v>0</v>
      </c>
      <c r="Q603" s="5" t="n">
        <v>0</v>
      </c>
      <c r="R603" s="5" t="inlineStr">
        <is>
          <t>350-2023-12-31</t>
        </is>
      </c>
    </row>
    <row r="604">
      <c r="A604" s="5" t="n">
        <v>351</v>
      </c>
      <c r="B604" s="5" t="inlineStr">
        <is>
          <t>Partidas conciliatorias de bancos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Negativo</t>
        </is>
      </c>
      <c r="F604" s="144" t="n">
        <v>45291</v>
      </c>
      <c r="G604" s="16" t="n">
        <v>2023</v>
      </c>
      <c r="H604" s="6" t="inlineStr">
        <is>
          <t>Diciembre</t>
        </is>
      </c>
      <c r="I604" s="6" t="inlineStr">
        <is>
          <t>2023-2</t>
        </is>
      </c>
      <c r="J604" s="5" t="n">
        <v>0</v>
      </c>
      <c r="K604" s="5" t="n">
        <v>8.373582070494432</v>
      </c>
      <c r="L604" s="28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ENT</t>
        </is>
      </c>
      <c r="O604" s="5" t="inlineStr">
        <is>
          <t>DEC</t>
        </is>
      </c>
      <c r="P604" s="5" t="n">
        <v>0</v>
      </c>
      <c r="Q604" s="5" t="n">
        <v>1</v>
      </c>
      <c r="R604" s="5" t="inlineStr">
        <is>
          <t>351-2023-12-31</t>
        </is>
      </c>
    </row>
    <row r="605">
      <c r="A605" s="5" t="n">
        <v>351</v>
      </c>
      <c r="B605" s="5" t="inlineStr">
        <is>
          <t>Partidas conciliatorias de bancos</t>
        </is>
      </c>
      <c r="C605" s="5" t="inlineStr">
        <is>
          <t>Contabilidad</t>
        </is>
      </c>
      <c r="D605" s="13" t="inlineStr">
        <is>
          <t>Trimestral</t>
        </is>
      </c>
      <c r="E605" s="5" t="inlineStr">
        <is>
          <t>Negativo</t>
        </is>
      </c>
      <c r="F605" s="144" t="n">
        <v>45657</v>
      </c>
      <c r="G605" s="16" t="n">
        <v>2024</v>
      </c>
      <c r="H605" s="6" t="inlineStr">
        <is>
          <t>Diciembre</t>
        </is>
      </c>
      <c r="I605" s="6" t="inlineStr">
        <is>
          <t>2024-2</t>
        </is>
      </c>
      <c r="J605" s="5" t="n">
        <v>0</v>
      </c>
      <c r="K605" s="5" t="n">
        <v>5.551689405242506</v>
      </c>
      <c r="L605" s="28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ENT</t>
        </is>
      </c>
      <c r="O605" s="5" t="inlineStr">
        <is>
          <t>DEC</t>
        </is>
      </c>
      <c r="P605" s="5" t="n">
        <v>0</v>
      </c>
      <c r="Q605" s="5" t="n">
        <v>1</v>
      </c>
      <c r="R605" s="5" t="inlineStr">
        <is>
          <t>351-2024-12-31</t>
        </is>
      </c>
    </row>
    <row r="606">
      <c r="A606" s="5" t="n">
        <v>351</v>
      </c>
      <c r="B606" s="5" t="inlineStr">
        <is>
          <t>Partidas conciliatorias de bancos</t>
        </is>
      </c>
      <c r="C606" s="5" t="inlineStr">
        <is>
          <t>Contabilidad</t>
        </is>
      </c>
      <c r="D606" s="13" t="inlineStr">
        <is>
          <t>Semestral</t>
        </is>
      </c>
      <c r="E606" s="5" t="inlineStr">
        <is>
          <t>Negativo</t>
        </is>
      </c>
      <c r="F606" s="144" t="n">
        <v>45930</v>
      </c>
      <c r="G606" s="16" t="n">
        <v>2025</v>
      </c>
      <c r="H606" s="6" t="inlineStr">
        <is>
          <t>Septiembre</t>
        </is>
      </c>
      <c r="I606" s="6" t="inlineStr">
        <is>
          <t>2025-2</t>
        </is>
      </c>
      <c r="J606" s="5" t="n">
        <v>0</v>
      </c>
      <c r="K606" s="5" t="n">
        <v>0.46</v>
      </c>
      <c r="L606" s="28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ENT</t>
        </is>
      </c>
      <c r="O606" s="5" t="inlineStr">
        <is>
          <t>DEC</t>
        </is>
      </c>
      <c r="P606" s="5" t="n">
        <v>0</v>
      </c>
      <c r="Q606" s="5" t="n">
        <v>1</v>
      </c>
      <c r="R606" s="5" t="inlineStr">
        <is>
          <t>351-2025-09-30</t>
        </is>
      </c>
    </row>
    <row r="607">
      <c r="A607" s="5" t="n">
        <v>352</v>
      </c>
      <c r="B607" s="5" t="inlineStr">
        <is>
          <t>Nivel de facturas generadas con error</t>
        </is>
      </c>
      <c r="C607" s="5" t="inlineStr">
        <is>
          <t>Contabilidad</t>
        </is>
      </c>
      <c r="D607" s="13" t="inlineStr">
        <is>
          <t>Trimestral</t>
        </is>
      </c>
      <c r="E607" s="5" t="inlineStr">
        <is>
          <t>Negativo</t>
        </is>
      </c>
      <c r="F607" s="144" t="n">
        <v>45291</v>
      </c>
      <c r="G607" s="16" t="n">
        <v>2023</v>
      </c>
      <c r="H607" s="6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0.08661974028696783</v>
      </c>
      <c r="L607" s="28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2</v>
      </c>
      <c r="R607" s="5" t="inlineStr">
        <is>
          <t>352-2023-12-31</t>
        </is>
      </c>
    </row>
    <row r="608">
      <c r="A608" s="5" t="n">
        <v>352</v>
      </c>
      <c r="B608" s="5" t="inlineStr">
        <is>
          <t>Nivel de facturas generadas con error</t>
        </is>
      </c>
      <c r="C608" s="5" t="inlineStr">
        <is>
          <t>Contabilidad</t>
        </is>
      </c>
      <c r="D608" s="13" t="inlineStr">
        <is>
          <t>Trimestral</t>
        </is>
      </c>
      <c r="E608" s="5" t="inlineStr">
        <is>
          <t>Negativo</t>
        </is>
      </c>
      <c r="F608" s="144" t="n">
        <v>45657</v>
      </c>
      <c r="G608" s="16" t="n">
        <v>2024</v>
      </c>
      <c r="H608" s="6" t="inlineStr">
        <is>
          <t>Diciembre</t>
        </is>
      </c>
      <c r="I608" s="6" t="inlineStr">
        <is>
          <t>2024-2</t>
        </is>
      </c>
      <c r="J608" s="5" t="n">
        <v>0</v>
      </c>
      <c r="K608" s="5" t="n">
        <v>0.04354213650011303</v>
      </c>
      <c r="L608" s="28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2</v>
      </c>
      <c r="R608" s="5" t="inlineStr">
        <is>
          <t>352-2024-12-31</t>
        </is>
      </c>
    </row>
    <row r="609">
      <c r="A609" s="5" t="n">
        <v>352</v>
      </c>
      <c r="B609" s="5" t="inlineStr">
        <is>
          <t>Nivel de facturas generadas con error</t>
        </is>
      </c>
      <c r="C609" s="5" t="inlineStr">
        <is>
          <t>Contabilidad</t>
        </is>
      </c>
      <c r="D609" s="13" t="inlineStr">
        <is>
          <t>Semestral</t>
        </is>
      </c>
      <c r="E609" s="5" t="inlineStr">
        <is>
          <t>Negativo</t>
        </is>
      </c>
      <c r="F609" s="144" t="n">
        <v>45930</v>
      </c>
      <c r="G609" s="16" t="n">
        <v>2025</v>
      </c>
      <c r="H609" s="6" t="inlineStr">
        <is>
          <t>Septiembre</t>
        </is>
      </c>
      <c r="I609" s="6" t="inlineStr">
        <is>
          <t>2025-2</t>
        </is>
      </c>
      <c r="J609" s="5" t="n">
        <v>0</v>
      </c>
      <c r="K609" s="5" t="n">
        <v>0.006666666666666667</v>
      </c>
      <c r="L609" s="28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2</v>
      </c>
      <c r="R609" s="5" t="inlineStr">
        <is>
          <t>352-2025-09-30</t>
        </is>
      </c>
    </row>
    <row r="610">
      <c r="A610" s="5" t="n">
        <v>353</v>
      </c>
      <c r="B610" s="5" t="inlineStr">
        <is>
          <t>Cobertura de tableros BI en procesos</t>
        </is>
      </c>
      <c r="C610" s="5" t="inlineStr">
        <is>
          <t>DATOS Y ANALÍTICA</t>
        </is>
      </c>
      <c r="D610" s="13" t="inlineStr">
        <is>
          <t>Semestral</t>
        </is>
      </c>
      <c r="E610" s="5" t="inlineStr">
        <is>
          <t>Positivo</t>
        </is>
      </c>
      <c r="F610" s="144" t="n">
        <v>45291</v>
      </c>
      <c r="G610" s="16" t="n">
        <v>2023</v>
      </c>
      <c r="H610" s="6" t="inlineStr">
        <is>
          <t>Diciembre</t>
        </is>
      </c>
      <c r="I610" s="6" t="inlineStr">
        <is>
          <t>2023-2</t>
        </is>
      </c>
      <c r="J610" s="5" t="n">
        <v>35</v>
      </c>
      <c r="K610" s="5" t="n">
        <v>40.3846153846154</v>
      </c>
      <c r="L610" s="28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ENT</t>
        </is>
      </c>
      <c r="O610" s="5" t="inlineStr">
        <is>
          <t>ENT</t>
        </is>
      </c>
      <c r="P610" s="5" t="n">
        <v>1</v>
      </c>
      <c r="Q610" s="5" t="n">
        <v>1</v>
      </c>
      <c r="R610" s="5" t="inlineStr">
        <is>
          <t>353-2023-12-31</t>
        </is>
      </c>
    </row>
    <row r="611">
      <c r="A611" s="5" t="n">
        <v>354</v>
      </c>
      <c r="B611" s="5" t="inlineStr">
        <is>
          <t>Plan de formación en analitica</t>
        </is>
      </c>
      <c r="C611" s="5" t="inlineStr">
        <is>
          <t>DATOS Y ANALÍTICA</t>
        </is>
      </c>
      <c r="D611" s="13" t="inlineStr">
        <is>
          <t>Semestral</t>
        </is>
      </c>
      <c r="E611" s="5" t="inlineStr">
        <is>
          <t>Positivo</t>
        </is>
      </c>
      <c r="F611" s="144" t="n">
        <v>45291</v>
      </c>
      <c r="G611" s="16" t="n">
        <v>2023</v>
      </c>
      <c r="H611" s="6" t="inlineStr">
        <is>
          <t>Diciembre</t>
        </is>
      </c>
      <c r="I611" s="6" t="inlineStr">
        <is>
          <t>2023-2</t>
        </is>
      </c>
      <c r="J611" s="5" t="n">
        <v>10</v>
      </c>
      <c r="K611" s="5" t="n">
        <v>31.77</v>
      </c>
      <c r="L611" s="28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ENT</t>
        </is>
      </c>
      <c r="O611" s="5" t="inlineStr">
        <is>
          <t>DEC</t>
        </is>
      </c>
      <c r="P611" s="5" t="n">
        <v>1</v>
      </c>
      <c r="Q611" s="5" t="n">
        <v>1</v>
      </c>
      <c r="R611" s="5" t="inlineStr">
        <is>
          <t>354-2023-12-31</t>
        </is>
      </c>
    </row>
    <row r="612">
      <c r="A612" s="5" t="n">
        <v>355</v>
      </c>
      <c r="B612" s="5" t="inlineStr">
        <is>
          <t>Indice de liquidez</t>
        </is>
      </c>
      <c r="C612" s="5" t="inlineStr">
        <is>
          <t>Tesorería</t>
        </is>
      </c>
      <c r="D612" s="13" t="inlineStr">
        <is>
          <t>Anual</t>
        </is>
      </c>
      <c r="E612" s="5" t="inlineStr">
        <is>
          <t>Positivo</t>
        </is>
      </c>
      <c r="F612" s="144" t="n">
        <v>45291</v>
      </c>
      <c r="G612" s="16" t="n">
        <v>2023</v>
      </c>
      <c r="H612" s="6" t="inlineStr">
        <is>
          <t>Diciembre</t>
        </is>
      </c>
      <c r="I612" s="6" t="inlineStr">
        <is>
          <t>2023-2</t>
        </is>
      </c>
      <c r="J612" s="119" t="n">
        <v>1</v>
      </c>
      <c r="K612" s="123" t="n">
        <v>1.64916004403234</v>
      </c>
      <c r="L612" s="28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ENT</t>
        </is>
      </c>
      <c r="O612" s="5" t="inlineStr">
        <is>
          <t>DEC</t>
        </is>
      </c>
      <c r="P612" s="5" t="n">
        <v>1</v>
      </c>
      <c r="Q612" s="5" t="n">
        <v>1</v>
      </c>
      <c r="R612" s="5" t="inlineStr">
        <is>
          <t>355-2023-12-31</t>
        </is>
      </c>
    </row>
    <row r="613">
      <c r="A613" s="5" t="n">
        <v>355</v>
      </c>
      <c r="B613" s="5" t="inlineStr">
        <is>
          <t>Indice de liquidez</t>
        </is>
      </c>
      <c r="C613" s="5" t="inlineStr">
        <is>
          <t>Tesorería</t>
        </is>
      </c>
      <c r="D613" s="13" t="inlineStr">
        <is>
          <t>Anual</t>
        </is>
      </c>
      <c r="E613" s="5" t="inlineStr">
        <is>
          <t>Positivo</t>
        </is>
      </c>
      <c r="F613" s="144" t="n">
        <v>45657</v>
      </c>
      <c r="G613" s="16" t="n">
        <v>2024</v>
      </c>
      <c r="H613" s="6" t="inlineStr">
        <is>
          <t>Diciembre</t>
        </is>
      </c>
      <c r="I613" s="6" t="inlineStr">
        <is>
          <t>2024-2</t>
        </is>
      </c>
      <c r="J613" s="5" t="n">
        <v>1.7</v>
      </c>
      <c r="K613" s="5" t="n">
        <v>1.69</v>
      </c>
      <c r="L613" s="28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 t="inlineStr">
        <is>
          <t>355-2024-12-31</t>
        </is>
      </c>
    </row>
    <row r="614">
      <c r="A614" s="5" t="n">
        <v>355</v>
      </c>
      <c r="B614" s="5" t="inlineStr">
        <is>
          <t>Indice de liquidez</t>
        </is>
      </c>
      <c r="C614" s="5" t="inlineStr">
        <is>
          <t>Tesorería</t>
        </is>
      </c>
      <c r="D614" s="13" t="inlineStr">
        <is>
          <t>Anual</t>
        </is>
      </c>
      <c r="E614" s="5" t="inlineStr">
        <is>
          <t>Positivo</t>
        </is>
      </c>
      <c r="F614" s="144" t="n">
        <v>46022</v>
      </c>
      <c r="G614" s="16" t="n">
        <v>2025</v>
      </c>
      <c r="H614" s="6" t="inlineStr">
        <is>
          <t>Diciembre</t>
        </is>
      </c>
      <c r="I614" s="6" t="inlineStr">
        <is>
          <t>2025-2</t>
        </is>
      </c>
      <c r="J614" s="5" t="n">
        <v>1.4</v>
      </c>
      <c r="K614" s="5" t="n">
        <v>1.56</v>
      </c>
      <c r="L614" s="28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inlineStr">
        <is>
          <t>ENT</t>
        </is>
      </c>
      <c r="O614" s="5" t="inlineStr">
        <is>
          <t>DEC</t>
        </is>
      </c>
      <c r="P614" s="5" t="n">
        <v>1</v>
      </c>
      <c r="Q614" s="5" t="n">
        <v>1</v>
      </c>
      <c r="R614" s="5" t="inlineStr">
        <is>
          <t>355-2025-12-31</t>
        </is>
      </c>
    </row>
    <row r="615">
      <c r="A615" s="5" t="n">
        <v>356</v>
      </c>
      <c r="B615" s="5" t="inlineStr">
        <is>
          <t>Indice de Endeudamiento</t>
        </is>
      </c>
      <c r="C615" s="5" t="inlineStr">
        <is>
          <t>Tesorería</t>
        </is>
      </c>
      <c r="D615" s="13" t="inlineStr">
        <is>
          <t>Semestral</t>
        </is>
      </c>
      <c r="E615" s="5" t="inlineStr">
        <is>
          <t>Negativo</t>
        </is>
      </c>
      <c r="F615" s="144" t="n">
        <v>45291</v>
      </c>
      <c r="G615" s="16" t="n">
        <v>2023</v>
      </c>
      <c r="H615" s="6" t="inlineStr">
        <is>
          <t>Diciembre</t>
        </is>
      </c>
      <c r="I615" s="6" t="inlineStr">
        <is>
          <t>2023-2</t>
        </is>
      </c>
      <c r="J615" s="5" t="n">
        <v>60</v>
      </c>
      <c r="K615" s="5" t="n">
        <v>55.376980703801</v>
      </c>
      <c r="L615" s="28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1</v>
      </c>
      <c r="R615" s="5" t="inlineStr">
        <is>
          <t>356-2023-12-31</t>
        </is>
      </c>
    </row>
    <row r="616">
      <c r="A616" s="5" t="n">
        <v>356</v>
      </c>
      <c r="B616" s="5" t="inlineStr">
        <is>
          <t>Indice de Endeudamiento</t>
        </is>
      </c>
      <c r="C616" s="5" t="inlineStr">
        <is>
          <t>Tesorería</t>
        </is>
      </c>
      <c r="D616" s="13" t="inlineStr">
        <is>
          <t>Semestral</t>
        </is>
      </c>
      <c r="E616" s="5" t="inlineStr">
        <is>
          <t>Negativo</t>
        </is>
      </c>
      <c r="F616" s="144" t="n">
        <v>45657</v>
      </c>
      <c r="G616" s="16" t="n">
        <v>2024</v>
      </c>
      <c r="H616" s="6" t="inlineStr">
        <is>
          <t>Diciembre</t>
        </is>
      </c>
      <c r="I616" s="6" t="inlineStr">
        <is>
          <t>2024-2</t>
        </is>
      </c>
      <c r="J616" s="5" t="n">
        <v>60</v>
      </c>
      <c r="K616" s="5" t="n">
        <v>59.815</v>
      </c>
      <c r="L616" s="28">
        <f>IFERROR(IF(OR(J616=0,K616=""),"",IF(E616="Positivo",MIN(MAX(K616/J616,0),1.3),MIN(MAX(J616/K616,0),1.3))),"") </f>
        <v/>
      </c>
      <c r="M616" s="28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1</v>
      </c>
      <c r="R616" s="5" t="inlineStr">
        <is>
          <t>356-2024-12-31</t>
        </is>
      </c>
    </row>
    <row r="617">
      <c r="A617" s="5" t="n">
        <v>356</v>
      </c>
      <c r="B617" s="5" t="inlineStr">
        <is>
          <t>Indice de Endeudamiento</t>
        </is>
      </c>
      <c r="C617" s="5" t="inlineStr">
        <is>
          <t>Tesorería</t>
        </is>
      </c>
      <c r="D617" s="13" t="inlineStr">
        <is>
          <t>Trimestral</t>
        </is>
      </c>
      <c r="E617" s="5" t="inlineStr">
        <is>
          <t>Negativo</t>
        </is>
      </c>
      <c r="F617" s="144" t="n">
        <v>46022</v>
      </c>
      <c r="G617" s="16" t="n">
        <v>2025</v>
      </c>
      <c r="H617" s="6" t="inlineStr">
        <is>
          <t>Diciembre</t>
        </is>
      </c>
      <c r="I617" s="6" t="inlineStr">
        <is>
          <t>2025-2</t>
        </is>
      </c>
      <c r="J617" s="5" t="n">
        <v>60</v>
      </c>
      <c r="K617" s="5" t="n">
        <v>56.955</v>
      </c>
      <c r="L617" s="28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1</v>
      </c>
      <c r="R617" s="5" t="inlineStr">
        <is>
          <t>356-2025-12-31</t>
        </is>
      </c>
    </row>
    <row r="618">
      <c r="A618" s="5" t="n">
        <v>357</v>
      </c>
      <c r="B618" s="5" t="inlineStr">
        <is>
          <t>Cartera</t>
        </is>
      </c>
      <c r="C618" s="5" t="inlineStr">
        <is>
          <t>Tesorería</t>
        </is>
      </c>
      <c r="D618" s="13" t="inlineStr">
        <is>
          <t>Semestral</t>
        </is>
      </c>
      <c r="E618" s="5" t="inlineStr">
        <is>
          <t>Positivo</t>
        </is>
      </c>
      <c r="F618" s="144" t="n">
        <v>45291</v>
      </c>
      <c r="G618" s="16" t="n">
        <v>2023</v>
      </c>
      <c r="H618" s="6" t="inlineStr">
        <is>
          <t>Diciembre</t>
        </is>
      </c>
      <c r="I618" s="6" t="inlineStr">
        <is>
          <t>2023-2</t>
        </is>
      </c>
      <c r="J618" s="5" t="n"/>
      <c r="K618" s="5" t="n">
        <v>4.45</v>
      </c>
      <c r="L618" s="28" t="n"/>
      <c r="M618" s="28" t="n"/>
      <c r="N618" s="5" t="inlineStr">
        <is>
          <t>Metrica</t>
        </is>
      </c>
      <c r="O618" s="5" t="n"/>
      <c r="P618" s="5" t="n">
        <v>0</v>
      </c>
      <c r="Q618" s="5" t="n">
        <v>2</v>
      </c>
      <c r="R618" s="5" t="inlineStr">
        <is>
          <t>357-2023-12-31</t>
        </is>
      </c>
    </row>
    <row r="619">
      <c r="A619" s="5" t="n">
        <v>357</v>
      </c>
      <c r="B619" s="5" t="inlineStr">
        <is>
          <t>Cartera</t>
        </is>
      </c>
      <c r="C619" s="5" t="inlineStr">
        <is>
          <t>Tesorería</t>
        </is>
      </c>
      <c r="D619" s="13" t="inlineStr">
        <is>
          <t>Semestral</t>
        </is>
      </c>
      <c r="E619" s="5" t="inlineStr">
        <is>
          <t>Positivo</t>
        </is>
      </c>
      <c r="F619" s="144" t="n">
        <v>45657</v>
      </c>
      <c r="G619" s="16" t="n">
        <v>2024</v>
      </c>
      <c r="H619" s="6" t="inlineStr">
        <is>
          <t>Diciembre</t>
        </is>
      </c>
      <c r="I619" s="6" t="inlineStr">
        <is>
          <t>2024-2</t>
        </is>
      </c>
      <c r="J619" s="5" t="n"/>
      <c r="K619" s="5" t="n">
        <v>0.51</v>
      </c>
      <c r="L619" s="28" t="n"/>
      <c r="M619" s="28" t="n"/>
      <c r="N619" s="5" t="inlineStr">
        <is>
          <t>Metrica</t>
        </is>
      </c>
      <c r="O619" s="5" t="n"/>
      <c r="P619" s="5" t="n">
        <v>0</v>
      </c>
      <c r="Q619" s="5" t="n">
        <v>2</v>
      </c>
      <c r="R619" s="5" t="inlineStr">
        <is>
          <t>357-2024-12-31</t>
        </is>
      </c>
    </row>
    <row r="620">
      <c r="A620" s="105" t="n">
        <v>357</v>
      </c>
      <c r="B620" s="105" t="inlineStr">
        <is>
          <t>Cartera - Metrica</t>
        </is>
      </c>
      <c r="C620" s="5" t="inlineStr">
        <is>
          <t>Tesorería</t>
        </is>
      </c>
      <c r="D620" s="13" t="inlineStr">
        <is>
          <t>Trimestral</t>
        </is>
      </c>
      <c r="E620" s="5" t="inlineStr">
        <is>
          <t>Positivo</t>
        </is>
      </c>
      <c r="F620" s="144" t="n">
        <v>46022</v>
      </c>
      <c r="G620" s="16" t="n">
        <v>2025</v>
      </c>
      <c r="H620" s="6" t="inlineStr">
        <is>
          <t>Diciembre</t>
        </is>
      </c>
      <c r="I620" s="6" t="inlineStr">
        <is>
          <t>2025-2</t>
        </is>
      </c>
      <c r="J620" s="119" t="n">
        <v>10049277970</v>
      </c>
      <c r="K620" s="123" t="n">
        <v>0.44</v>
      </c>
      <c r="L620" s="28" t="n"/>
      <c r="M620" s="28" t="n"/>
      <c r="N620" s="5" t="inlineStr">
        <is>
          <t>Metrica</t>
        </is>
      </c>
      <c r="O620" s="5" t="n"/>
      <c r="P620" s="5" t="n">
        <v>0</v>
      </c>
      <c r="Q620" s="5" t="n">
        <v>2</v>
      </c>
      <c r="R620" s="5" t="inlineStr">
        <is>
          <t>357-2025-12-31</t>
        </is>
      </c>
      <c r="S620" t="inlineStr">
        <is>
          <t>Metrica</t>
        </is>
      </c>
    </row>
    <row r="621">
      <c r="A621" s="5" t="n">
        <v>358</v>
      </c>
      <c r="B621" s="5" t="inlineStr">
        <is>
          <t>Acompañamiento a estudiantes en practicas</t>
        </is>
      </c>
      <c r="C621" s="5" t="inlineStr">
        <is>
          <t>Prácticas</t>
        </is>
      </c>
      <c r="D621" s="13" t="inlineStr">
        <is>
          <t>Semestral</t>
        </is>
      </c>
      <c r="E621" s="5" t="inlineStr">
        <is>
          <t>Positivo</t>
        </is>
      </c>
      <c r="F621" s="144" t="n">
        <v>45291</v>
      </c>
      <c r="G621" s="16" t="n">
        <v>2023</v>
      </c>
      <c r="H621" s="6" t="inlineStr">
        <is>
          <t>Diciembre</t>
        </is>
      </c>
      <c r="I621" s="6" t="inlineStr">
        <is>
          <t>2023-2</t>
        </is>
      </c>
      <c r="J621" s="5" t="n">
        <v>87</v>
      </c>
      <c r="K621" s="5" t="n">
        <v>90.992268041237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358-2023-12-31</t>
        </is>
      </c>
    </row>
    <row r="622">
      <c r="A622" s="5" t="n">
        <v>358</v>
      </c>
      <c r="B622" s="5" t="inlineStr">
        <is>
          <t>Acompañamiento a estudiantes en practicas</t>
        </is>
      </c>
      <c r="C622" s="5" t="inlineStr">
        <is>
          <t>Prácticas</t>
        </is>
      </c>
      <c r="D622" s="13" t="inlineStr">
        <is>
          <t>Semestral</t>
        </is>
      </c>
      <c r="E622" s="5" t="inlineStr">
        <is>
          <t>Positivo</t>
        </is>
      </c>
      <c r="F622" s="144" t="n">
        <v>45657</v>
      </c>
      <c r="G622" s="16" t="n">
        <v>2024</v>
      </c>
      <c r="H622" s="6" t="inlineStr">
        <is>
          <t>Diciembre</t>
        </is>
      </c>
      <c r="I622" s="6" t="inlineStr">
        <is>
          <t>2024-2</t>
        </is>
      </c>
      <c r="J622" s="5" t="n">
        <v>87</v>
      </c>
      <c r="K622" s="5" t="n">
        <v>98.995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358-2024-12-31</t>
        </is>
      </c>
    </row>
    <row r="623">
      <c r="A623" s="5" t="n">
        <v>358</v>
      </c>
      <c r="B623" s="5" t="inlineStr">
        <is>
          <t>Nivel de acompañamiento a estudiantes en práctica</t>
        </is>
      </c>
      <c r="C623" s="5" t="inlineStr">
        <is>
          <t>Prácticas</t>
        </is>
      </c>
      <c r="D623" s="13" t="inlineStr">
        <is>
          <t>Trimestral</t>
        </is>
      </c>
      <c r="E623" s="5" t="inlineStr">
        <is>
          <t>Positivo</t>
        </is>
      </c>
      <c r="F623" s="144" t="n">
        <v>46022</v>
      </c>
      <c r="G623" s="16" t="n">
        <v>2025</v>
      </c>
      <c r="H623" s="6" t="inlineStr">
        <is>
          <t>Diciembre</t>
        </is>
      </c>
      <c r="I623" s="6" t="inlineStr">
        <is>
          <t>2025-2</t>
        </is>
      </c>
      <c r="J623" s="3" t="n">
        <v>100</v>
      </c>
      <c r="K623" s="123" t="n">
        <v>100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 t="inlineStr">
        <is>
          <t>358-2025-12-31</t>
        </is>
      </c>
    </row>
    <row r="624">
      <c r="A624" s="5" t="n">
        <v>359</v>
      </c>
      <c r="B624" s="5" t="inlineStr">
        <is>
          <t>Satisfacción Institucional</t>
        </is>
      </c>
      <c r="C624" s="5" t="inlineStr">
        <is>
          <t>EXPERIENCIA INSTITUCIONAL</t>
        </is>
      </c>
      <c r="D624" s="13" t="inlineStr">
        <is>
          <t>Semestral</t>
        </is>
      </c>
      <c r="E624" s="5" t="inlineStr">
        <is>
          <t>Positivo</t>
        </is>
      </c>
      <c r="F624" s="144" t="n">
        <v>45657</v>
      </c>
      <c r="G624" s="16" t="n">
        <v>2024</v>
      </c>
      <c r="H624" s="6" t="inlineStr">
        <is>
          <t>Diciembre</t>
        </is>
      </c>
      <c r="I624" s="6" t="inlineStr">
        <is>
          <t>2024-2</t>
        </is>
      </c>
      <c r="J624" s="5" t="n">
        <v>80</v>
      </c>
      <c r="K624" s="10" t="n">
        <v>86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359-2024-12-31</t>
        </is>
      </c>
    </row>
    <row r="625">
      <c r="A625" s="5" t="n">
        <v>359</v>
      </c>
      <c r="B625" s="5" t="inlineStr">
        <is>
          <t>Satisfacción Institucional CSAT</t>
        </is>
      </c>
      <c r="C625" s="5" t="inlineStr">
        <is>
          <t>EXPERIENCIA INSTITUCIONAL</t>
        </is>
      </c>
      <c r="D625" s="13" t="inlineStr">
        <is>
          <t>Trimestral</t>
        </is>
      </c>
      <c r="E625" s="5" t="inlineStr">
        <is>
          <t>Positivo</t>
        </is>
      </c>
      <c r="F625" s="144" t="n">
        <v>46022</v>
      </c>
      <c r="G625" s="16" t="n">
        <v>2025</v>
      </c>
      <c r="H625" s="6" t="inlineStr">
        <is>
          <t>Diciembre</t>
        </is>
      </c>
      <c r="I625" s="6" t="inlineStr">
        <is>
          <t>2025-2</t>
        </is>
      </c>
      <c r="J625" s="5" t="n">
        <v>85</v>
      </c>
      <c r="K625" s="86" t="n">
        <v>89.90000000000001</v>
      </c>
      <c r="L625" s="28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359-2025-12-31</t>
        </is>
      </c>
    </row>
    <row r="626">
      <c r="A626" s="5" t="n">
        <v>361</v>
      </c>
      <c r="B626" s="5" t="inlineStr">
        <is>
          <t>Índice de Inclusión</t>
        </is>
      </c>
      <c r="C626" s="5" t="inlineStr">
        <is>
          <t>Gestión de la Responsabilidad Social</t>
        </is>
      </c>
      <c r="D626" s="13" t="inlineStr">
        <is>
          <t>Anual</t>
        </is>
      </c>
      <c r="E626" s="5" t="inlineStr">
        <is>
          <t>Positivo</t>
        </is>
      </c>
      <c r="F626" s="144" t="n">
        <v>45291</v>
      </c>
      <c r="G626" s="16" t="n">
        <v>2023</v>
      </c>
      <c r="H626" s="6" t="inlineStr">
        <is>
          <t>Diciembre</t>
        </is>
      </c>
      <c r="I626" s="6" t="inlineStr">
        <is>
          <t>2023-2</t>
        </is>
      </c>
      <c r="J626" s="5" t="n">
        <v>4.5</v>
      </c>
      <c r="K626" s="5" t="n">
        <v>4.56</v>
      </c>
      <c r="L626" s="28">
        <f>IFERROR(IF(OR(J626=0,K626=""),"",IF(E626="Positivo",MIN(MAX(K626/J626,0),1.3),MIN(MAX(J626/K626,0),1.3))),"") </f>
        <v/>
      </c>
      <c r="M626" s="28">
        <f>IFERROR(IF(OR(J626=0,K626=""),"",IF(E626="Positivo",MAX(K626/J626,0),MAX(J626/K626,0))),"") </f>
        <v/>
      </c>
      <c r="N626" s="5" t="inlineStr">
        <is>
          <t>DEC</t>
        </is>
      </c>
      <c r="O626" s="5" t="inlineStr">
        <is>
          <t>DEC</t>
        </is>
      </c>
      <c r="P626" s="5" t="n">
        <v>1</v>
      </c>
      <c r="Q626" s="5" t="n">
        <v>2</v>
      </c>
      <c r="R626" s="5" t="inlineStr">
        <is>
          <t>361-2023-12-31</t>
        </is>
      </c>
    </row>
    <row r="627">
      <c r="A627" s="5" t="n">
        <v>361</v>
      </c>
      <c r="B627" s="5" t="inlineStr">
        <is>
          <t>Índice de Inclusión</t>
        </is>
      </c>
      <c r="C627" s="5" t="inlineStr">
        <is>
          <t>Gestión de la Responsabilidad Social</t>
        </is>
      </c>
      <c r="D627" s="13" t="inlineStr">
        <is>
          <t>Anual</t>
        </is>
      </c>
      <c r="E627" s="5" t="inlineStr">
        <is>
          <t>Positivo</t>
        </is>
      </c>
      <c r="F627" s="144" t="n">
        <v>45657</v>
      </c>
      <c r="G627" s="16" t="n">
        <v>2024</v>
      </c>
      <c r="H627" s="6" t="inlineStr">
        <is>
          <t>Diciembre</t>
        </is>
      </c>
      <c r="I627" s="6" t="inlineStr">
        <is>
          <t>2024-2</t>
        </is>
      </c>
      <c r="J627" s="5" t="n"/>
      <c r="K627" s="5" t="n"/>
      <c r="L627" s="28" t="n"/>
      <c r="M627" s="28" t="n"/>
      <c r="N627" s="5" t="inlineStr">
        <is>
          <t>No Aplica</t>
        </is>
      </c>
      <c r="O627" s="5" t="inlineStr">
        <is>
          <t>No Aplica</t>
        </is>
      </c>
      <c r="P627" s="5" t="n">
        <v>1</v>
      </c>
      <c r="Q627" s="5" t="n">
        <v>2</v>
      </c>
      <c r="R627" s="5" t="inlineStr">
        <is>
          <t>361-2024-12-31</t>
        </is>
      </c>
    </row>
    <row r="628">
      <c r="A628" s="5" t="n">
        <v>361</v>
      </c>
      <c r="B628" s="5" t="inlineStr">
        <is>
          <t>Índice de Inclusión</t>
        </is>
      </c>
      <c r="C628" s="5" t="inlineStr">
        <is>
          <t>Gestión de la Responsabilidad Social</t>
        </is>
      </c>
      <c r="D628" s="13" t="inlineStr">
        <is>
          <t>Anual</t>
        </is>
      </c>
      <c r="E628" s="5" t="inlineStr">
        <is>
          <t>Positivo</t>
        </is>
      </c>
      <c r="F628" s="144" t="n">
        <v>46022</v>
      </c>
      <c r="G628" s="16" t="n">
        <v>2025</v>
      </c>
      <c r="H628" s="6" t="inlineStr">
        <is>
          <t>Diciembre</t>
        </is>
      </c>
      <c r="I628" s="6" t="inlineStr">
        <is>
          <t>2025-2</t>
        </is>
      </c>
      <c r="J628" s="5" t="n">
        <v>4.6</v>
      </c>
      <c r="K628" s="5" t="n">
        <v>4.78</v>
      </c>
      <c r="L628" s="28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inlineStr">
        <is>
          <t>DEC</t>
        </is>
      </c>
      <c r="O628" s="5" t="inlineStr">
        <is>
          <t>DEC</t>
        </is>
      </c>
      <c r="P628" s="5" t="n">
        <v>1</v>
      </c>
      <c r="Q628" s="5" t="n">
        <v>2</v>
      </c>
      <c r="R628" s="5" t="inlineStr">
        <is>
          <t>361-2025-12-31</t>
        </is>
      </c>
    </row>
    <row r="629">
      <c r="A629" s="5" t="n">
        <v>362</v>
      </c>
      <c r="B629" s="5" t="inlineStr">
        <is>
          <t>Aseguramiento de matricula académica presencial</t>
        </is>
      </c>
      <c r="C629" s="5" t="inlineStr">
        <is>
          <t>Operaciones Académicas</t>
        </is>
      </c>
      <c r="D629" s="13" t="inlineStr">
        <is>
          <t>Semestral</t>
        </is>
      </c>
      <c r="E629" s="5" t="inlineStr">
        <is>
          <t>Positivo</t>
        </is>
      </c>
      <c r="F629" s="144" t="n">
        <v>45291</v>
      </c>
      <c r="G629" s="16" t="n">
        <v>2023</v>
      </c>
      <c r="H629" s="6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99.156641448592</v>
      </c>
      <c r="L629" s="28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362-2023-12-31</t>
        </is>
      </c>
    </row>
    <row r="630">
      <c r="A630" s="5" t="n">
        <v>362</v>
      </c>
      <c r="B630" s="5" t="inlineStr">
        <is>
          <t>Aseguramiento de matricula académica presencial</t>
        </is>
      </c>
      <c r="C630" s="5" t="inlineStr">
        <is>
          <t>Operaciones Académicas</t>
        </is>
      </c>
      <c r="D630" s="13" t="inlineStr">
        <is>
          <t>Semestral</t>
        </is>
      </c>
      <c r="E630" s="5" t="inlineStr">
        <is>
          <t>Positivo</t>
        </is>
      </c>
      <c r="F630" s="144" t="n">
        <v>45657</v>
      </c>
      <c r="G630" s="16" t="n">
        <v>2024</v>
      </c>
      <c r="H630" s="6" t="inlineStr">
        <is>
          <t>Diciembre</t>
        </is>
      </c>
      <c r="I630" s="6" t="inlineStr">
        <is>
          <t>2024-2</t>
        </is>
      </c>
      <c r="J630" s="5" t="n">
        <v>196</v>
      </c>
      <c r="K630" s="5" t="n">
        <v>199.0743230403801</v>
      </c>
      <c r="L630" s="28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 t="inlineStr">
        <is>
          <t>362-2024-12-31</t>
        </is>
      </c>
    </row>
    <row r="631">
      <c r="A631" s="5" t="n">
        <v>362</v>
      </c>
      <c r="B631" s="5" t="inlineStr">
        <is>
          <t>Aseguramiento de matricula académica presencial</t>
        </is>
      </c>
      <c r="C631" s="5" t="inlineStr">
        <is>
          <t>Operaciones Académicas</t>
        </is>
      </c>
      <c r="D631" s="13" t="inlineStr">
        <is>
          <t>Trimestral</t>
        </is>
      </c>
      <c r="E631" s="5" t="inlineStr">
        <is>
          <t>Positivo</t>
        </is>
      </c>
      <c r="F631" s="144" t="n">
        <v>46022</v>
      </c>
      <c r="G631" s="16" t="n">
        <v>2025</v>
      </c>
      <c r="H631" s="6" t="inlineStr">
        <is>
          <t>Diciembre</t>
        </is>
      </c>
      <c r="I631" s="6" t="inlineStr">
        <is>
          <t>2025-2</t>
        </is>
      </c>
      <c r="J631" s="5" t="n">
        <v>196</v>
      </c>
      <c r="K631" s="5" t="n">
        <v>199.33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362-2025-12-31</t>
        </is>
      </c>
    </row>
    <row r="632">
      <c r="A632" s="5" t="n">
        <v>363</v>
      </c>
      <c r="B632" s="5" t="inlineStr">
        <is>
          <t>Seguimiento a la parametrización de aulas master y secciones de asignaturas</t>
        </is>
      </c>
      <c r="C632" s="5" t="inlineStr">
        <is>
          <t>Operaciones Académicas</t>
        </is>
      </c>
      <c r="D632" s="13" t="inlineStr">
        <is>
          <t>Semestral</t>
        </is>
      </c>
      <c r="E632" s="5" t="inlineStr">
        <is>
          <t>Positivo</t>
        </is>
      </c>
      <c r="F632" s="144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100</v>
      </c>
      <c r="K632" s="5" t="n">
        <v>100</v>
      </c>
      <c r="L632" s="28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363-2023-12-31</t>
        </is>
      </c>
    </row>
    <row r="633">
      <c r="A633" s="5" t="n">
        <v>363</v>
      </c>
      <c r="B633" s="5" t="inlineStr">
        <is>
          <t>Seguimiento a la parametrización de aulas master y secciones de asignaturas</t>
        </is>
      </c>
      <c r="C633" s="5" t="inlineStr">
        <is>
          <t>Operaciones Académicas</t>
        </is>
      </c>
      <c r="D633" s="13" t="inlineStr">
        <is>
          <t>Semestral</t>
        </is>
      </c>
      <c r="E633" s="5" t="inlineStr">
        <is>
          <t>Positivo</t>
        </is>
      </c>
      <c r="F633" s="144" t="n">
        <v>45657</v>
      </c>
      <c r="G633" s="16" t="n">
        <v>2024</v>
      </c>
      <c r="H633" s="6" t="inlineStr">
        <is>
          <t>Diciembre</t>
        </is>
      </c>
      <c r="I633" s="6" t="inlineStr">
        <is>
          <t>2024-2</t>
        </is>
      </c>
      <c r="J633" s="5" t="n">
        <v>100</v>
      </c>
      <c r="K633" s="5" t="n">
        <v>100</v>
      </c>
      <c r="L633" s="28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363-2024-12-31</t>
        </is>
      </c>
    </row>
    <row r="634">
      <c r="A634" s="5" t="n">
        <v>363</v>
      </c>
      <c r="B634" s="5" t="inlineStr">
        <is>
          <t>Seguimiento a la parametrización de aulas master y secciones de asignaturas</t>
        </is>
      </c>
      <c r="C634" s="5" t="inlineStr">
        <is>
          <t>Operaciones Académicas</t>
        </is>
      </c>
      <c r="D634" s="13" t="inlineStr">
        <is>
          <t>Trimestral</t>
        </is>
      </c>
      <c r="E634" s="5" t="inlineStr">
        <is>
          <t>Positivo</t>
        </is>
      </c>
      <c r="F634" s="144" t="n">
        <v>46022</v>
      </c>
      <c r="G634" s="16" t="n">
        <v>2025</v>
      </c>
      <c r="H634" s="6" t="inlineStr">
        <is>
          <t>Diciembre</t>
        </is>
      </c>
      <c r="I634" s="6" t="inlineStr">
        <is>
          <t>2025-2</t>
        </is>
      </c>
      <c r="J634" s="5" t="n">
        <v>100</v>
      </c>
      <c r="K634" s="5" t="n">
        <v>100</v>
      </c>
      <c r="L634" s="28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363-2025-12-31</t>
        </is>
      </c>
    </row>
    <row r="635">
      <c r="A635" s="5" t="n">
        <v>364</v>
      </c>
      <c r="B635" s="5" t="inlineStr">
        <is>
          <t>Impacto de actividades de Responsabilidad y proyección</t>
        </is>
      </c>
      <c r="C635" s="5" t="inlineStr">
        <is>
          <t>Gestión de la Responsabilidad Social</t>
        </is>
      </c>
      <c r="D635" s="13" t="inlineStr">
        <is>
          <t>Semestral</t>
        </is>
      </c>
      <c r="E635" s="5" t="inlineStr">
        <is>
          <t>Positivo</t>
        </is>
      </c>
      <c r="F635" s="144" t="n">
        <v>45291</v>
      </c>
      <c r="G635" s="16" t="n">
        <v>2023</v>
      </c>
      <c r="H635" s="6" t="inlineStr">
        <is>
          <t>Diciembre</t>
        </is>
      </c>
      <c r="I635" s="6" t="inlineStr">
        <is>
          <t>2023-2</t>
        </is>
      </c>
      <c r="J635" s="5" t="n"/>
      <c r="K635" s="5" t="n">
        <v>108694</v>
      </c>
      <c r="L635" s="28" t="n"/>
      <c r="M635" s="28" t="n"/>
      <c r="N635" s="5" t="inlineStr">
        <is>
          <t>Linea Base</t>
        </is>
      </c>
      <c r="O635" s="5" t="inlineStr">
        <is>
          <t>ENT</t>
        </is>
      </c>
      <c r="P635" s="5" t="n">
        <v>0</v>
      </c>
      <c r="Q635" s="5" t="n">
        <v>0</v>
      </c>
      <c r="R635" s="5" t="inlineStr">
        <is>
          <t>364-2023-12-31</t>
        </is>
      </c>
    </row>
    <row r="636">
      <c r="A636" s="5" t="n">
        <v>364</v>
      </c>
      <c r="B636" s="5" t="inlineStr">
        <is>
          <t>Impacto de actividades de Responsabilidad y proyección</t>
        </is>
      </c>
      <c r="C636" s="5" t="inlineStr">
        <is>
          <t>Gestión de la Responsabilidad Social</t>
        </is>
      </c>
      <c r="D636" s="13" t="inlineStr">
        <is>
          <t>Semestral</t>
        </is>
      </c>
      <c r="E636" s="5" t="inlineStr">
        <is>
          <t>Positivo</t>
        </is>
      </c>
      <c r="F636" s="144" t="n">
        <v>45657</v>
      </c>
      <c r="G636" s="16" t="n">
        <v>2024</v>
      </c>
      <c r="H636" s="6" t="inlineStr">
        <is>
          <t>Diciembre</t>
        </is>
      </c>
      <c r="I636" s="6" t="inlineStr">
        <is>
          <t>2024-2</t>
        </is>
      </c>
      <c r="J636" s="5" t="n">
        <v>200</v>
      </c>
      <c r="K636" s="5" t="n">
        <v>230.82</v>
      </c>
      <c r="L636" s="28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 t="inlineStr">
        <is>
          <t>364-2024-12-31</t>
        </is>
      </c>
    </row>
    <row r="637">
      <c r="A637" s="5" t="n">
        <v>364</v>
      </c>
      <c r="B637" s="5" t="inlineStr">
        <is>
          <t>Impacto de actividades de Responsabilidad y proyección</t>
        </is>
      </c>
      <c r="C637" s="5" t="inlineStr">
        <is>
          <t>Gestión de la Responsabilidad Social</t>
        </is>
      </c>
      <c r="D637" s="13" t="inlineStr">
        <is>
          <t>Semestral</t>
        </is>
      </c>
      <c r="E637" s="5" t="inlineStr">
        <is>
          <t>Negativo</t>
        </is>
      </c>
      <c r="F637" s="144" t="n">
        <v>46022</v>
      </c>
      <c r="G637" s="16" t="n">
        <v>2025</v>
      </c>
      <c r="H637" s="6" t="inlineStr">
        <is>
          <t>Diciembre</t>
        </is>
      </c>
      <c r="I637" s="6" t="inlineStr">
        <is>
          <t>2025-2</t>
        </is>
      </c>
      <c r="J637" s="5" t="n">
        <v>200</v>
      </c>
      <c r="K637" s="5" t="n">
        <v>172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 t="inlineStr">
        <is>
          <t>364-2025-12-31</t>
        </is>
      </c>
    </row>
    <row r="638">
      <c r="A638" s="5" t="n">
        <v>365</v>
      </c>
      <c r="B638" s="5" t="inlineStr">
        <is>
          <t>Seguimiento de asignación docente a NRC Pregrado-Posgrado Presencial</t>
        </is>
      </c>
      <c r="C638" s="5" t="inlineStr">
        <is>
          <t>Operaciones Académicas</t>
        </is>
      </c>
      <c r="D638" s="13" t="inlineStr">
        <is>
          <t>Semestral</t>
        </is>
      </c>
      <c r="E638" s="5" t="inlineStr">
        <is>
          <t>Positivo</t>
        </is>
      </c>
      <c r="F638" s="144" t="n">
        <v>45291</v>
      </c>
      <c r="G638" s="16" t="n">
        <v>2023</v>
      </c>
      <c r="H638" s="6" t="inlineStr">
        <is>
          <t>Diciembre</t>
        </is>
      </c>
      <c r="I638" s="6" t="inlineStr">
        <is>
          <t>2023-2</t>
        </is>
      </c>
      <c r="J638" s="5" t="n">
        <v>100</v>
      </c>
      <c r="K638" s="5" t="n">
        <v>100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 t="inlineStr">
        <is>
          <t>365-2023-12-31</t>
        </is>
      </c>
    </row>
    <row r="639">
      <c r="A639" s="5" t="n">
        <v>366</v>
      </c>
      <c r="B639" s="5" t="inlineStr">
        <is>
          <t>Normalización de cobros pecuniarios</t>
        </is>
      </c>
      <c r="C639" s="5" t="inlineStr">
        <is>
          <t>Operaciones Académicas</t>
        </is>
      </c>
      <c r="D639" s="13" t="inlineStr">
        <is>
          <t>Anual</t>
        </is>
      </c>
      <c r="E639" s="5" t="inlineStr">
        <is>
          <t>Positivo</t>
        </is>
      </c>
      <c r="F639" s="144" t="n">
        <v>45291</v>
      </c>
      <c r="G639" s="16" t="n">
        <v>2023</v>
      </c>
      <c r="H639" s="6" t="inlineStr">
        <is>
          <t>Diciembre</t>
        </is>
      </c>
      <c r="I639" s="6" t="inlineStr">
        <is>
          <t>2023-2</t>
        </is>
      </c>
      <c r="J639" s="5" t="n">
        <v>100</v>
      </c>
      <c r="K639" s="5" t="n">
        <v>100</v>
      </c>
      <c r="L639" s="28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366-2023-12-31</t>
        </is>
      </c>
    </row>
    <row r="640">
      <c r="A640" s="5" t="n">
        <v>366</v>
      </c>
      <c r="B640" s="5" t="inlineStr">
        <is>
          <t>Normalización de cobros pecuniarios</t>
        </is>
      </c>
      <c r="C640" s="5" t="inlineStr">
        <is>
          <t>Operaciones Académicas</t>
        </is>
      </c>
      <c r="D640" s="13" t="inlineStr">
        <is>
          <t>Anual</t>
        </is>
      </c>
      <c r="E640" s="5" t="inlineStr">
        <is>
          <t>Positivo</t>
        </is>
      </c>
      <c r="F640" s="144" t="n">
        <v>45657</v>
      </c>
      <c r="G640" s="16" t="n">
        <v>2024</v>
      </c>
      <c r="H640" s="6" t="inlineStr">
        <is>
          <t>Diciembre</t>
        </is>
      </c>
      <c r="I640" s="6" t="inlineStr">
        <is>
          <t>2024-2</t>
        </is>
      </c>
      <c r="J640" s="5" t="n">
        <v>100</v>
      </c>
      <c r="K640" s="5" t="n">
        <v>100</v>
      </c>
      <c r="L640" s="28">
        <f>IFERROR(IF(OR(J640=0,K640=""),"",IF(E640="Positivo",MIN(MAX(K640/J640,0),1.3),MIN(MAX(J640/K640,0),1.3))),"") </f>
        <v/>
      </c>
      <c r="M640" s="28">
        <f>IFERROR(IF(OR(J640=0,K640=""),"",IF(E640="Positivo",MAX(K640/J640,0),MAX(J640/K640,0))),"") 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366-2024-12-31</t>
        </is>
      </c>
    </row>
    <row r="641">
      <c r="A641" s="5" t="n">
        <v>366</v>
      </c>
      <c r="B641" s="5" t="inlineStr">
        <is>
          <t>Normalización de cobros pecuniarios</t>
        </is>
      </c>
      <c r="C641" s="5" t="inlineStr">
        <is>
          <t>Operaciones Académicas</t>
        </is>
      </c>
      <c r="D641" s="13" t="inlineStr">
        <is>
          <t>Anual</t>
        </is>
      </c>
      <c r="E641" s="5" t="inlineStr">
        <is>
          <t>Positivo</t>
        </is>
      </c>
      <c r="F641" s="144" t="n">
        <v>46022</v>
      </c>
      <c r="G641" s="16" t="n">
        <v>2025</v>
      </c>
      <c r="H641" s="6" t="inlineStr">
        <is>
          <t>Diciembre</t>
        </is>
      </c>
      <c r="I641" s="6" t="inlineStr">
        <is>
          <t>2025-2</t>
        </is>
      </c>
      <c r="J641" s="5" t="n">
        <v>100</v>
      </c>
      <c r="K641" s="5" t="n">
        <v>100</v>
      </c>
      <c r="L641" s="28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366-2025-12-31</t>
        </is>
      </c>
    </row>
    <row r="642">
      <c r="A642" s="5" t="n">
        <v>367</v>
      </c>
      <c r="B642" s="5" t="inlineStr">
        <is>
          <t>% Estudiantes con Becas</t>
        </is>
      </c>
      <c r="C642" s="5" t="inlineStr">
        <is>
          <t>Gestión de la Responsabilidad Social</t>
        </is>
      </c>
      <c r="D642" s="13" t="inlineStr">
        <is>
          <t>Anual</t>
        </is>
      </c>
      <c r="E642" s="5" t="inlineStr">
        <is>
          <t>Positivo</t>
        </is>
      </c>
      <c r="F642" s="144" t="n">
        <v>45291</v>
      </c>
      <c r="G642" s="16" t="n">
        <v>2023</v>
      </c>
      <c r="H642" s="6" t="inlineStr">
        <is>
          <t>Diciembre</t>
        </is>
      </c>
      <c r="I642" s="6" t="inlineStr">
        <is>
          <t>2023-2</t>
        </is>
      </c>
      <c r="J642" s="5" t="n">
        <v>5</v>
      </c>
      <c r="K642" s="5" t="n">
        <v>6.249756705204562</v>
      </c>
      <c r="L642" s="28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2</v>
      </c>
      <c r="R642" s="5" t="inlineStr">
        <is>
          <t>367-2023-12-31</t>
        </is>
      </c>
    </row>
    <row r="643">
      <c r="A643" s="5" t="n">
        <v>367</v>
      </c>
      <c r="B643" s="5" t="inlineStr">
        <is>
          <t>% Estudiantes con Becas</t>
        </is>
      </c>
      <c r="C643" s="5" t="inlineStr">
        <is>
          <t>Gestión de la Responsabilidad Social</t>
        </is>
      </c>
      <c r="D643" s="13" t="inlineStr">
        <is>
          <t>Anual</t>
        </is>
      </c>
      <c r="E643" s="5" t="inlineStr">
        <is>
          <t>Positivo</t>
        </is>
      </c>
      <c r="F643" s="144" t="n">
        <v>45657</v>
      </c>
      <c r="G643" s="16" t="n">
        <v>2024</v>
      </c>
      <c r="H643" s="6" t="inlineStr">
        <is>
          <t>Diciembre</t>
        </is>
      </c>
      <c r="I643" s="6" t="inlineStr">
        <is>
          <t>2024-2</t>
        </is>
      </c>
      <c r="J643" s="5" t="n">
        <v>5</v>
      </c>
      <c r="K643" s="5" t="n">
        <v>4.96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2</v>
      </c>
      <c r="R643" s="5" t="inlineStr">
        <is>
          <t>367-2024-12-31</t>
        </is>
      </c>
    </row>
    <row r="644">
      <c r="A644" s="5" t="n">
        <v>367</v>
      </c>
      <c r="B644" s="5" t="inlineStr">
        <is>
          <t>% Estudiantes con Becas</t>
        </is>
      </c>
      <c r="C644" s="5" t="inlineStr">
        <is>
          <t>Gestión de la Responsabilidad Social</t>
        </is>
      </c>
      <c r="D644" s="13" t="inlineStr">
        <is>
          <t>Anual</t>
        </is>
      </c>
      <c r="E644" s="5" t="inlineStr">
        <is>
          <t>Positivo</t>
        </is>
      </c>
      <c r="F644" s="144" t="n">
        <v>46022</v>
      </c>
      <c r="G644" s="16" t="n">
        <v>2025</v>
      </c>
      <c r="H644" s="6" t="inlineStr">
        <is>
          <t>Diciembre</t>
        </is>
      </c>
      <c r="I644" s="6" t="inlineStr">
        <is>
          <t>2025-2</t>
        </is>
      </c>
      <c r="J644" s="5" t="n">
        <v>5</v>
      </c>
      <c r="K644" s="5" t="n">
        <v>3.82</v>
      </c>
      <c r="L644" s="28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2</v>
      </c>
      <c r="R644" s="5" t="inlineStr">
        <is>
          <t>367-2025-12-31</t>
        </is>
      </c>
    </row>
    <row r="645">
      <c r="A645" s="5" t="n">
        <v>368</v>
      </c>
      <c r="B645" s="5" t="inlineStr">
        <is>
          <t>Satisfacción de los estudiantes de Educación para toda la vida</t>
        </is>
      </c>
      <c r="C645" s="5" t="inlineStr">
        <is>
          <t>Operación de Educación no Formal</t>
        </is>
      </c>
      <c r="D645" s="13" t="inlineStr">
        <is>
          <t>Trimestral</t>
        </is>
      </c>
      <c r="E645" s="5" t="inlineStr">
        <is>
          <t>Positivo</t>
        </is>
      </c>
      <c r="F645" s="144" t="n">
        <v>45291</v>
      </c>
      <c r="G645" s="16" t="n">
        <v>2023</v>
      </c>
      <c r="H645" s="6" t="inlineStr">
        <is>
          <t>Diciembre</t>
        </is>
      </c>
      <c r="I645" s="6" t="inlineStr">
        <is>
          <t>2023-2</t>
        </is>
      </c>
      <c r="J645" s="5" t="n">
        <v>90</v>
      </c>
      <c r="K645" s="5" t="n">
        <v>94.5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368-2023-12-31</t>
        </is>
      </c>
    </row>
    <row r="646">
      <c r="A646" s="5" t="n">
        <v>368</v>
      </c>
      <c r="B646" s="5" t="inlineStr">
        <is>
          <t>Satisfacción de los estudiantes de Educación para toda la vida</t>
        </is>
      </c>
      <c r="C646" s="5" t="inlineStr">
        <is>
          <t>Operación de Educación no Formal</t>
        </is>
      </c>
      <c r="D646" s="13" t="inlineStr">
        <is>
          <t>Trimestral</t>
        </is>
      </c>
      <c r="E646" s="5" t="inlineStr">
        <is>
          <t>Positivo</t>
        </is>
      </c>
      <c r="F646" s="144" t="n">
        <v>45657</v>
      </c>
      <c r="G646" s="16" t="n">
        <v>2024</v>
      </c>
      <c r="H646" s="6" t="inlineStr">
        <is>
          <t>Diciembre</t>
        </is>
      </c>
      <c r="I646" s="6" t="inlineStr">
        <is>
          <t>2024-2</t>
        </is>
      </c>
      <c r="J646" s="5" t="n">
        <v>90</v>
      </c>
      <c r="K646" s="5" t="n">
        <v>94.25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368-2024-12-31</t>
        </is>
      </c>
    </row>
    <row r="647">
      <c r="A647" s="5" t="n">
        <v>368</v>
      </c>
      <c r="B647" s="5" t="inlineStr">
        <is>
          <t>Satisfacción de los estudiantes de Educación para toda la vida</t>
        </is>
      </c>
      <c r="C647" s="5" t="inlineStr">
        <is>
          <t>Operación de nuevos negocios y CI</t>
        </is>
      </c>
      <c r="D647" s="13" t="inlineStr">
        <is>
          <t>Semestral</t>
        </is>
      </c>
      <c r="E647" s="5" t="inlineStr">
        <is>
          <t>Positivo</t>
        </is>
      </c>
      <c r="F647" s="144" t="n">
        <v>46022</v>
      </c>
      <c r="G647" s="16" t="n">
        <v>2025</v>
      </c>
      <c r="H647" s="6" t="inlineStr">
        <is>
          <t>Diciembre</t>
        </is>
      </c>
      <c r="I647" s="6" t="inlineStr">
        <is>
          <t>2025-2</t>
        </is>
      </c>
      <c r="J647" s="5" t="n">
        <v>93</v>
      </c>
      <c r="K647" s="5" t="n">
        <v>95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368-2025-12-31</t>
        </is>
      </c>
    </row>
    <row r="648">
      <c r="A648" s="5" t="n">
        <v>369</v>
      </c>
      <c r="B648" s="5" t="inlineStr">
        <is>
          <t>Participación de POLI- voluntariados (Estudiantes- Colaboradores)</t>
        </is>
      </c>
      <c r="C648" s="5" t="inlineStr">
        <is>
          <t>Gestión de la Responsabilidad Social</t>
        </is>
      </c>
      <c r="D648" s="13" t="inlineStr">
        <is>
          <t>Semestral</t>
        </is>
      </c>
      <c r="E648" s="5" t="inlineStr">
        <is>
          <t>Positivo</t>
        </is>
      </c>
      <c r="F648" s="144" t="n">
        <v>45291</v>
      </c>
      <c r="G648" s="16" t="n">
        <v>2023</v>
      </c>
      <c r="H648" s="6" t="inlineStr">
        <is>
          <t>Diciembre</t>
        </is>
      </c>
      <c r="I648" s="6" t="inlineStr">
        <is>
          <t>2023-2</t>
        </is>
      </c>
      <c r="J648" s="5" t="n"/>
      <c r="K648" s="5" t="n">
        <v>174</v>
      </c>
      <c r="L648" s="28" t="n"/>
      <c r="M648" s="28" t="n"/>
      <c r="N648" s="5" t="inlineStr">
        <is>
          <t>Linea Base</t>
        </is>
      </c>
      <c r="O648" s="5" t="inlineStr">
        <is>
          <t>ENT</t>
        </is>
      </c>
      <c r="P648" s="5" t="n">
        <v>0</v>
      </c>
      <c r="Q648" s="5" t="n">
        <v>0</v>
      </c>
      <c r="R648" s="5" t="inlineStr">
        <is>
          <t>369-2023-12-31</t>
        </is>
      </c>
    </row>
    <row r="649">
      <c r="A649" s="5" t="n">
        <v>369</v>
      </c>
      <c r="B649" s="5" t="inlineStr">
        <is>
          <t>Participación de POLI- voluntariados (Estudiantes- Colaboradores)</t>
        </is>
      </c>
      <c r="C649" s="5" t="inlineStr">
        <is>
          <t>Gestión de la Responsabilidad Social</t>
        </is>
      </c>
      <c r="D649" s="13" t="inlineStr">
        <is>
          <t>Semestral</t>
        </is>
      </c>
      <c r="E649" s="5" t="inlineStr">
        <is>
          <t>Positivo</t>
        </is>
      </c>
      <c r="F649" s="144" t="n">
        <v>45657</v>
      </c>
      <c r="G649" s="16" t="n">
        <v>2024</v>
      </c>
      <c r="H649" s="6" t="inlineStr">
        <is>
          <t>Diciembre</t>
        </is>
      </c>
      <c r="I649" s="6" t="inlineStr">
        <is>
          <t>2024-2</t>
        </is>
      </c>
      <c r="J649" s="5" t="n">
        <v>200</v>
      </c>
      <c r="K649" s="5" t="n">
        <v>147.55</v>
      </c>
      <c r="L649" s="28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ENT</t>
        </is>
      </c>
      <c r="O649" s="5" t="inlineStr">
        <is>
          <t>ENT</t>
        </is>
      </c>
      <c r="P649" s="5" t="n">
        <v>0</v>
      </c>
      <c r="Q649" s="5" t="n">
        <v>0</v>
      </c>
      <c r="R649" s="5" t="inlineStr">
        <is>
          <t>369-2024-12-31</t>
        </is>
      </c>
    </row>
    <row r="650">
      <c r="A650" s="5" t="n">
        <v>369</v>
      </c>
      <c r="B650" s="5" t="inlineStr">
        <is>
          <t>Participación de POLI- voluntariados (Estudiantes- Colaboradores)</t>
        </is>
      </c>
      <c r="C650" s="5" t="inlineStr">
        <is>
          <t>Gestión de la Responsabilidad Social</t>
        </is>
      </c>
      <c r="D650" s="13" t="inlineStr">
        <is>
          <t>Semestral</t>
        </is>
      </c>
      <c r="E650" s="5" t="inlineStr">
        <is>
          <t>Positivo</t>
        </is>
      </c>
      <c r="F650" s="144" t="n">
        <v>46022</v>
      </c>
      <c r="G650" s="16" t="n">
        <v>2025</v>
      </c>
      <c r="H650" s="6" t="inlineStr">
        <is>
          <t>Diciembre</t>
        </is>
      </c>
      <c r="I650" s="6" t="inlineStr">
        <is>
          <t>2025-2</t>
        </is>
      </c>
      <c r="J650" s="5" t="n">
        <v>200</v>
      </c>
      <c r="K650" s="5" t="n">
        <v>197.15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ENT</t>
        </is>
      </c>
      <c r="O650" s="5" t="inlineStr">
        <is>
          <t>ENT</t>
        </is>
      </c>
      <c r="P650" s="5" t="n">
        <v>0</v>
      </c>
      <c r="Q650" s="5" t="n">
        <v>0</v>
      </c>
      <c r="R650" s="5" t="inlineStr">
        <is>
          <t>369-2025-12-31</t>
        </is>
      </c>
    </row>
    <row r="651">
      <c r="A651" s="5" t="n">
        <v>370</v>
      </c>
      <c r="B651" s="5" t="inlineStr">
        <is>
          <t>Oportunidades de mejora - Huella Verde</t>
        </is>
      </c>
      <c r="C651" s="5" t="inlineStr">
        <is>
          <t>Gestión de la Responsabilidad Social</t>
        </is>
      </c>
      <c r="D651" s="13" t="inlineStr">
        <is>
          <t>Semestral</t>
        </is>
      </c>
      <c r="E651" s="5" t="inlineStr">
        <is>
          <t>Positivo</t>
        </is>
      </c>
      <c r="F651" s="144" t="n">
        <v>45291</v>
      </c>
      <c r="G651" s="16" t="n">
        <v>2023</v>
      </c>
      <c r="H651" s="6" t="inlineStr">
        <is>
          <t>Diciembre</t>
        </is>
      </c>
      <c r="I651" s="6" t="inlineStr">
        <is>
          <t>2023-2</t>
        </is>
      </c>
      <c r="J651" s="5" t="n"/>
      <c r="K651" s="5" t="n"/>
      <c r="L651" s="28" t="n"/>
      <c r="M651" s="28" t="n"/>
      <c r="N651" s="5" t="inlineStr">
        <is>
          <t>ENT</t>
        </is>
      </c>
      <c r="O651" s="5" t="inlineStr">
        <is>
          <t>ENT</t>
        </is>
      </c>
      <c r="P651" s="5" t="n">
        <v>0</v>
      </c>
      <c r="Q651" s="5" t="n">
        <v>0</v>
      </c>
      <c r="R651" s="5" t="inlineStr">
        <is>
          <t>370-2023-12-31</t>
        </is>
      </c>
    </row>
    <row r="652">
      <c r="A652" s="5" t="n">
        <v>371</v>
      </c>
      <c r="B652" s="5" t="inlineStr">
        <is>
          <t>Recaudación de fondos</t>
        </is>
      </c>
      <c r="C652" s="5" t="inlineStr">
        <is>
          <t>Gestión de la Responsabilidad Social</t>
        </is>
      </c>
      <c r="D652" s="13" t="inlineStr">
        <is>
          <t>Semestral</t>
        </is>
      </c>
      <c r="E652" s="5" t="inlineStr">
        <is>
          <t>Positivo</t>
        </is>
      </c>
      <c r="F652" s="144" t="n">
        <v>45291</v>
      </c>
      <c r="G652" s="16" t="n">
        <v>2023</v>
      </c>
      <c r="H652" s="6" t="inlineStr">
        <is>
          <t>Diciembre</t>
        </is>
      </c>
      <c r="I652" s="6" t="inlineStr">
        <is>
          <t>2023-2</t>
        </is>
      </c>
      <c r="J652" s="5" t="n">
        <v>200</v>
      </c>
      <c r="K652" s="5" t="n">
        <v>330.57274243636</v>
      </c>
      <c r="L652" s="28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$</t>
        </is>
      </c>
      <c r="O652" s="5" t="inlineStr">
        <is>
          <t>$</t>
        </is>
      </c>
      <c r="P652" s="5" t="n">
        <v>0</v>
      </c>
      <c r="Q652" s="5" t="n">
        <v>0</v>
      </c>
      <c r="R652" s="5" t="inlineStr">
        <is>
          <t>371-2023-12-31</t>
        </is>
      </c>
    </row>
    <row r="653">
      <c r="A653" s="5" t="n">
        <v>371</v>
      </c>
      <c r="B653" s="5" t="inlineStr">
        <is>
          <t>Recaudación de fondos</t>
        </is>
      </c>
      <c r="C653" s="5" t="inlineStr">
        <is>
          <t>Gestión de la Responsabilidad Social</t>
        </is>
      </c>
      <c r="D653" s="13" t="inlineStr">
        <is>
          <t>Semestral</t>
        </is>
      </c>
      <c r="E653" s="5" t="inlineStr">
        <is>
          <t>Positivo</t>
        </is>
      </c>
      <c r="F653" s="144" t="n">
        <v>45657</v>
      </c>
      <c r="G653" s="16" t="n">
        <v>2024</v>
      </c>
      <c r="H653" s="6" t="inlineStr">
        <is>
          <t>Diciembre</t>
        </is>
      </c>
      <c r="I653" s="6" t="inlineStr">
        <is>
          <t>2024-2</t>
        </is>
      </c>
      <c r="J653" s="5" t="n">
        <v>200</v>
      </c>
      <c r="K653" s="5" t="n">
        <v>246.71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$</t>
        </is>
      </c>
      <c r="O653" s="5" t="inlineStr">
        <is>
          <t>$</t>
        </is>
      </c>
      <c r="P653" s="5" t="n">
        <v>0</v>
      </c>
      <c r="Q653" s="5" t="n">
        <v>0</v>
      </c>
      <c r="R653" s="5" t="inlineStr">
        <is>
          <t>371-2024-12-31</t>
        </is>
      </c>
    </row>
    <row r="654">
      <c r="A654" s="5" t="n">
        <v>371</v>
      </c>
      <c r="B654" s="5" t="inlineStr">
        <is>
          <t>Recaudación de fondos</t>
        </is>
      </c>
      <c r="C654" s="5" t="inlineStr">
        <is>
          <t>Gestión de la Responsabilidad Social</t>
        </is>
      </c>
      <c r="D654" s="13" t="inlineStr">
        <is>
          <t>Trimestral</t>
        </is>
      </c>
      <c r="E654" s="5" t="inlineStr">
        <is>
          <t>Positivo</t>
        </is>
      </c>
      <c r="F654" s="144" t="n">
        <v>46022</v>
      </c>
      <c r="G654" s="16" t="n">
        <v>2025</v>
      </c>
      <c r="H654" s="6" t="inlineStr">
        <is>
          <t>Diciembre</t>
        </is>
      </c>
      <c r="I654" s="6" t="inlineStr">
        <is>
          <t>2025-2</t>
        </is>
      </c>
      <c r="J654" s="5" t="n">
        <v>200</v>
      </c>
      <c r="K654" s="5" t="n">
        <v>157.11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$</t>
        </is>
      </c>
      <c r="O654" s="5" t="inlineStr">
        <is>
          <t>$</t>
        </is>
      </c>
      <c r="P654" s="5" t="n">
        <v>0</v>
      </c>
      <c r="Q654" s="5" t="n">
        <v>0</v>
      </c>
      <c r="R654" s="5" t="inlineStr">
        <is>
          <t>371-2025-12-31</t>
        </is>
      </c>
    </row>
    <row r="655">
      <c r="A655" s="5" t="n">
        <v>372</v>
      </c>
      <c r="B655" s="5" t="inlineStr">
        <is>
          <t>Satisfacción de los clientes corporativos Educación para toda la vida</t>
        </is>
      </c>
      <c r="C655" s="5" t="inlineStr">
        <is>
          <t>Operación de Educación no Formal</t>
        </is>
      </c>
      <c r="D655" s="13" t="inlineStr">
        <is>
          <t>Trimestral</t>
        </is>
      </c>
      <c r="E655" s="5" t="inlineStr">
        <is>
          <t>Positivo</t>
        </is>
      </c>
      <c r="F655" s="144" t="n">
        <v>45291</v>
      </c>
      <c r="G655" s="16" t="n">
        <v>2023</v>
      </c>
      <c r="H655" s="6" t="inlineStr">
        <is>
          <t>Diciembre</t>
        </is>
      </c>
      <c r="I655" s="6" t="inlineStr">
        <is>
          <t>2023-2</t>
        </is>
      </c>
      <c r="J655" s="5" t="n">
        <v>87</v>
      </c>
      <c r="K655" s="5" t="n">
        <v>95.5</v>
      </c>
      <c r="L655" s="28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372-2023-12-31</t>
        </is>
      </c>
    </row>
    <row r="656">
      <c r="A656" s="5" t="n">
        <v>372</v>
      </c>
      <c r="B656" s="5" t="inlineStr">
        <is>
          <t>Satisfacción de los clientes corporativos Educación para toda la vida</t>
        </is>
      </c>
      <c r="C656" s="5" t="inlineStr">
        <is>
          <t>Operación de Educación no Formal</t>
        </is>
      </c>
      <c r="D656" s="13" t="inlineStr">
        <is>
          <t>Trimestral</t>
        </is>
      </c>
      <c r="E656" s="5" t="inlineStr">
        <is>
          <t>Positivo</t>
        </is>
      </c>
      <c r="F656" s="144" t="n">
        <v>45657</v>
      </c>
      <c r="G656" s="16" t="n">
        <v>2024</v>
      </c>
      <c r="H656" s="6" t="inlineStr">
        <is>
          <t>Diciembre</t>
        </is>
      </c>
      <c r="I656" s="6" t="inlineStr">
        <is>
          <t>2024-2</t>
        </is>
      </c>
      <c r="J656" s="5" t="n">
        <v>87</v>
      </c>
      <c r="K656" s="5" t="n">
        <v>91.75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372-2024-12-31</t>
        </is>
      </c>
    </row>
    <row r="657">
      <c r="A657" s="5" t="n">
        <v>372</v>
      </c>
      <c r="B657" s="5" t="inlineStr">
        <is>
          <t>Satisfacción de los clientes corporativos Educación para toda la vida</t>
        </is>
      </c>
      <c r="C657" s="5" t="inlineStr">
        <is>
          <t>Operación de nuevos negocios y CI</t>
        </is>
      </c>
      <c r="D657" s="13" t="inlineStr">
        <is>
          <t>Semestral</t>
        </is>
      </c>
      <c r="E657" s="5" t="inlineStr">
        <is>
          <t>Positivo</t>
        </is>
      </c>
      <c r="F657" s="144" t="n">
        <v>46022</v>
      </c>
      <c r="G657" s="16" t="n">
        <v>2025</v>
      </c>
      <c r="H657" s="6" t="inlineStr">
        <is>
          <t>Diciembre</t>
        </is>
      </c>
      <c r="I657" s="6" t="inlineStr">
        <is>
          <t>2025-2</t>
        </is>
      </c>
      <c r="J657" s="5" t="n">
        <v>90</v>
      </c>
      <c r="K657" s="5" t="n">
        <v>95.5</v>
      </c>
      <c r="L657" s="28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372-2025-12-31</t>
        </is>
      </c>
    </row>
    <row r="658">
      <c r="A658" s="5" t="n">
        <v>373</v>
      </c>
      <c r="B658" s="5" t="inlineStr">
        <is>
          <t>Cumplimiento de planes anuales por líneas</t>
        </is>
      </c>
      <c r="C658" s="5" t="inlineStr">
        <is>
          <t>Planeación Estratégica</t>
        </is>
      </c>
      <c r="D658" s="13" t="inlineStr">
        <is>
          <t>Trimestral</t>
        </is>
      </c>
      <c r="E658" s="5" t="inlineStr">
        <is>
          <t>Positivo</t>
        </is>
      </c>
      <c r="F658" s="144" t="n">
        <v>45291</v>
      </c>
      <c r="G658" s="16" t="n">
        <v>2023</v>
      </c>
      <c r="H658" s="6" t="inlineStr">
        <is>
          <t>Diciembre</t>
        </is>
      </c>
      <c r="I658" s="6" t="inlineStr">
        <is>
          <t>2023-2</t>
        </is>
      </c>
      <c r="J658" s="5" t="n">
        <v>100</v>
      </c>
      <c r="K658" s="5" t="n">
        <v>73.9616666666675</v>
      </c>
      <c r="L658" s="28">
        <f>IFERROR(IF(OR(J658=0,K658=""),"",IF(E658="Positivo",MIN(MAX(K658/J658,0),1.0),MIN(MAX(J658/K658,0),1.0))),"") </f>
        <v/>
      </c>
      <c r="M658" s="28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373-2023-12-31</t>
        </is>
      </c>
    </row>
    <row r="659">
      <c r="A659" s="5" t="n">
        <v>373</v>
      </c>
      <c r="B659" s="5" t="inlineStr">
        <is>
          <t>Cumplimiento de planes anuales por líneas</t>
        </is>
      </c>
      <c r="C659" s="5" t="inlineStr">
        <is>
          <t>Planeación Estratégica</t>
        </is>
      </c>
      <c r="D659" s="13" t="inlineStr">
        <is>
          <t>Trimestral</t>
        </is>
      </c>
      <c r="E659" s="5" t="inlineStr">
        <is>
          <t>Positivo</t>
        </is>
      </c>
      <c r="F659" s="144" t="n">
        <v>45657</v>
      </c>
      <c r="G659" s="16" t="n">
        <v>2024</v>
      </c>
      <c r="H659" s="6" t="inlineStr">
        <is>
          <t>Diciembre</t>
        </is>
      </c>
      <c r="I659" s="6" t="inlineStr">
        <is>
          <t>2024-2</t>
        </is>
      </c>
      <c r="J659" s="5" t="n">
        <v>100</v>
      </c>
      <c r="K659" s="5" t="n">
        <v>98.52500000000001</v>
      </c>
      <c r="L659" s="28">
        <f>IFERROR(IF(OR(J659=0,K659=""),"",IF(E659="Positivo",MIN(MAX(K659/J659,0),1.0),MIN(MAX(J659/K659,0),1.0))),"") </f>
        <v/>
      </c>
      <c r="M659" s="28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373-2024-12-31</t>
        </is>
      </c>
    </row>
    <row r="660">
      <c r="A660" s="5" t="n">
        <v>373</v>
      </c>
      <c r="B660" s="5" t="inlineStr">
        <is>
          <t>Cumplimiento de planes anuales por líneas</t>
        </is>
      </c>
      <c r="C660" s="5" t="inlineStr">
        <is>
          <t>Planeación Estratégica</t>
        </is>
      </c>
      <c r="D660" s="13" t="inlineStr">
        <is>
          <t>Semestral</t>
        </is>
      </c>
      <c r="E660" s="5" t="inlineStr">
        <is>
          <t>Positivo</t>
        </is>
      </c>
      <c r="F660" s="144" t="n">
        <v>46022</v>
      </c>
      <c r="G660" s="16" t="n">
        <v>2025</v>
      </c>
      <c r="H660" s="6" t="inlineStr">
        <is>
          <t>Diciembre</t>
        </is>
      </c>
      <c r="I660" s="6" t="inlineStr">
        <is>
          <t>2025-2</t>
        </is>
      </c>
      <c r="J660" s="5" t="n">
        <v>100</v>
      </c>
      <c r="K660" s="5" t="n">
        <v>101.215</v>
      </c>
      <c r="L660" s="28">
        <f>IFERROR(IF(OR(J660=0,K660=""),"",IF(E660="Positivo",MIN(MAX(K660/J660,0),1.0),MIN(MAX(J660/K660,0),1.0))),"") </f>
        <v/>
      </c>
      <c r="M660" s="28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373-2025-12-31</t>
        </is>
      </c>
    </row>
    <row r="661">
      <c r="A661" s="5" t="n">
        <v>374</v>
      </c>
      <c r="B661" s="5" t="inlineStr">
        <is>
          <t>Disponibilidad de máster modalidad virtual</t>
        </is>
      </c>
      <c r="C661" s="5" t="inlineStr">
        <is>
          <t>Operaciones Académicas</t>
        </is>
      </c>
      <c r="D661" s="13" t="inlineStr">
        <is>
          <t>Semestral</t>
        </is>
      </c>
      <c r="E661" s="5" t="inlineStr">
        <is>
          <t>Positivo</t>
        </is>
      </c>
      <c r="F661" s="144" t="n">
        <v>45291</v>
      </c>
      <c r="G661" s="16" t="n">
        <v>2023</v>
      </c>
      <c r="H661" s="6" t="inlineStr">
        <is>
          <t>Diciembre</t>
        </is>
      </c>
      <c r="I661" s="6" t="inlineStr">
        <is>
          <t>2023-2</t>
        </is>
      </c>
      <c r="J661" s="5" t="n">
        <v>100</v>
      </c>
      <c r="K661" s="5" t="n">
        <v>100</v>
      </c>
      <c r="L661" s="28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ENT</t>
        </is>
      </c>
      <c r="O661" s="5" t="inlineStr">
        <is>
          <t>ENT</t>
        </is>
      </c>
      <c r="P661" s="5" t="n">
        <v>0</v>
      </c>
      <c r="Q661" s="5" t="n">
        <v>0</v>
      </c>
      <c r="R661" s="5" t="inlineStr">
        <is>
          <t>374-2023-12-31</t>
        </is>
      </c>
    </row>
    <row r="662">
      <c r="A662" s="5" t="n">
        <v>375</v>
      </c>
      <c r="B662" s="5" t="inlineStr">
        <is>
          <t>Disponibilidad de catálogo de asignaturas pregrado y posgrado presencial</t>
        </is>
      </c>
      <c r="C662" s="5" t="inlineStr">
        <is>
          <t>Operaciones Académicas</t>
        </is>
      </c>
      <c r="D662" s="13" t="inlineStr">
        <is>
          <t>Semestral</t>
        </is>
      </c>
      <c r="E662" s="5" t="inlineStr">
        <is>
          <t>Positivo</t>
        </is>
      </c>
      <c r="F662" s="144" t="n">
        <v>45291</v>
      </c>
      <c r="G662" s="16" t="n">
        <v>2023</v>
      </c>
      <c r="H662" s="6" t="inlineStr">
        <is>
          <t>Diciembre</t>
        </is>
      </c>
      <c r="I662" s="6" t="inlineStr">
        <is>
          <t>2023-2</t>
        </is>
      </c>
      <c r="J662" s="5" t="n">
        <v>100</v>
      </c>
      <c r="K662" s="5" t="n">
        <v>50</v>
      </c>
      <c r="L662" s="28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375-2023-12-31</t>
        </is>
      </c>
    </row>
    <row r="663">
      <c r="A663" s="5" t="n">
        <v>375</v>
      </c>
      <c r="B663" s="5" t="inlineStr">
        <is>
          <t>Disponibilidad de catálogo de asignaturas pregrado y posgrado presencial</t>
        </is>
      </c>
      <c r="C663" s="5" t="inlineStr">
        <is>
          <t>Operaciones Académicas</t>
        </is>
      </c>
      <c r="D663" s="13" t="inlineStr">
        <is>
          <t>Semestral</t>
        </is>
      </c>
      <c r="E663" s="5" t="inlineStr">
        <is>
          <t>Positivo</t>
        </is>
      </c>
      <c r="F663" s="144" t="n">
        <v>45657</v>
      </c>
      <c r="G663" s="16" t="n">
        <v>2024</v>
      </c>
      <c r="H663" s="6" t="inlineStr">
        <is>
          <t>Diciembre</t>
        </is>
      </c>
      <c r="I663" s="6" t="inlineStr">
        <is>
          <t>2024-2</t>
        </is>
      </c>
      <c r="J663" s="5" t="n">
        <v>100</v>
      </c>
      <c r="K663" s="5" t="n">
        <v>100</v>
      </c>
      <c r="L663" s="28">
        <f>IFERROR(IF(OR(J663=0,K663=""),"",IF(E663="Positivo",MIN(MAX(K663/J663,0),1.3),MIN(MAX(J663/K663,0),1.3))),"") </f>
        <v/>
      </c>
      <c r="M663" s="28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375-2024-12-31</t>
        </is>
      </c>
    </row>
    <row r="664">
      <c r="A664" s="5" t="n">
        <v>375</v>
      </c>
      <c r="B664" s="5" t="inlineStr">
        <is>
          <t>Disponibilidad de catálogo de asignaturas pregrado y posgrado presencial</t>
        </is>
      </c>
      <c r="C664" s="5" t="inlineStr">
        <is>
          <t>Operaciones Académicas</t>
        </is>
      </c>
      <c r="D664" s="13" t="inlineStr">
        <is>
          <t>Trimestral</t>
        </is>
      </c>
      <c r="E664" s="5" t="inlineStr">
        <is>
          <t>Positivo</t>
        </is>
      </c>
      <c r="F664" s="144" t="n">
        <v>46022</v>
      </c>
      <c r="G664" s="16" t="n">
        <v>2025</v>
      </c>
      <c r="H664" s="6" t="inlineStr">
        <is>
          <t>Diciembre</t>
        </is>
      </c>
      <c r="I664" s="6" t="inlineStr">
        <is>
          <t>2025-2</t>
        </is>
      </c>
      <c r="J664" s="5" t="n">
        <v>100</v>
      </c>
      <c r="K664" s="5" t="n">
        <v>100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375-2025-12-31</t>
        </is>
      </c>
    </row>
    <row r="665">
      <c r="A665" s="5" t="n">
        <v>376</v>
      </c>
      <c r="B665" s="5" t="inlineStr">
        <is>
          <t>Cumplimiento EBITDA</t>
        </is>
      </c>
      <c r="C665" s="5" t="inlineStr">
        <is>
          <t>Planeación Financiera</t>
        </is>
      </c>
      <c r="D665" s="13" t="inlineStr">
        <is>
          <t>Semestral</t>
        </is>
      </c>
      <c r="E665" s="5" t="inlineStr">
        <is>
          <t>Positivo</t>
        </is>
      </c>
      <c r="F665" s="144" t="n">
        <v>45291</v>
      </c>
      <c r="G665" s="16" t="n">
        <v>2023</v>
      </c>
      <c r="H665" s="6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101.26</v>
      </c>
      <c r="L665" s="28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$</t>
        </is>
      </c>
      <c r="O665" s="5" t="inlineStr">
        <is>
          <t>$</t>
        </is>
      </c>
      <c r="P665" s="5" t="n">
        <v>0</v>
      </c>
      <c r="Q665" s="5" t="n">
        <v>0</v>
      </c>
      <c r="R665" s="5" t="inlineStr">
        <is>
          <t>376-2023-12-31</t>
        </is>
      </c>
    </row>
    <row r="666">
      <c r="A666" s="5" t="n">
        <v>376</v>
      </c>
      <c r="B666" s="5" t="inlineStr">
        <is>
          <t>Cumplimiento EBITDA</t>
        </is>
      </c>
      <c r="C666" s="5" t="inlineStr">
        <is>
          <t>Planeación Financiera</t>
        </is>
      </c>
      <c r="D666" s="13" t="inlineStr">
        <is>
          <t>Semestral</t>
        </is>
      </c>
      <c r="E666" s="5" t="inlineStr">
        <is>
          <t>Positivo</t>
        </is>
      </c>
      <c r="F666" s="144" t="n">
        <v>45657</v>
      </c>
      <c r="G666" s="16" t="n">
        <v>2024</v>
      </c>
      <c r="H666" s="6" t="inlineStr">
        <is>
          <t>Diciembre</t>
        </is>
      </c>
      <c r="I666" s="6" t="inlineStr">
        <is>
          <t>2024-2</t>
        </is>
      </c>
      <c r="J666" s="5" t="n">
        <v>95</v>
      </c>
      <c r="K666" s="5" t="n">
        <v>109.1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inlineStr">
        <is>
          <t>$</t>
        </is>
      </c>
      <c r="O666" s="5" t="inlineStr">
        <is>
          <t>$</t>
        </is>
      </c>
      <c r="P666" s="5" t="n">
        <v>0</v>
      </c>
      <c r="Q666" s="5" t="n">
        <v>0</v>
      </c>
      <c r="R666" s="5" t="inlineStr">
        <is>
          <t>376-2024-12-31</t>
        </is>
      </c>
    </row>
    <row r="667">
      <c r="A667" s="5" t="n">
        <v>376</v>
      </c>
      <c r="B667" s="5" t="inlineStr">
        <is>
          <t>Cumplimiento EBITDA</t>
        </is>
      </c>
      <c r="C667" s="5" t="inlineStr">
        <is>
          <t>Planeación Financiera</t>
        </is>
      </c>
      <c r="D667" s="13" t="inlineStr">
        <is>
          <t>Semestral</t>
        </is>
      </c>
      <c r="E667" s="5" t="inlineStr">
        <is>
          <t>Positivo</t>
        </is>
      </c>
      <c r="F667" s="144" t="n">
        <v>46022</v>
      </c>
      <c r="G667" s="16" t="n">
        <v>2025</v>
      </c>
      <c r="H667" s="6" t="inlineStr">
        <is>
          <t>Diciembre</t>
        </is>
      </c>
      <c r="I667" s="6" t="inlineStr">
        <is>
          <t>2025-2</t>
        </is>
      </c>
      <c r="J667" s="5" t="n">
        <v>95</v>
      </c>
      <c r="K667" s="5" t="n">
        <v>117.51</v>
      </c>
      <c r="L667" s="28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$</t>
        </is>
      </c>
      <c r="O667" s="5" t="inlineStr">
        <is>
          <t>$</t>
        </is>
      </c>
      <c r="P667" s="5" t="n">
        <v>0</v>
      </c>
      <c r="Q667" s="5" t="n">
        <v>0</v>
      </c>
      <c r="R667" s="5" t="inlineStr">
        <is>
          <t>376-2025-12-31</t>
        </is>
      </c>
    </row>
    <row r="668">
      <c r="A668" s="5" t="n">
        <v>377</v>
      </c>
      <c r="B668" s="5" t="inlineStr">
        <is>
          <t>CAPEX</t>
        </is>
      </c>
      <c r="C668" s="5" t="inlineStr">
        <is>
          <t>Planeación Financiera</t>
        </is>
      </c>
      <c r="D668" s="13" t="inlineStr">
        <is>
          <t>Semestral</t>
        </is>
      </c>
      <c r="E668" s="5" t="inlineStr">
        <is>
          <t>Negativo</t>
        </is>
      </c>
      <c r="F668" s="144" t="n">
        <v>45291</v>
      </c>
      <c r="G668" s="16" t="n">
        <v>2023</v>
      </c>
      <c r="H668" s="6" t="inlineStr">
        <is>
          <t>Diciembre</t>
        </is>
      </c>
      <c r="I668" s="6" t="inlineStr">
        <is>
          <t>2023-2</t>
        </is>
      </c>
      <c r="J668" s="5" t="n">
        <v>100</v>
      </c>
      <c r="K668" s="5" t="n">
        <v>60.77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$</t>
        </is>
      </c>
      <c r="O668" s="5" t="inlineStr">
        <is>
          <t>$</t>
        </is>
      </c>
      <c r="P668" s="5" t="n">
        <v>0</v>
      </c>
      <c r="Q668" s="5" t="n">
        <v>0</v>
      </c>
      <c r="R668" s="5" t="inlineStr">
        <is>
          <t>377-2023-12-31</t>
        </is>
      </c>
    </row>
    <row r="669">
      <c r="A669" s="5" t="n">
        <v>377</v>
      </c>
      <c r="B669" s="5" t="inlineStr">
        <is>
          <t>CAPEX</t>
        </is>
      </c>
      <c r="C669" s="5" t="inlineStr">
        <is>
          <t>Planeación Financiera</t>
        </is>
      </c>
      <c r="D669" s="13" t="inlineStr">
        <is>
          <t>Semestral</t>
        </is>
      </c>
      <c r="E669" s="5" t="inlineStr">
        <is>
          <t>Negativo</t>
        </is>
      </c>
      <c r="F669" s="144" t="n">
        <v>45657</v>
      </c>
      <c r="G669" s="16" t="n">
        <v>2024</v>
      </c>
      <c r="H669" s="6" t="inlineStr">
        <is>
          <t>Diciembre</t>
        </is>
      </c>
      <c r="I669" s="6" t="inlineStr">
        <is>
          <t>2024-2</t>
        </is>
      </c>
      <c r="J669" s="5" t="n">
        <v>100</v>
      </c>
      <c r="K669" s="10" t="n">
        <v>125.01</v>
      </c>
      <c r="L669" s="28">
        <f>IFERROR(IF(OR(J669=0,K669=""),"",IF(E669="Positivo",MIN(MAX(K669/J669,0),1.3),MIN(MAX(J669/K669,0),1.3))),"") </f>
        <v/>
      </c>
      <c r="M669" s="28">
        <f>IFERROR(IF(OR(J669=0,K669=""),"",IF(E669="Positivo",MAX(K669/J669,0),MAX(J669/K669,0))),"") </f>
        <v/>
      </c>
      <c r="N669" s="5" t="inlineStr">
        <is>
          <t>$</t>
        </is>
      </c>
      <c r="O669" s="5" t="inlineStr">
        <is>
          <t>$</t>
        </is>
      </c>
      <c r="P669" s="5" t="n">
        <v>0</v>
      </c>
      <c r="Q669" s="5" t="n">
        <v>0</v>
      </c>
      <c r="R669" s="5" t="inlineStr">
        <is>
          <t>377-2024-12-31</t>
        </is>
      </c>
    </row>
    <row r="670">
      <c r="A670" s="5" t="n">
        <v>377</v>
      </c>
      <c r="B670" s="5" t="inlineStr">
        <is>
          <t>CAPEX</t>
        </is>
      </c>
      <c r="C670" s="5" t="inlineStr">
        <is>
          <t>Planeación Financiera</t>
        </is>
      </c>
      <c r="D670" s="13" t="inlineStr">
        <is>
          <t>Semestral</t>
        </is>
      </c>
      <c r="E670" s="5" t="inlineStr">
        <is>
          <t>Positivo</t>
        </is>
      </c>
      <c r="F670" s="144" t="n">
        <v>46022</v>
      </c>
      <c r="G670" s="16" t="n">
        <v>2025</v>
      </c>
      <c r="H670" s="6" t="inlineStr">
        <is>
          <t>Diciembre</t>
        </is>
      </c>
      <c r="I670" s="6" t="inlineStr">
        <is>
          <t>2025-2</t>
        </is>
      </c>
      <c r="J670" s="5" t="n">
        <v>100</v>
      </c>
      <c r="K670" s="5" t="n">
        <v>107.11</v>
      </c>
      <c r="L670" s="28">
        <f>IFERROR(IF(OR(J670=0,K670=""),"",IF(E670="Positivo",MIN(MAX(K670/J670,0),1.3),MIN(MAX(J670/K670,0),1.3))),"") </f>
        <v/>
      </c>
      <c r="M670" s="28">
        <f>IFERROR(IF(OR(J670=0,K670=""),"",IF(E670="Positivo",MAX(K670/J670,0),MAX(J670/K670,0))),"") </f>
        <v/>
      </c>
      <c r="N670" s="5" t="inlineStr">
        <is>
          <t>$</t>
        </is>
      </c>
      <c r="O670" s="5" t="inlineStr">
        <is>
          <t>$</t>
        </is>
      </c>
      <c r="P670" s="5" t="n">
        <v>0</v>
      </c>
      <c r="Q670" s="5" t="n">
        <v>0</v>
      </c>
      <c r="R670" s="5" t="inlineStr">
        <is>
          <t>377-2025-12-31</t>
        </is>
      </c>
    </row>
    <row r="671">
      <c r="A671" s="5" t="n">
        <v>378</v>
      </c>
      <c r="B671" s="5" t="inlineStr">
        <is>
          <t>Proyectos tecnológicos</t>
        </is>
      </c>
      <c r="C671" s="5" t="inlineStr">
        <is>
          <t>GESTIÓN DE LA TECNOLOGÍA E INNOVACIÓN DIGITAL</t>
        </is>
      </c>
      <c r="D671" s="13" t="inlineStr">
        <is>
          <t>Mensual</t>
        </is>
      </c>
      <c r="E671" s="5" t="inlineStr">
        <is>
          <t>Positivo</t>
        </is>
      </c>
      <c r="F671" s="144" t="n">
        <v>45291</v>
      </c>
      <c r="G671" s="16" t="n">
        <v>2023</v>
      </c>
      <c r="H671" s="6" t="inlineStr">
        <is>
          <t>Diciembre</t>
        </is>
      </c>
      <c r="I671" s="6" t="inlineStr">
        <is>
          <t>2023-2</t>
        </is>
      </c>
      <c r="J671" s="5" t="n">
        <v>92</v>
      </c>
      <c r="K671" s="5" t="n">
        <v>95.58</v>
      </c>
      <c r="L671" s="28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378-2023-12-31</t>
        </is>
      </c>
    </row>
    <row r="672">
      <c r="A672" s="5" t="n">
        <v>378</v>
      </c>
      <c r="B672" s="5" t="inlineStr">
        <is>
          <t>Proyectos tecnológicos</t>
        </is>
      </c>
      <c r="C672" s="5" t="inlineStr">
        <is>
          <t>GESTIÓN DE LA TECNOLOGÍA E INNOVACIÓN DIGITAL</t>
        </is>
      </c>
      <c r="D672" s="13" t="inlineStr">
        <is>
          <t>Mensual</t>
        </is>
      </c>
      <c r="E672" s="5" t="inlineStr">
        <is>
          <t>Positivo</t>
        </is>
      </c>
      <c r="F672" s="144" t="n">
        <v>45657</v>
      </c>
      <c r="G672" s="16" t="n">
        <v>2024</v>
      </c>
      <c r="H672" s="6" t="inlineStr">
        <is>
          <t>Diciembre</t>
        </is>
      </c>
      <c r="I672" s="6" t="inlineStr">
        <is>
          <t>2024-2</t>
        </is>
      </c>
      <c r="J672" s="5" t="n">
        <v>0</v>
      </c>
      <c r="K672" s="5" t="n">
        <v>0</v>
      </c>
      <c r="L672" s="28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378-2024-12-31</t>
        </is>
      </c>
    </row>
    <row r="673">
      <c r="A673" s="5" t="n">
        <v>379</v>
      </c>
      <c r="B673" s="5" t="inlineStr">
        <is>
          <t>Total estudiantes nuevos</t>
        </is>
      </c>
      <c r="C673" s="5" t="inlineStr">
        <is>
          <t>Inscripción, admisión y matrícula de estudiantes nuevos</t>
        </is>
      </c>
      <c r="D673" s="13" t="inlineStr">
        <is>
          <t>Semestral</t>
        </is>
      </c>
      <c r="E673" s="5" t="inlineStr">
        <is>
          <t>Positivo</t>
        </is>
      </c>
      <c r="F673" s="144" t="n">
        <v>45291</v>
      </c>
      <c r="G673" s="16" t="n">
        <v>2023</v>
      </c>
      <c r="H673" s="6" t="inlineStr">
        <is>
          <t>Diciembre</t>
        </is>
      </c>
      <c r="I673" s="6" t="inlineStr">
        <is>
          <t>2023-2</t>
        </is>
      </c>
      <c r="J673" s="5" t="n">
        <v>200</v>
      </c>
      <c r="K673" s="5" t="n">
        <v>211.37877164056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inlineStr">
        <is>
          <t>ENT</t>
        </is>
      </c>
      <c r="O673" s="5" t="inlineStr">
        <is>
          <t>ENT</t>
        </is>
      </c>
      <c r="P673" s="5" t="n">
        <v>0</v>
      </c>
      <c r="Q673" s="5" t="n">
        <v>0</v>
      </c>
      <c r="R673" s="5" t="inlineStr">
        <is>
          <t>379-2023-12-31</t>
        </is>
      </c>
    </row>
    <row r="674">
      <c r="A674" s="5" t="n">
        <v>379</v>
      </c>
      <c r="B674" s="5" t="inlineStr">
        <is>
          <t>Total estudiantes nuevos</t>
        </is>
      </c>
      <c r="C674" s="5" t="inlineStr">
        <is>
          <t>Inscripción, admisión y matrícula de estudiantes nuevos</t>
        </is>
      </c>
      <c r="D674" s="13" t="inlineStr">
        <is>
          <t>Semestral</t>
        </is>
      </c>
      <c r="E674" s="5" t="inlineStr">
        <is>
          <t>Positivo</t>
        </is>
      </c>
      <c r="F674" s="144" t="n">
        <v>45657</v>
      </c>
      <c r="G674" s="16" t="n">
        <v>2024</v>
      </c>
      <c r="H674" s="6" t="inlineStr">
        <is>
          <t>Diciembre</t>
        </is>
      </c>
      <c r="I674" s="6" t="inlineStr">
        <is>
          <t>2024-2</t>
        </is>
      </c>
      <c r="J674" s="5" t="n">
        <v>200</v>
      </c>
      <c r="K674" s="5" t="n">
        <v>195.23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inlineStr">
        <is>
          <t>ENT</t>
        </is>
      </c>
      <c r="O674" s="5" t="inlineStr">
        <is>
          <t>ENT</t>
        </is>
      </c>
      <c r="P674" s="5" t="n">
        <v>0</v>
      </c>
      <c r="Q674" s="5" t="n">
        <v>0</v>
      </c>
      <c r="R674" s="5" t="inlineStr">
        <is>
          <t>379-2024-12-31</t>
        </is>
      </c>
    </row>
    <row r="675">
      <c r="A675" s="5" t="n">
        <v>379</v>
      </c>
      <c r="B675" s="5" t="inlineStr">
        <is>
          <t>Total estudiantes nuevos</t>
        </is>
      </c>
      <c r="C675" s="5" t="inlineStr">
        <is>
          <t>Inscripción, admisión y matrícula de estudiantes nuevos</t>
        </is>
      </c>
      <c r="D675" s="13" t="inlineStr">
        <is>
          <t>Semestral</t>
        </is>
      </c>
      <c r="E675" s="5" t="inlineStr">
        <is>
          <t>Positivo</t>
        </is>
      </c>
      <c r="F675" s="144" t="n">
        <v>46022</v>
      </c>
      <c r="G675" s="16" t="n">
        <v>2025</v>
      </c>
      <c r="H675" s="6" t="inlineStr">
        <is>
          <t>Diciembre</t>
        </is>
      </c>
      <c r="I675" s="6" t="inlineStr">
        <is>
          <t>2025-2</t>
        </is>
      </c>
      <c r="J675" s="5" t="n">
        <v>200</v>
      </c>
      <c r="K675" s="5" t="n">
        <v>206.52</v>
      </c>
      <c r="L675" s="28">
        <f>IFERROR(IF(OR(J675=0,K675=""),"",IF(E675="Positivo",MIN(MAX(K675/J675,0),1.3),MIN(MAX(J675/K675,0),1.3))),"") </f>
        <v/>
      </c>
      <c r="M675" s="28">
        <f>IFERROR(IF(OR(J675=0,K675=""),"",IF(E675="Positivo",MAX(K675/J675,0),MAX(J675/K675,0))),"") </f>
        <v/>
      </c>
      <c r="N675" s="5" t="inlineStr">
        <is>
          <t>ENT</t>
        </is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379-2025-12-31</t>
        </is>
      </c>
    </row>
    <row r="676">
      <c r="A676" s="5" t="n">
        <v>380</v>
      </c>
      <c r="B676" s="5" t="inlineStr">
        <is>
          <t>Ingresos de matriculas de estudiantes nuevos</t>
        </is>
      </c>
      <c r="C676" s="5" t="inlineStr">
        <is>
          <t>Inscripción, admisión y matrícula de estudiantes nuevos</t>
        </is>
      </c>
      <c r="D676" s="13" t="inlineStr">
        <is>
          <t>Semestral</t>
        </is>
      </c>
      <c r="E676" s="5" t="inlineStr">
        <is>
          <t>Positivo</t>
        </is>
      </c>
      <c r="F676" s="144" t="n">
        <v>45291</v>
      </c>
      <c r="G676" s="16" t="n">
        <v>2023</v>
      </c>
      <c r="H676" s="6" t="inlineStr">
        <is>
          <t>Diciembre</t>
        </is>
      </c>
      <c r="I676" s="6" t="inlineStr">
        <is>
          <t>2023-2</t>
        </is>
      </c>
      <c r="J676" s="5" t="n">
        <v>49384.117103</v>
      </c>
      <c r="K676" s="5" t="n">
        <v>51094.632052</v>
      </c>
      <c r="L676" s="28">
        <f>IFERROR(IF(OR(J676=0,K676=""),"",IF(E676="Positivo",MIN(MAX(K676/J676,0),1.3),MIN(MAX(J676/K676,0),1.3))),"") </f>
        <v/>
      </c>
      <c r="M676" s="28">
        <f>IFERROR(IF(OR(J676=0,K676=""),"",IF(E676="Positivo",MAX(K676/J676,0),MAX(J676/K676,0))),"") </f>
        <v/>
      </c>
      <c r="N676" s="5" t="inlineStr">
        <is>
          <t>$</t>
        </is>
      </c>
      <c r="O676" s="5" t="inlineStr">
        <is>
          <t>$</t>
        </is>
      </c>
      <c r="P676" s="5" t="n">
        <v>0</v>
      </c>
      <c r="Q676" s="5" t="n">
        <v>0</v>
      </c>
      <c r="R676" s="5" t="inlineStr">
        <is>
          <t>380-2023-12-31</t>
        </is>
      </c>
    </row>
    <row r="677">
      <c r="A677" s="5" t="n">
        <v>380</v>
      </c>
      <c r="B677" s="5" t="inlineStr">
        <is>
          <t>Ingresos de matriculas de estudiantes nuevos</t>
        </is>
      </c>
      <c r="C677" s="5" t="inlineStr">
        <is>
          <t>Inscripción, admisión y matrícula de estudiantes nuevos</t>
        </is>
      </c>
      <c r="D677" s="13" t="inlineStr">
        <is>
          <t>Semestral</t>
        </is>
      </c>
      <c r="E677" s="5" t="inlineStr">
        <is>
          <t>Positivo</t>
        </is>
      </c>
      <c r="F677" s="144" t="n">
        <v>45657</v>
      </c>
      <c r="G677" s="16" t="n">
        <v>2024</v>
      </c>
      <c r="H677" s="6" t="inlineStr">
        <is>
          <t>Diciembre</t>
        </is>
      </c>
      <c r="I677" s="6" t="inlineStr">
        <is>
          <t>2024-2</t>
        </is>
      </c>
      <c r="J677" s="5" t="n">
        <v>100</v>
      </c>
      <c r="K677" s="5" t="n">
        <v>78.92</v>
      </c>
      <c r="L677" s="28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380-2024-12-31</t>
        </is>
      </c>
    </row>
    <row r="678">
      <c r="A678" s="5" t="n">
        <v>381</v>
      </c>
      <c r="B678" s="5" t="inlineStr">
        <is>
          <t>Cumplimiento de matrículas pregrado presencial nuevos</t>
        </is>
      </c>
      <c r="C678" s="5" t="inlineStr">
        <is>
          <t>Inscripción, admisión y matrícula de estudiantes nuevos</t>
        </is>
      </c>
      <c r="D678" s="13" t="inlineStr">
        <is>
          <t>Semestral</t>
        </is>
      </c>
      <c r="E678" s="5" t="inlineStr">
        <is>
          <t>Positivo</t>
        </is>
      </c>
      <c r="F678" s="144" t="n">
        <v>45291</v>
      </c>
      <c r="G678" s="16" t="n">
        <v>2023</v>
      </c>
      <c r="H678" s="6" t="inlineStr">
        <is>
          <t>Diciembre</t>
        </is>
      </c>
      <c r="I678" s="6" t="inlineStr">
        <is>
          <t>2023-2</t>
        </is>
      </c>
      <c r="J678" s="5" t="n">
        <v>200</v>
      </c>
      <c r="K678" s="5" t="n">
        <v>217.97170868347</v>
      </c>
      <c r="L678" s="28">
        <f>IFERROR(IF(OR(J678=0,K678=""),"",IF(E678="Positivo",MIN(MAX(K678/J678,0),1.3),MIN(MAX(J678/K678,0),1.3))),"") </f>
        <v/>
      </c>
      <c r="M678" s="28">
        <f>IFERROR(IF(OR(J678=0,K678=""),"",IF(E678="Positivo",MAX(K678/J678,0),MAX(J678/K678,0))),"") </f>
        <v/>
      </c>
      <c r="N678" s="5" t="inlineStr">
        <is>
          <t>ENT</t>
        </is>
      </c>
      <c r="O678" s="5" t="inlineStr">
        <is>
          <t>ENT</t>
        </is>
      </c>
      <c r="P678" s="5" t="n">
        <v>0</v>
      </c>
      <c r="Q678" s="5" t="n">
        <v>0</v>
      </c>
      <c r="R678" s="5" t="inlineStr">
        <is>
          <t>381-2023-12-31</t>
        </is>
      </c>
    </row>
    <row r="679">
      <c r="A679" s="5" t="n">
        <v>381</v>
      </c>
      <c r="B679" s="5" t="inlineStr">
        <is>
          <t>Cumplimiento de matrículas pregrado presencial nuevos</t>
        </is>
      </c>
      <c r="C679" s="5" t="inlineStr">
        <is>
          <t>Inscripción, admisión y matrícula de estudiantes nuevos</t>
        </is>
      </c>
      <c r="D679" s="13" t="inlineStr">
        <is>
          <t>Semestral</t>
        </is>
      </c>
      <c r="E679" s="5" t="inlineStr">
        <is>
          <t>Positivo</t>
        </is>
      </c>
      <c r="F679" s="144" t="n">
        <v>45657</v>
      </c>
      <c r="G679" s="16" t="n">
        <v>2024</v>
      </c>
      <c r="H679" s="6" t="inlineStr">
        <is>
          <t>Diciembre</t>
        </is>
      </c>
      <c r="I679" s="6" t="inlineStr">
        <is>
          <t>2024-2</t>
        </is>
      </c>
      <c r="J679" s="5" t="n">
        <v>200</v>
      </c>
      <c r="K679" s="10" t="n">
        <v>194.45</v>
      </c>
      <c r="L679" s="28">
        <f>IFERROR(IF(OR(J679=0,K679=""),"",IF(E679="Positivo",MIN(MAX(K679/J679,0),1.3),MIN(MAX(J679/K679,0),1.3))),"") </f>
        <v/>
      </c>
      <c r="M679" s="28">
        <f>IFERROR(IF(OR(J679=0,K679=""),"",IF(E679="Positivo",MAX(K679/J679,0),MAX(J679/K679,0))),"") </f>
        <v/>
      </c>
      <c r="N679" s="5" t="inlineStr">
        <is>
          <t>ENT</t>
        </is>
      </c>
      <c r="O679" s="5" t="inlineStr">
        <is>
          <t>ENT</t>
        </is>
      </c>
      <c r="P679" s="5" t="n">
        <v>0</v>
      </c>
      <c r="Q679" s="5" t="n">
        <v>0</v>
      </c>
      <c r="R679" s="5" t="inlineStr">
        <is>
          <t>381-2024-12-31</t>
        </is>
      </c>
    </row>
    <row r="680">
      <c r="A680" s="5" t="n">
        <v>381</v>
      </c>
      <c r="B680" s="5" t="inlineStr">
        <is>
          <t>Cumplimiento de matrículas pregrado presencial nuevos</t>
        </is>
      </c>
      <c r="C680" s="5" t="inlineStr">
        <is>
          <t>Inscripción, admisión y matrícula de estudiantes nuevos</t>
        </is>
      </c>
      <c r="D680" s="13" t="inlineStr">
        <is>
          <t>Trimestral</t>
        </is>
      </c>
      <c r="E680" s="5" t="inlineStr">
        <is>
          <t>Positivo</t>
        </is>
      </c>
      <c r="F680" s="144" t="n">
        <v>46022</v>
      </c>
      <c r="G680" s="16" t="n">
        <v>2025</v>
      </c>
      <c r="H680" s="6" t="inlineStr">
        <is>
          <t>Diciembre</t>
        </is>
      </c>
      <c r="I680" s="6" t="inlineStr">
        <is>
          <t>2025-2</t>
        </is>
      </c>
      <c r="J680" s="5" t="n">
        <v>200</v>
      </c>
      <c r="K680" s="5" t="n">
        <v>211.88</v>
      </c>
      <c r="L680" s="28">
        <f>IFERROR(IF(OR(J680=0,K680=""),"",IF(E680="Positivo",MIN(MAX(K680/J680,0),1.3),MIN(MAX(J680/K680,0),1.3))),"") </f>
        <v/>
      </c>
      <c r="M680" s="28">
        <f>IFERROR(IF(OR(J680=0,K680=""),"",IF(E680="Positivo",MAX(K680/J680,0),MAX(J680/K680,0))),"") </f>
        <v/>
      </c>
      <c r="N680" s="5" t="inlineStr">
        <is>
          <t>ENT</t>
        </is>
      </c>
      <c r="O680" s="5" t="inlineStr">
        <is>
          <t>ENT</t>
        </is>
      </c>
      <c r="P680" s="5" t="n">
        <v>0</v>
      </c>
      <c r="Q680" s="5" t="n">
        <v>0</v>
      </c>
      <c r="R680" s="5" t="inlineStr">
        <is>
          <t>381-2025-12-31</t>
        </is>
      </c>
    </row>
    <row r="681">
      <c r="A681" s="5" t="n">
        <v>382</v>
      </c>
      <c r="B681" s="5" t="inlineStr">
        <is>
          <t>Cumplimiento de matrículas pregrado virtual nuevos</t>
        </is>
      </c>
      <c r="C681" s="5" t="inlineStr">
        <is>
          <t>Inscripción, admisión y matrícula de estudiantes nuevos</t>
        </is>
      </c>
      <c r="D681" s="13" t="inlineStr">
        <is>
          <t>Semestral</t>
        </is>
      </c>
      <c r="E681" s="5" t="inlineStr">
        <is>
          <t>Positivo</t>
        </is>
      </c>
      <c r="F681" s="144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200</v>
      </c>
      <c r="K681" s="5" t="n">
        <v>204.26041131951</v>
      </c>
      <c r="L681" s="28">
        <f>IFERROR(IF(OR(J681=0,K681=""),"",IF(E681="Positivo",MIN(MAX(K681/J681,0),1.3),MIN(MAX(J681/K681,0),1.3))),"") </f>
        <v/>
      </c>
      <c r="M681" s="28">
        <f>IFERROR(IF(OR(J681=0,K681=""),"",IF(E681="Positivo",MAX(K681/J681,0),MAX(J681/K681,0))),"") </f>
        <v/>
      </c>
      <c r="N681" s="5" t="inlineStr">
        <is>
          <t>ENT</t>
        </is>
      </c>
      <c r="O681" s="5" t="inlineStr">
        <is>
          <t>ENT</t>
        </is>
      </c>
      <c r="P681" s="5" t="n">
        <v>0</v>
      </c>
      <c r="Q681" s="5" t="n">
        <v>0</v>
      </c>
      <c r="R681" s="5" t="inlineStr">
        <is>
          <t>382-2023-12-31</t>
        </is>
      </c>
    </row>
    <row r="682">
      <c r="A682" s="5" t="n">
        <v>382</v>
      </c>
      <c r="B682" s="5" t="inlineStr">
        <is>
          <t>Cumplimiento de matrículas pregrado virtual nuevos</t>
        </is>
      </c>
      <c r="C682" s="5" t="inlineStr">
        <is>
          <t>Inscripción, admisión y matrícula de estudiantes nuevos</t>
        </is>
      </c>
      <c r="D682" s="13" t="inlineStr">
        <is>
          <t>Semestral</t>
        </is>
      </c>
      <c r="E682" s="5" t="inlineStr">
        <is>
          <t>Positivo</t>
        </is>
      </c>
      <c r="F682" s="144" t="n">
        <v>45657</v>
      </c>
      <c r="G682" s="5" t="n">
        <v>2024</v>
      </c>
      <c r="H682" s="5" t="inlineStr">
        <is>
          <t>Diciembre</t>
        </is>
      </c>
      <c r="I682" s="6" t="inlineStr">
        <is>
          <t>2024-2</t>
        </is>
      </c>
      <c r="J682" s="5" t="n">
        <v>200</v>
      </c>
      <c r="K682" s="5" t="n">
        <v>191.83</v>
      </c>
      <c r="L682" s="28">
        <f>IFERROR(IF(OR(J682=0,K682=""),"",IF(E682="Positivo",MIN(MAX(K682/J682,0),1.3),MIN(MAX(J682/K682,0),1.3))),"") </f>
        <v/>
      </c>
      <c r="M682" s="28">
        <f>IFERROR(IF(OR(J682=0,K682=""),"",IF(E682="Positivo",MAX(K682/J682,0),MAX(J682/K682,0))),"") </f>
        <v/>
      </c>
      <c r="N682" s="5" t="inlineStr">
        <is>
          <t>ENT</t>
        </is>
      </c>
      <c r="O682" s="5" t="inlineStr">
        <is>
          <t>ENT</t>
        </is>
      </c>
      <c r="P682" s="5" t="n">
        <v>0</v>
      </c>
      <c r="Q682" s="5" t="n">
        <v>0</v>
      </c>
      <c r="R682" s="5" t="inlineStr">
        <is>
          <t>382-2024-12-31</t>
        </is>
      </c>
    </row>
    <row r="683">
      <c r="A683" s="5" t="n">
        <v>382</v>
      </c>
      <c r="B683" s="5" t="inlineStr">
        <is>
          <t>Cumplimiento de matrículas pregrado virtual nuevos</t>
        </is>
      </c>
      <c r="C683" s="5" t="inlineStr">
        <is>
          <t>Inscripción, admisión y matrícula de estudiantes nuevos</t>
        </is>
      </c>
      <c r="D683" s="13" t="inlineStr">
        <is>
          <t>Trimestral</t>
        </is>
      </c>
      <c r="E683" s="5" t="inlineStr">
        <is>
          <t>Positivo</t>
        </is>
      </c>
      <c r="F683" s="144" t="n">
        <v>46022</v>
      </c>
      <c r="G683" s="16" t="n">
        <v>2025</v>
      </c>
      <c r="H683" s="6" t="inlineStr">
        <is>
          <t>Diciembre</t>
        </is>
      </c>
      <c r="I683" s="6" t="inlineStr">
        <is>
          <t>2025-2</t>
        </is>
      </c>
      <c r="J683" s="5" t="n">
        <v>200</v>
      </c>
      <c r="K683" s="5" t="n">
        <v>197.06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inlineStr">
        <is>
          <t>ENT</t>
        </is>
      </c>
      <c r="O683" s="5" t="inlineStr">
        <is>
          <t>ENT</t>
        </is>
      </c>
      <c r="P683" s="5" t="n">
        <v>0</v>
      </c>
      <c r="Q683" s="5" t="n">
        <v>0</v>
      </c>
      <c r="R683" s="5" t="inlineStr">
        <is>
          <t>382-2025-12-31</t>
        </is>
      </c>
    </row>
    <row r="684">
      <c r="A684" s="5" t="n">
        <v>383</v>
      </c>
      <c r="B684" s="5" t="inlineStr">
        <is>
          <t>Cumplimiento de matrículas posgrado virtual nuevos</t>
        </is>
      </c>
      <c r="C684" s="5" t="inlineStr">
        <is>
          <t>Inscripción, admisión y matrícula de estudiantes nuevos</t>
        </is>
      </c>
      <c r="D684" s="13" t="inlineStr">
        <is>
          <t>Semestral</t>
        </is>
      </c>
      <c r="E684" s="5" t="inlineStr">
        <is>
          <t>Positivo</t>
        </is>
      </c>
      <c r="F684" s="144" t="n">
        <v>45291</v>
      </c>
      <c r="G684" s="16" t="n">
        <v>2023</v>
      </c>
      <c r="H684" s="6" t="inlineStr">
        <is>
          <t>Diciembre</t>
        </is>
      </c>
      <c r="I684" s="6" t="inlineStr">
        <is>
          <t>2023-2</t>
        </is>
      </c>
      <c r="J684" s="5" t="n">
        <v>200</v>
      </c>
      <c r="K684" s="5" t="n">
        <v>258.04232994527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inlineStr">
        <is>
          <t>ENT</t>
        </is>
      </c>
      <c r="O684" s="5" t="inlineStr">
        <is>
          <t>ENT</t>
        </is>
      </c>
      <c r="P684" s="5" t="n">
        <v>0</v>
      </c>
      <c r="Q684" s="5" t="n">
        <v>0</v>
      </c>
      <c r="R684" s="5" t="inlineStr">
        <is>
          <t>383-2023-12-31</t>
        </is>
      </c>
    </row>
    <row r="685">
      <c r="A685" s="5" t="n">
        <v>383</v>
      </c>
      <c r="B685" s="5" t="inlineStr">
        <is>
          <t>Cumplimiento de matrículas posgrado virtual nuevos</t>
        </is>
      </c>
      <c r="C685" s="5" t="inlineStr">
        <is>
          <t>Inscripción, admisión y matrícula de estudiantes nuevos</t>
        </is>
      </c>
      <c r="D685" s="5" t="inlineStr">
        <is>
          <t>Semestral</t>
        </is>
      </c>
      <c r="E685" s="5" t="inlineStr">
        <is>
          <t>Positivo</t>
        </is>
      </c>
      <c r="F685" s="144" t="n">
        <v>45657</v>
      </c>
      <c r="G685" s="5" t="n">
        <v>2024</v>
      </c>
      <c r="H685" s="5" t="inlineStr">
        <is>
          <t>Diciembre</t>
        </is>
      </c>
      <c r="I685" s="6" t="inlineStr">
        <is>
          <t>2024-2</t>
        </is>
      </c>
      <c r="J685" s="5" t="n">
        <v>200</v>
      </c>
      <c r="K685" s="5" t="n">
        <v>220.91</v>
      </c>
      <c r="L685" s="28">
        <f>IFERROR(IF(OR(J685=0,K685=""),"",IF(E685="Positivo",MIN(MAX(K685/J685,0),1.3),MIN(MAX(J685/K685,0),1.3))),"") </f>
        <v/>
      </c>
      <c r="M685" s="28">
        <f>IFERROR(IF(OR(J685=0,K685=""),"",IF(E685="Positivo",MAX(K685/J685,0),MAX(J685/K685,0))),"") </f>
        <v/>
      </c>
      <c r="N685" s="5" t="inlineStr">
        <is>
          <t>ENT</t>
        </is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383-2024-12-31</t>
        </is>
      </c>
    </row>
    <row r="686">
      <c r="A686" s="5" t="n">
        <v>383</v>
      </c>
      <c r="B686" s="5" t="inlineStr">
        <is>
          <t>Cumplimiento de matrículas posgrado virtual nuevos</t>
        </is>
      </c>
      <c r="C686" s="5" t="inlineStr">
        <is>
          <t>Inscripción, admisión y matrícula de estudiantes nuevos</t>
        </is>
      </c>
      <c r="D686" s="5" t="inlineStr">
        <is>
          <t>Trimestral</t>
        </is>
      </c>
      <c r="E686" s="5" t="inlineStr">
        <is>
          <t>Positivo</t>
        </is>
      </c>
      <c r="F686" s="144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200</v>
      </c>
      <c r="K686" s="5" t="n">
        <v>264.83</v>
      </c>
      <c r="L686" s="28">
        <f>IFERROR(IF(OR(J686=0,K686=""),"",IF(E686="Positivo",MIN(MAX(K686/J686,0),1.3),MIN(MAX(J686/K686,0),1.3))),"") </f>
        <v/>
      </c>
      <c r="M686" s="28">
        <f>IFERROR(IF(OR(J686=0,K686=""),"",IF(E686="Positivo",MAX(K686/J686,0),MAX(J686/K686,0))),"") </f>
        <v/>
      </c>
      <c r="N686" s="5" t="inlineStr">
        <is>
          <t>ENT</t>
        </is>
      </c>
      <c r="O686" s="5" t="inlineStr">
        <is>
          <t>ENT</t>
        </is>
      </c>
      <c r="P686" s="5" t="n">
        <v>0</v>
      </c>
      <c r="Q686" s="5" t="n">
        <v>0</v>
      </c>
      <c r="R686" s="5" t="inlineStr">
        <is>
          <t>383-2025-12-31</t>
        </is>
      </c>
    </row>
    <row r="687">
      <c r="A687" s="5" t="n">
        <v>384</v>
      </c>
      <c r="B687" s="5" t="inlineStr">
        <is>
          <t>Cumplimiento de matrículas posgrado presencial nuevos</t>
        </is>
      </c>
      <c r="C687" s="5" t="inlineStr">
        <is>
          <t>Inscripción, admisión y matrícula de estudiantes nuevos</t>
        </is>
      </c>
      <c r="D687" s="5" t="inlineStr">
        <is>
          <t>Semestral</t>
        </is>
      </c>
      <c r="E687" s="5" t="inlineStr">
        <is>
          <t>Positivo</t>
        </is>
      </c>
      <c r="F687" s="144" t="n">
        <v>45291</v>
      </c>
      <c r="G687" s="5" t="n">
        <v>2023</v>
      </c>
      <c r="H687" s="5" t="inlineStr">
        <is>
          <t>Diciembre</t>
        </is>
      </c>
      <c r="I687" s="6" t="inlineStr">
        <is>
          <t>2023-2</t>
        </is>
      </c>
      <c r="J687" s="5" t="n">
        <v>200</v>
      </c>
      <c r="K687" s="5" t="n">
        <v>227.14470588235</v>
      </c>
      <c r="L687" s="28">
        <f>IFERROR(IF(OR(J687=0,K687=""),"",IF(E687="Positivo",MIN(MAX(K687/J687,0),1.3),MIN(MAX(J687/K687,0),1.3))),"") </f>
        <v/>
      </c>
      <c r="M687" s="28">
        <f>IFERROR(IF(OR(J687=0,K687=""),"",IF(E687="Positivo",MAX(K687/J687,0),MAX(J687/K687,0))),"") </f>
        <v/>
      </c>
      <c r="N687" s="5" t="inlineStr">
        <is>
          <t>ENT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384-2023-12-31</t>
        </is>
      </c>
    </row>
    <row r="688">
      <c r="A688" s="5" t="n">
        <v>384</v>
      </c>
      <c r="B688" s="5" t="inlineStr">
        <is>
          <t>Cumplimiento de matrículas posgrado presencial nuevos</t>
        </is>
      </c>
      <c r="C688" s="5" t="inlineStr">
        <is>
          <t>Inscripción, admisión y matrícula de estudiantes nuevos</t>
        </is>
      </c>
      <c r="D688" s="5" t="inlineStr">
        <is>
          <t>Semestral</t>
        </is>
      </c>
      <c r="E688" s="5" t="inlineStr">
        <is>
          <t>Positivo</t>
        </is>
      </c>
      <c r="F688" s="144" t="n">
        <v>45657</v>
      </c>
      <c r="G688" s="5" t="n">
        <v>2024</v>
      </c>
      <c r="H688" s="5" t="inlineStr">
        <is>
          <t>Diciembre</t>
        </is>
      </c>
      <c r="I688" s="6" t="inlineStr">
        <is>
          <t>2024-2</t>
        </is>
      </c>
      <c r="J688" s="5" t="n">
        <v>200</v>
      </c>
      <c r="K688" s="10" t="n">
        <v>190.1</v>
      </c>
      <c r="L688" s="28">
        <f>IFERROR(IF(OR(J688=0,K688=""),"",IF(E688="Positivo",MIN(MAX(K688/J688,0),1.3),MIN(MAX(J688/K688,0),1.3))),"") </f>
        <v/>
      </c>
      <c r="M688" s="28">
        <f>IFERROR(IF(OR(J688=0,K688=""),"",IF(E688="Positivo",MAX(K688/J688,0),MAX(J688/K688,0))),"") </f>
        <v/>
      </c>
      <c r="N688" s="5" t="inlineStr">
        <is>
          <t>ENT</t>
        </is>
      </c>
      <c r="O688" s="5" t="inlineStr">
        <is>
          <t>ENT</t>
        </is>
      </c>
      <c r="P688" s="5" t="n">
        <v>0</v>
      </c>
      <c r="Q688" s="5" t="n">
        <v>0</v>
      </c>
      <c r="R688" s="5" t="inlineStr">
        <is>
          <t>384-2024-12-31</t>
        </is>
      </c>
    </row>
    <row r="689">
      <c r="A689" s="5" t="n">
        <v>384</v>
      </c>
      <c r="B689" s="5" t="inlineStr">
        <is>
          <t>Cumplimiento de matrículas posgrado presencial nuevos</t>
        </is>
      </c>
      <c r="C689" s="5" t="inlineStr">
        <is>
          <t>Inscripción, admisión y matrícula de estudiantes nuevos</t>
        </is>
      </c>
      <c r="D689" s="5" t="inlineStr">
        <is>
          <t>Trimestral</t>
        </is>
      </c>
      <c r="E689" s="5" t="inlineStr">
        <is>
          <t>Positivo</t>
        </is>
      </c>
      <c r="F689" s="144" t="n">
        <v>46022</v>
      </c>
      <c r="G689" s="5" t="n">
        <v>2025</v>
      </c>
      <c r="H689" s="5" t="inlineStr">
        <is>
          <t>Diciembre</t>
        </is>
      </c>
      <c r="I689" s="6" t="inlineStr">
        <is>
          <t>2025-2</t>
        </is>
      </c>
      <c r="J689" s="5" t="n">
        <v>200</v>
      </c>
      <c r="K689" s="10" t="n">
        <v>204.16</v>
      </c>
      <c r="L689" s="28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inlineStr">
        <is>
          <t>ENT</t>
        </is>
      </c>
      <c r="O689" s="5" t="inlineStr">
        <is>
          <t>ENT</t>
        </is>
      </c>
      <c r="P689" s="5" t="n">
        <v>0</v>
      </c>
      <c r="Q689" s="5" t="n">
        <v>0</v>
      </c>
      <c r="R689" s="5" t="inlineStr">
        <is>
          <t>384-2025-12-31</t>
        </is>
      </c>
    </row>
    <row r="690">
      <c r="A690" s="5" t="n">
        <v>385</v>
      </c>
      <c r="B690" s="5" t="inlineStr">
        <is>
          <t>Ingresos totales de educación para la vida</t>
        </is>
      </c>
      <c r="C690" s="5" t="inlineStr">
        <is>
          <t>Mercadeo y venta de educación para la vida</t>
        </is>
      </c>
      <c r="D690" s="5" t="inlineStr">
        <is>
          <t>Semestral</t>
        </is>
      </c>
      <c r="E690" s="5" t="inlineStr">
        <is>
          <t>Positivo</t>
        </is>
      </c>
      <c r="F690" s="144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100</v>
      </c>
      <c r="K690" s="10" t="n">
        <v>124.93</v>
      </c>
      <c r="L690" s="28">
        <f>IFERROR(IF(OR(J690=0,K690=""),"",IF(E690="Positivo",MIN(MAX(K690/J690,0),1.3),MIN(MAX(J690/K690,0),1.3))),"") </f>
        <v/>
      </c>
      <c r="M690" s="28">
        <f>IFERROR(IF(OR(J690=0,K690=""),"",IF(E690="Positivo",MAX(K690/J690,0),MAX(J690/K690,0))),"") </f>
        <v/>
      </c>
      <c r="N690" s="5" t="inlineStr">
        <is>
          <t>$</t>
        </is>
      </c>
      <c r="O690" s="5" t="inlineStr">
        <is>
          <t>$</t>
        </is>
      </c>
      <c r="P690" s="5" t="n">
        <v>0</v>
      </c>
      <c r="Q690" s="5" t="n">
        <v>0</v>
      </c>
      <c r="R690" s="5" t="inlineStr">
        <is>
          <t>385-2023-12-31</t>
        </is>
      </c>
    </row>
    <row r="691">
      <c r="A691" s="5" t="n">
        <v>385</v>
      </c>
      <c r="B691" s="5" t="inlineStr">
        <is>
          <t>Ingresos totales de educación para la vida</t>
        </is>
      </c>
      <c r="C691" s="5" t="inlineStr">
        <is>
          <t>Mercadeo y venta de educación para la vida</t>
        </is>
      </c>
      <c r="D691" s="5" t="inlineStr">
        <is>
          <t>Semestral</t>
        </is>
      </c>
      <c r="E691" s="5" t="inlineStr">
        <is>
          <t>Positivo</t>
        </is>
      </c>
      <c r="F691" s="144" t="n">
        <v>45657</v>
      </c>
      <c r="G691" s="5" t="n">
        <v>2024</v>
      </c>
      <c r="H691" s="5" t="inlineStr">
        <is>
          <t>Diciembre</t>
        </is>
      </c>
      <c r="I691" s="6" t="inlineStr">
        <is>
          <t>2024-2</t>
        </is>
      </c>
      <c r="J691" s="5" t="n">
        <v>100</v>
      </c>
      <c r="K691" s="5" t="n">
        <v>88.56</v>
      </c>
      <c r="L691" s="28">
        <f>IFERROR(IF(OR(J691=0,K691=""),"",IF(E691="Positivo",MIN(MAX(K691/J691,0),1.3),MIN(MAX(J691/K691,0),1.3))),"") </f>
        <v/>
      </c>
      <c r="M691" s="28">
        <f>IFERROR(IF(OR(J691=0,K691=""),"",IF(E691="Positivo",MAX(K691/J691,0),MAX(J691/K691,0))),"") </f>
        <v/>
      </c>
      <c r="N691" s="5" t="inlineStr">
        <is>
          <t>$</t>
        </is>
      </c>
      <c r="O691" s="5" t="inlineStr">
        <is>
          <t>$</t>
        </is>
      </c>
      <c r="P691" s="5" t="n">
        <v>0</v>
      </c>
      <c r="Q691" s="5" t="n">
        <v>0</v>
      </c>
      <c r="R691" s="5" t="inlineStr">
        <is>
          <t>385-2024-12-31</t>
        </is>
      </c>
    </row>
    <row r="692">
      <c r="A692" s="5" t="n">
        <v>385</v>
      </c>
      <c r="B692" s="5" t="inlineStr">
        <is>
          <t>Ingresos totales de educación para la vida</t>
        </is>
      </c>
      <c r="C692" s="5" t="inlineStr">
        <is>
          <t>Mercadeo y venta de educación para la vida</t>
        </is>
      </c>
      <c r="D692" s="5" t="inlineStr">
        <is>
          <t>Semestral</t>
        </is>
      </c>
      <c r="E692" s="5" t="inlineStr">
        <is>
          <t>Positivo</t>
        </is>
      </c>
      <c r="F692" s="144" t="n">
        <v>46022</v>
      </c>
      <c r="G692" s="5" t="n">
        <v>2025</v>
      </c>
      <c r="H692" s="5" t="inlineStr">
        <is>
          <t>Diciembre</t>
        </is>
      </c>
      <c r="I692" s="6" t="inlineStr">
        <is>
          <t>2025-2</t>
        </is>
      </c>
      <c r="J692" s="5" t="n">
        <v>100</v>
      </c>
      <c r="K692" s="5" t="n">
        <v>108.89</v>
      </c>
      <c r="L692" s="28">
        <f>IFERROR(IF(OR(J692=0,K692=""),"",IF(E692="Positivo",MIN(MAX(K692/J692,0),1.3),MIN(MAX(J692/K692,0),1.3))),"") </f>
        <v/>
      </c>
      <c r="M692" s="28">
        <f>IFERROR(IF(OR(J692=0,K692=""),"",IF(E692="Positivo",MAX(K692/J692,0),MAX(J692/K692,0))),"") </f>
        <v/>
      </c>
      <c r="N692" s="5" t="inlineStr">
        <is>
          <t>$</t>
        </is>
      </c>
      <c r="O692" s="5" t="inlineStr">
        <is>
          <t>$</t>
        </is>
      </c>
      <c r="P692" s="5" t="n">
        <v>0</v>
      </c>
      <c r="Q692" s="5" t="n">
        <v>0</v>
      </c>
      <c r="R692" s="5" t="inlineStr">
        <is>
          <t>385-2025-12-31</t>
        </is>
      </c>
    </row>
    <row r="693">
      <c r="A693" s="5" t="n">
        <v>386</v>
      </c>
      <c r="B693" s="5" t="inlineStr">
        <is>
          <t>Cumplimiento Meta comercial Educación para toda la vida por linea</t>
        </is>
      </c>
      <c r="C693" s="5" t="inlineStr">
        <is>
          <t>Mercadeo y venta de educación para la vida</t>
        </is>
      </c>
      <c r="D693" s="5" t="inlineStr">
        <is>
          <t>Semestral</t>
        </is>
      </c>
      <c r="E693" s="5" t="inlineStr">
        <is>
          <t>Positivo</t>
        </is>
      </c>
      <c r="F693" s="144" t="n">
        <v>45291</v>
      </c>
      <c r="G693" s="5" t="n">
        <v>2023</v>
      </c>
      <c r="H693" s="5" t="inlineStr">
        <is>
          <t>Diciembre</t>
        </is>
      </c>
      <c r="I693" s="6" t="inlineStr">
        <is>
          <t>2023-2</t>
        </is>
      </c>
      <c r="J693" s="5" t="n">
        <v>200</v>
      </c>
      <c r="K693" s="5" t="n">
        <v>241.20486566654</v>
      </c>
      <c r="L693" s="28">
        <f>IFERROR(IF(OR(J693=0,K693=""),"",IF(E693="Positivo",MIN(MAX(K693/J693,0),1.3),MIN(MAX(J693/K693,0),1.3))),"") </f>
        <v/>
      </c>
      <c r="M693" s="28">
        <f>IFERROR(IF(OR(J693=0,K693=""),"",IF(E693="Positivo",MAX(K693/J693,0),MAX(J693/K693,0))),"") </f>
        <v/>
      </c>
      <c r="N693" s="5" t="inlineStr">
        <is>
          <t>%</t>
        </is>
      </c>
      <c r="O693" s="5" t="inlineStr">
        <is>
          <t>%</t>
        </is>
      </c>
      <c r="P693" s="5" t="n">
        <v>0</v>
      </c>
      <c r="Q693" s="5" t="n">
        <v>0</v>
      </c>
      <c r="R693" s="5" t="inlineStr">
        <is>
          <t>386-2023-12-31</t>
        </is>
      </c>
    </row>
    <row r="694">
      <c r="A694" s="5" t="n">
        <v>386</v>
      </c>
      <c r="B694" s="23" t="inlineStr">
        <is>
          <t>Cumplimiento Meta comercial Educación para toda la vida por linea</t>
        </is>
      </c>
      <c r="C694" s="5" t="inlineStr">
        <is>
          <t>Mercadeo y venta de educación para la vida</t>
        </is>
      </c>
      <c r="D694" s="5" t="inlineStr">
        <is>
          <t>Semestral</t>
        </is>
      </c>
      <c r="E694" s="5" t="inlineStr">
        <is>
          <t>Positivo</t>
        </is>
      </c>
      <c r="F694" s="144" t="n">
        <v>45657</v>
      </c>
      <c r="G694" s="16" t="n">
        <v>2024</v>
      </c>
      <c r="H694" s="6" t="inlineStr">
        <is>
          <t>Diciembre</t>
        </is>
      </c>
      <c r="I694" s="6" t="inlineStr">
        <is>
          <t>2024-2</t>
        </is>
      </c>
      <c r="J694" t="n">
        <v>200</v>
      </c>
      <c r="K694" t="n">
        <v>188.64</v>
      </c>
      <c r="L694" s="28">
        <f>IFERROR(IF(OR(J694=0,K694=""),"",IF(E694="Positivo",MIN(MAX(K694/J694,0),1.3),MIN(MAX(J694/K694,0),1.3))),"") </f>
        <v/>
      </c>
      <c r="M694" s="28">
        <f>IFERROR(IF(OR(J694=0,K694=""),"",IF(E694="Positivo",MAX(K694/J694,0),MAX(J694/K694,0))),"") </f>
        <v/>
      </c>
      <c r="N694" s="5" t="inlineStr">
        <is>
          <t>%</t>
        </is>
      </c>
      <c r="O694" s="5" t="inlineStr">
        <is>
          <t>%</t>
        </is>
      </c>
      <c r="P694" s="5" t="n">
        <v>0</v>
      </c>
      <c r="Q694" s="5" t="n">
        <v>0</v>
      </c>
      <c r="R694" s="5" t="inlineStr">
        <is>
          <t>386-2024-12-31</t>
        </is>
      </c>
    </row>
    <row r="695">
      <c r="A695" s="5" t="n">
        <v>386</v>
      </c>
      <c r="B695" s="5" t="inlineStr">
        <is>
          <t>Cumplimiento Meta comercial Educación para toda la vida por linea</t>
        </is>
      </c>
      <c r="C695" s="5" t="inlineStr">
        <is>
          <t>Mercadeo y venta de educación para la vida</t>
        </is>
      </c>
      <c r="D695" s="5" t="inlineStr">
        <is>
          <t>Trimestral</t>
        </is>
      </c>
      <c r="E695" s="5" t="inlineStr">
        <is>
          <t>Positivo</t>
        </is>
      </c>
      <c r="F695" s="144" t="n">
        <v>46022</v>
      </c>
      <c r="G695" s="16" t="n">
        <v>2025</v>
      </c>
      <c r="H695" s="6" t="inlineStr">
        <is>
          <t>Diciembre</t>
        </is>
      </c>
      <c r="I695" s="6" t="inlineStr">
        <is>
          <t>2025-2</t>
        </is>
      </c>
      <c r="J695" s="5" t="n">
        <v>200</v>
      </c>
      <c r="K695" s="5" t="n">
        <v>225.46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inlineStr">
        <is>
          <t>%</t>
        </is>
      </c>
      <c r="O695" s="5" t="inlineStr">
        <is>
          <t>%</t>
        </is>
      </c>
      <c r="P695" s="5" t="n">
        <v>0</v>
      </c>
      <c r="Q695" s="5" t="n">
        <v>0</v>
      </c>
      <c r="R695" s="5" t="inlineStr">
        <is>
          <t>386-2025-12-31</t>
        </is>
      </c>
    </row>
    <row r="696">
      <c r="A696" s="5" t="n">
        <v>387</v>
      </c>
      <c r="B696" s="5" t="inlineStr">
        <is>
          <t>Programas con reforzamiento curricular por escuela</t>
        </is>
      </c>
      <c r="C696" s="5" t="inlineStr">
        <is>
          <t>Gestión, Evaluación e Innovación Curricular</t>
        </is>
      </c>
      <c r="D696" s="5" t="inlineStr">
        <is>
          <t>Semestral</t>
        </is>
      </c>
      <c r="E696" s="5" t="inlineStr">
        <is>
          <t>Positivo</t>
        </is>
      </c>
      <c r="F696" s="144" t="n">
        <v>45291</v>
      </c>
      <c r="G696" s="16" t="n">
        <v>2023</v>
      </c>
      <c r="H696" s="6" t="inlineStr">
        <is>
          <t>Diciembre</t>
        </is>
      </c>
      <c r="I696" s="6" t="inlineStr">
        <is>
          <t>2023-2</t>
        </is>
      </c>
      <c r="J696" s="5" t="n">
        <v>38</v>
      </c>
      <c r="K696" s="5" t="n">
        <v>38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inlineStr">
        <is>
          <t>ENT</t>
        </is>
      </c>
      <c r="O696" s="5" t="inlineStr">
        <is>
          <t>ENT</t>
        </is>
      </c>
      <c r="P696" s="5" t="n">
        <v>0</v>
      </c>
      <c r="Q696" s="5" t="n">
        <v>0</v>
      </c>
      <c r="R696" s="5" t="inlineStr">
        <is>
          <t>387-2023-12-31</t>
        </is>
      </c>
    </row>
    <row r="697">
      <c r="A697" s="5" t="n">
        <v>388</v>
      </c>
      <c r="B697" s="5" t="inlineStr">
        <is>
          <t>Programas con matriz de resultados de aprendizaje por escuela</t>
        </is>
      </c>
      <c r="C697" s="5" t="inlineStr">
        <is>
          <t>Gestión, Evaluación e Innovación Curricular</t>
        </is>
      </c>
      <c r="D697" s="5" t="inlineStr">
        <is>
          <t>Semestral</t>
        </is>
      </c>
      <c r="E697" s="5" t="inlineStr">
        <is>
          <t>Positivo</t>
        </is>
      </c>
      <c r="F697" s="144" t="n">
        <v>45291</v>
      </c>
      <c r="G697" s="5" t="n">
        <v>2023</v>
      </c>
      <c r="H697" s="5" t="inlineStr">
        <is>
          <t>Diciembre</t>
        </is>
      </c>
      <c r="I697" s="6" t="inlineStr">
        <is>
          <t>2023-2</t>
        </is>
      </c>
      <c r="J697" s="5" t="n">
        <v>93</v>
      </c>
      <c r="K697" s="5" t="n">
        <v>93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inlineStr">
        <is>
          <t>ENT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388-2023-12-31</t>
        </is>
      </c>
    </row>
    <row r="698">
      <c r="A698" s="5" t="n">
        <v>389</v>
      </c>
      <c r="B698" s="5" t="inlineStr">
        <is>
          <t>Permanencia por escuela</t>
        </is>
      </c>
      <c r="C698" s="5" t="inlineStr">
        <is>
          <t>Permanencia</t>
        </is>
      </c>
      <c r="D698" s="5" t="inlineStr">
        <is>
          <t>Semestral</t>
        </is>
      </c>
      <c r="E698" s="5" t="inlineStr">
        <is>
          <t>Positivo</t>
        </is>
      </c>
      <c r="F698" s="144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91</v>
      </c>
      <c r="K698" s="5" t="n">
        <v>0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 t="inlineStr">
        <is>
          <t>389-2023-12-31</t>
        </is>
      </c>
    </row>
    <row r="699">
      <c r="A699" t="n">
        <v>389</v>
      </c>
      <c r="B699" t="inlineStr">
        <is>
          <t>Permanencia por escuela</t>
        </is>
      </c>
      <c r="C699" t="inlineStr">
        <is>
          <t>Permanencia</t>
        </is>
      </c>
      <c r="D699" t="inlineStr">
        <is>
          <t>Semestral</t>
        </is>
      </c>
      <c r="E699" t="inlineStr">
        <is>
          <t>Positivo</t>
        </is>
      </c>
      <c r="F699" s="148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85</v>
      </c>
      <c r="K699" t="n">
        <v>42.21666666666666</v>
      </c>
      <c r="L699" s="59">
        <f>IFERROR(IF(OR(J699=0,K699=""),"",IF(E699="Positivo",MIN(MAX(K699/J699,0),1.3),MIN(MAX(J699/K699,0),1.3))),"") </f>
        <v/>
      </c>
      <c r="M699" s="59">
        <f>IFERROR(IF(OR(J699=0,K699=""),"",IF(E699="Positivo",MAX(K699/J699,0),MAX(J699/K699,0))),"") </f>
        <v/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389-2024-12-31</t>
        </is>
      </c>
    </row>
    <row r="700">
      <c r="A700" t="n">
        <v>389</v>
      </c>
      <c r="B700" t="inlineStr">
        <is>
          <t>Permanencia por escuela</t>
        </is>
      </c>
      <c r="C700" t="inlineStr">
        <is>
          <t>Gestión de Unidades Académicas</t>
        </is>
      </c>
      <c r="D700" t="inlineStr">
        <is>
          <t>Trimestral</t>
        </is>
      </c>
      <c r="E700" t="inlineStr">
        <is>
          <t>Positivo</t>
        </is>
      </c>
      <c r="F700" s="148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K700" t="n">
        <v>0</v>
      </c>
      <c r="L700" s="59" t="n"/>
      <c r="M700" s="59" t="n"/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389-2025-12-31</t>
        </is>
      </c>
    </row>
    <row r="701">
      <c r="A701" t="n">
        <v>390</v>
      </c>
      <c r="B701" t="inlineStr">
        <is>
          <t>Cumplimiento Plan Anual por escuela</t>
        </is>
      </c>
      <c r="C701" t="inlineStr">
        <is>
          <t>Gestión de Unidades Académicas</t>
        </is>
      </c>
      <c r="D701" t="inlineStr">
        <is>
          <t>Trimestral</t>
        </is>
      </c>
      <c r="E701" t="inlineStr">
        <is>
          <t>Positivo</t>
        </is>
      </c>
      <c r="F701" s="148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100</v>
      </c>
      <c r="K701" t="n">
        <v>99.24916666666699</v>
      </c>
      <c r="L701" s="59">
        <f>IFERROR(IF(OR(J701=0,K701=""),"",IF(E701="Positivo",MIN(MAX(K701/J701,0),1.0),MIN(MAX(J701/K701,0),1.0))),"") </f>
        <v/>
      </c>
      <c r="M701" s="59">
        <f>IFERROR(IF(OR(J701=0,K701=""),"",IF(E701="Positivo",MAX(K701/J701,0),MAX(J701/K701,0))),"") </f>
        <v/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390-2023-12-31</t>
        </is>
      </c>
    </row>
    <row r="702">
      <c r="A702" t="n">
        <v>390</v>
      </c>
      <c r="B702" t="inlineStr">
        <is>
          <t>Cumplimiento Plan Anual por escuela</t>
        </is>
      </c>
      <c r="C702" t="inlineStr">
        <is>
          <t>Gestión de Unidades Académicas</t>
        </is>
      </c>
      <c r="D702" t="inlineStr">
        <is>
          <t>Trimestral</t>
        </is>
      </c>
      <c r="E702" t="inlineStr">
        <is>
          <t>Positivo</t>
        </is>
      </c>
      <c r="F702" s="148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100</v>
      </c>
      <c r="K702" t="n">
        <v>99.92</v>
      </c>
      <c r="L702" s="59">
        <f>IFERROR(IF(OR(J702=0,K702=""),"",IF(E702="Positivo",MIN(MAX(K702/J702,0),1.0),MIN(MAX(J702/K702,0),1.0))),"") </f>
        <v/>
      </c>
      <c r="M702" s="59">
        <f>IFERROR(IF(OR(J702=0,K702=""),"",IF(E702="Positivo",MAX(K702/J702,0),MAX(J702/K702,0))),"") </f>
        <v/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390-2024-12-31</t>
        </is>
      </c>
    </row>
    <row r="703">
      <c r="A703" t="n">
        <v>390</v>
      </c>
      <c r="B703" t="inlineStr">
        <is>
          <t>Cumplimiento Plan Anual por escuela</t>
        </is>
      </c>
      <c r="C703" t="inlineStr">
        <is>
          <t>Planeación Estratégica</t>
        </is>
      </c>
      <c r="D703" t="inlineStr">
        <is>
          <t>Semestral</t>
        </is>
      </c>
      <c r="E703" t="inlineStr">
        <is>
          <t>Positivo</t>
        </is>
      </c>
      <c r="F703" s="148" t="n">
        <v>46022</v>
      </c>
      <c r="G703" t="n">
        <v>2025</v>
      </c>
      <c r="H703" t="inlineStr">
        <is>
          <t>Diciembre</t>
        </is>
      </c>
      <c r="I703" t="inlineStr">
        <is>
          <t>2025-2</t>
        </is>
      </c>
      <c r="J703" t="n">
        <v>100</v>
      </c>
      <c r="K703" t="n">
        <v>99.78</v>
      </c>
      <c r="L703" s="59">
        <f>IFERROR(IF(OR(J703=0,K703=""),"",IF(E703="Positivo",MIN(MAX(K703/J703,0),1.0),MIN(MAX(J703/K703,0),1.0))),"") </f>
        <v/>
      </c>
      <c r="M703" s="59">
        <f>IFERROR(IF(OR(J703=0,K703=""),"",IF(E703="Positivo",MAX(K703/J703,0),MAX(J703/K703,0))),"") </f>
        <v/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390-2025-12-31</t>
        </is>
      </c>
    </row>
    <row r="704">
      <c r="A704" t="n">
        <v>391</v>
      </c>
      <c r="B704" t="inlineStr">
        <is>
          <t>Satisfacción del cliente con campañas integradas de marketing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48" t="n">
        <v>45291</v>
      </c>
      <c r="G704" t="n">
        <v>2023</v>
      </c>
      <c r="H704" t="inlineStr">
        <is>
          <t>Diciembre</t>
        </is>
      </c>
      <c r="I704" t="inlineStr">
        <is>
          <t>2023-2</t>
        </is>
      </c>
      <c r="J704" t="n">
        <v>93</v>
      </c>
      <c r="K704" t="n">
        <v>100</v>
      </c>
      <c r="L704" s="59">
        <f>IFERROR(IF(OR(J704=0,K704=""),"",IF(E704="Positivo",MIN(MAX(K704/J704,0),1.3),MIN(MAX(J704/K704,0),1.3))),"") </f>
        <v/>
      </c>
      <c r="M704" s="59">
        <f>IFERROR(IF(OR(J704=0,K704=""),"",IF(E704="Positivo",MAX(K704/J704,0),MAX(J704/K704,0))),"") </f>
        <v/>
      </c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391-2023-12-31</t>
        </is>
      </c>
    </row>
    <row r="705">
      <c r="A705" t="n">
        <v>391</v>
      </c>
      <c r="B705" t="inlineStr">
        <is>
          <t>Satisfacción del cliente con campañas integradas de marketing</t>
        </is>
      </c>
      <c r="C705" t="inlineStr">
        <is>
          <t>Gestión de campañas integradas de marketing</t>
        </is>
      </c>
      <c r="D705" t="inlineStr">
        <is>
          <t>Semestral</t>
        </is>
      </c>
      <c r="E705" t="inlineStr">
        <is>
          <t>Positivo</t>
        </is>
      </c>
      <c r="F705" s="148" t="n">
        <v>45657</v>
      </c>
      <c r="G705" t="n">
        <v>2024</v>
      </c>
      <c r="H705" t="inlineStr">
        <is>
          <t>Diciembre</t>
        </is>
      </c>
      <c r="I705" t="inlineStr">
        <is>
          <t>2024-2</t>
        </is>
      </c>
      <c r="J705" t="n">
        <v>96</v>
      </c>
      <c r="K705" t="n">
        <v>100</v>
      </c>
      <c r="L705" s="59">
        <f>IFERROR(IF(OR(J705=0,K705=""),"",IF(E705="Positivo",MIN(MAX(K705/J705,0),1.3),MIN(MAX(J705/K705,0),1.3))),"") </f>
        <v/>
      </c>
      <c r="M705" s="59">
        <f>IFERROR(IF(OR(J705=0,K705=""),"",IF(E705="Positivo",MAX(K705/J705,0),MAX(J705/K705,0))),"") </f>
        <v/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391-2024-12-31</t>
        </is>
      </c>
    </row>
    <row r="706">
      <c r="A706" t="n">
        <v>392</v>
      </c>
      <c r="B706" t="inlineStr">
        <is>
          <t>Ahorro institucional con base en la monetización de los servicios</t>
        </is>
      </c>
      <c r="C706" t="inlineStr">
        <is>
          <t>Gestión de campañas integradas de marketing</t>
        </is>
      </c>
      <c r="D706" t="inlineStr">
        <is>
          <t>Semestral</t>
        </is>
      </c>
      <c r="E706" t="inlineStr">
        <is>
          <t>Positivo</t>
        </is>
      </c>
      <c r="F706" s="148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100</v>
      </c>
      <c r="K706" t="n">
        <v>147.38</v>
      </c>
      <c r="L706" s="59">
        <f>IFERROR(IF(OR(J706=0,K706=""),"",IF(E706="Positivo",MIN(MAX(K706/J706,0),1.3),MIN(MAX(J706/K706,0),1.3))),"") </f>
        <v/>
      </c>
      <c r="M706" s="59">
        <f>IFERROR(IF(OR(J706=0,K706=""),"",IF(E706="Positivo",MAX(K706/J706,0),MAX(J706/K706,0))),"") </f>
        <v/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392-2023-12-31</t>
        </is>
      </c>
    </row>
    <row r="707">
      <c r="A707" t="n">
        <v>392</v>
      </c>
      <c r="B707" t="inlineStr">
        <is>
          <t>Ahorro institucional con base en la monetización de los servicios</t>
        </is>
      </c>
      <c r="C707" t="inlineStr">
        <is>
          <t>Gestión de campañas integradas de marketing</t>
        </is>
      </c>
      <c r="D707" t="inlineStr">
        <is>
          <t>Semestral</t>
        </is>
      </c>
      <c r="E707" t="inlineStr">
        <is>
          <t>Positivo</t>
        </is>
      </c>
      <c r="F707" s="148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100</v>
      </c>
      <c r="K707" t="n">
        <v>145.21</v>
      </c>
      <c r="L707" s="59">
        <f>IFERROR(IF(OR(J707=0,K707=""),"",IF(E707="Positivo",MIN(MAX(K707/J707,0),1.3),MIN(MAX(J707/K707,0),1.3))),"") </f>
        <v/>
      </c>
      <c r="M707" s="59">
        <f>IFERROR(IF(OR(J707=0,K707=""),"",IF(E707="Positivo",MAX(K707/J707,0),MAX(J707/K707,0))),"") </f>
        <v/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392-2024-12-31</t>
        </is>
      </c>
    </row>
    <row r="708">
      <c r="A708" t="n">
        <v>392</v>
      </c>
      <c r="B708" t="inlineStr">
        <is>
          <t>Ahorro institucional con base en la monetización de los servicios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Positivo</t>
        </is>
      </c>
      <c r="F708" s="148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J708" t="n">
        <v>100</v>
      </c>
      <c r="K708" t="n">
        <v>100.8</v>
      </c>
      <c r="L708" s="59">
        <f>IFERROR(IF(OR(J708=0,K708=""),"",IF(E708="Positivo",MIN(MAX(K708/J708,0),1.3),MIN(MAX(J708/K708,0),1.3))),"") </f>
        <v/>
      </c>
      <c r="M708" s="59">
        <f>IFERROR(IF(OR(J708=0,K708=""),"",IF(E708="Positivo",MAX(K708/J708,0),MAX(J708/K708,0))),"") </f>
        <v/>
      </c>
      <c r="N708" t="inlineStr">
        <is>
          <t>$</t>
        </is>
      </c>
      <c r="O708" t="inlineStr">
        <is>
          <t>$</t>
        </is>
      </c>
      <c r="P708" t="n">
        <v>0</v>
      </c>
      <c r="Q708" t="n">
        <v>0</v>
      </c>
      <c r="R708" t="inlineStr">
        <is>
          <t>392-2025-12-31</t>
        </is>
      </c>
    </row>
    <row r="709">
      <c r="A709" t="n">
        <v>393</v>
      </c>
      <c r="B709" t="inlineStr">
        <is>
          <t>Disminución de los tiempos empleados en el desarrollo de las solicitudes</t>
        </is>
      </c>
      <c r="C709" t="inlineStr">
        <is>
          <t>Gestión de campañas integradas de marketing</t>
        </is>
      </c>
      <c r="D709" t="inlineStr">
        <is>
          <t>Anual</t>
        </is>
      </c>
      <c r="E709" t="inlineStr">
        <is>
          <t>Positivo</t>
        </is>
      </c>
      <c r="F709" s="148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15</v>
      </c>
      <c r="K709" t="n">
        <v>15.45</v>
      </c>
      <c r="L709" s="59">
        <f>IFERROR(IF(OR(J709=0,K709=""),"",IF(E709="Positivo",MIN(MAX(K709/J709,0),1.3),MIN(MAX(J709/K709,0),1.3))),"") </f>
        <v/>
      </c>
      <c r="M709" s="59">
        <f>IFERROR(IF(OR(J709=0,K709=""),"",IF(E709="Positivo",MAX(K709/J709,0),MAX(J709/K709,0))),"") </f>
        <v/>
      </c>
      <c r="N709" t="inlineStr">
        <is>
          <t>ENT</t>
        </is>
      </c>
      <c r="O709" t="inlineStr">
        <is>
          <t>DEC</t>
        </is>
      </c>
      <c r="P709" t="n">
        <v>1</v>
      </c>
      <c r="Q709" t="n">
        <v>1</v>
      </c>
      <c r="R709" t="inlineStr">
        <is>
          <t>393-2023-12-31</t>
        </is>
      </c>
    </row>
    <row r="710">
      <c r="A710" t="n">
        <v>393</v>
      </c>
      <c r="B710" t="inlineStr">
        <is>
          <t>Disminución de los tiempos empleados en el desarrollo de las solicitudes</t>
        </is>
      </c>
      <c r="C710" t="inlineStr">
        <is>
          <t>Gestión de campañas integradas de marketing</t>
        </is>
      </c>
      <c r="D710" t="inlineStr">
        <is>
          <t>Anual</t>
        </is>
      </c>
      <c r="E710" t="inlineStr">
        <is>
          <t>Negativo</t>
        </is>
      </c>
      <c r="F710" s="148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15</v>
      </c>
      <c r="K710" t="n">
        <v>13</v>
      </c>
      <c r="L710" s="59">
        <f>IFERROR(IF(OR(J710=0,K710=""),"",IF(E710="Positivo",MIN(MAX(K710/J710,0),1.3),MIN(MAX(J710/K710,0),1.3))),"") </f>
        <v/>
      </c>
      <c r="M710" s="59">
        <f>IFERROR(IF(OR(J710=0,K710=""),"",IF(E710="Positivo",MAX(K710/J710,0),MAX(J710/K710,0))),"") </f>
        <v/>
      </c>
      <c r="N710" t="inlineStr">
        <is>
          <t>ENT</t>
        </is>
      </c>
      <c r="O710" t="inlineStr">
        <is>
          <t>DEC</t>
        </is>
      </c>
      <c r="P710" t="n">
        <v>1</v>
      </c>
      <c r="Q710" t="n">
        <v>1</v>
      </c>
      <c r="R710" t="inlineStr">
        <is>
          <t>393-2024-12-31</t>
        </is>
      </c>
    </row>
    <row r="711">
      <c r="A711" t="n">
        <v>393</v>
      </c>
      <c r="B711" t="inlineStr">
        <is>
          <t>Disminución de los tiempos empleados en el desarrollo de las solicitudes</t>
        </is>
      </c>
      <c r="C711" t="inlineStr">
        <is>
          <t>Gestión de campañas integradas de marketing</t>
        </is>
      </c>
      <c r="D711" t="inlineStr">
        <is>
          <t>Anual</t>
        </is>
      </c>
      <c r="E711" t="inlineStr">
        <is>
          <t>Negativo</t>
        </is>
      </c>
      <c r="F711" s="148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K711" t="n">
        <v>12</v>
      </c>
      <c r="L711" s="59" t="n"/>
      <c r="M711" s="59" t="n"/>
      <c r="N711" t="inlineStr">
        <is>
          <t>ENT</t>
        </is>
      </c>
      <c r="O711" t="inlineStr">
        <is>
          <t>DEC</t>
        </is>
      </c>
      <c r="P711" t="n">
        <v>1</v>
      </c>
      <c r="Q711" t="n">
        <v>1</v>
      </c>
      <c r="R711" t="inlineStr">
        <is>
          <t>393-2025-12-31</t>
        </is>
      </c>
    </row>
    <row r="712">
      <c r="A712" t="n">
        <v>394</v>
      </c>
      <c r="B712" t="inlineStr">
        <is>
          <t>Publicaciones en medios de comunicación Tier 1 y Tier 2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48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312.569285714285</v>
      </c>
      <c r="L712" s="59">
        <f>IFERROR(IF(OR(J712=0,K712=""),"",IF(E712="Positivo",MIN(MAX(K712/J712,0),1.3),MIN(MAX(J712/K712,0),1.3))),"") </f>
        <v/>
      </c>
      <c r="M712" s="59">
        <f>IFERROR(IF(OR(J712=0,K712=""),"",IF(E712="Positivo",MAX(K712/J712,0),MAX(J712/K712,0))),"") </f>
        <v/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394-2023-12-31</t>
        </is>
      </c>
    </row>
    <row r="713">
      <c r="A713" t="n">
        <v>394</v>
      </c>
      <c r="B713" t="inlineStr">
        <is>
          <t>Publicaciones en medios de comunicación Tier 1 y Tier 2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48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155.3</v>
      </c>
      <c r="L713" s="59">
        <f>IFERROR(IF(OR(J713=0,K713=""),"",IF(E713="Positivo",MIN(MAX(K713/J713,0),1.3),MIN(MAX(J713/K713,0),1.3))),"") </f>
        <v/>
      </c>
      <c r="M713" s="59">
        <f>IFERROR(IF(OR(J713=0,K713=""),"",IF(E713="Positivo",MAX(K713/J713,0),MAX(J713/K713,0))),"") </f>
        <v/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394-2024-12-31</t>
        </is>
      </c>
    </row>
    <row r="714">
      <c r="A714" t="n">
        <v>394</v>
      </c>
      <c r="B714" t="inlineStr">
        <is>
          <t>Publicaciones en medios de comunicación Tier 1 y Tier 2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48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138.3925</v>
      </c>
      <c r="L714" s="59">
        <f>IFERROR(IF(OR(J714=0,K714=""),"",IF(E714="Positivo",MIN(MAX(K714/J714,0),1.3),MIN(MAX(J714/K714,0),1.3))),"") </f>
        <v/>
      </c>
      <c r="M714" s="59">
        <f>IFERROR(IF(OR(J714=0,K714=""),"",IF(E714="Positivo",MAX(K714/J714,0),MAX(J714/K714,0))),"") </f>
        <v/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394-2025-12-31</t>
        </is>
      </c>
    </row>
    <row r="715">
      <c r="A715" t="n">
        <v>395</v>
      </c>
      <c r="B715" t="inlineStr">
        <is>
          <t>Publicaciones en medios de comunicación Tier 1 y Tier 2 de la región Antioquia</t>
        </is>
      </c>
      <c r="C715" t="inlineStr">
        <is>
          <t>Comunicaciones Externas</t>
        </is>
      </c>
      <c r="D715" t="inlineStr">
        <is>
          <t>Semestral</t>
        </is>
      </c>
      <c r="E715" t="inlineStr">
        <is>
          <t>Positivo</t>
        </is>
      </c>
      <c r="F715" s="148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100</v>
      </c>
      <c r="K715" t="n">
        <v>280.39382352941</v>
      </c>
      <c r="L715" s="59">
        <f>IFERROR(IF(OR(J715=0,K715=""),"",IF(E715="Positivo",MIN(MAX(K715/J715,0),1.3),MIN(MAX(J715/K715,0),1.3))),"") </f>
        <v/>
      </c>
      <c r="M715" s="59">
        <f>IFERROR(IF(OR(J715=0,K715=""),"",IF(E715="Positivo",MAX(K715/J715,0),MAX(J715/K715,0))),"") </f>
        <v/>
      </c>
      <c r="N715" t="inlineStr">
        <is>
          <t>ENT</t>
        </is>
      </c>
      <c r="O715" t="inlineStr">
        <is>
          <t>ENT</t>
        </is>
      </c>
      <c r="P715" t="n">
        <v>0</v>
      </c>
      <c r="Q715" t="n">
        <v>0</v>
      </c>
      <c r="R715" t="inlineStr">
        <is>
          <t>395-2023-12-31</t>
        </is>
      </c>
    </row>
    <row r="716">
      <c r="A716" t="n">
        <v>395</v>
      </c>
      <c r="B716" t="inlineStr">
        <is>
          <t>Publicaciones en medios de comunicación de la región Antioquia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48" t="n">
        <v>45657</v>
      </c>
      <c r="G716" t="n">
        <v>2024</v>
      </c>
      <c r="H716" t="inlineStr">
        <is>
          <t>Diciembre</t>
        </is>
      </c>
      <c r="I716" t="inlineStr">
        <is>
          <t>2024-2</t>
        </is>
      </c>
      <c r="J716" t="n">
        <v>100</v>
      </c>
      <c r="K716" t="n">
        <v>129.445</v>
      </c>
      <c r="L716" s="59">
        <f>IFERROR(IF(OR(J716=0,K716=""),"",IF(E716="Positivo",MIN(MAX(K716/J716,0),1.3),MIN(MAX(J716/K716,0),1.3))),"") </f>
        <v/>
      </c>
      <c r="M716" s="59">
        <f>IFERROR(IF(OR(J716=0,K716=""),"",IF(E716="Positivo",MAX(K716/J716,0),MAX(J716/K716,0))),"") </f>
        <v/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395-2024-12-31</t>
        </is>
      </c>
    </row>
    <row r="717">
      <c r="A717" t="n">
        <v>395</v>
      </c>
      <c r="B717" t="inlineStr">
        <is>
          <t>Publicaciones en medios de comunicación de la región Antioquia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48" t="n">
        <v>46022</v>
      </c>
      <c r="G717" t="n">
        <v>2025</v>
      </c>
      <c r="H717" t="inlineStr">
        <is>
          <t>Diciembre</t>
        </is>
      </c>
      <c r="I717" t="inlineStr">
        <is>
          <t>2025-2</t>
        </is>
      </c>
      <c r="J717" t="n">
        <v>100</v>
      </c>
      <c r="K717" t="n">
        <v>204.415</v>
      </c>
      <c r="L717" s="59">
        <f>IFERROR(IF(OR(J717=0,K717=""),"",IF(E717="Positivo",MIN(MAX(K717/J717,0),1.3),MIN(MAX(J717/K717,0),1.3))),"") </f>
        <v/>
      </c>
      <c r="M717" s="59">
        <f>IFERROR(IF(OR(J717=0,K717=""),"",IF(E717="Positivo",MAX(K717/J717,0),MAX(J717/K717,0))),"") </f>
        <v/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395-2025-12-31</t>
        </is>
      </c>
    </row>
    <row r="718">
      <c r="A718" t="n">
        <v>396</v>
      </c>
      <c r="B718" t="inlineStr">
        <is>
          <t>Publicaciones en el Campus Virtual</t>
        </is>
      </c>
      <c r="C718" t="inlineStr">
        <is>
          <t>Gestión de campañas integradas de marketing</t>
        </is>
      </c>
      <c r="D718" t="inlineStr">
        <is>
          <t>Semestral</t>
        </is>
      </c>
      <c r="E718" t="inlineStr">
        <is>
          <t>Positivo</t>
        </is>
      </c>
      <c r="F718" s="148" t="n">
        <v>45291</v>
      </c>
      <c r="G718" t="n">
        <v>2023</v>
      </c>
      <c r="H718" t="inlineStr">
        <is>
          <t>Diciembre</t>
        </is>
      </c>
      <c r="I718" t="inlineStr">
        <is>
          <t>2023-2</t>
        </is>
      </c>
      <c r="J718" t="n">
        <v>80</v>
      </c>
      <c r="K718" t="n">
        <v>88.89</v>
      </c>
      <c r="L718" s="59">
        <f>IFERROR(IF(OR(J718=0,K718=""),"",IF(E718="Positivo",MIN(MAX(K718/J718,0),1.3),MIN(MAX(J718/K718,0),1.3))),"") </f>
        <v/>
      </c>
      <c r="M718" s="59">
        <f>IFERROR(IF(OR(J718=0,K718=""),"",IF(E718="Positivo",MAX(K718/J718,0),MAX(J718/K718,0))),"") </f>
        <v/>
      </c>
      <c r="N718" t="inlineStr">
        <is>
          <t>ENT</t>
        </is>
      </c>
      <c r="O718" t="inlineStr">
        <is>
          <t>DEC</t>
        </is>
      </c>
      <c r="P718" t="n">
        <v>1</v>
      </c>
      <c r="Q718" t="n">
        <v>1</v>
      </c>
      <c r="R718" t="inlineStr">
        <is>
          <t>396-2023-12-31</t>
        </is>
      </c>
    </row>
    <row r="719">
      <c r="A719" t="n">
        <v>396</v>
      </c>
      <c r="B719" t="inlineStr">
        <is>
          <t>Publicaciones en el Campus Virtual</t>
        </is>
      </c>
      <c r="C719" t="inlineStr">
        <is>
          <t>Diseño de Contenido Virtual</t>
        </is>
      </c>
      <c r="D719" t="inlineStr">
        <is>
          <t>Semestral</t>
        </is>
      </c>
      <c r="E719" t="inlineStr">
        <is>
          <t>Positivo</t>
        </is>
      </c>
      <c r="F719" s="148" t="n">
        <v>45473</v>
      </c>
      <c r="G719" t="n">
        <v>2024</v>
      </c>
      <c r="H719" t="inlineStr">
        <is>
          <t>Junio</t>
        </is>
      </c>
      <c r="I719" t="inlineStr">
        <is>
          <t>2024-1</t>
        </is>
      </c>
      <c r="J719" t="n">
        <v>80</v>
      </c>
      <c r="K719" t="n">
        <v>88.09999999999999</v>
      </c>
      <c r="L719" s="59">
        <f>IFERROR(IF(OR(J719=0,K719=""),"",IF(E719="Positivo",MIN(MAX(K719/J719,0),1.3),MIN(MAX(J719/K719,0),1.3))),"") </f>
        <v/>
      </c>
      <c r="M719" s="59">
        <f>IFERROR(IF(OR(J719=0,K719=""),"",IF(E719="Positivo",MAX(K719/J719,0),MAX(J719/K719,0))),"") </f>
        <v/>
      </c>
      <c r="N719" t="inlineStr">
        <is>
          <t>ENT</t>
        </is>
      </c>
      <c r="O719" t="inlineStr">
        <is>
          <t>DEC</t>
        </is>
      </c>
      <c r="P719" t="n">
        <v>1</v>
      </c>
      <c r="Q719" t="n">
        <v>1</v>
      </c>
      <c r="R719" t="inlineStr">
        <is>
          <t>396-2024-06-30</t>
        </is>
      </c>
    </row>
    <row r="720">
      <c r="A720" t="n">
        <v>397</v>
      </c>
      <c r="B720" t="inlineStr">
        <is>
          <t>Gestión de casos del Estudio de Emisión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48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80</v>
      </c>
      <c r="K720" t="n">
        <v>92.01571428571449</v>
      </c>
      <c r="L720" s="59">
        <f>IFERROR(IF(OR(J720=0,K720=""),"",IF(E720="Positivo",MIN(MAX(K720/J720,0),1.3),MIN(MAX(J720/K720,0),1.3))),"") </f>
        <v/>
      </c>
      <c r="M720" s="59">
        <f>IFERROR(IF(OR(J720=0,K720=""),"",IF(E720="Positivo",MAX(K720/J720,0),MAX(J720/K720,0))),"") </f>
        <v/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1</v>
      </c>
      <c r="R720" t="inlineStr">
        <is>
          <t>397-2023-12-31</t>
        </is>
      </c>
    </row>
    <row r="721">
      <c r="A721" t="n">
        <v>397</v>
      </c>
      <c r="B721" t="inlineStr">
        <is>
          <t>Gestión de casos del Estudio de Emisión</t>
        </is>
      </c>
      <c r="C721" t="inlineStr">
        <is>
          <t>Diseño de Contenido Virtual</t>
        </is>
      </c>
      <c r="D721" t="inlineStr">
        <is>
          <t>Semestral</t>
        </is>
      </c>
      <c r="E721" t="inlineStr">
        <is>
          <t>Positivo</t>
        </is>
      </c>
      <c r="F721" s="148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80</v>
      </c>
      <c r="K721" t="n">
        <v>91.47999999999999</v>
      </c>
      <c r="L721" s="59">
        <f>IFERROR(IF(OR(J721=0,K721=""),"",IF(E721="Positivo",MIN(MAX(K721/J721,0),1.3),MIN(MAX(J721/K721,0),1.3))),"") </f>
        <v/>
      </c>
      <c r="M721" s="59">
        <f>IFERROR(IF(OR(J721=0,K721=""),"",IF(E721="Positivo",MAX(K721/J721,0),MAX(J721/K721,0))),"") </f>
        <v/>
      </c>
      <c r="N721" t="inlineStr">
        <is>
          <t>%</t>
        </is>
      </c>
      <c r="O721" t="inlineStr">
        <is>
          <t>%</t>
        </is>
      </c>
      <c r="P721" t="n">
        <v>0</v>
      </c>
      <c r="Q721" t="n">
        <v>1</v>
      </c>
      <c r="R721" t="inlineStr">
        <is>
          <t>397-2024-12-31</t>
        </is>
      </c>
    </row>
    <row r="722">
      <c r="A722" t="n">
        <v>397</v>
      </c>
      <c r="B722" t="inlineStr">
        <is>
          <t>Gestión de casos del Estudio de Grabación Virtual</t>
        </is>
      </c>
      <c r="C722" t="inlineStr">
        <is>
          <t>Diseño de Contenido Virtual</t>
        </is>
      </c>
      <c r="D722" t="inlineStr">
        <is>
          <t>Trimestral</t>
        </is>
      </c>
      <c r="E722" t="inlineStr">
        <is>
          <t>Positivo</t>
        </is>
      </c>
      <c r="F722" s="148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90</v>
      </c>
      <c r="K722" t="n">
        <v>95.7</v>
      </c>
      <c r="L722" s="59">
        <f>IFERROR(IF(OR(J722=0,K722=""),"",IF(E722="Positivo",MIN(MAX(K722/J722,0),1.3),MIN(MAX(J722/K722,0),1.3))),"") </f>
        <v/>
      </c>
      <c r="M722" s="59">
        <f>IFERROR(IF(OR(J722=0,K722=""),"",IF(E722="Positivo",MAX(K722/J722,0),MAX(J722/K722,0))),"") </f>
        <v/>
      </c>
      <c r="N722" t="inlineStr">
        <is>
          <t>%</t>
        </is>
      </c>
      <c r="O722" t="inlineStr">
        <is>
          <t>%</t>
        </is>
      </c>
      <c r="P722" t="n">
        <v>0</v>
      </c>
      <c r="Q722" t="n">
        <v>1</v>
      </c>
      <c r="R722" t="inlineStr">
        <is>
          <t>397-2025-12-31</t>
        </is>
      </c>
    </row>
    <row r="723">
      <c r="A723" t="n">
        <v>398</v>
      </c>
      <c r="B723" t="inlineStr">
        <is>
          <t>Participación en actividades de desarrollo de Cultura y Formación Emprendedora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48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491.2</v>
      </c>
      <c r="L723" s="59">
        <f>IFERROR(IF(OR(J723=0,K723=""),"",IF(E723="Positivo",MIN(MAX(K723/J723,0),1.3),MIN(MAX(J723/K723,0),1.3))),"") </f>
        <v/>
      </c>
      <c r="M723" s="59">
        <f>IFERROR(IF(OR(J723=0,K723=""),"",IF(E723="Positivo",MAX(K723/J723,0),MAX(J723/K723,0))),"") </f>
        <v/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398-2023-12-31</t>
        </is>
      </c>
    </row>
    <row r="724">
      <c r="A724" t="n">
        <v>398</v>
      </c>
      <c r="B724" t="inlineStr">
        <is>
          <t>Participación en actividades de desarrollo de Cultura y Formación Emprendedora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48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443.92</v>
      </c>
      <c r="L724" s="59">
        <f>IFERROR(IF(OR(J724=0,K724=""),"",IF(E724="Positivo",MIN(MAX(K724/J724,0),1.3),MIN(MAX(J724/K724,0),1.3))),"") </f>
        <v/>
      </c>
      <c r="M724" s="59">
        <f>IFERROR(IF(OR(J724=0,K724=""),"",IF(E724="Positivo",MAX(K724/J724,0),MAX(J724/K724,0))),"") </f>
        <v/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398-2024-12-31</t>
        </is>
      </c>
    </row>
    <row r="725">
      <c r="A725" t="n">
        <v>398</v>
      </c>
      <c r="B725" t="inlineStr">
        <is>
          <t>Participación en actividades de desarrollo de Cultura y Formación Emprendedora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48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328.21</v>
      </c>
      <c r="L725" s="59">
        <f>IFERROR(IF(OR(J725=0,K725=""),"",IF(E725="Positivo",MIN(MAX(K725/J725,0),1.3),MIN(MAX(J725/K725,0),1.3))),"") </f>
        <v/>
      </c>
      <c r="M725" s="59">
        <f>IFERROR(IF(OR(J725=0,K725=""),"",IF(E725="Positivo",MAX(K725/J725,0),MAX(J725/K725,0))),"") </f>
        <v/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398-2025-12-31</t>
        </is>
      </c>
    </row>
    <row r="726">
      <c r="A726" t="n">
        <v>399</v>
      </c>
      <c r="B726" t="inlineStr">
        <is>
          <t>Sesiones de Acompañamiento a emprendedores en creación de empresas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48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266.8</v>
      </c>
      <c r="L726" s="59">
        <f>IFERROR(IF(OR(J726=0,K726=""),"",IF(E726="Positivo",MIN(MAX(K726/J726,0),1.3),MIN(MAX(J726/K726,0),1.3))),"") </f>
        <v/>
      </c>
      <c r="M726" s="59">
        <f>IFERROR(IF(OR(J726=0,K726=""),"",IF(E726="Positivo",MAX(K726/J726,0),MAX(J726/K726,0))),"") </f>
        <v/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399-2023-12-31</t>
        </is>
      </c>
    </row>
    <row r="727">
      <c r="A727" t="n">
        <v>399</v>
      </c>
      <c r="B727" t="inlineStr">
        <is>
          <t>Sesiones de Acompañamiento a emprendedores en creación de empresas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48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222.72</v>
      </c>
      <c r="L727" s="59">
        <f>IFERROR(IF(OR(J727=0,K727=""),"",IF(E727="Positivo",MIN(MAX(K727/J727,0),1.3),MIN(MAX(J727/K727,0),1.3))),"") </f>
        <v/>
      </c>
      <c r="M727" s="59">
        <f>IFERROR(IF(OR(J727=0,K727=""),"",IF(E727="Positivo",MAX(K727/J727,0),MAX(J727/K727,0))),"") </f>
        <v/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399-2024-12-31</t>
        </is>
      </c>
    </row>
    <row r="728">
      <c r="A728" t="n">
        <v>399</v>
      </c>
      <c r="B728" t="inlineStr">
        <is>
          <t>Sesiones de Acompañamiento a emprendedores en creación de empresas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48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209.06</v>
      </c>
      <c r="L728" s="59">
        <f>IFERROR(IF(OR(J728=0,K728=""),"",IF(E728="Positivo",MIN(MAX(K728/J728,0),1.3),MIN(MAX(J728/K728,0),1.3))),"") </f>
        <v/>
      </c>
      <c r="M728" s="59">
        <f>IFERROR(IF(OR(J728=0,K728=""),"",IF(E728="Positivo",MAX(K728/J728,0),MAX(J728/K728,0))),"") </f>
        <v/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399-2025-12-31</t>
        </is>
      </c>
    </row>
    <row r="729">
      <c r="A729" t="n">
        <v>400</v>
      </c>
      <c r="B729" t="inlineStr">
        <is>
          <t>Puesta en marcha de proyectos de emprendimiento</t>
        </is>
      </c>
      <c r="C729" t="inlineStr">
        <is>
          <t>Emprendimiento</t>
        </is>
      </c>
      <c r="D729" t="inlineStr">
        <is>
          <t>Semestral</t>
        </is>
      </c>
      <c r="E729" t="inlineStr">
        <is>
          <t>Positivo</t>
        </is>
      </c>
      <c r="F729" s="148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200</v>
      </c>
      <c r="K729" t="n">
        <v>502.86</v>
      </c>
      <c r="L729" s="59">
        <f>IFERROR(IF(OR(J729=0,K729=""),"",IF(E729="Positivo",MIN(MAX(K729/J729,0),1.3),MIN(MAX(J729/K729,0),1.3))),"") </f>
        <v/>
      </c>
      <c r="M729" s="59">
        <f>IFERROR(IF(OR(J729=0,K729=""),"",IF(E729="Positivo",MAX(K729/J729,0),MAX(J729/K729,0))),"") </f>
        <v/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400-2023-12-31</t>
        </is>
      </c>
    </row>
    <row r="730">
      <c r="A730" t="n">
        <v>400</v>
      </c>
      <c r="B730" t="inlineStr">
        <is>
          <t>Puesta en marcha de proyectos de emprendimiento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48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200</v>
      </c>
      <c r="K730" t="n">
        <v>668.1800000000001</v>
      </c>
      <c r="L730" s="59">
        <f>IFERROR(IF(OR(J730=0,K730=""),"",IF(E730="Positivo",MIN(MAX(K730/J730,0),1.3),MIN(MAX(J730/K730,0),1.3))),"") </f>
        <v/>
      </c>
      <c r="M730" s="59">
        <f>IFERROR(IF(OR(J730=0,K730=""),"",IF(E730="Positivo",MAX(K730/J730,0),MAX(J730/K730,0))),"") </f>
        <v/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400-2024-12-31</t>
        </is>
      </c>
    </row>
    <row r="731">
      <c r="A731" t="n">
        <v>400</v>
      </c>
      <c r="B731" t="inlineStr">
        <is>
          <t>Puesta en marcha de proyectos de emprendimiento</t>
        </is>
      </c>
      <c r="C731" t="inlineStr">
        <is>
          <t>Emprendimiento</t>
        </is>
      </c>
      <c r="D731" t="inlineStr">
        <is>
          <t>Trimestral</t>
        </is>
      </c>
      <c r="E731" t="inlineStr">
        <is>
          <t>Positivo</t>
        </is>
      </c>
      <c r="F731" s="148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250.14</v>
      </c>
      <c r="L731" s="59">
        <f>IFERROR(IF(OR(J731=0,K731=""),"",IF(E731="Positivo",MIN(MAX(K731/J731,0),1.3),MIN(MAX(J731/K731,0),1.3))),"") </f>
        <v/>
      </c>
      <c r="M731" s="59">
        <f>IFERROR(IF(OR(J731=0,K731=""),"",IF(E731="Positivo",MAX(K731/J731,0),MAX(J731/K731,0))),"") </f>
        <v/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400-2025-12-31</t>
        </is>
      </c>
    </row>
    <row r="732">
      <c r="A732" t="n">
        <v>401</v>
      </c>
      <c r="B732" t="inlineStr">
        <is>
          <t>Producción de nuevos MI-Books</t>
        </is>
      </c>
      <c r="C732" t="inlineStr">
        <is>
          <t>LEI</t>
        </is>
      </c>
      <c r="D732" t="inlineStr">
        <is>
          <t>Semestral</t>
        </is>
      </c>
      <c r="E732" t="inlineStr">
        <is>
          <t>Positivo</t>
        </is>
      </c>
      <c r="F732" s="148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J732" t="n">
        <v>180</v>
      </c>
      <c r="K732" t="n">
        <v>212.5</v>
      </c>
      <c r="L732" s="59">
        <f>IFERROR(IF(OR(J732=0,K732=""),"",IF(E732="Positivo",MIN(MAX(K732/J732,0),1.3),MIN(MAX(J732/K732,0),1.3))),"") </f>
        <v/>
      </c>
      <c r="M732" s="59">
        <f>IFERROR(IF(OR(J732=0,K732=""),"",IF(E732="Positivo",MAX(K732/J732,0),MAX(J732/K732,0))),"") </f>
        <v/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401-2023-12-31</t>
        </is>
      </c>
    </row>
    <row r="733">
      <c r="A733" t="n">
        <v>401</v>
      </c>
      <c r="B733" t="inlineStr">
        <is>
          <t>Producción de nuevos MI-Books</t>
        </is>
      </c>
      <c r="C733" t="inlineStr">
        <is>
          <t>LEI</t>
        </is>
      </c>
      <c r="D733" t="inlineStr">
        <is>
          <t>Semestral</t>
        </is>
      </c>
      <c r="E733" t="inlineStr">
        <is>
          <t>Positivo</t>
        </is>
      </c>
      <c r="F733" s="148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180</v>
      </c>
      <c r="K733" t="n">
        <v>212.5</v>
      </c>
      <c r="L733" s="59">
        <f>IFERROR(IF(OR(J733=0,K733=""),"",IF(E733="Positivo",MIN(MAX(K733/J733,0),1.3),MIN(MAX(J733/K733,0),1.3))),"") </f>
        <v/>
      </c>
      <c r="M733" s="59">
        <f>IFERROR(IF(OR(J733=0,K733=""),"",IF(E733="Positivo",MAX(K733/J733,0),MAX(J733/K733,0))),"") </f>
        <v/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401-2024-12-31</t>
        </is>
      </c>
    </row>
    <row r="734">
      <c r="A734" t="n">
        <v>401</v>
      </c>
      <c r="B734" t="inlineStr">
        <is>
          <t>Producción de nuevos MI-Books</t>
        </is>
      </c>
      <c r="C734" t="inlineStr">
        <is>
          <t>LEI</t>
        </is>
      </c>
      <c r="D734" t="inlineStr">
        <is>
          <t>Trimestral</t>
        </is>
      </c>
      <c r="E734" t="inlineStr">
        <is>
          <t>Positivo</t>
        </is>
      </c>
      <c r="F734" s="148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J734" t="n">
        <v>200</v>
      </c>
      <c r="K734" t="n">
        <v>200</v>
      </c>
      <c r="L734" s="59">
        <f>IFERROR(IF(OR(J734=0,K734=""),"",IF(E734="Positivo",MIN(MAX(K734/J734,0),1.3),MIN(MAX(J734/K734,0),1.3))),"") </f>
        <v/>
      </c>
      <c r="M734" s="59">
        <f>IFERROR(IF(OR(J734=0,K734=""),"",IF(E734="Positivo",MAX(K734/J734,0),MAX(J734/K734,0))),"") </f>
        <v/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401-2025-12-31</t>
        </is>
      </c>
    </row>
    <row r="735">
      <c r="A735" t="n">
        <v>402</v>
      </c>
      <c r="B735" t="inlineStr">
        <is>
          <t>Informe anual de consulta de MI-Books</t>
        </is>
      </c>
      <c r="C735" t="inlineStr">
        <is>
          <t>LEI</t>
        </is>
      </c>
      <c r="D735" t="inlineStr">
        <is>
          <t>Anual</t>
        </is>
      </c>
      <c r="E735" t="inlineStr">
        <is>
          <t>Positivo</t>
        </is>
      </c>
      <c r="F735" s="148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21000</v>
      </c>
      <c r="L735" s="59" t="n"/>
      <c r="M735" s="59" t="n"/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402-2023-12-31</t>
        </is>
      </c>
    </row>
    <row r="736">
      <c r="A736" t="n">
        <v>402</v>
      </c>
      <c r="B736" t="inlineStr">
        <is>
          <t>Informe anual de consulta de MI-Books</t>
        </is>
      </c>
      <c r="C736" t="inlineStr">
        <is>
          <t>LEI</t>
        </is>
      </c>
      <c r="D736" t="inlineStr">
        <is>
          <t>Anual</t>
        </is>
      </c>
      <c r="E736" t="inlineStr">
        <is>
          <t>Positivo</t>
        </is>
      </c>
      <c r="F736" s="148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J736" t="n">
        <v>3</v>
      </c>
      <c r="K736" t="n">
        <v>4.76</v>
      </c>
      <c r="L736" s="59">
        <f>IFERROR(IF(OR(J736=0,K736=""),"",IF(E736="Positivo",MIN(MAX(K736/J736,0),1.3),MIN(MAX(J736/K736,0),1.3))),"") </f>
        <v/>
      </c>
      <c r="M736" s="59">
        <f>IFERROR(IF(OR(J736=0,K736=""),"",IF(E736="Positivo",MAX(K736/J736,0),MAX(J736/K736,0))),"") </f>
        <v/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402-2024-12-31</t>
        </is>
      </c>
    </row>
    <row r="737">
      <c r="A737" t="n">
        <v>402</v>
      </c>
      <c r="B737" t="inlineStr">
        <is>
          <t>Informe anual de consulta de MI-Books</t>
        </is>
      </c>
      <c r="C737" t="inlineStr">
        <is>
          <t>LEI</t>
        </is>
      </c>
      <c r="D737" t="inlineStr">
        <is>
          <t>Anual</t>
        </is>
      </c>
      <c r="E737" t="inlineStr">
        <is>
          <t>Positivo</t>
        </is>
      </c>
      <c r="F737" s="148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22.73</v>
      </c>
      <c r="L737" s="59" t="n"/>
      <c r="M737" s="59" t="n"/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402-2025-12-31</t>
        </is>
      </c>
    </row>
    <row r="738">
      <c r="A738" t="n">
        <v>403</v>
      </c>
      <c r="B738" t="inlineStr">
        <is>
          <t>Número de estudiantes que ha realizado la simulación</t>
        </is>
      </c>
      <c r="C738" t="inlineStr">
        <is>
          <t>LEI</t>
        </is>
      </c>
      <c r="D738" t="inlineStr">
        <is>
          <t>Semestral</t>
        </is>
      </c>
      <c r="E738" t="inlineStr">
        <is>
          <t>Positivo</t>
        </is>
      </c>
      <c r="F738" s="148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K738" t="n">
        <v>43009</v>
      </c>
      <c r="L738" s="59" t="n"/>
      <c r="M738" s="59" t="n"/>
      <c r="N738" t="inlineStr">
        <is>
          <t>Metrica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403-2023-12-31</t>
        </is>
      </c>
    </row>
    <row r="739">
      <c r="A739" t="n">
        <v>403</v>
      </c>
      <c r="B739" t="inlineStr">
        <is>
          <t>Número de estudiantes que ha realizado la simulación</t>
        </is>
      </c>
      <c r="C739" t="inlineStr">
        <is>
          <t>LEI</t>
        </is>
      </c>
      <c r="D739" t="inlineStr">
        <is>
          <t>Semestral</t>
        </is>
      </c>
      <c r="E739" t="inlineStr">
        <is>
          <t>Positivo</t>
        </is>
      </c>
      <c r="F739" s="148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K739" t="n">
        <v>29418</v>
      </c>
      <c r="L739" s="59" t="n"/>
      <c r="M739" s="59" t="n"/>
      <c r="N739" t="inlineStr">
        <is>
          <t>Metrica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403-2024-12-31</t>
        </is>
      </c>
    </row>
    <row r="740">
      <c r="A740" t="n">
        <v>403</v>
      </c>
      <c r="B740" t="inlineStr">
        <is>
          <t>Número de estudiantes que ha realizado la simulación (Metrica)</t>
        </is>
      </c>
      <c r="C740" t="inlineStr">
        <is>
          <t>LEI</t>
        </is>
      </c>
      <c r="D740" t="inlineStr">
        <is>
          <t>Trimestral</t>
        </is>
      </c>
      <c r="E740" t="inlineStr">
        <is>
          <t>Positivo</t>
        </is>
      </c>
      <c r="F740" s="148" t="n">
        <v>46022</v>
      </c>
      <c r="G740" t="n">
        <v>2025</v>
      </c>
      <c r="H740" t="inlineStr">
        <is>
          <t>Diciembre</t>
        </is>
      </c>
      <c r="I740" t="inlineStr">
        <is>
          <t>2025-2</t>
        </is>
      </c>
      <c r="K740" t="n">
        <v>26920</v>
      </c>
      <c r="L740" s="59" t="n"/>
      <c r="M740" s="59" t="n"/>
      <c r="N740" t="inlineStr">
        <is>
          <t>Metrica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403-2025-12-31</t>
        </is>
      </c>
      <c r="S740" t="inlineStr">
        <is>
          <t>Metrica</t>
        </is>
      </c>
    </row>
    <row r="741">
      <c r="A741" t="n">
        <v>404</v>
      </c>
      <c r="B741" t="inlineStr">
        <is>
          <t>Casos presentados y solucionados</t>
        </is>
      </c>
      <c r="C741" t="inlineStr">
        <is>
          <t>LEI</t>
        </is>
      </c>
      <c r="D741" t="inlineStr">
        <is>
          <t>Semestral</t>
        </is>
      </c>
      <c r="E741" t="inlineStr">
        <is>
          <t>Negativo</t>
        </is>
      </c>
      <c r="F741" s="148" t="n">
        <v>45291</v>
      </c>
      <c r="G741" t="n">
        <v>2023</v>
      </c>
      <c r="H741" t="inlineStr">
        <is>
          <t>Diciembre</t>
        </is>
      </c>
      <c r="I741" t="inlineStr">
        <is>
          <t>2023-2</t>
        </is>
      </c>
      <c r="J741" t="n">
        <v>20</v>
      </c>
      <c r="K741" t="n">
        <v>1.7</v>
      </c>
      <c r="L741" s="59">
        <f>IFERROR(IF(OR(J741=0,K741=""),"",IF(E741="Positivo",MIN(MAX(K741/J741,0),1.3),MIN(MAX(J741/K741,0),1.3))),"") </f>
        <v/>
      </c>
      <c r="M741" s="59">
        <f>IFERROR(IF(OR(J741=0,K741=""),"",IF(E741="Positivo",MAX(K741/J741,0),MAX(J741/K741,0))),"") </f>
        <v/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404-2023-12-31</t>
        </is>
      </c>
    </row>
    <row r="742">
      <c r="A742" t="n">
        <v>404</v>
      </c>
      <c r="B742" t="inlineStr">
        <is>
          <t>Casos presentados y solucionados</t>
        </is>
      </c>
      <c r="C742" t="inlineStr">
        <is>
          <t>LEI</t>
        </is>
      </c>
      <c r="D742" t="inlineStr">
        <is>
          <t>Semestral</t>
        </is>
      </c>
      <c r="E742" t="inlineStr">
        <is>
          <t>Negativo</t>
        </is>
      </c>
      <c r="F742" s="148" t="n">
        <v>45657</v>
      </c>
      <c r="G742" t="n">
        <v>2024</v>
      </c>
      <c r="H742" t="inlineStr">
        <is>
          <t>Diciembre</t>
        </is>
      </c>
      <c r="I742" t="inlineStr">
        <is>
          <t>2024-2</t>
        </is>
      </c>
      <c r="J742" t="n">
        <v>10</v>
      </c>
      <c r="K742" t="n">
        <v>6.02</v>
      </c>
      <c r="L742" s="59">
        <f>IFERROR(IF(OR(J742=0,K742=""),"",IF(E742="Positivo",MIN(MAX(K742/J742,0),1.3),MIN(MAX(J742/K742,0),1.3))),"") </f>
        <v/>
      </c>
      <c r="M742" s="59">
        <f>IFERROR(IF(OR(J742=0,K742=""),"",IF(E742="Positivo",MAX(K742/J742,0),MAX(J742/K742,0))),"") </f>
        <v/>
      </c>
      <c r="N742" t="inlineStr">
        <is>
          <t>%</t>
        </is>
      </c>
      <c r="O742" t="inlineStr">
        <is>
          <t>%</t>
        </is>
      </c>
      <c r="P742" t="n">
        <v>0</v>
      </c>
      <c r="Q742" t="n">
        <v>0</v>
      </c>
      <c r="R742" t="inlineStr">
        <is>
          <t>404-2024-12-31</t>
        </is>
      </c>
    </row>
    <row r="743">
      <c r="A743" t="n">
        <v>405</v>
      </c>
      <c r="B743" t="inlineStr">
        <is>
          <t>Proyecto de reingenieria y arquitectura de software LEI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48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50</v>
      </c>
      <c r="K743" t="n">
        <v>62</v>
      </c>
      <c r="L743" s="59">
        <f>IFERROR(IF(OR(J743=0,K743=""),"",IF(E743="Positivo",MIN(MAX(K743/J743,0),1.3),MIN(MAX(J743/K743,0),1.3))),"") </f>
        <v/>
      </c>
      <c r="M743" s="59">
        <f>IFERROR(IF(OR(J743=0,K743=""),"",IF(E743="Positivo",MAX(K743/J743,0),MAX(J743/K743,0))),"") </f>
        <v/>
      </c>
      <c r="N743" t="inlineStr">
        <is>
          <t>%</t>
        </is>
      </c>
      <c r="O743" t="inlineStr">
        <is>
          <t>%</t>
        </is>
      </c>
      <c r="P743" t="n">
        <v>0</v>
      </c>
      <c r="Q743" t="n">
        <v>0</v>
      </c>
      <c r="R743" t="inlineStr">
        <is>
          <t>405-2023-12-31</t>
        </is>
      </c>
    </row>
    <row r="744">
      <c r="A744" t="n">
        <v>405</v>
      </c>
      <c r="B744" t="inlineStr">
        <is>
          <t>Proyecto de reingenieria y arquitectura de software LEI</t>
        </is>
      </c>
      <c r="C744" t="inlineStr">
        <is>
          <t>LEI</t>
        </is>
      </c>
      <c r="D744" t="inlineStr">
        <is>
          <t>Semestral</t>
        </is>
      </c>
      <c r="E744" t="inlineStr">
        <is>
          <t>Positivo</t>
        </is>
      </c>
      <c r="F744" s="148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100</v>
      </c>
      <c r="K744" t="n">
        <v>98</v>
      </c>
      <c r="L744" s="59">
        <f>IFERROR(IF(OR(J744=0,K744=""),"",IF(E744="Positivo",MIN(MAX(K744/J744,0),1.3),MIN(MAX(J744/K744,0),1.3))),"") </f>
        <v/>
      </c>
      <c r="M744" s="59">
        <f>IFERROR(IF(OR(J744=0,K744=""),"",IF(E744="Positivo",MAX(K744/J744,0),MAX(J744/K744,0))),"") </f>
        <v/>
      </c>
      <c r="N744" t="inlineStr">
        <is>
          <t>%</t>
        </is>
      </c>
      <c r="O744" t="inlineStr">
        <is>
          <t>%</t>
        </is>
      </c>
      <c r="P744" t="n">
        <v>0</v>
      </c>
      <c r="Q744" t="n">
        <v>0</v>
      </c>
      <c r="R744" t="inlineStr">
        <is>
          <t>405-2024-12-31</t>
        </is>
      </c>
    </row>
    <row r="745">
      <c r="A745" t="n">
        <v>406</v>
      </c>
      <c r="B745" t="inlineStr">
        <is>
          <t>Programas con condiciones iniciales aprobadas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48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5</v>
      </c>
      <c r="K745" t="n">
        <v>5</v>
      </c>
      <c r="L745" s="59">
        <f>IFERROR(IF(OR(J745=0,K745=""),"",IF(E745="Positivo",MIN(MAX(K745/J745,0),1.3),MIN(MAX(J745/K745,0),1.3))),"") </f>
        <v/>
      </c>
      <c r="M745" s="59">
        <f>IFERROR(IF(OR(J745=0,K745=""),"",IF(E745="Positivo",MAX(K745/J745,0),MAX(J745/K745,0))),"") </f>
        <v/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406-2023-12-31</t>
        </is>
      </c>
    </row>
    <row r="746">
      <c r="A746" t="n">
        <v>406</v>
      </c>
      <c r="B746" t="inlineStr">
        <is>
          <t>Programas con condiciones iniciales aprobadas por facultad</t>
        </is>
      </c>
      <c r="C746" t="inlineStr">
        <is>
          <t>Autoevaluación de programas académicos</t>
        </is>
      </c>
      <c r="D746" t="inlineStr">
        <is>
          <t>Semestral</t>
        </is>
      </c>
      <c r="E746" t="inlineStr">
        <is>
          <t>Positivo</t>
        </is>
      </c>
      <c r="F746" s="148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3</v>
      </c>
      <c r="K746" t="n">
        <v>3</v>
      </c>
      <c r="L746" s="59">
        <f>IFERROR(IF(OR(J746=0,K746=""),"",IF(E746="Positivo",MIN(MAX(K746/J746,0),1.3),MIN(MAX(J746/K746,0),1.3))),"") </f>
        <v/>
      </c>
      <c r="M746" s="59">
        <f>IFERROR(IF(OR(J746=0,K746=""),"",IF(E746="Positivo",MAX(K746/J746,0),MAX(J746/K746,0))),"") </f>
        <v/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406-2024-12-31</t>
        </is>
      </c>
    </row>
    <row r="747">
      <c r="A747" t="n">
        <v>407</v>
      </c>
      <c r="B747" t="inlineStr">
        <is>
          <t>Programas 1ra fase de condiciones iniciales radicadas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48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3</v>
      </c>
      <c r="K747" t="n">
        <v>3</v>
      </c>
      <c r="L747" s="59">
        <f>IFERROR(IF(OR(J747=0,K747=""),"",IF(E747="Positivo",MIN(MAX(K747/J747,0),1.3),MIN(MAX(J747/K747,0),1.3))),"") </f>
        <v/>
      </c>
      <c r="M747" s="59">
        <f>IFERROR(IF(OR(J747=0,K747=""),"",IF(E747="Positivo",MAX(K747/J747,0),MAX(J747/K747,0))),"") </f>
        <v/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407-2023-12-31</t>
        </is>
      </c>
    </row>
    <row r="748">
      <c r="A748" t="n">
        <v>407</v>
      </c>
      <c r="B748" t="inlineStr">
        <is>
          <t>Programas 1ra fase de condiciones iniciales radicadas por facultad</t>
        </is>
      </c>
      <c r="C748" t="inlineStr">
        <is>
          <t>Creación, modificación y cierre de programas académicos</t>
        </is>
      </c>
      <c r="D748" t="inlineStr">
        <is>
          <t>Semestral</t>
        </is>
      </c>
      <c r="E748" t="inlineStr">
        <is>
          <t>Positivo</t>
        </is>
      </c>
      <c r="F748" s="148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L748" s="59" t="n"/>
      <c r="M748" s="59" t="n"/>
      <c r="N748" t="inlineStr">
        <is>
          <t>No Aplica</t>
        </is>
      </c>
      <c r="O748" t="inlineStr">
        <is>
          <t>No Aplica</t>
        </is>
      </c>
      <c r="P748" t="n">
        <v>0</v>
      </c>
      <c r="Q748" t="n">
        <v>0</v>
      </c>
      <c r="R748" t="inlineStr">
        <is>
          <t>407-2024-12-31</t>
        </is>
      </c>
    </row>
    <row r="749">
      <c r="A749" t="n">
        <v>408</v>
      </c>
      <c r="B749" t="inlineStr">
        <is>
          <t>Programas nuevos radicados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48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200</v>
      </c>
      <c r="K749" t="n">
        <v>100</v>
      </c>
      <c r="L749" s="59">
        <f>IFERROR(IF(OR(J749=0,K749=""),"",IF(E749="Positivo",MIN(MAX(K749/J749,0),1.3),MIN(MAX(J749/K749,0),1.3))),"") </f>
        <v/>
      </c>
      <c r="M749" s="59">
        <f>IFERROR(IF(OR(J749=0,K749=""),"",IF(E749="Positivo",MAX(K749/J749,0),MAX(J749/K749,0))),"") </f>
        <v/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408-2023-12-31</t>
        </is>
      </c>
    </row>
    <row r="750">
      <c r="A750" t="n">
        <v>408</v>
      </c>
      <c r="B750" t="inlineStr">
        <is>
          <t>Programas nuevos radicados por facultad</t>
        </is>
      </c>
      <c r="C750" t="inlineStr">
        <is>
          <t>Creación, modificación y cierre de programas académicos</t>
        </is>
      </c>
      <c r="D750" t="inlineStr">
        <is>
          <t>Semestral</t>
        </is>
      </c>
      <c r="E750" t="inlineStr">
        <is>
          <t>Positivo</t>
        </is>
      </c>
      <c r="F750" s="148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200</v>
      </c>
      <c r="K750" t="n">
        <v>100</v>
      </c>
      <c r="L750" s="59">
        <f>IFERROR(IF(OR(J750=0,K750=""),"",IF(E750="Positivo",MIN(MAX(K750/J750,0),1.3),MIN(MAX(J750/K750,0),1.3))),"") </f>
        <v/>
      </c>
      <c r="M750" s="59">
        <f>IFERROR(IF(OR(J750=0,K750=""),"",IF(E750="Positivo",MAX(K750/J750,0),MAX(J750/K750,0))),"") </f>
        <v/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408-2024-12-31</t>
        </is>
      </c>
    </row>
    <row r="751">
      <c r="A751" t="n">
        <v>408</v>
      </c>
      <c r="B751" t="inlineStr">
        <is>
          <t>Programas nuevos radicados por facultad</t>
        </is>
      </c>
      <c r="C751" t="inlineStr">
        <is>
          <t>Creación, modificación y cierre de programas académicos</t>
        </is>
      </c>
      <c r="D751" t="inlineStr">
        <is>
          <t>Trimestral</t>
        </is>
      </c>
      <c r="E751" t="inlineStr">
        <is>
          <t>Positivo</t>
        </is>
      </c>
      <c r="F751" s="148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59">
        <f>IFERROR(IF(OR(J751=0,K751=""),"",IF(E751="Positivo",MIN(MAX(K751/J751,0),1.3),MIN(MAX(J751/K751,0),1.3))),"") </f>
        <v/>
      </c>
      <c r="M751" s="59">
        <f>IFERROR(IF(OR(J751=0,K751=""),"",IF(E751="Positivo",MAX(K751/J751,0),MAX(J751/K751,0))),"") </f>
        <v/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408-2025-12-31</t>
        </is>
      </c>
    </row>
    <row r="752">
      <c r="A752" t="n">
        <v>409</v>
      </c>
      <c r="B752" t="inlineStr">
        <is>
          <t>Oportunidad en tiempo de envios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48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160</v>
      </c>
      <c r="K752" t="n">
        <v>203.7188545927854</v>
      </c>
      <c r="L752" s="59">
        <f>IFERROR(IF(OR(J752=0,K752=""),"",IF(E752="Positivo",MIN(MAX(K752/J752,0),1.3),MIN(MAX(J752/K752,0),1.3))),"") </f>
        <v/>
      </c>
      <c r="M752" s="59">
        <f>IFERROR(IF(OR(J752=0,K752=""),"",IF(E752="Positivo",MAX(K752/J752,0),MAX(J752/K752,0))),"") </f>
        <v/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409-2023-12-31</t>
        </is>
      </c>
    </row>
    <row r="753">
      <c r="A753" t="n">
        <v>409</v>
      </c>
      <c r="B753" t="inlineStr">
        <is>
          <t>Oportunidad en tiempo de envios</t>
        </is>
      </c>
      <c r="C753" t="inlineStr">
        <is>
          <t>GESTIÓN JURÍDICA Y NORMATIVA</t>
        </is>
      </c>
      <c r="D753" t="inlineStr">
        <is>
          <t>Trimestral</t>
        </is>
      </c>
      <c r="E753" t="inlineStr">
        <is>
          <t>Positivo</t>
        </is>
      </c>
      <c r="F753" s="148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380</v>
      </c>
      <c r="K753" t="n">
        <v>390.0984685219431</v>
      </c>
      <c r="L753" s="59">
        <f>IFERROR(IF(OR(J753=0,K753=""),"",IF(E753="Positivo",MIN(MAX(K753/J753,0),1.3),MIN(MAX(J753/K753,0),1.3))),"") </f>
        <v/>
      </c>
      <c r="M753" s="59">
        <f>IFERROR(IF(OR(J753=0,K753=""),"",IF(E753="Positivo",MAX(K753/J753,0),MAX(J753/K753,0))),"") </f>
        <v/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409-2024-12-31</t>
        </is>
      </c>
    </row>
    <row r="754">
      <c r="A754" t="n">
        <v>409</v>
      </c>
      <c r="B754" t="inlineStr">
        <is>
          <t>Oportunidad en tiempo de envios</t>
        </is>
      </c>
      <c r="C754" t="inlineStr">
        <is>
          <t>GESTIÓN JURÍDICA Y NORMATIVA</t>
        </is>
      </c>
      <c r="D754" t="inlineStr">
        <is>
          <t>Semestral</t>
        </is>
      </c>
      <c r="E754" t="inlineStr">
        <is>
          <t>Positivo</t>
        </is>
      </c>
      <c r="F754" s="148" t="n">
        <v>45838</v>
      </c>
      <c r="G754" t="n">
        <v>2025</v>
      </c>
      <c r="H754" t="inlineStr">
        <is>
          <t>Junio</t>
        </is>
      </c>
      <c r="I754" t="inlineStr">
        <is>
          <t>2025-1</t>
        </is>
      </c>
      <c r="J754" t="n">
        <v>95</v>
      </c>
      <c r="K754" t="n">
        <v>100</v>
      </c>
      <c r="L754" s="59">
        <f>IFERROR(IF(OR(J754=0,K754=""),"",IF(E754="Positivo",MIN(MAX(K754/J754,0),1.3),MIN(MAX(J754/K754,0),1.3))),"") </f>
        <v/>
      </c>
      <c r="M754" s="59">
        <f>IFERROR(IF(OR(J754=0,K754=""),"",IF(E754="Positivo",MAX(K754/J754,0),MAX(J754/K754,0))),"") </f>
        <v/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409-2025-06-30</t>
        </is>
      </c>
    </row>
    <row r="755">
      <c r="A755" t="n">
        <v>410</v>
      </c>
      <c r="B755" t="inlineStr">
        <is>
          <t>Solicitudes de gestión documental</t>
        </is>
      </c>
      <c r="C755" t="inlineStr">
        <is>
          <t>GESTIÓN JURÍDICA Y NORMATIVA</t>
        </is>
      </c>
      <c r="D755" t="inlineStr">
        <is>
          <t>Trimestral</t>
        </is>
      </c>
      <c r="E755" t="inlineStr">
        <is>
          <t>Positivo</t>
        </is>
      </c>
      <c r="F755" s="148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J755" t="n">
        <v>90</v>
      </c>
      <c r="K755" t="n">
        <v>100</v>
      </c>
      <c r="L755" s="59">
        <f>IFERROR(IF(OR(J755=0,K755=""),"",IF(E755="Positivo",MIN(MAX(K755/J755,0),1.3),MIN(MAX(J755/K755,0),1.3))),"") </f>
        <v/>
      </c>
      <c r="M755" s="59">
        <f>IFERROR(IF(OR(J755=0,K755=""),"",IF(E755="Positivo",MAX(K755/J755,0),MAX(J755/K755,0))),"") </f>
        <v/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410-2023-12-31</t>
        </is>
      </c>
    </row>
    <row r="756">
      <c r="A756" t="n">
        <v>411</v>
      </c>
      <c r="B756" t="inlineStr">
        <is>
          <t>Cumplimiento Planes De Relacionamiento</t>
        </is>
      </c>
      <c r="C756" t="inlineStr">
        <is>
          <t>Comunicaciones Externas</t>
        </is>
      </c>
      <c r="D756" t="inlineStr">
        <is>
          <t>Semestral</t>
        </is>
      </c>
      <c r="E756" t="inlineStr">
        <is>
          <t>Positivo</t>
        </is>
      </c>
      <c r="F756" s="148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100</v>
      </c>
      <c r="K756" t="n">
        <v>100</v>
      </c>
      <c r="L756" s="59">
        <f>IFERROR(IF(OR(J756=0,K756=""),"",IF(E756="Positivo",MIN(MAX(K756/J756,0),1.3),MIN(MAX(J756/K756,0),1.3))),"") </f>
        <v/>
      </c>
      <c r="M756" s="59">
        <f>IFERROR(IF(OR(J756=0,K756=""),"",IF(E756="Positivo",MAX(K756/J756,0),MAX(J756/K756,0))),"") </f>
        <v/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411-2023-12-31</t>
        </is>
      </c>
    </row>
    <row r="757">
      <c r="A757" t="n">
        <v>412</v>
      </c>
      <c r="B757" t="inlineStr">
        <is>
          <t>Participaciones en 2 eventos externos de impacto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48" t="n">
        <v>45291</v>
      </c>
      <c r="G757" t="n">
        <v>2023</v>
      </c>
      <c r="H757" t="inlineStr">
        <is>
          <t>Diciembre</t>
        </is>
      </c>
      <c r="I757" t="inlineStr">
        <is>
          <t>2023-2</t>
        </is>
      </c>
      <c r="J757" t="n">
        <v>100</v>
      </c>
      <c r="K757" t="n">
        <v>100</v>
      </c>
      <c r="L757" s="59">
        <f>IFERROR(IF(OR(J757=0,K757=""),"",IF(E757="Positivo",MIN(MAX(K757/J757,0),1.3),MIN(MAX(J757/K757,0),1.3))),"") </f>
        <v/>
      </c>
      <c r="M757" s="59">
        <f>IFERROR(IF(OR(J757=0,K757=""),"",IF(E757="Positivo",MAX(K757/J757,0),MAX(J757/K757,0))),"") </f>
        <v/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412-2023-12-31</t>
        </is>
      </c>
    </row>
    <row r="758">
      <c r="A758" t="n">
        <v>412</v>
      </c>
      <c r="B758" t="inlineStr">
        <is>
          <t>Participación en eventos externos de impacto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48" t="n">
        <v>45657</v>
      </c>
      <c r="G758" t="n">
        <v>2024</v>
      </c>
      <c r="H758" t="inlineStr">
        <is>
          <t>Diciembre</t>
        </is>
      </c>
      <c r="I758" t="inlineStr">
        <is>
          <t>2024-2</t>
        </is>
      </c>
      <c r="J758" t="n">
        <v>100</v>
      </c>
      <c r="K758" t="n">
        <v>100</v>
      </c>
      <c r="L758" s="59">
        <f>IFERROR(IF(OR(J758=0,K758=""),"",IF(E758="Positivo",MIN(MAX(K758/J758,0),1.3),MIN(MAX(J758/K758,0),1.3))),"") </f>
        <v/>
      </c>
      <c r="M758" s="59">
        <f>IFERROR(IF(OR(J758=0,K758=""),"",IF(E758="Positivo",MAX(K758/J758,0),MAX(J758/K758,0))),"") </f>
        <v/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412-2024-12-31</t>
        </is>
      </c>
    </row>
    <row r="759">
      <c r="A759" t="n">
        <v>413</v>
      </c>
      <c r="B759" t="inlineStr">
        <is>
          <t>Participaciones del Poli como sede o patrocinador</t>
        </is>
      </c>
      <c r="C759" t="inlineStr">
        <is>
          <t>Comunicaciones Externas</t>
        </is>
      </c>
      <c r="D759" t="inlineStr">
        <is>
          <t>Anual</t>
        </is>
      </c>
      <c r="E759" t="inlineStr">
        <is>
          <t>Positivo</t>
        </is>
      </c>
      <c r="F759" s="148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K759" t="n">
        <v>100</v>
      </c>
      <c r="L759" s="59" t="n"/>
      <c r="M759" s="59" t="n"/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413-2023-12-31</t>
        </is>
      </c>
    </row>
    <row r="760">
      <c r="A760" t="n">
        <v>413</v>
      </c>
      <c r="B760" t="inlineStr">
        <is>
          <t>Participación del Poli como sede o patrocinador</t>
        </is>
      </c>
      <c r="C760" t="inlineStr">
        <is>
          <t>Comunicaciones Externas</t>
        </is>
      </c>
      <c r="D760" t="inlineStr">
        <is>
          <t>Anual</t>
        </is>
      </c>
      <c r="E760" t="inlineStr">
        <is>
          <t>Positivo</t>
        </is>
      </c>
      <c r="F760" s="148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100</v>
      </c>
      <c r="L760" s="59">
        <f>IFERROR(IF(OR(J760=0,K760=""),"",IF(E760="Positivo",MIN(MAX(K760/J760,0),1.3),MIN(MAX(J760/K760,0),1.3))),"") </f>
        <v/>
      </c>
      <c r="M760" s="59">
        <f>IFERROR(IF(OR(J760=0,K760=""),"",IF(E760="Positivo",MAX(K760/J760,0),MAX(J760/K760,0))),"") </f>
        <v/>
      </c>
      <c r="N760" t="inlineStr">
        <is>
          <t>Linea Base</t>
        </is>
      </c>
      <c r="O760" t="inlineStr">
        <is>
          <t>ENT</t>
        </is>
      </c>
      <c r="P760" t="n">
        <v>0</v>
      </c>
      <c r="Q760" t="n">
        <v>0</v>
      </c>
      <c r="R760" t="inlineStr">
        <is>
          <t>413-2024-12-31</t>
        </is>
      </c>
    </row>
    <row r="761">
      <c r="A761" t="n">
        <v>413</v>
      </c>
      <c r="B761" t="inlineStr">
        <is>
          <t>Participación del Poli como sede o patrocinador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48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100</v>
      </c>
      <c r="L761" s="59">
        <f>IFERROR(IF(OR(J761=0,K761=""),"",IF(E761="Positivo",MIN(MAX(K761/J761,0),1.3),MIN(MAX(J761/K761,0),1.3))),"") </f>
        <v/>
      </c>
      <c r="M761" s="59">
        <f>IFERROR(IF(OR(J761=0,K761=""),"",IF(E761="Positivo",MAX(K761/J761,0),MAX(J761/K761,0))),"") </f>
        <v/>
      </c>
      <c r="N761" t="inlineStr">
        <is>
          <t>Linea Base</t>
        </is>
      </c>
      <c r="O761" t="inlineStr">
        <is>
          <t>ENT</t>
        </is>
      </c>
      <c r="P761" t="n">
        <v>0</v>
      </c>
      <c r="Q761" t="n">
        <v>0</v>
      </c>
      <c r="R761" t="inlineStr">
        <is>
          <t>413-2025-12-31</t>
        </is>
      </c>
    </row>
    <row r="762">
      <c r="A762" t="n">
        <v>414</v>
      </c>
      <c r="B762" t="inlineStr">
        <is>
          <t>Cumplimiento Plan Anual Rectoría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48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96.28</v>
      </c>
      <c r="L762" s="59">
        <f>IFERROR(IF(OR(J762=0,K762=""),"",IF(E762="Positivo",MIN(MAX(K762/J762,0),1.0),MIN(MAX(J762/K762,0),1.0))),"") </f>
        <v/>
      </c>
      <c r="M762" s="59">
        <f>IFERROR(IF(OR(J762=0,K762=""),"",IF(E762="Positivo",MAX(K762/J762,0),MAX(J762/K762,0))),"") </f>
        <v/>
      </c>
      <c r="N762" t="inlineStr">
        <is>
          <t>Linea Base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414-2023-12-31</t>
        </is>
      </c>
    </row>
    <row r="763">
      <c r="A763" t="n">
        <v>414</v>
      </c>
      <c r="B763" t="inlineStr">
        <is>
          <t>Cumplimiento Plan Anual Rectoría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48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98.78</v>
      </c>
      <c r="L763" s="59">
        <f>IFERROR(IF(OR(J763=0,K763=""),"",IF(E763="Positivo",MIN(MAX(K763/J763,0),1.0),MIN(MAX(J763/K763,0),1.0))),"") </f>
        <v/>
      </c>
      <c r="M763" s="59">
        <f>IFERROR(IF(OR(J763=0,K763=""),"",IF(E763="Positivo",MAX(K763/J763,0),MAX(J763/K763,0))),"") </f>
        <v/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414-2024-12-31</t>
        </is>
      </c>
    </row>
    <row r="764">
      <c r="A764" t="n">
        <v>414</v>
      </c>
      <c r="B764" t="inlineStr">
        <is>
          <t>Cumplimiento Plan Anual Rectoría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8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98.87</v>
      </c>
      <c r="L764" s="59">
        <f>IFERROR(IF(OR(J764=0,K764=""),"",IF(E764="Positivo",MIN(MAX(K764/J764,0),1.0),MIN(MAX(J764/K764,0),1.0))),"") </f>
        <v/>
      </c>
      <c r="M764" s="59">
        <f>IFERROR(IF(OR(J764=0,K764=""),"",IF(E764="Positivo",MAX(K764/J764,0),MAX(J764/K764,0))),"") </f>
        <v/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414-2025-12-31</t>
        </is>
      </c>
    </row>
    <row r="765">
      <c r="A765" t="n">
        <v>415</v>
      </c>
      <c r="B765" t="inlineStr">
        <is>
          <t>Cumplimiento Plan Anual Vicerrectoría del estudiante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48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96</v>
      </c>
      <c r="L765" s="59">
        <f>IFERROR(IF(OR(J765=0,K765=""),"",IF(E765="Positivo",MIN(MAX(K765/J765,0),1.0),MIN(MAX(J765/K765,0),1.0))),"") </f>
        <v/>
      </c>
      <c r="M765" s="59">
        <f>IFERROR(IF(OR(J765=0,K765=""),"",IF(E765="Positivo",MAX(K765/J765,0),MAX(J765/K765,0))),"") </f>
        <v/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415-2023-12-31</t>
        </is>
      </c>
    </row>
    <row r="766">
      <c r="A766" t="n">
        <v>415</v>
      </c>
      <c r="B766" t="inlineStr">
        <is>
          <t>Cumplimiento Plan Anual Vicerrectoría del estudiante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48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98.36</v>
      </c>
      <c r="L766" s="59">
        <f>IFERROR(IF(OR(J766=0,K766=""),"",IF(E766="Positivo",MIN(MAX(K766/J766,0),1.0),MIN(MAX(J766/K766,0),1.0))),"") </f>
        <v/>
      </c>
      <c r="M766" s="59">
        <f>IFERROR(IF(OR(J766=0,K766=""),"",IF(E766="Positivo",MAX(K766/J766,0),MAX(J766/K766,0))),"") </f>
        <v/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415-2024-12-31</t>
        </is>
      </c>
    </row>
    <row r="767">
      <c r="A767" t="n">
        <v>415</v>
      </c>
      <c r="B767" t="inlineStr">
        <is>
          <t>Cumplimiento Plan Anual Vicerrectoría del estudiante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8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99.3</v>
      </c>
      <c r="L767" s="59">
        <f>IFERROR(IF(OR(J767=0,K767=""),"",IF(E767="Positivo",MIN(MAX(K767/J767,0),1.0),MIN(MAX(J767/K767,0),1.0))),"") </f>
        <v/>
      </c>
      <c r="M767" s="59">
        <f>IFERROR(IF(OR(J767=0,K767=""),"",IF(E767="Positivo",MAX(K767/J767,0),MAX(J767/K767,0))),"") </f>
        <v/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415-2025-12-31</t>
        </is>
      </c>
    </row>
    <row r="768">
      <c r="A768" t="n">
        <v>416</v>
      </c>
      <c r="B768" t="inlineStr">
        <is>
          <t>Cumplimiento Plan Anual Vicerrectoría de crecimiento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48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98</v>
      </c>
      <c r="L768" s="59">
        <f>IFERROR(IF(OR(J768=0,K768=""),"",IF(E768="Positivo",MIN(MAX(K768/J768,0),1.0),MIN(MAX(J768/K768,0),1.0))),"") </f>
        <v/>
      </c>
      <c r="M768" s="59">
        <f>IFERROR(IF(OR(J768=0,K768=""),"",IF(E768="Positivo",MAX(K768/J768,0),MAX(J768/K768,0))),"") </f>
        <v/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416-2023-12-31</t>
        </is>
      </c>
    </row>
    <row r="769">
      <c r="A769" t="n">
        <v>416</v>
      </c>
      <c r="B769" t="inlineStr">
        <is>
          <t>Cumplimiento Plan Anual Vicerrectoría de crecimiento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48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100</v>
      </c>
      <c r="L769" s="59">
        <f>IFERROR(IF(OR(J769=0,K769=""),"",IF(E769="Positivo",MIN(MAX(K769/J769,0),1.0),MIN(MAX(J769/K769,0),1.0))),"") </f>
        <v/>
      </c>
      <c r="M769" s="59">
        <f>IFERROR(IF(OR(J769=0,K769=""),"",IF(E769="Positivo",MAX(K769/J769,0),MAX(J769/K769,0))),"") </f>
        <v/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416-2024-12-31</t>
        </is>
      </c>
    </row>
    <row r="770">
      <c r="A770" t="n">
        <v>416</v>
      </c>
      <c r="B770" t="inlineStr">
        <is>
          <t>Cumplimiento Plan Anual Vicerrectoría de crecimiento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8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100</v>
      </c>
      <c r="L770" s="59">
        <f>IFERROR(IF(OR(J770=0,K770=""),"",IF(E770="Positivo",MIN(MAX(K770/J770,0),1.0),MIN(MAX(J770/K770,0),1.0))),"") </f>
        <v/>
      </c>
      <c r="M770" s="59">
        <f>IFERROR(IF(OR(J770=0,K770=""),"",IF(E770="Positivo",MAX(K770/J770,0),MAX(J770/K770,0))),"") </f>
        <v/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416-2025-12-31</t>
        </is>
      </c>
    </row>
    <row r="771">
      <c r="A771" t="n">
        <v>417</v>
      </c>
      <c r="B771" t="inlineStr">
        <is>
          <t>Cumplimiento Plan Anual Vicerrectoría Financiera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48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94.39</v>
      </c>
      <c r="L771" s="59">
        <f>IFERROR(IF(OR(J771=0,K771=""),"",IF(E771="Positivo",MIN(MAX(K771/J771,0),1.0),MIN(MAX(J771/K771,0),1.0))),"") </f>
        <v/>
      </c>
      <c r="M771" s="59">
        <f>IFERROR(IF(OR(J771=0,K771=""),"",IF(E771="Positivo",MAX(K771/J771,0),MAX(J771/K771,0))),"") </f>
        <v/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417-2023-12-31</t>
        </is>
      </c>
    </row>
    <row r="772">
      <c r="A772" t="n">
        <v>417</v>
      </c>
      <c r="B772" t="inlineStr">
        <is>
          <t>Cumplimiento Plan Anual Vicerrectoría Financiera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48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98.83</v>
      </c>
      <c r="L772" s="59">
        <f>IFERROR(IF(OR(J772=0,K772=""),"",IF(E772="Positivo",MIN(MAX(K772/J772,0),1.0),MIN(MAX(J772/K772,0),1.0))),"") </f>
        <v/>
      </c>
      <c r="M772" s="59">
        <f>IFERROR(IF(OR(J772=0,K772=""),"",IF(E772="Positivo",MAX(K772/J772,0),MAX(J772/K772,0))),"") </f>
        <v/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417-2024-12-31</t>
        </is>
      </c>
    </row>
    <row r="773">
      <c r="A773" t="n">
        <v>417</v>
      </c>
      <c r="B773" t="inlineStr">
        <is>
          <t>Cumplimiento Plan Anual Vicerrectoría Financiera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8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97.98999999999999</v>
      </c>
      <c r="L773" s="59">
        <f>IFERROR(IF(OR(J773=0,K773=""),"",IF(E773="Positivo",MIN(MAX(K773/J773,0),1.0),MIN(MAX(J773/K773,0),1.0))),"") </f>
        <v/>
      </c>
      <c r="M773" s="59">
        <f>IFERROR(IF(OR(J773=0,K773=""),"",IF(E773="Positivo",MAX(K773/J773,0),MAX(J773/K773,0))),"") </f>
        <v/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417-2025-12-31</t>
        </is>
      </c>
    </row>
    <row r="774">
      <c r="A774" t="n">
        <v>418</v>
      </c>
      <c r="B774" t="inlineStr">
        <is>
          <t>Cumplimiento Plan Anual Vicerrectoría Académica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48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95.802222222222</v>
      </c>
      <c r="L774" s="59">
        <f>IFERROR(IF(OR(J774=0,K774=""),"",IF(E774="Positivo",MIN(MAX(K774/J774,0),1.0),MIN(MAX(J774/K774,0),1.0))),"") </f>
        <v/>
      </c>
      <c r="M774" s="59">
        <f>IFERROR(IF(OR(J774=0,K774=""),"",IF(E774="Positivo",MAX(K774/J774,0),MAX(J774/K774,0))),"") </f>
        <v/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418-2023-12-31</t>
        </is>
      </c>
    </row>
    <row r="775">
      <c r="A775" t="n">
        <v>418</v>
      </c>
      <c r="B775" t="inlineStr">
        <is>
          <t>Cumplimiento Plan Anual Vicerrectoría Académica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48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97.78</v>
      </c>
      <c r="L775" s="59">
        <f>IFERROR(IF(OR(J775=0,K775=""),"",IF(E775="Positivo",MIN(MAX(K775/J775,0),1.0),MIN(MAX(J775/K775,0),1.0))),"") </f>
        <v/>
      </c>
      <c r="M775" s="59">
        <f>IFERROR(IF(OR(J775=0,K775=""),"",IF(E775="Positivo",MAX(K775/J775,0),MAX(J775/K775,0))),"") </f>
        <v/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418-2024-12-31</t>
        </is>
      </c>
    </row>
    <row r="776">
      <c r="A776" t="n">
        <v>418</v>
      </c>
      <c r="B776" t="inlineStr">
        <is>
          <t>Cumplimiento Plan Anual Vicerrectoría Académica</t>
        </is>
      </c>
      <c r="C776" t="inlineStr">
        <is>
          <t>Planeación Estratégica</t>
        </is>
      </c>
      <c r="D776" t="inlineStr">
        <is>
          <t>Semestral</t>
        </is>
      </c>
      <c r="E776" t="inlineStr">
        <is>
          <t>Positivo</t>
        </is>
      </c>
      <c r="F776" s="148" t="n">
        <v>46022</v>
      </c>
      <c r="G776" t="n">
        <v>2025</v>
      </c>
      <c r="H776" t="inlineStr">
        <is>
          <t>Diciembre</t>
        </is>
      </c>
      <c r="I776" t="inlineStr">
        <is>
          <t>2025-2</t>
        </is>
      </c>
      <c r="J776" t="n">
        <v>100</v>
      </c>
      <c r="K776" t="n">
        <v>99.61</v>
      </c>
      <c r="L776" s="59">
        <f>IFERROR(IF(OR(J776=0,K776=""),"",IF(E776="Positivo",MIN(MAX(K776/J776,0),1.0),MIN(MAX(J776/K776,0),1.0))),"") </f>
        <v/>
      </c>
      <c r="M776" s="59">
        <f>IFERROR(IF(OR(J776=0,K776=""),"",IF(E776="Positivo",MAX(K776/J776,0),MAX(J776/K776,0))),"") </f>
        <v/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418-2025-12-31</t>
        </is>
      </c>
    </row>
    <row r="777">
      <c r="A777" t="n">
        <v>419</v>
      </c>
      <c r="B777" t="inlineStr">
        <is>
          <t>Cumplimiento Plan Anual Áreas sede Medellín</t>
        </is>
      </c>
      <c r="C777" t="inlineStr">
        <is>
          <t>Planeación Estratégica</t>
        </is>
      </c>
      <c r="D777" t="inlineStr">
        <is>
          <t>Trimestral</t>
        </is>
      </c>
      <c r="E777" t="inlineStr">
        <is>
          <t>Positivo</t>
        </is>
      </c>
      <c r="F777" s="148" t="n">
        <v>45291</v>
      </c>
      <c r="G777" t="n">
        <v>2023</v>
      </c>
      <c r="H777" t="inlineStr">
        <is>
          <t>Diciembre</t>
        </is>
      </c>
      <c r="I777" t="inlineStr">
        <is>
          <t>2023-2</t>
        </is>
      </c>
      <c r="J777" t="n">
        <v>100</v>
      </c>
      <c r="K777" t="n">
        <v>93.56</v>
      </c>
      <c r="L777" s="59">
        <f>IFERROR(IF(OR(J777=0,K777=""),"",IF(E777="Positivo",MIN(MAX(K777/J777,0),1.3),MIN(MAX(J777/K777,0),1.3))),"") </f>
        <v/>
      </c>
      <c r="M777" s="59">
        <f>IFERROR(IF(OR(J777=0,K777=""),"",IF(E777="Positivo",MAX(K777/J777,0),MAX(J777/K777,0))),"") </f>
        <v/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419-2023-12-31</t>
        </is>
      </c>
    </row>
    <row r="778">
      <c r="A778" t="n">
        <v>420</v>
      </c>
      <c r="B778" t="inlineStr">
        <is>
          <t>Cumplimiento Plan Anual Gerencia de estrategia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48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100</v>
      </c>
      <c r="L778" s="59">
        <f>IFERROR(IF(OR(J778=0,K778=""),"",IF(E778="Positivo",MIN(MAX(K778/J778,0),1.0),MIN(MAX(J778/K778,0),1.0))),"") </f>
        <v/>
      </c>
      <c r="M778" s="59">
        <f>IFERROR(IF(OR(J778=0,K778=""),"",IF(E778="Positivo",MAX(K778/J778,0),MAX(J778/K778,0))),"") </f>
        <v/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420-2023-12-31</t>
        </is>
      </c>
    </row>
    <row r="779">
      <c r="A779" t="n">
        <v>420</v>
      </c>
      <c r="B779" t="inlineStr">
        <is>
          <t>Cumplimiento Plan Anual Gerencia de estrategia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48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96.67</v>
      </c>
      <c r="L779" s="59">
        <f>IFERROR(IF(OR(J779=0,K779=""),"",IF(E779="Positivo",MIN(MAX(K779/J779,0),1.0),MIN(MAX(J779/K779,0),1.0))),"") </f>
        <v/>
      </c>
      <c r="M779" s="59">
        <f>IFERROR(IF(OR(J779=0,K779=""),"",IF(E779="Positivo",MAX(K779/J779,0),MAX(J779/K779,0))),"") </f>
        <v/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420-2024-12-31</t>
        </is>
      </c>
    </row>
    <row r="780">
      <c r="A780" t="n">
        <v>420</v>
      </c>
      <c r="B780" t="inlineStr">
        <is>
          <t>Cumplimiento Plan Anual Gerencia de estrategia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48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100</v>
      </c>
      <c r="L780" s="59">
        <f>IFERROR(IF(OR(J780=0,K780=""),"",IF(E780="Positivo",MIN(MAX(K780/J780,0),1.0),MIN(MAX(J780/K780,0),1.0))),"") </f>
        <v/>
      </c>
      <c r="M780" s="59">
        <f>IFERROR(IF(OR(J780=0,K780=""),"",IF(E780="Positivo",MAX(K780/J780,0),MAX(J780/K780,0))),"") </f>
        <v/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420-2025-12-31</t>
        </is>
      </c>
    </row>
    <row r="781">
      <c r="A781" t="n">
        <v>421</v>
      </c>
      <c r="B781" t="inlineStr">
        <is>
          <t>Total Leads por canales de captación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48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201272</v>
      </c>
      <c r="K781" t="n">
        <v>276201</v>
      </c>
      <c r="L781" s="59">
        <f>IFERROR(IF(OR(J781=0,K781=""),"",IF(E781="Positivo",MIN(MAX(K781/J781,0),1.3),MIN(MAX(J781/K781,0),1.3))),"") </f>
        <v/>
      </c>
      <c r="M781" s="59">
        <f>IFERROR(IF(OR(J781=0,K781=""),"",IF(E781="Positivo",MAX(K781/J781,0),MAX(J781/K781,0))),"") </f>
        <v/>
      </c>
      <c r="N781" t="inlineStr">
        <is>
          <t>ENT</t>
        </is>
      </c>
      <c r="O781" t="inlineStr">
        <is>
          <t>ENT</t>
        </is>
      </c>
      <c r="P781" t="n">
        <v>0</v>
      </c>
      <c r="Q781" t="n">
        <v>0</v>
      </c>
      <c r="R781" t="inlineStr">
        <is>
          <t>421-2023-12-31</t>
        </is>
      </c>
    </row>
    <row r="782">
      <c r="A782" t="n">
        <v>421</v>
      </c>
      <c r="B782" t="inlineStr">
        <is>
          <t>Total Leads por canales de captación</t>
        </is>
      </c>
      <c r="C782" t="inlineStr">
        <is>
          <t>Mercadeo de programas académicos</t>
        </is>
      </c>
      <c r="D782" t="inlineStr">
        <is>
          <t>Semestral</t>
        </is>
      </c>
      <c r="E782" t="inlineStr">
        <is>
          <t>Positivo</t>
        </is>
      </c>
      <c r="F782" s="148" t="n">
        <v>45657</v>
      </c>
      <c r="G782" t="n">
        <v>2024</v>
      </c>
      <c r="H782" t="inlineStr">
        <is>
          <t>Diciembre</t>
        </is>
      </c>
      <c r="I782" t="inlineStr">
        <is>
          <t>2024-2</t>
        </is>
      </c>
      <c r="J782" t="n">
        <v>100</v>
      </c>
      <c r="K782" t="n">
        <v>121.44</v>
      </c>
      <c r="L782" s="59">
        <f>IFERROR(IF(OR(J782=0,K782=""),"",IF(E782="Positivo",MIN(MAX(K782/J782,0),1.3),MIN(MAX(J782/K782,0),1.3))),"") </f>
        <v/>
      </c>
      <c r="M782" s="59">
        <f>IFERROR(IF(OR(J782=0,K782=""),"",IF(E782="Positivo",MAX(K782/J782,0),MAX(J782/K782,0))),"") </f>
        <v/>
      </c>
      <c r="N782" t="inlineStr">
        <is>
          <t>ENT</t>
        </is>
      </c>
      <c r="O782" t="inlineStr">
        <is>
          <t>ENT</t>
        </is>
      </c>
      <c r="P782" t="n">
        <v>0</v>
      </c>
      <c r="Q782" t="n">
        <v>0</v>
      </c>
      <c r="R782" t="inlineStr">
        <is>
          <t>421-2024-12-31</t>
        </is>
      </c>
    </row>
    <row r="783">
      <c r="A783" t="n">
        <v>422</v>
      </c>
      <c r="B783" t="inlineStr">
        <is>
          <t>Total conversión</t>
        </is>
      </c>
      <c r="C783" t="inlineStr">
        <is>
          <t>Mercadeo de programas académicos</t>
        </is>
      </c>
      <c r="D783" t="inlineStr">
        <is>
          <t>Semestral</t>
        </is>
      </c>
      <c r="E783" t="inlineStr">
        <is>
          <t>Positivo</t>
        </is>
      </c>
      <c r="F783" s="148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10.5</v>
      </c>
      <c r="K783" t="n">
        <v>11.04</v>
      </c>
      <c r="L783" s="59">
        <f>IFERROR(IF(OR(J783=0,K783=""),"",IF(E783="Positivo",MIN(MAX(K783/J783,0),1.3),MIN(MAX(J783/K783,0),1.3))),"") </f>
        <v/>
      </c>
      <c r="M783" s="59">
        <f>IFERROR(IF(OR(J783=0,K783=""),"",IF(E783="Positivo",MAX(K783/J783,0),MAX(J783/K783,0))),"") </f>
        <v/>
      </c>
      <c r="N783" t="inlineStr">
        <is>
          <t>%</t>
        </is>
      </c>
      <c r="O783" t="inlineStr">
        <is>
          <t>%</t>
        </is>
      </c>
      <c r="P783" t="n">
        <v>2</v>
      </c>
      <c r="Q783" t="n">
        <v>2</v>
      </c>
      <c r="R783" t="inlineStr">
        <is>
          <t>422-2023-12-31</t>
        </is>
      </c>
    </row>
    <row r="784">
      <c r="A784" t="n">
        <v>422</v>
      </c>
      <c r="B784" t="inlineStr">
        <is>
          <t>Total conversión</t>
        </is>
      </c>
      <c r="C784" t="inlineStr">
        <is>
          <t>Mercadeo de programas académicos</t>
        </is>
      </c>
      <c r="D784" t="inlineStr">
        <is>
          <t>Semestral</t>
        </is>
      </c>
      <c r="E784" t="inlineStr">
        <is>
          <t>Positivo</t>
        </is>
      </c>
      <c r="F784" s="148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8.01</v>
      </c>
      <c r="K784" t="n">
        <v>7.91</v>
      </c>
      <c r="L784" s="59">
        <f>IFERROR(IF(OR(J784=0,K784=""),"",IF(E784="Positivo",MIN(MAX(K784/J784,0),1.3),MIN(MAX(J784/K784,0),1.3))),"") </f>
        <v/>
      </c>
      <c r="M784" s="59">
        <f>IFERROR(IF(OR(J784=0,K784=""),"",IF(E784="Positivo",MAX(K784/J784,0),MAX(J784/K784,0))),"") </f>
        <v/>
      </c>
      <c r="N784" t="inlineStr">
        <is>
          <t>%</t>
        </is>
      </c>
      <c r="O784" t="inlineStr">
        <is>
          <t>%</t>
        </is>
      </c>
      <c r="P784" t="n">
        <v>2</v>
      </c>
      <c r="Q784" t="n">
        <v>2</v>
      </c>
      <c r="R784" t="inlineStr">
        <is>
          <t>422-2024-12-31</t>
        </is>
      </c>
    </row>
    <row r="785">
      <c r="A785" t="n">
        <v>422</v>
      </c>
      <c r="B785" t="inlineStr">
        <is>
          <t>Total conversión</t>
        </is>
      </c>
      <c r="C785" t="inlineStr">
        <is>
          <t>Mercadeo de programas académicos</t>
        </is>
      </c>
      <c r="D785" t="inlineStr">
        <is>
          <t>Trimestral</t>
        </is>
      </c>
      <c r="E785" t="inlineStr">
        <is>
          <t>Positivo</t>
        </is>
      </c>
      <c r="F785" s="148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7.68</v>
      </c>
      <c r="K785" t="n">
        <v>7.87</v>
      </c>
      <c r="L785" s="59">
        <f>IFERROR(IF(OR(J785=0,K785=""),"",IF(E785="Positivo",MIN(MAX(K785/J785,0),1.3),MIN(MAX(J785/K785,0),1.3))),"") </f>
        <v/>
      </c>
      <c r="M785" s="59">
        <f>IFERROR(IF(OR(J785=0,K785=""),"",IF(E785="Positivo",MAX(K785/J785,0),MAX(J785/K785,0))),"") </f>
        <v/>
      </c>
      <c r="N785" t="inlineStr">
        <is>
          <t>%</t>
        </is>
      </c>
      <c r="O785" t="inlineStr">
        <is>
          <t>%</t>
        </is>
      </c>
      <c r="P785" t="n">
        <v>2</v>
      </c>
      <c r="Q785" t="n">
        <v>2</v>
      </c>
      <c r="R785" t="inlineStr">
        <is>
          <t>422-2025-12-31</t>
        </is>
      </c>
    </row>
    <row r="786">
      <c r="A786" t="n">
        <v>423</v>
      </c>
      <c r="B786" t="inlineStr">
        <is>
          <t>Brand equity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48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8.4</v>
      </c>
      <c r="K786" t="n">
        <v>7.9</v>
      </c>
      <c r="L786" s="59">
        <f>IFERROR(IF(OR(J786=0,K786=""),"",IF(E786="Positivo",MIN(MAX(K786/J786,0),1.3),MIN(MAX(J786/K786,0),1.3))),"") </f>
        <v/>
      </c>
      <c r="M786" s="59">
        <f>IFERROR(IF(OR(J786=0,K786=""),"",IF(E786="Positivo",MAX(K786/J786,0),MAX(J786/K786,0))),"") </f>
        <v/>
      </c>
      <c r="N786" t="inlineStr">
        <is>
          <t>DEC</t>
        </is>
      </c>
      <c r="O786" t="inlineStr">
        <is>
          <t>DEC</t>
        </is>
      </c>
      <c r="P786" t="n">
        <v>1</v>
      </c>
      <c r="Q786" t="n">
        <v>1</v>
      </c>
      <c r="R786" t="inlineStr">
        <is>
          <t>423-2023-12-31</t>
        </is>
      </c>
    </row>
    <row r="787">
      <c r="A787" t="n">
        <v>423</v>
      </c>
      <c r="B787" t="inlineStr">
        <is>
          <t>Brand equity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48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8.300000000000001</v>
      </c>
      <c r="K787" t="n">
        <v>12.3</v>
      </c>
      <c r="L787" s="59">
        <f>IFERROR(IF(OR(J787=0,K787=""),"",IF(E787="Positivo",MIN(MAX(K787/J787,0),1.3),MIN(MAX(J787/K787,0),1.3))),"") </f>
        <v/>
      </c>
      <c r="M787" s="59">
        <f>IFERROR(IF(OR(J787=0,K787=""),"",IF(E787="Positivo",MAX(K787/J787,0),MAX(J787/K787,0))),"") </f>
        <v/>
      </c>
      <c r="N787" t="inlineStr">
        <is>
          <t>DEC</t>
        </is>
      </c>
      <c r="O787" t="inlineStr">
        <is>
          <t>DEC</t>
        </is>
      </c>
      <c r="P787" t="n">
        <v>1</v>
      </c>
      <c r="Q787" t="n">
        <v>1</v>
      </c>
      <c r="R787" t="inlineStr">
        <is>
          <t>423-2024-12-31</t>
        </is>
      </c>
    </row>
    <row r="788">
      <c r="A788" t="n">
        <v>423</v>
      </c>
      <c r="B788" t="inlineStr">
        <is>
          <t>Brand equity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48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12.3</v>
      </c>
      <c r="K788" t="n">
        <v>15.1</v>
      </c>
      <c r="L788" s="59">
        <f>IFERROR(IF(OR(J788=0,K788=""),"",IF(E788="Positivo",MIN(MAX(K788/J788,0),1.3),MIN(MAX(J788/K788,0),1.3))),"") </f>
        <v/>
      </c>
      <c r="M788" s="59">
        <f>IFERROR(IF(OR(J788=0,K788=""),"",IF(E788="Positivo",MAX(K788/J788,0),MAX(J788/K788,0))),"") </f>
        <v/>
      </c>
      <c r="N788" t="inlineStr">
        <is>
          <t>DEC</t>
        </is>
      </c>
      <c r="O788" t="inlineStr">
        <is>
          <t>DEC</t>
        </is>
      </c>
      <c r="P788" t="n">
        <v>1</v>
      </c>
      <c r="Q788" t="n">
        <v>1</v>
      </c>
      <c r="R788" t="inlineStr">
        <is>
          <t>423-2025-12-31</t>
        </is>
      </c>
    </row>
    <row r="789">
      <c r="A789" t="n">
        <v>424</v>
      </c>
      <c r="B789" t="inlineStr">
        <is>
          <t>Conocimiento espontaneo</t>
        </is>
      </c>
      <c r="C789" t="inlineStr">
        <is>
          <t>Mercadeo de programas académicos</t>
        </is>
      </c>
      <c r="D789" t="inlineStr">
        <is>
          <t>Anual</t>
        </is>
      </c>
      <c r="E789" t="inlineStr">
        <is>
          <t>Positivo</t>
        </is>
      </c>
      <c r="F789" s="148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92</v>
      </c>
      <c r="K789" t="n">
        <v>6</v>
      </c>
      <c r="L789" s="59">
        <f>IFERROR(IF(OR(J789=0,K789=""),"",IF(E789="Positivo",MIN(MAX(K789/J789,0),1.3),MIN(MAX(J789/K789,0),1.3))),"") </f>
        <v/>
      </c>
      <c r="M789" s="59">
        <f>IFERROR(IF(OR(J789=0,K789=""),"",IF(E789="Positivo",MAX(K789/J789,0),MAX(J789/K789,0))),"") </f>
        <v/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424-2023-12-31</t>
        </is>
      </c>
    </row>
    <row r="790">
      <c r="A790" t="n">
        <v>424</v>
      </c>
      <c r="B790" t="inlineStr">
        <is>
          <t>Conocimiento espontaneo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48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7</v>
      </c>
      <c r="K790" t="n">
        <v>9</v>
      </c>
      <c r="L790" s="59">
        <f>IFERROR(IF(OR(J790=0,K790=""),"",IF(E790="Positivo",MIN(MAX(K790/J790,0),1.3),MIN(MAX(J790/K790,0),1.3))),"") </f>
        <v/>
      </c>
      <c r="M790" s="59">
        <f>IFERROR(IF(OR(J790=0,K790=""),"",IF(E790="Positivo",MAX(K790/J790,0),MAX(J790/K790,0))),"") </f>
        <v/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424-2024-12-31</t>
        </is>
      </c>
    </row>
    <row r="791">
      <c r="A791" t="n">
        <v>424</v>
      </c>
      <c r="B791" t="inlineStr">
        <is>
          <t>Conocimiento espontaneo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48" t="n">
        <v>46022</v>
      </c>
      <c r="G791" t="n">
        <v>2025</v>
      </c>
      <c r="H791" t="inlineStr">
        <is>
          <t>Diciembre</t>
        </is>
      </c>
      <c r="I791" t="inlineStr">
        <is>
          <t>2025-2</t>
        </is>
      </c>
      <c r="J791" t="n">
        <v>9</v>
      </c>
      <c r="K791" t="n">
        <v>11</v>
      </c>
      <c r="L791" s="59">
        <f>IFERROR(IF(OR(J791=0,K791=""),"",IF(E791="Positivo",MIN(MAX(K791/J791,0),1.3),MIN(MAX(J791/K791,0),1.3))),"") </f>
        <v/>
      </c>
      <c r="M791" s="59">
        <f>IFERROR(IF(OR(J791=0,K791=""),"",IF(E791="Positivo",MAX(K791/J791,0),MAX(J791/K791,0))),"") </f>
        <v/>
      </c>
      <c r="N791" t="inlineStr">
        <is>
          <t>ENT</t>
        </is>
      </c>
      <c r="O791" t="inlineStr">
        <is>
          <t>ENT</t>
        </is>
      </c>
      <c r="P791" t="n">
        <v>0</v>
      </c>
      <c r="Q791" t="n">
        <v>0</v>
      </c>
      <c r="R791" t="inlineStr">
        <is>
          <t>424-2025-12-31</t>
        </is>
      </c>
    </row>
    <row r="792">
      <c r="A792" t="n">
        <v>425</v>
      </c>
      <c r="B792" t="inlineStr">
        <is>
          <t>Cumplimiento Leads Educación para la vida</t>
        </is>
      </c>
      <c r="C792" t="inlineStr">
        <is>
          <t>Mercadeo y venta de educación para la vida</t>
        </is>
      </c>
      <c r="D792" t="inlineStr">
        <is>
          <t>Anual</t>
        </is>
      </c>
      <c r="E792" t="inlineStr">
        <is>
          <t>Positivo</t>
        </is>
      </c>
      <c r="F792" s="148" t="n">
        <v>45291</v>
      </c>
      <c r="G792" t="n">
        <v>2023</v>
      </c>
      <c r="H792" t="inlineStr">
        <is>
          <t>Diciembre</t>
        </is>
      </c>
      <c r="I792" t="inlineStr">
        <is>
          <t>2023-2</t>
        </is>
      </c>
      <c r="J792" t="n">
        <v>5500</v>
      </c>
      <c r="K792" t="n">
        <v>5785</v>
      </c>
      <c r="L792" s="59">
        <f>IFERROR(IF(OR(J792=0,K792=""),"",IF(E792="Positivo",MIN(MAX(K792/J792,0),1.3),MIN(MAX(J792/K792,0),1.3))),"") </f>
        <v/>
      </c>
      <c r="M792" s="59">
        <f>IFERROR(IF(OR(J792=0,K792=""),"",IF(E792="Positivo",MAX(K792/J792,0),MAX(J792/K792,0))),"") </f>
        <v/>
      </c>
      <c r="N792" t="inlineStr">
        <is>
          <t>ENT</t>
        </is>
      </c>
      <c r="O792" t="inlineStr">
        <is>
          <t>ENT</t>
        </is>
      </c>
      <c r="P792" t="n">
        <v>0</v>
      </c>
      <c r="Q792" t="n">
        <v>0</v>
      </c>
      <c r="R792" t="inlineStr">
        <is>
          <t>425-2023-12-31</t>
        </is>
      </c>
    </row>
    <row r="793">
      <c r="A793" t="n">
        <v>425</v>
      </c>
      <c r="B793" t="inlineStr">
        <is>
          <t>Cumplimiento Leads Educación para la vida</t>
        </is>
      </c>
      <c r="C793" t="inlineStr">
        <is>
          <t>Mercadeo y venta de educación para la vida</t>
        </is>
      </c>
      <c r="D793" t="inlineStr">
        <is>
          <t>Semestral</t>
        </is>
      </c>
      <c r="E793" t="inlineStr">
        <is>
          <t>Positivo</t>
        </is>
      </c>
      <c r="F793" s="148" t="n">
        <v>45657</v>
      </c>
      <c r="G793" t="n">
        <v>2024</v>
      </c>
      <c r="H793" t="inlineStr">
        <is>
          <t>Diciembre</t>
        </is>
      </c>
      <c r="I793" t="inlineStr">
        <is>
          <t>2024-2</t>
        </is>
      </c>
      <c r="J793" t="n">
        <v>100</v>
      </c>
      <c r="K793" t="n">
        <v>164.69</v>
      </c>
      <c r="L793" s="59">
        <f>IFERROR(IF(OR(J793=0,K793=""),"",IF(E793="Positivo",MIN(MAX(K793/J793,0),1.3),MIN(MAX(J793/K793,0),1.3))),"") </f>
        <v/>
      </c>
      <c r="M793" s="59">
        <f>IFERROR(IF(OR(J793=0,K793=""),"",IF(E793="Positivo",MAX(K793/J793,0),MAX(J793/K793,0))),"") </f>
        <v/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425-2024-12-31</t>
        </is>
      </c>
    </row>
    <row r="794">
      <c r="A794" t="n">
        <v>426</v>
      </c>
      <c r="B794" t="inlineStr">
        <is>
          <t>Cumplimiento en la respuesta a solicitudes de comunicaciones internas</t>
        </is>
      </c>
      <c r="C794" t="inlineStr">
        <is>
          <t>Comunicaciones Internas</t>
        </is>
      </c>
      <c r="D794" t="inlineStr">
        <is>
          <t>Semestral</t>
        </is>
      </c>
      <c r="E794" t="inlineStr">
        <is>
          <t>Positivo</t>
        </is>
      </c>
      <c r="F794" s="148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K794" t="n">
        <v>89.64500000000001</v>
      </c>
      <c r="L794" s="59" t="n"/>
      <c r="M794" s="59" t="n"/>
      <c r="N794" t="inlineStr">
        <is>
          <t>Linea Base</t>
        </is>
      </c>
      <c r="O794" t="inlineStr">
        <is>
          <t>%</t>
        </is>
      </c>
      <c r="P794" t="n">
        <v>0</v>
      </c>
      <c r="Q794" t="n">
        <v>1</v>
      </c>
      <c r="R794" t="inlineStr">
        <is>
          <t>426-2023-12-31</t>
        </is>
      </c>
    </row>
    <row r="795">
      <c r="A795" t="n">
        <v>426</v>
      </c>
      <c r="B795" t="inlineStr">
        <is>
          <t>Cumplimiento en la respuesta a solicitudes de comunicaciones internas</t>
        </is>
      </c>
      <c r="C795" t="inlineStr">
        <is>
          <t>Comunicaciones Internas</t>
        </is>
      </c>
      <c r="D795" t="inlineStr">
        <is>
          <t>Semestral</t>
        </is>
      </c>
      <c r="E795" t="inlineStr">
        <is>
          <t>Positivo</t>
        </is>
      </c>
      <c r="F795" s="148" t="n">
        <v>45657</v>
      </c>
      <c r="G795" t="n">
        <v>2024</v>
      </c>
      <c r="H795" t="inlineStr">
        <is>
          <t>Diciembre</t>
        </is>
      </c>
      <c r="I795" t="inlineStr">
        <is>
          <t>2024-2</t>
        </is>
      </c>
      <c r="J795" t="n">
        <v>80</v>
      </c>
      <c r="K795" t="n">
        <v>73.495</v>
      </c>
      <c r="L795" s="59">
        <f>IFERROR(IF(OR(J795=0,K795=""),"",IF(E795="Positivo",MIN(MAX(K795/J795,0),1.3),MIN(MAX(J795/K795,0),1.3))),"") </f>
        <v/>
      </c>
      <c r="M795" s="59">
        <f>IFERROR(IF(OR(J795=0,K795=""),"",IF(E795="Positivo",MAX(K795/J795,0),MAX(J795/K795,0))),"") </f>
        <v/>
      </c>
      <c r="N795" t="inlineStr">
        <is>
          <t>Linea Base</t>
        </is>
      </c>
      <c r="O795" t="inlineStr">
        <is>
          <t>%</t>
        </is>
      </c>
      <c r="P795" t="n">
        <v>0</v>
      </c>
      <c r="Q795" t="n">
        <v>1</v>
      </c>
      <c r="R795" t="inlineStr">
        <is>
          <t>426-2024-12-31</t>
        </is>
      </c>
    </row>
    <row r="796">
      <c r="A796" t="n">
        <v>427</v>
      </c>
      <c r="B796" t="inlineStr">
        <is>
          <t>Consumo de Agua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48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0.2</v>
      </c>
      <c r="K796" t="n">
        <v>0.168333333333335</v>
      </c>
      <c r="L796" s="59">
        <f>IFERROR(IF(OR(J796=0,K796=""),"",IF(E796="Positivo",MIN(MAX(K796/J796,0),1.3),MIN(MAX(J796/K796,0),1.3))),"") </f>
        <v/>
      </c>
      <c r="M796" s="59">
        <f>IFERROR(IF(OR(J796=0,K796=""),"",IF(E796="Positivo",MAX(K796/J796,0),MAX(J796/K796,0))),"") </f>
        <v/>
      </c>
      <c r="N796" t="inlineStr">
        <is>
          <t>DEC</t>
        </is>
      </c>
      <c r="O796" t="inlineStr">
        <is>
          <t>DEC</t>
        </is>
      </c>
      <c r="P796" t="n">
        <v>1</v>
      </c>
      <c r="Q796" t="n">
        <v>2</v>
      </c>
      <c r="R796" t="inlineStr">
        <is>
          <t>427-2023-12-31</t>
        </is>
      </c>
    </row>
    <row r="797">
      <c r="A797" t="n">
        <v>427</v>
      </c>
      <c r="B797" t="inlineStr">
        <is>
          <t>Consumo de Agua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48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0.2</v>
      </c>
      <c r="K797" t="n">
        <v>0.17</v>
      </c>
      <c r="L797" s="59">
        <f>IFERROR(IF(OR(J797=0,K797=""),"",IF(E797="Positivo",MIN(MAX(K797/J797,0),1.3),MIN(MAX(J797/K797,0),1.3))),"") </f>
        <v/>
      </c>
      <c r="M797" s="59">
        <f>IFERROR(IF(OR(J797=0,K797=""),"",IF(E797="Positivo",MAX(K797/J797,0),MAX(J797/K797,0))),"") </f>
        <v/>
      </c>
      <c r="N797" t="inlineStr">
        <is>
          <t>DEC</t>
        </is>
      </c>
      <c r="O797" t="inlineStr">
        <is>
          <t>DEC</t>
        </is>
      </c>
      <c r="P797" t="n">
        <v>1</v>
      </c>
      <c r="Q797" t="n">
        <v>2</v>
      </c>
      <c r="R797" t="inlineStr">
        <is>
          <t>427-2024-12-31</t>
        </is>
      </c>
    </row>
    <row r="798">
      <c r="A798" t="n">
        <v>427</v>
      </c>
      <c r="B798" t="inlineStr">
        <is>
          <t>Consumo de Agua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48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0.2</v>
      </c>
      <c r="K798" t="n">
        <v>0.145</v>
      </c>
      <c r="L798" s="59">
        <f>IFERROR(IF(OR(J798=0,K798=""),"",IF(E798="Positivo",MIN(MAX(K798/J798,0),1.3),MIN(MAX(J798/K798,0),1.3))),"") </f>
        <v/>
      </c>
      <c r="M798" s="59">
        <f>IFERROR(IF(OR(J798=0,K798=""),"",IF(E798="Positivo",MAX(K798/J798,0),MAX(J798/K798,0))),"") </f>
        <v/>
      </c>
      <c r="N798" t="inlineStr">
        <is>
          <t>DEC</t>
        </is>
      </c>
      <c r="O798" t="inlineStr">
        <is>
          <t>DEC</t>
        </is>
      </c>
      <c r="P798" t="n">
        <v>2</v>
      </c>
      <c r="Q798" t="n">
        <v>2</v>
      </c>
      <c r="R798" t="inlineStr">
        <is>
          <t>427-2025-12-31</t>
        </is>
      </c>
    </row>
    <row r="799">
      <c r="A799" t="n">
        <v>428</v>
      </c>
      <c r="B799" t="inlineStr">
        <is>
          <t>Consumo de Energía Eléctrica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48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1</v>
      </c>
      <c r="K799" t="n">
        <v>18.11</v>
      </c>
      <c r="L799" s="59">
        <f>IFERROR(IF(OR(J799=0,K799=""),"",IF(E799="Positivo",MIN(MAX(K799/J799,0),1.3),MIN(MAX(J799/K799,0),1.3))),"") </f>
        <v/>
      </c>
      <c r="M799" s="59">
        <f>IFERROR(IF(OR(J799=0,K799=""),"",IF(E799="Positivo",MAX(K799/J799,0),MAX(J799/K799,0))),"") </f>
        <v/>
      </c>
      <c r="N799" t="inlineStr">
        <is>
          <t>kWh</t>
        </is>
      </c>
      <c r="O799" t="inlineStr">
        <is>
          <t>kWh</t>
        </is>
      </c>
      <c r="P799" t="n">
        <v>0</v>
      </c>
      <c r="Q799" t="n">
        <v>1</v>
      </c>
      <c r="R799" t="inlineStr">
        <is>
          <t>428-2023-12-31</t>
        </is>
      </c>
    </row>
    <row r="800">
      <c r="A800" t="n">
        <v>428</v>
      </c>
      <c r="B800" t="inlineStr">
        <is>
          <t>Consumo de Energía Eléctrica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48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1</v>
      </c>
      <c r="K800" t="n">
        <v>17.555</v>
      </c>
      <c r="L800" s="59">
        <f>IFERROR(IF(OR(J800=0,K800=""),"",IF(E800="Positivo",MIN(MAX(K800/J800,0),1.3),MIN(MAX(J800/K800,0),1.3))),"") </f>
        <v/>
      </c>
      <c r="M800" s="59">
        <f>IFERROR(IF(OR(J800=0,K800=""),"",IF(E800="Positivo",MAX(K800/J800,0),MAX(J800/K800,0))),"") </f>
        <v/>
      </c>
      <c r="N800" t="inlineStr">
        <is>
          <t>kWh</t>
        </is>
      </c>
      <c r="O800" t="inlineStr">
        <is>
          <t>kWh</t>
        </is>
      </c>
      <c r="P800" t="n">
        <v>0</v>
      </c>
      <c r="Q800" t="n">
        <v>1</v>
      </c>
      <c r="R800" t="inlineStr">
        <is>
          <t>428-2024-12-31</t>
        </is>
      </c>
    </row>
    <row r="801">
      <c r="A801" t="n">
        <v>428</v>
      </c>
      <c r="B801" t="inlineStr">
        <is>
          <t>Consumo de Energía Eléctrica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48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1</v>
      </c>
      <c r="K801" t="n">
        <v>16.5</v>
      </c>
      <c r="L801" s="59">
        <f>IFERROR(IF(OR(J801=0,K801=""),"",IF(E801="Positivo",MIN(MAX(K801/J801,0),1.3),MIN(MAX(J801/K801,0),1.3))),"") </f>
        <v/>
      </c>
      <c r="M801" s="59">
        <f>IFERROR(IF(OR(J801=0,K801=""),"",IF(E801="Positivo",MAX(K801/J801,0),MAX(J801/K801,0))),"") </f>
        <v/>
      </c>
      <c r="N801" t="inlineStr">
        <is>
          <t>kWh</t>
        </is>
      </c>
      <c r="O801" t="inlineStr">
        <is>
          <t>kWh</t>
        </is>
      </c>
      <c r="P801" t="n">
        <v>0</v>
      </c>
      <c r="Q801" t="n">
        <v>1</v>
      </c>
      <c r="R801" t="inlineStr">
        <is>
          <t>428-2025-12-31</t>
        </is>
      </c>
    </row>
    <row r="802">
      <c r="A802" t="n">
        <v>429</v>
      </c>
      <c r="B802" t="inlineStr">
        <is>
          <t>Generación de Residuos Sólidos per Cápita Semestral</t>
        </is>
      </c>
      <c r="C802" t="inlineStr">
        <is>
          <t>GESTIÓN AMBIENTAL</t>
        </is>
      </c>
      <c r="D802" t="inlineStr">
        <is>
          <t>Semestral</t>
        </is>
      </c>
      <c r="E802" t="inlineStr">
        <is>
          <t>Negativo</t>
        </is>
      </c>
      <c r="F802" s="148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0.76</v>
      </c>
      <c r="K802" t="n">
        <v>0.53</v>
      </c>
      <c r="L802" s="59">
        <f>IFERROR(IF(OR(J802=0,K802=""),"",IF(E802="Positivo",MIN(MAX(K802/J802,0),1.3),MIN(MAX(J802/K802,0),1.3))),"") </f>
        <v/>
      </c>
      <c r="M802" s="59">
        <f>IFERROR(IF(OR(J802=0,K802=""),"",IF(E802="Positivo",MAX(K802/J802,0),MAX(J802/K802,0))),"") </f>
        <v/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429-2023-12-31</t>
        </is>
      </c>
    </row>
    <row r="803">
      <c r="A803" t="n">
        <v>429</v>
      </c>
      <c r="B803" t="inlineStr">
        <is>
          <t>Generación de Residuos Sólidos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48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0.76</v>
      </c>
      <c r="K803" t="n">
        <v>0.665</v>
      </c>
      <c r="L803" s="59">
        <f>IFERROR(IF(OR(J803=0,K803=""),"",IF(E803="Positivo",MIN(MAX(K803/J803,0),1.3),MIN(MAX(J803/K803,0),1.3))),"") </f>
        <v/>
      </c>
      <c r="M803" s="59">
        <f>IFERROR(IF(OR(J803=0,K803=""),"",IF(E803="Positivo",MAX(K803/J803,0),MAX(J803/K803,0))),"") </f>
        <v/>
      </c>
      <c r="N803" t="inlineStr">
        <is>
          <t>DEC</t>
        </is>
      </c>
      <c r="O803" t="inlineStr">
        <is>
          <t>DEC</t>
        </is>
      </c>
      <c r="P803" t="n">
        <v>2</v>
      </c>
      <c r="Q803" t="n">
        <v>2</v>
      </c>
      <c r="R803" t="inlineStr">
        <is>
          <t>429-2024-12-31</t>
        </is>
      </c>
    </row>
    <row r="804">
      <c r="A804" t="n">
        <v>429</v>
      </c>
      <c r="B804" t="inlineStr">
        <is>
          <t>Generación de Residuos Sólidos per Cápita Semestral</t>
        </is>
      </c>
      <c r="C804" t="inlineStr">
        <is>
          <t>GESTIÓN AMBIENTAL</t>
        </is>
      </c>
      <c r="D804" t="inlineStr">
        <is>
          <t>Trimestral</t>
        </is>
      </c>
      <c r="E804" t="inlineStr">
        <is>
          <t>Negativo</t>
        </is>
      </c>
      <c r="F804" s="148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0.76</v>
      </c>
      <c r="K804" t="n">
        <v>0.5549999999999999</v>
      </c>
      <c r="L804" s="59">
        <f>IFERROR(IF(OR(J804=0,K804=""),"",IF(E804="Positivo",MIN(MAX(K804/J804,0),1.3),MIN(MAX(J804/K804,0),1.3))),"") </f>
        <v/>
      </c>
      <c r="M804" s="59">
        <f>IFERROR(IF(OR(J804=0,K804=""),"",IF(E804="Positivo",MAX(K804/J804,0),MAX(J804/K804,0))),"") </f>
        <v/>
      </c>
      <c r="N804" t="inlineStr">
        <is>
          <t>DEC</t>
        </is>
      </c>
      <c r="O804" t="inlineStr">
        <is>
          <t>DEC</t>
        </is>
      </c>
      <c r="P804" t="n">
        <v>2</v>
      </c>
      <c r="Q804" t="n">
        <v>2</v>
      </c>
      <c r="R804" t="inlineStr">
        <is>
          <t>429-2025-12-31</t>
        </is>
      </c>
    </row>
    <row r="805">
      <c r="A805" t="n">
        <v>430</v>
      </c>
      <c r="B805" t="inlineStr">
        <is>
          <t>Cumplimiento ingresos por matriculas</t>
        </is>
      </c>
      <c r="C805" t="inlineStr">
        <is>
          <t>Planeación Financiera</t>
        </is>
      </c>
      <c r="D805" t="inlineStr">
        <is>
          <t>Semestral</t>
        </is>
      </c>
      <c r="E805" t="inlineStr">
        <is>
          <t>Positivo</t>
        </is>
      </c>
      <c r="F805" s="148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95</v>
      </c>
      <c r="K805" t="n">
        <v>101.39526345983</v>
      </c>
      <c r="L805" s="59">
        <f>IFERROR(IF(OR(J805=0,K805=""),"",IF(E805="Positivo",MIN(MAX(K805/J805,0),1.3),MIN(MAX(J805/K805,0),1.3))),"") </f>
        <v/>
      </c>
      <c r="M805" s="59">
        <f>IFERROR(IF(OR(J805=0,K805=""),"",IF(E805="Positivo",MAX(K805/J805,0),MAX(J805/K805,0))),"") </f>
        <v/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430-2023-12-31</t>
        </is>
      </c>
    </row>
    <row r="806">
      <c r="A806" t="n">
        <v>430</v>
      </c>
      <c r="B806" t="inlineStr">
        <is>
          <t>Cumplimiento ingresos por matriculas</t>
        </is>
      </c>
      <c r="C806" t="inlineStr">
        <is>
          <t>Planeación Financiera</t>
        </is>
      </c>
      <c r="D806" t="inlineStr">
        <is>
          <t>Semestral</t>
        </is>
      </c>
      <c r="E806" t="inlineStr">
        <is>
          <t>Positivo</t>
        </is>
      </c>
      <c r="F806" s="148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95</v>
      </c>
      <c r="K806" t="n">
        <v>102.9374919710379</v>
      </c>
      <c r="L806" s="59">
        <f>IFERROR(IF(OR(J806=0,K806=""),"",IF(E806="Positivo",MIN(MAX(K806/J806,0),1.3),MIN(MAX(J806/K806,0),1.3))),"") </f>
        <v/>
      </c>
      <c r="M806" s="59">
        <f>IFERROR(IF(OR(J806=0,K806=""),"",IF(E806="Positivo",MAX(K806/J806,0),MAX(J806/K806,0))),"") </f>
        <v/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430-2024-12-31</t>
        </is>
      </c>
    </row>
    <row r="807">
      <c r="A807" t="n">
        <v>430</v>
      </c>
      <c r="B807" t="inlineStr">
        <is>
          <t>Cumplimiento ingresos por matriculas</t>
        </is>
      </c>
      <c r="C807" t="inlineStr">
        <is>
          <t>Planeación Financiera</t>
        </is>
      </c>
      <c r="D807" t="inlineStr">
        <is>
          <t>Semestral</t>
        </is>
      </c>
      <c r="E807" t="inlineStr">
        <is>
          <t>Positivo</t>
        </is>
      </c>
      <c r="F807" s="148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95</v>
      </c>
      <c r="K807" t="n">
        <v>111.76</v>
      </c>
      <c r="L807" s="59">
        <f>IFERROR(IF(OR(J807=0,K807=""),"",IF(E807="Positivo",MIN(MAX(K807/J807,0),1.3),MIN(MAX(J807/K807,0),1.3))),"") </f>
        <v/>
      </c>
      <c r="M807" s="59">
        <f>IFERROR(IF(OR(J807=0,K807=""),"",IF(E807="Positivo",MAX(K807/J807,0),MAX(J807/K807,0))),"") </f>
        <v/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430-2025-12-31</t>
        </is>
      </c>
    </row>
    <row r="808">
      <c r="A808" t="n">
        <v>431</v>
      </c>
      <c r="B808" t="inlineStr">
        <is>
          <t>Gestión de casos de salud que impactan a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48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100</v>
      </c>
      <c r="K808" t="n">
        <v>100</v>
      </c>
      <c r="L808" s="59">
        <f>IFERROR(IF(OR(J808=0,K808=""),"",IF(E808="Positivo",MIN(MAX(K808/J808,0),1.3),MIN(MAX(J808/K808,0),1.3))),"") </f>
        <v/>
      </c>
      <c r="M808" s="59">
        <f>IFERROR(IF(OR(J808=0,K808=""),"",IF(E808="Positivo",MAX(K808/J808,0),MAX(J808/K808,0))),"") </f>
        <v/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0</v>
      </c>
      <c r="R808" t="inlineStr">
        <is>
          <t>431-2023-12-31</t>
        </is>
      </c>
    </row>
    <row r="809">
      <c r="A809" t="n">
        <v>431</v>
      </c>
      <c r="B809" t="inlineStr">
        <is>
          <t>Gestión de casos de salud que impactan a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48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100</v>
      </c>
      <c r="K809" t="n">
        <v>100</v>
      </c>
      <c r="L809" s="59">
        <f>IFERROR(IF(OR(J809=0,K809=""),"",IF(E809="Positivo",MIN(MAX(K809/J809,0),1.3),MIN(MAX(J809/K809,0),1.3))),"") </f>
        <v/>
      </c>
      <c r="M809" s="59">
        <f>IFERROR(IF(OR(J809=0,K809=""),"",IF(E809="Positivo",MAX(K809/J809,0),MAX(J809/K809,0))),"") </f>
        <v/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431-2024-12-31</t>
        </is>
      </c>
    </row>
    <row r="810">
      <c r="A810" t="n">
        <v>431</v>
      </c>
      <c r="B810" t="inlineStr">
        <is>
          <t>Gestión de casos de salud que impactan a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48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100</v>
      </c>
      <c r="K810" t="n">
        <v>100</v>
      </c>
      <c r="L810" s="59">
        <f>IFERROR(IF(OR(J810=0,K810=""),"",IF(E810="Positivo",MIN(MAX(K810/J810,0),1.3),MIN(MAX(J810/K810,0),1.3))),"") </f>
        <v/>
      </c>
      <c r="M810" s="59">
        <f>IFERROR(IF(OR(J810=0,K810=""),"",IF(E810="Positivo",MAX(K810/J810,0),MAX(J810/K810,0))),"") </f>
        <v/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431-2025-12-31</t>
        </is>
      </c>
    </row>
    <row r="811">
      <c r="A811" t="n">
        <v>432</v>
      </c>
      <c r="B811" t="inlineStr">
        <is>
          <t>Intervención a la gestión del riesgo de los colaboradores</t>
        </is>
      </c>
      <c r="C811" t="inlineStr">
        <is>
          <t>GESTIÓN DE SEGURIDAD Y SALUD EN EL TRABAJO</t>
        </is>
      </c>
      <c r="D811" t="inlineStr">
        <is>
          <t>Trimestral</t>
        </is>
      </c>
      <c r="E811" t="inlineStr">
        <is>
          <t>Positivo</t>
        </is>
      </c>
      <c r="F811" s="148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90</v>
      </c>
      <c r="K811" t="n">
        <v>99.382777777778</v>
      </c>
      <c r="L811" s="59">
        <f>IFERROR(IF(OR(J811=0,K811=""),"",IF(E811="Positivo",MIN(MAX(K811/J811,0),1.3),MIN(MAX(J811/K811,0),1.3))),"") </f>
        <v/>
      </c>
      <c r="M811" s="59">
        <f>IFERROR(IF(OR(J811=0,K811=""),"",IF(E811="Positivo",MAX(K811/J811,0),MAX(J811/K811,0))),"") </f>
        <v/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432-2023-12-31</t>
        </is>
      </c>
    </row>
    <row r="812">
      <c r="A812" t="n">
        <v>432</v>
      </c>
      <c r="B812" t="inlineStr">
        <is>
          <t>Intervención a la gestión del riesgo de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48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90</v>
      </c>
      <c r="K812" t="n">
        <v>75</v>
      </c>
      <c r="L812" s="59">
        <f>IFERROR(IF(OR(J812=0,K812=""),"",IF(E812="Positivo",MIN(MAX(K812/J812,0),1.3),MIN(MAX(J812/K812,0),1.3))),"") </f>
        <v/>
      </c>
      <c r="M812" s="59">
        <f>IFERROR(IF(OR(J812=0,K812=""),"",IF(E812="Positivo",MAX(K812/J812,0),MAX(J812/K812,0))),"") </f>
        <v/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432-2024-12-31</t>
        </is>
      </c>
    </row>
    <row r="813">
      <c r="A813" t="n">
        <v>432</v>
      </c>
      <c r="B813" t="inlineStr">
        <is>
          <t>Intervención a la gestión del riesgo de los colaboradores</t>
        </is>
      </c>
      <c r="C813" t="inlineStr">
        <is>
          <t>GESTIÓN DE SEGURIDAD Y SALUD EN EL TRABAJO</t>
        </is>
      </c>
      <c r="D813" t="inlineStr">
        <is>
          <t>Semestral</t>
        </is>
      </c>
      <c r="E813" t="inlineStr">
        <is>
          <t>Positivo</t>
        </is>
      </c>
      <c r="F813" s="148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90</v>
      </c>
      <c r="K813" t="n">
        <v>100</v>
      </c>
      <c r="L813" s="59">
        <f>IFERROR(IF(OR(J813=0,K813=""),"",IF(E813="Positivo",MIN(MAX(K813/J813,0),1.3),MIN(MAX(J813/K813,0),1.3))),"") </f>
        <v/>
      </c>
      <c r="M813" s="59">
        <f>IFERROR(IF(OR(J813=0,K813=""),"",IF(E813="Positivo",MAX(K813/J813,0),MAX(J813/K813,0))),"") </f>
        <v/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432-2025-12-31</t>
        </is>
      </c>
    </row>
    <row r="814">
      <c r="A814" t="n">
        <v>433</v>
      </c>
      <c r="B814" t="inlineStr">
        <is>
          <t>Generación de Residuos Peligrosos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48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0.05</v>
      </c>
      <c r="K814" t="n">
        <v>0.035</v>
      </c>
      <c r="L814" s="59">
        <f>IFERROR(IF(OR(J814=0,K814=""),"",IF(E814="Positivo",MIN(MAX(K814/J814,0),1.3),MIN(MAX(J814/K814,0),1.3))),"") </f>
        <v/>
      </c>
      <c r="M814" s="59">
        <f>IFERROR(IF(OR(J814=0,K814=""),"",IF(E814="Positivo",MAX(K814/J814,0),MAX(J814/K814,0))),"") </f>
        <v/>
      </c>
      <c r="N814" t="inlineStr">
        <is>
          <t>DEC</t>
        </is>
      </c>
      <c r="O814" t="inlineStr">
        <is>
          <t>DEC</t>
        </is>
      </c>
      <c r="P814" t="n">
        <v>2</v>
      </c>
      <c r="Q814" t="n">
        <v>2</v>
      </c>
      <c r="R814" t="inlineStr">
        <is>
          <t>433-2023-12-31</t>
        </is>
      </c>
    </row>
    <row r="815">
      <c r="A815" t="n">
        <v>433</v>
      </c>
      <c r="B815" t="inlineStr">
        <is>
          <t>Generación de Residuos Peligrosos per Cápita Semestral</t>
        </is>
      </c>
      <c r="C815" t="inlineStr">
        <is>
          <t>GESTIÓN AMBIENTAL</t>
        </is>
      </c>
      <c r="D815" t="inlineStr">
        <is>
          <t>Semestral</t>
        </is>
      </c>
      <c r="E815" t="inlineStr">
        <is>
          <t>Negativo</t>
        </is>
      </c>
      <c r="F815" s="148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0.05</v>
      </c>
      <c r="K815" t="n">
        <v>0.105</v>
      </c>
      <c r="L815" s="59">
        <f>IFERROR(IF(OR(J815=0,K815=""),"",IF(E815="Positivo",MIN(MAX(K815/J815,0),1.3),MIN(MAX(J815/K815,0),1.3))),"") </f>
        <v/>
      </c>
      <c r="M815" s="59">
        <f>IFERROR(IF(OR(J815=0,K815=""),"",IF(E815="Positivo",MAX(K815/J815,0),MAX(J815/K815,0))),"") </f>
        <v/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433-2024-12-31</t>
        </is>
      </c>
    </row>
    <row r="816">
      <c r="A816" t="n">
        <v>433</v>
      </c>
      <c r="B816" t="inlineStr">
        <is>
          <t>Generación de Residuos Peligrosos per Cápita Semestral</t>
        </is>
      </c>
      <c r="C816" t="inlineStr">
        <is>
          <t>GESTIÓN AMBIENTAL</t>
        </is>
      </c>
      <c r="D816" t="inlineStr">
        <is>
          <t>Trimestral</t>
        </is>
      </c>
      <c r="E816" t="inlineStr">
        <is>
          <t>Negativo</t>
        </is>
      </c>
      <c r="F816" s="148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0.05</v>
      </c>
      <c r="K816" t="n">
        <v>0.095</v>
      </c>
      <c r="L816" s="59">
        <f>IFERROR(IF(OR(J816=0,K816=""),"",IF(E816="Positivo",MIN(MAX(K816/J816,0),1.3),MIN(MAX(J816/K816,0),1.3))),"") </f>
        <v/>
      </c>
      <c r="M816" s="59">
        <f>IFERROR(IF(OR(J816=0,K816=""),"",IF(E816="Positivo",MAX(K816/J816,0),MAX(J816/K816,0))),"") </f>
        <v/>
      </c>
      <c r="N816" t="inlineStr">
        <is>
          <t>DEC</t>
        </is>
      </c>
      <c r="O816" t="inlineStr">
        <is>
          <t>DEC</t>
        </is>
      </c>
      <c r="P816" t="n">
        <v>2</v>
      </c>
      <c r="Q816" t="n">
        <v>2</v>
      </c>
      <c r="R816" t="inlineStr">
        <is>
          <t>433-2025-12-31</t>
        </is>
      </c>
    </row>
    <row r="817">
      <c r="A817" t="n">
        <v>434</v>
      </c>
      <c r="B817" t="inlineStr">
        <is>
          <t>Generación de Residuos Peligroso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48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2400</v>
      </c>
      <c r="K817" t="n">
        <v>2294.13</v>
      </c>
      <c r="L817" s="59">
        <f>IFERROR(IF(OR(J817=0,K817=""),"",IF(E817="Positivo",MIN(MAX(K817/J817,0),1.3),MIN(MAX(J817/K817,0),1.3))),"") </f>
        <v/>
      </c>
      <c r="M817" s="59">
        <f>IFERROR(IF(OR(J817=0,K817=""),"",IF(E817="Positivo",MAX(K817/J817,0),MAX(J817/K817,0))),"") </f>
        <v/>
      </c>
      <c r="N817" t="inlineStr">
        <is>
          <t>Linea Base</t>
        </is>
      </c>
      <c r="O817" t="inlineStr">
        <is>
          <t>Kg</t>
        </is>
      </c>
      <c r="P817" t="n">
        <v>0</v>
      </c>
      <c r="Q817" t="n">
        <v>0</v>
      </c>
      <c r="R817" t="inlineStr">
        <is>
          <t>434-2023-12-31</t>
        </is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48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2400</v>
      </c>
      <c r="K818" t="n">
        <v>5427.24</v>
      </c>
      <c r="L818" s="59">
        <f>IFERROR(IF(OR(J818=0,K818=""),"",IF(E818="Positivo",MIN(MAX(K818/J818,0),1.3),MIN(MAX(J818/K818,0),1.3))),"") </f>
        <v/>
      </c>
      <c r="M818" s="59">
        <f>IFERROR(IF(OR(J818=0,K818=""),"",IF(E818="Positivo",MAX(K818/J818,0),MAX(J818/K818,0))),"") </f>
        <v/>
      </c>
      <c r="N818" t="inlineStr">
        <is>
          <t>Kg</t>
        </is>
      </c>
      <c r="O818" t="inlineStr">
        <is>
          <t>Kg</t>
        </is>
      </c>
      <c r="P818" t="n">
        <v>0</v>
      </c>
      <c r="Q818" t="n">
        <v>0</v>
      </c>
      <c r="R818" t="inlineStr">
        <is>
          <t>434-2024-12-31</t>
        </is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48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2400</v>
      </c>
      <c r="K819" t="n">
        <v>7783.559999999999</v>
      </c>
      <c r="L819" s="59">
        <f>IFERROR(IF(OR(J819=0,K819=""),"",IF(E819="Positivo",MIN(MAX(K819/J819,0),1.3),MIN(MAX(J819/K819,0),1.3))),"") </f>
        <v/>
      </c>
      <c r="M819" s="59">
        <f>IFERROR(IF(OR(J819=0,K819=""),"",IF(E819="Positivo",MAX(K819/J819,0),MAX(J819/K819,0))),"") </f>
        <v/>
      </c>
      <c r="N819" t="inlineStr">
        <is>
          <t>Kg</t>
        </is>
      </c>
      <c r="O819" t="inlineStr">
        <is>
          <t>Kg</t>
        </is>
      </c>
      <c r="P819" t="n">
        <v>0</v>
      </c>
      <c r="Q819" t="n">
        <v>0</v>
      </c>
      <c r="R819" t="inlineStr">
        <is>
          <t>434-2025-12-31</t>
        </is>
      </c>
    </row>
    <row r="820">
      <c r="A820" t="n">
        <v>435</v>
      </c>
      <c r="B820" t="inlineStr">
        <is>
          <t>Disminución de la Generación de Residuos Peligrosos per Cápita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Positivo</t>
        </is>
      </c>
      <c r="F820" s="148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100</v>
      </c>
      <c r="K820" t="n">
        <v>-111.57</v>
      </c>
      <c r="L820" s="59">
        <f>IFERROR(IF(OR(J820=0,K820=""),"",IF(E820="Positivo",MIN(MAX(K820/J820,0),1.3),MIN(MAX(J820/K820,0),1.3))),"") </f>
        <v/>
      </c>
      <c r="M820" s="59">
        <f>IFERROR(IF(OR(J820=0,K820=""),"",IF(E820="Positivo",MAX(K820/J820,0),MAX(J820/K820,0))),"") </f>
        <v/>
      </c>
      <c r="N820" t="inlineStr">
        <is>
          <t>%</t>
        </is>
      </c>
      <c r="O820" t="inlineStr">
        <is>
          <t>%</t>
        </is>
      </c>
      <c r="P820" t="n">
        <v>2</v>
      </c>
      <c r="Q820" t="n">
        <v>2</v>
      </c>
      <c r="R820" t="inlineStr">
        <is>
          <t>435-2023-12-31</t>
        </is>
      </c>
    </row>
    <row r="821">
      <c r="A821" t="n">
        <v>435</v>
      </c>
      <c r="B821" t="inlineStr">
        <is>
          <t>Disminución de la Generación de Residuos Peligrosos per Cápita</t>
        </is>
      </c>
      <c r="C821" t="inlineStr">
        <is>
          <t>GESTIÓN AMBIENTAL</t>
        </is>
      </c>
      <c r="D821" t="inlineStr">
        <is>
          <t>Semestral</t>
        </is>
      </c>
      <c r="E821" t="inlineStr">
        <is>
          <t>Positivo</t>
        </is>
      </c>
      <c r="F821" s="148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100</v>
      </c>
      <c r="K821" t="n">
        <v>25.21</v>
      </c>
      <c r="L821" s="59">
        <f>IFERROR(IF(OR(J821=0,K821=""),"",IF(E821="Positivo",MIN(MAX(K821/J821,0),1.3),MIN(MAX(J821/K821,0),1.3))),"") </f>
        <v/>
      </c>
      <c r="M821" s="59">
        <f>IFERROR(IF(OR(J821=0,K821=""),"",IF(E821="Positivo",MAX(K821/J821,0),MAX(J821/K821,0))),"") </f>
        <v/>
      </c>
      <c r="N821" t="inlineStr">
        <is>
          <t>%</t>
        </is>
      </c>
      <c r="O821" t="inlineStr">
        <is>
          <t>%</t>
        </is>
      </c>
      <c r="P821" t="n">
        <v>2</v>
      </c>
      <c r="Q821" t="n">
        <v>2</v>
      </c>
      <c r="R821" t="inlineStr">
        <is>
          <t>435-2024-12-31</t>
        </is>
      </c>
    </row>
    <row r="822">
      <c r="A822" t="n">
        <v>435</v>
      </c>
      <c r="B822" t="inlineStr">
        <is>
          <t>Disminución de la Generación de Residuos Peligrosos per Cápita</t>
        </is>
      </c>
      <c r="C822" t="inlineStr">
        <is>
          <t>GESTIÓN AMBIENTAL</t>
        </is>
      </c>
      <c r="D822" t="inlineStr">
        <is>
          <t>Trimestral</t>
        </is>
      </c>
      <c r="E822" t="inlineStr">
        <is>
          <t>Positivo</t>
        </is>
      </c>
      <c r="F822" s="148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</v>
      </c>
      <c r="K822" t="n">
        <v>-317.995</v>
      </c>
      <c r="L822" s="59">
        <f>IFERROR(IF(OR(J822=0,K822=""),"",IF(E822="Positivo",MIN(MAX(K822/J822,0),1.3),MIN(MAX(J822/K822,0),1.3))),"") </f>
        <v/>
      </c>
      <c r="M822" s="59">
        <f>IFERROR(IF(OR(J822=0,K822=""),"",IF(E822="Positivo",MAX(K822/J822,0),MAX(J822/K822,0))),"") </f>
        <v/>
      </c>
      <c r="N822" t="inlineStr">
        <is>
          <t>%</t>
        </is>
      </c>
      <c r="O822" t="inlineStr">
        <is>
          <t>%</t>
        </is>
      </c>
      <c r="P822" t="n">
        <v>2</v>
      </c>
      <c r="Q822" t="n">
        <v>2</v>
      </c>
      <c r="R822" t="inlineStr">
        <is>
          <t>435-2025-12-31</t>
        </is>
      </c>
    </row>
    <row r="823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48" t="n">
        <v>45291</v>
      </c>
      <c r="G823" t="n">
        <v>2023</v>
      </c>
      <c r="H823" t="inlineStr">
        <is>
          <t>Diciembre</t>
        </is>
      </c>
      <c r="I823" t="inlineStr">
        <is>
          <t>2023-2</t>
        </is>
      </c>
      <c r="J823" t="n">
        <v>21</v>
      </c>
      <c r="K823" t="n">
        <v>11.06833333333333</v>
      </c>
      <c r="L823" s="59">
        <f>IFERROR(IF(OR(J823=0,K823=""),"",IF(E823="Positivo",MIN(MAX(K823/J823,0),1.3),MIN(MAX(J823/K823,0),1.3))),"") </f>
        <v/>
      </c>
      <c r="M823" s="59">
        <f>IFERROR(IF(OR(J823=0,K823=""),"",IF(E823="Positivo",MAX(K823/J823,0),MAX(J823/K823,0))),"") </f>
        <v/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436-2023-12-31</t>
        </is>
      </c>
    </row>
    <row r="824">
      <c r="A824" t="n">
        <v>436</v>
      </c>
      <c r="B824" t="inlineStr">
        <is>
          <t>ANS documentos operativos</t>
        </is>
      </c>
      <c r="C824" t="inlineStr">
        <is>
          <t>Gestión de calidad</t>
        </is>
      </c>
      <c r="D824" t="inlineStr">
        <is>
          <t>Mensual</t>
        </is>
      </c>
      <c r="E824" t="inlineStr">
        <is>
          <t>Negativo</t>
        </is>
      </c>
      <c r="F824" s="148" t="n">
        <v>45657</v>
      </c>
      <c r="G824" t="n">
        <v>2024</v>
      </c>
      <c r="H824" t="inlineStr">
        <is>
          <t>Diciembre</t>
        </is>
      </c>
      <c r="I824" t="inlineStr">
        <is>
          <t>2024-2</t>
        </is>
      </c>
      <c r="J824" t="n">
        <v>14</v>
      </c>
      <c r="K824" t="n">
        <v>11.06416666666667</v>
      </c>
      <c r="L824" s="59">
        <f>IFERROR(IF(OR(J824=0,K824=""),"",IF(E824="Positivo",MIN(MAX(K824/J824,0),1.3),MIN(MAX(J824/K824,0),1.3))),"") </f>
        <v/>
      </c>
      <c r="M824" s="59">
        <f>IFERROR(IF(OR(J824=0,K824=""),"",IF(E824="Positivo",MAX(K824/J824,0),MAX(J824/K824,0))),"") </f>
        <v/>
      </c>
      <c r="N824" t="inlineStr">
        <is>
          <t>Días</t>
        </is>
      </c>
      <c r="O824" t="inlineStr">
        <is>
          <t>Días</t>
        </is>
      </c>
      <c r="P824" t="n">
        <v>0</v>
      </c>
      <c r="Q824" t="n">
        <v>1</v>
      </c>
      <c r="R824" t="inlineStr">
        <is>
          <t>436-2024-12-31</t>
        </is>
      </c>
    </row>
    <row r="825">
      <c r="A825" t="n">
        <v>436</v>
      </c>
      <c r="B825" t="inlineStr">
        <is>
          <t>ANS documentos operativos</t>
        </is>
      </c>
      <c r="C825" t="inlineStr">
        <is>
          <t>Gestión de calidad</t>
        </is>
      </c>
      <c r="D825" t="inlineStr">
        <is>
          <t>Mensual</t>
        </is>
      </c>
      <c r="E825" t="inlineStr">
        <is>
          <t>Negativo</t>
        </is>
      </c>
      <c r="F825" s="148" t="n">
        <v>46022</v>
      </c>
      <c r="G825" t="n">
        <v>2025</v>
      </c>
      <c r="H825" t="inlineStr">
        <is>
          <t>Diciembre</t>
        </is>
      </c>
      <c r="I825" t="inlineStr">
        <is>
          <t>2025-2</t>
        </is>
      </c>
      <c r="J825" t="n">
        <v>14</v>
      </c>
      <c r="K825" t="n">
        <v>10.14</v>
      </c>
      <c r="L825" s="59">
        <f>IFERROR(IF(OR(J825=0,K825=""),"",IF(E825="Positivo",MIN(MAX(K825/J825,0),1.3),MIN(MAX(J825/K825,0),1.3))),"") </f>
        <v/>
      </c>
      <c r="M825" s="59">
        <f>IFERROR(IF(OR(J825=0,K825=""),"",IF(E825="Positivo",MAX(K825/J825,0),MAX(J825/K825,0))),"") </f>
        <v/>
      </c>
      <c r="N825" t="inlineStr">
        <is>
          <t>Días</t>
        </is>
      </c>
      <c r="O825" t="inlineStr">
        <is>
          <t>Días</t>
        </is>
      </c>
      <c r="P825" t="n">
        <v>0</v>
      </c>
      <c r="Q825" t="n">
        <v>1</v>
      </c>
      <c r="R825" t="inlineStr">
        <is>
          <t>436-2025-12-31</t>
        </is>
      </c>
    </row>
    <row r="826">
      <c r="A826" t="n">
        <v>436</v>
      </c>
      <c r="B826" t="inlineStr">
        <is>
          <t>ANS documentos operativos</t>
        </is>
      </c>
      <c r="C826" t="inlineStr">
        <is>
          <t>Gestión de calidad</t>
        </is>
      </c>
      <c r="D826" t="inlineStr">
        <is>
          <t>Mensual</t>
        </is>
      </c>
      <c r="E826" t="inlineStr">
        <is>
          <t>Negativo</t>
        </is>
      </c>
      <c r="F826" s="148" t="n">
        <v>46081</v>
      </c>
      <c r="G826" t="n">
        <v>2026</v>
      </c>
      <c r="H826" t="inlineStr">
        <is>
          <t>Febrero</t>
        </is>
      </c>
      <c r="I826" t="inlineStr">
        <is>
          <t>2026-1</t>
        </is>
      </c>
      <c r="J826" t="n">
        <v>14</v>
      </c>
      <c r="K826" t="n">
        <v>9.57</v>
      </c>
      <c r="L826" s="59">
        <f>IFERROR(IF(OR(J826=0,K826=""),"",IF(E826="Positivo",MIN(MAX(K826/J826,0),1.3),MIN(MAX(J826/K826,0),1.3))),"") </f>
        <v/>
      </c>
      <c r="M826" s="59">
        <f>IFERROR(IF(OR(J826=0,K826=""),"",IF(E826="Positivo",MAX(K826/J826,0),MAX(J826/K826,0))),"") </f>
        <v/>
      </c>
      <c r="N826" t="inlineStr">
        <is>
          <t>Días</t>
        </is>
      </c>
      <c r="O826" t="inlineStr">
        <is>
          <t>Días</t>
        </is>
      </c>
      <c r="P826" t="n">
        <v>0</v>
      </c>
      <c r="Q826" t="n">
        <v>1</v>
      </c>
      <c r="R826" t="inlineStr">
        <is>
          <t>436-2026-02-28</t>
        </is>
      </c>
      <c r="S826" t="inlineStr"/>
    </row>
    <row r="827">
      <c r="A827" t="n">
        <v>437</v>
      </c>
      <c r="B827" t="inlineStr">
        <is>
          <t>Nivel de Satisfacción Servicios Prestados - Riesgos</t>
        </is>
      </c>
      <c r="C827" t="inlineStr">
        <is>
          <t>GESTIÓN DE RIESGOS</t>
        </is>
      </c>
      <c r="D827" t="inlineStr">
        <is>
          <t>Anual</t>
        </is>
      </c>
      <c r="E827" t="inlineStr">
        <is>
          <t>Positivo</t>
        </is>
      </c>
      <c r="F827" s="148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80</v>
      </c>
      <c r="K827" t="n">
        <v>96</v>
      </c>
      <c r="L827" s="59">
        <f>IFERROR(IF(OR(J827=0,K827=""),"",IF(E827="Positivo",MIN(MAX(K827/J827,0),1.3),MIN(MAX(J827/K827,0),1.3))),"") </f>
        <v/>
      </c>
      <c r="M827" s="59">
        <f>IFERROR(IF(OR(J827=0,K827=""),"",IF(E827="Positivo",MAX(K827/J827,0),MAX(J827/K827,0))),"") </f>
        <v/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437-2023-12-31</t>
        </is>
      </c>
    </row>
    <row r="828">
      <c r="A828" t="n">
        <v>437</v>
      </c>
      <c r="B828" t="inlineStr">
        <is>
          <t>Nivel de Satisfacción Servicios Prestados - Riesgos</t>
        </is>
      </c>
      <c r="C828" t="inlineStr">
        <is>
          <t>GESTIÓN DE RIESGOS</t>
        </is>
      </c>
      <c r="D828" t="inlineStr">
        <is>
          <t>Anual</t>
        </is>
      </c>
      <c r="E828" t="inlineStr">
        <is>
          <t>Positivo</t>
        </is>
      </c>
      <c r="F828" s="148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80</v>
      </c>
      <c r="K828" t="n">
        <v>84</v>
      </c>
      <c r="L828" s="59">
        <f>IFERROR(IF(OR(J828=0,K828=""),"",IF(E828="Positivo",MIN(MAX(K828/J828,0),1.3),MIN(MAX(J828/K828,0),1.3))),"") </f>
        <v/>
      </c>
      <c r="M828" s="59">
        <f>IFERROR(IF(OR(J828=0,K828=""),"",IF(E828="Positivo",MAX(K828/J828,0),MAX(J828/K828,0))),"") </f>
        <v/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437-2024-12-31</t>
        </is>
      </c>
    </row>
    <row r="829">
      <c r="A829" t="n">
        <v>437</v>
      </c>
      <c r="B829" t="inlineStr">
        <is>
          <t>Nivel de Satisfacción Servicios Prestados - Riesgos</t>
        </is>
      </c>
      <c r="C829" t="inlineStr">
        <is>
          <t>GESTIÓN DE RIESGOS</t>
        </is>
      </c>
      <c r="D829" t="inlineStr">
        <is>
          <t>Anual</t>
        </is>
      </c>
      <c r="E829" t="inlineStr">
        <is>
          <t>Positivo</t>
        </is>
      </c>
      <c r="F829" s="148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80</v>
      </c>
      <c r="K829" t="n">
        <v>99</v>
      </c>
      <c r="L829" s="59">
        <f>IFERROR(IF(OR(J829=0,K829=""),"",IF(E829="Positivo",MIN(MAX(K829/J829,0),1.3),MIN(MAX(J829/K829,0),1.3))),"") </f>
        <v/>
      </c>
      <c r="M829" s="59">
        <f>IFERROR(IF(OR(J829=0,K829=""),"",IF(E829="Positivo",MAX(K829/J829,0),MAX(J829/K829,0))),"") </f>
        <v/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437-2025-12-31</t>
        </is>
      </c>
    </row>
    <row r="830">
      <c r="A830" t="n">
        <v>438</v>
      </c>
      <c r="B830" t="inlineStr">
        <is>
          <t>Seguimiento de asignación docente a NRC Pregrado-Posgrado Virtual</t>
        </is>
      </c>
      <c r="C830" t="inlineStr">
        <is>
          <t>Operaciones Académicas</t>
        </is>
      </c>
      <c r="D830" t="inlineStr">
        <is>
          <t>Semestral</t>
        </is>
      </c>
      <c r="E830" t="inlineStr">
        <is>
          <t>Positivo</t>
        </is>
      </c>
      <c r="F830" s="148" t="n">
        <v>45291</v>
      </c>
      <c r="G830" t="n">
        <v>2023</v>
      </c>
      <c r="H830" t="inlineStr">
        <is>
          <t>Diciembre</t>
        </is>
      </c>
      <c r="I830" t="inlineStr">
        <is>
          <t>2023-2</t>
        </is>
      </c>
      <c r="J830" t="n">
        <v>100</v>
      </c>
      <c r="K830" t="n">
        <v>100</v>
      </c>
      <c r="L830" s="59">
        <f>IFERROR(IF(OR(J830=0,K830=""),"",IF(E830="Positivo",MIN(MAX(K830/J830,0),1.3),MIN(MAX(J830/K830,0),1.3))),"") </f>
        <v/>
      </c>
      <c r="M830" s="59">
        <f>IFERROR(IF(OR(J830=0,K830=""),"",IF(E830="Positivo",MAX(K830/J830,0),MAX(J830/K830,0))),"") </f>
        <v/>
      </c>
      <c r="N830" t="inlineStr">
        <is>
          <t>ENT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438-2023-12-31</t>
        </is>
      </c>
    </row>
    <row r="831">
      <c r="A831" t="n">
        <v>439</v>
      </c>
      <c r="B831" t="inlineStr">
        <is>
          <t>Disponibilidad de catálogo de asignaturas pregrado y posgrado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48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100</v>
      </c>
      <c r="K831" t="n">
        <v>100</v>
      </c>
      <c r="L831" s="59">
        <f>IFERROR(IF(OR(J831=0,K831=""),"",IF(E831="Positivo",MIN(MAX(K831/J831,0),1.3),MIN(MAX(J831/K831,0),1.3))),"") </f>
        <v/>
      </c>
      <c r="M831" s="59">
        <f>IFERROR(IF(OR(J831=0,K831=""),"",IF(E831="Positivo",MAX(K831/J831,0),MAX(J831/K831,0))),"") </f>
        <v/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439-2023-12-31</t>
        </is>
      </c>
    </row>
    <row r="832">
      <c r="A832" t="n">
        <v>439</v>
      </c>
      <c r="B832" t="inlineStr">
        <is>
          <t>Disponibilidad de catálogo de asignaturas pregrado y posgrado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48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100</v>
      </c>
      <c r="K832" t="n">
        <v>100</v>
      </c>
      <c r="L832" s="59">
        <f>IFERROR(IF(OR(J832=0,K832=""),"",IF(E832="Positivo",MIN(MAX(K832/J832,0),1.3),MIN(MAX(J832/K832,0),1.3))),"") </f>
        <v/>
      </c>
      <c r="M832" s="59">
        <f>IFERROR(IF(OR(J832=0,K832=""),"",IF(E832="Positivo",MAX(K832/J832,0),MAX(J832/K832,0))),"") </f>
        <v/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439-2024-12-31</t>
        </is>
      </c>
    </row>
    <row r="833">
      <c r="A833" t="n">
        <v>439</v>
      </c>
      <c r="B833" t="inlineStr">
        <is>
          <t>Disponibilidad de catálogo de asignaturas pregrado y posgrado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48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100</v>
      </c>
      <c r="K833" t="n">
        <v>100</v>
      </c>
      <c r="L833" s="59">
        <f>IFERROR(IF(OR(J833=0,K833=""),"",IF(E833="Positivo",MIN(MAX(K833/J833,0),1.3),MIN(MAX(J833/K833,0),1.3))),"") </f>
        <v/>
      </c>
      <c r="M833" s="59">
        <f>IFERROR(IF(OR(J833=0,K833=""),"",IF(E833="Positivo",MAX(K833/J833,0),MAX(J833/K833,0))),"") </f>
        <v/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439-2025-12-31</t>
        </is>
      </c>
    </row>
    <row r="834">
      <c r="A834" t="n">
        <v>440</v>
      </c>
      <c r="B834" t="inlineStr">
        <is>
          <t>Aseguramiento de matricula académica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48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98</v>
      </c>
      <c r="K834" t="n">
        <v>97.746062537527</v>
      </c>
      <c r="L834" s="59">
        <f>IFERROR(IF(OR(J834=0,K834=""),"",IF(E834="Positivo",MIN(MAX(K834/J834,0),1.3),MIN(MAX(J834/K834,0),1.3))),"") </f>
        <v/>
      </c>
      <c r="M834" s="59">
        <f>IFERROR(IF(OR(J834=0,K834=""),"",IF(E834="Positivo",MAX(K834/J834,0),MAX(J834/K834,0))),"") </f>
        <v/>
      </c>
      <c r="N834" t="inlineStr">
        <is>
          <t>%</t>
        </is>
      </c>
      <c r="O834" t="inlineStr">
        <is>
          <t>%</t>
        </is>
      </c>
      <c r="P834" t="n">
        <v>0</v>
      </c>
      <c r="Q834" t="n">
        <v>1</v>
      </c>
      <c r="R834" t="inlineStr">
        <is>
          <t>440-2023-12-31</t>
        </is>
      </c>
    </row>
    <row r="835">
      <c r="A835" t="n">
        <v>440</v>
      </c>
      <c r="B835" t="inlineStr">
        <is>
          <t>Aseguramiento de matricula académica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48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196</v>
      </c>
      <c r="K835" t="n">
        <v>198.97</v>
      </c>
      <c r="L835" s="59">
        <f>IFERROR(IF(OR(J835=0,K835=""),"",IF(E835="Positivo",MIN(MAX(K835/J835,0),1.3),MIN(MAX(J835/K835,0),1.3))),"") </f>
        <v/>
      </c>
      <c r="M835" s="59">
        <f>IFERROR(IF(OR(J835=0,K835=""),"",IF(E835="Positivo",MAX(K835/J835,0),MAX(J835/K835,0))),"") </f>
        <v/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1</v>
      </c>
      <c r="R835" t="inlineStr">
        <is>
          <t>440-2024-12-31</t>
        </is>
      </c>
    </row>
    <row r="836">
      <c r="A836" t="n">
        <v>440</v>
      </c>
      <c r="B836" t="inlineStr">
        <is>
          <t>Aseguramiento de matricula académica virtual</t>
        </is>
      </c>
      <c r="C836" t="inlineStr">
        <is>
          <t>Operaciones Académicas</t>
        </is>
      </c>
      <c r="D836" t="inlineStr">
        <is>
          <t>Trimestral</t>
        </is>
      </c>
      <c r="E836" t="inlineStr">
        <is>
          <t>Positivo</t>
        </is>
      </c>
      <c r="F836" s="148" t="n">
        <v>46022</v>
      </c>
      <c r="G836" t="n">
        <v>2025</v>
      </c>
      <c r="H836" t="inlineStr">
        <is>
          <t>Diciembre</t>
        </is>
      </c>
      <c r="I836" t="inlineStr">
        <is>
          <t>2025-2</t>
        </is>
      </c>
      <c r="J836" t="n">
        <v>196</v>
      </c>
      <c r="K836" t="n">
        <v>199.51</v>
      </c>
      <c r="L836" s="59">
        <f>IFERROR(IF(OR(J836=0,K836=""),"",IF(E836="Positivo",MIN(MAX(K836/J836,0),1.3),MIN(MAX(J836/K836,0),1.3))),"") </f>
        <v/>
      </c>
      <c r="M836" s="59">
        <f>IFERROR(IF(OR(J836=0,K836=""),"",IF(E836="Positivo",MAX(K836/J836,0),MAX(J836/K836,0))),"") </f>
        <v/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1</v>
      </c>
      <c r="R836" t="inlineStr">
        <is>
          <t>440-2025-12-31</t>
        </is>
      </c>
    </row>
    <row r="837">
      <c r="A837" t="n">
        <v>441</v>
      </c>
      <c r="B837" t="inlineStr">
        <is>
          <t>Cumplimiento a cronograma de proyectos 2024</t>
        </is>
      </c>
      <c r="C837" t="inlineStr">
        <is>
          <t>Gestión de Proyectos</t>
        </is>
      </c>
      <c r="D837" t="inlineStr">
        <is>
          <t>Mensual</t>
        </is>
      </c>
      <c r="E837" t="inlineStr">
        <is>
          <t>Positivo</t>
        </is>
      </c>
      <c r="F837" s="148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90</v>
      </c>
      <c r="K837" t="n">
        <v>99.919935948759</v>
      </c>
      <c r="L837" s="59">
        <f>IFERROR(IF(OR(J837=0,K837=""),"",IF(E837="Positivo",MIN(MAX(K837/J837,0),1.3),MIN(MAX(J837/K837,0),1.3))),"") </f>
        <v/>
      </c>
      <c r="M837" s="59">
        <f>IFERROR(IF(OR(J837=0,K837=""),"",IF(E837="Positivo",MAX(K837/J837,0),MAX(J837/K837,0))),"") </f>
        <v/>
      </c>
      <c r="P837" t="n">
        <v>0</v>
      </c>
      <c r="Q837" t="n">
        <v>0</v>
      </c>
      <c r="R837" t="inlineStr">
        <is>
          <t>441-2024-12-31</t>
        </is>
      </c>
    </row>
    <row r="838">
      <c r="A838" t="n">
        <v>442</v>
      </c>
      <c r="B838" t="inlineStr">
        <is>
          <t>Participación de docentes invitados en eventos académicos virtuales en Poli</t>
        </is>
      </c>
      <c r="C838" t="inlineStr">
        <is>
          <t>VISIBILIDAD NACIONAL E INTERNACIONAL</t>
        </is>
      </c>
      <c r="D838" t="inlineStr">
        <is>
          <t>Semestral</t>
        </is>
      </c>
      <c r="E838" t="inlineStr">
        <is>
          <t>Positivo</t>
        </is>
      </c>
      <c r="F838" s="148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100</v>
      </c>
      <c r="K838" t="n">
        <v>145</v>
      </c>
      <c r="L838" s="59">
        <f>IFERROR(IF(OR(J838=0,K838=""),"",IF(E838="Positivo",MIN(MAX(K838/J838,0),1.3),MIN(MAX(J838/K838,0),1.3))),"") </f>
        <v/>
      </c>
      <c r="M838" s="59">
        <f>IFERROR(IF(OR(J838=0,K838=""),"",IF(E838="Positivo",MAX(K838/J838,0),MAX(J838/K838,0))),"") </f>
        <v/>
      </c>
      <c r="P838" t="n">
        <v>0</v>
      </c>
      <c r="Q838" t="n">
        <v>0</v>
      </c>
      <c r="R838" t="inlineStr">
        <is>
          <t>442-2024-12-31</t>
        </is>
      </c>
    </row>
    <row r="839">
      <c r="A839" t="n">
        <v>443</v>
      </c>
      <c r="B839" t="inlineStr">
        <is>
          <t>Participación de estudiantes invitados en eventos académicos virtuales en Poli</t>
        </is>
      </c>
      <c r="C839" t="inlineStr">
        <is>
          <t>VISIBILIDAD NACIONAL E INTERNACIONAL</t>
        </is>
      </c>
      <c r="D839" t="inlineStr">
        <is>
          <t>Semestral</t>
        </is>
      </c>
      <c r="E839" t="inlineStr">
        <is>
          <t>Positivo</t>
        </is>
      </c>
      <c r="F839" s="148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100</v>
      </c>
      <c r="K839" t="n">
        <v>209</v>
      </c>
      <c r="L839" s="59">
        <f>IFERROR(IF(OR(J839=0,K839=""),"",IF(E839="Positivo",MIN(MAX(K839/J839,0),1.3),MIN(MAX(J839/K839,0),1.3))),"") </f>
        <v/>
      </c>
      <c r="M839" s="59">
        <f>IFERROR(IF(OR(J839=0,K839=""),"",IF(E839="Positivo",MAX(K839/J839,0),MAX(J839/K839,0))),"") </f>
        <v/>
      </c>
      <c r="P839" t="n">
        <v>0</v>
      </c>
      <c r="Q839" t="n">
        <v>0</v>
      </c>
      <c r="R839" t="inlineStr">
        <is>
          <t>443-2024-12-31</t>
        </is>
      </c>
    </row>
    <row r="840">
      <c r="A840" t="n">
        <v>444</v>
      </c>
      <c r="B840" t="inlineStr">
        <is>
          <t>CES Proceso de grados</t>
        </is>
      </c>
      <c r="C840" t="inlineStr">
        <is>
          <t>Registro y Control</t>
        </is>
      </c>
      <c r="D840" t="inlineStr">
        <is>
          <t>Semestral</t>
        </is>
      </c>
      <c r="E840" t="inlineStr">
        <is>
          <t>Positivo</t>
        </is>
      </c>
      <c r="F840" s="148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K840" t="n">
        <v>2.1</v>
      </c>
      <c r="L840" s="59" t="n"/>
      <c r="M840" s="59" t="n"/>
      <c r="N840" t="inlineStr">
        <is>
          <t>Linea Base</t>
        </is>
      </c>
      <c r="O840" t="inlineStr">
        <is>
          <t>DEC</t>
        </is>
      </c>
      <c r="P840" t="n">
        <v>0</v>
      </c>
      <c r="Q840" t="n">
        <v>1</v>
      </c>
      <c r="R840" t="inlineStr">
        <is>
          <t>444-2024-12-31</t>
        </is>
      </c>
    </row>
    <row r="841">
      <c r="A841" t="n">
        <v>444</v>
      </c>
      <c r="B841" t="inlineStr">
        <is>
          <t>CES Proceso de grados</t>
        </is>
      </c>
      <c r="C841" t="inlineStr">
        <is>
          <t>Registro y Control</t>
        </is>
      </c>
      <c r="D841" t="inlineStr">
        <is>
          <t>Trimestral</t>
        </is>
      </c>
      <c r="E841" t="inlineStr">
        <is>
          <t>Negativo</t>
        </is>
      </c>
      <c r="F841" s="148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3</v>
      </c>
      <c r="K841" t="n">
        <v>1.65</v>
      </c>
      <c r="L841" s="59">
        <f>IFERROR(IF(OR(J841=0,K841=""),"",IF(E841="Positivo",MIN(MAX(K841/J841,0),1.3),MIN(MAX(J841/K841,0),1.3))),"") </f>
        <v/>
      </c>
      <c r="M841" s="59">
        <f>IFERROR(IF(OR(J841=0,K841=""),"",IF(E841="Positivo",MAX(K841/J841,0),MAX(J841/K841,0))),"") </f>
        <v/>
      </c>
      <c r="N841" t="inlineStr">
        <is>
          <t>ENT</t>
        </is>
      </c>
      <c r="O841" t="inlineStr">
        <is>
          <t>DEC</t>
        </is>
      </c>
      <c r="P841" t="n">
        <v>0</v>
      </c>
      <c r="Q841" t="n">
        <v>1</v>
      </c>
      <c r="R841" t="inlineStr">
        <is>
          <t>444-2025-12-31</t>
        </is>
      </c>
    </row>
    <row r="842">
      <c r="A842" t="n">
        <v>445</v>
      </c>
      <c r="B842" t="inlineStr">
        <is>
          <t>Satisfacción del proceso de grados virtual</t>
        </is>
      </c>
      <c r="C842" t="inlineStr">
        <is>
          <t>Registro y Control</t>
        </is>
      </c>
      <c r="D842" t="inlineStr">
        <is>
          <t>Semestral</t>
        </is>
      </c>
      <c r="E842" t="inlineStr">
        <is>
          <t>Positivo</t>
        </is>
      </c>
      <c r="F842" s="148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67.5</v>
      </c>
      <c r="K842" t="n">
        <v>70.84999999999999</v>
      </c>
      <c r="L842" s="59">
        <f>IFERROR(IF(OR(J842=0,K842=""),"",IF(E842="Positivo",MIN(MAX(K842/J842,0),1.3),MIN(MAX(J842/K842,0),1.3))),"") </f>
        <v/>
      </c>
      <c r="M842" s="59">
        <f>IFERROR(IF(OR(J842=0,K842=""),"",IF(E842="Positivo",MAX(K842/J842,0),MAX(J842/K842,0))),"") </f>
        <v/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445-2024-12-31</t>
        </is>
      </c>
    </row>
    <row r="843">
      <c r="A843" t="n">
        <v>445</v>
      </c>
      <c r="B843" t="inlineStr">
        <is>
          <t>Satisfacción del proceso de grados virtual</t>
        </is>
      </c>
      <c r="C843" t="inlineStr">
        <is>
          <t>Registro y Control</t>
        </is>
      </c>
      <c r="D843" t="inlineStr">
        <is>
          <t>Trimestral</t>
        </is>
      </c>
      <c r="E843" t="inlineStr">
        <is>
          <t>Positivo</t>
        </is>
      </c>
      <c r="F843" s="148" t="n">
        <v>46022</v>
      </c>
      <c r="G843" t="n">
        <v>2025</v>
      </c>
      <c r="H843" t="inlineStr">
        <is>
          <t>Diciembre</t>
        </is>
      </c>
      <c r="I843" t="inlineStr">
        <is>
          <t>2025-2</t>
        </is>
      </c>
      <c r="J843" t="n">
        <v>70</v>
      </c>
      <c r="K843" t="n">
        <v>80.5</v>
      </c>
      <c r="L843" s="59">
        <f>IFERROR(IF(OR(J843=0,K843=""),"",IF(E843="Positivo",MIN(MAX(K843/J843,0),1.3),MIN(MAX(J843/K843,0),1.3))),"") </f>
        <v/>
      </c>
      <c r="M843" s="59">
        <f>IFERROR(IF(OR(J843=0,K843=""),"",IF(E843="Positivo",MAX(K843/J843,0),MAX(J843/K843,0))),"") </f>
        <v/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0</v>
      </c>
      <c r="R843" t="inlineStr">
        <is>
          <t>445-2025-12-31</t>
        </is>
      </c>
    </row>
    <row r="844">
      <c r="A844" t="n">
        <v>447</v>
      </c>
      <c r="B844" t="inlineStr">
        <is>
          <t>Participación en actividades culturales</t>
        </is>
      </c>
      <c r="C844" t="inlineStr">
        <is>
          <t>Biblioteca Institucional</t>
        </is>
      </c>
      <c r="D844" t="inlineStr">
        <is>
          <t>Semestral</t>
        </is>
      </c>
      <c r="E844" t="inlineStr">
        <is>
          <t>Positivo</t>
        </is>
      </c>
      <c r="F844" s="148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n">
        <v>15</v>
      </c>
      <c r="K844" t="n">
        <v>16.16</v>
      </c>
      <c r="L844" s="59">
        <f>IFERROR(IF(OR(J844=0,K844=""),"",IF(E844="Positivo",MIN(MAX(K844/J844,0),1.3),MIN(MAX(J844/K844,0),1.3))),"") </f>
        <v/>
      </c>
      <c r="M844" s="59">
        <f>IFERROR(IF(OR(J844=0,K844=""),"",IF(E844="Positivo",MAX(K844/J844,0),MAX(J844/K844,0))),"") </f>
        <v/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0</v>
      </c>
      <c r="R844" t="inlineStr">
        <is>
          <t>447-2024-12-31</t>
        </is>
      </c>
    </row>
    <row r="845">
      <c r="A845" t="n">
        <v>447</v>
      </c>
      <c r="B845" t="inlineStr">
        <is>
          <t>Participación en actividades culturales</t>
        </is>
      </c>
      <c r="C845" t="inlineStr">
        <is>
          <t>Biblioteca Institucional</t>
        </is>
      </c>
      <c r="D845" t="inlineStr">
        <is>
          <t>Trimestral</t>
        </is>
      </c>
      <c r="E845" t="inlineStr">
        <is>
          <t>Positivo</t>
        </is>
      </c>
      <c r="F845" s="148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15</v>
      </c>
      <c r="K845" t="n">
        <v>15.01</v>
      </c>
      <c r="L845" s="59">
        <f>IFERROR(IF(OR(J845=0,K845=""),"",IF(E845="Positivo",MIN(MAX(K845/J845,0),1.3),MIN(MAX(J845/K845,0),1.3))),"") </f>
        <v/>
      </c>
      <c r="M845" s="59">
        <f>IFERROR(IF(OR(J845=0,K845=""),"",IF(E845="Positivo",MAX(K845/J845,0),MAX(J845/K845,0))),"") </f>
        <v/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447-2025-12-31</t>
        </is>
      </c>
    </row>
    <row r="846">
      <c r="A846" t="n">
        <v>448</v>
      </c>
      <c r="B846" t="inlineStr">
        <is>
          <t>Participación en actividades de formación</t>
        </is>
      </c>
      <c r="C846" t="inlineStr">
        <is>
          <t>Biblioteca Institucional</t>
        </is>
      </c>
      <c r="D846" t="inlineStr">
        <is>
          <t>Semestral</t>
        </is>
      </c>
      <c r="E846" t="inlineStr">
        <is>
          <t>Positivo</t>
        </is>
      </c>
      <c r="F846" s="148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9</v>
      </c>
      <c r="K846" t="n">
        <v>9.32</v>
      </c>
      <c r="L846" s="59">
        <f>IFERROR(IF(OR(J846=0,K846=""),"",IF(E846="Positivo",MIN(MAX(K846/J846,0),1.3),MIN(MAX(J846/K846,0),1.3))),"") </f>
        <v/>
      </c>
      <c r="M846" s="59">
        <f>IFERROR(IF(OR(J846=0,K846=""),"",IF(E846="Positivo",MAX(K846/J846,0),MAX(J846/K846,0))),"") </f>
        <v/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1</v>
      </c>
      <c r="R846" t="inlineStr">
        <is>
          <t>448-2024-12-31</t>
        </is>
      </c>
    </row>
    <row r="847">
      <c r="A847" t="n">
        <v>448</v>
      </c>
      <c r="B847" t="inlineStr">
        <is>
          <t>Participación en actividades de formación</t>
        </is>
      </c>
      <c r="C847" t="inlineStr">
        <is>
          <t>Biblioteca Institucional</t>
        </is>
      </c>
      <c r="D847" t="inlineStr">
        <is>
          <t>Trimestral</t>
        </is>
      </c>
      <c r="E847" t="inlineStr">
        <is>
          <t>Positivo</t>
        </is>
      </c>
      <c r="F847" s="148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17</v>
      </c>
      <c r="K847" t="n">
        <v>59.36</v>
      </c>
      <c r="L847" s="59">
        <f>IFERROR(IF(OR(J847=0,K847=""),"",IF(E847="Positivo",MIN(MAX(K847/J847,0),1.3),MIN(MAX(J847/K847,0),1.3))),"") </f>
        <v/>
      </c>
      <c r="M847" s="59">
        <f>IFERROR(IF(OR(J847=0,K847=""),"",IF(E847="Positivo",MAX(K847/J847,0),MAX(J847/K847,0))),"") </f>
        <v/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1</v>
      </c>
      <c r="R847" t="inlineStr">
        <is>
          <t>448-2025-12-31</t>
        </is>
      </c>
    </row>
    <row r="848">
      <c r="A848" t="n">
        <v>449</v>
      </c>
      <c r="B848" t="inlineStr">
        <is>
          <t>Cumplimiento en la supervisión y monitoreo a los planes de tratamiento de los riesgos institucionales en nivel alto y extremo</t>
        </is>
      </c>
      <c r="C848" t="inlineStr">
        <is>
          <t>GESTIÓN DE RIESGOS</t>
        </is>
      </c>
      <c r="D848" t="inlineStr">
        <is>
          <t>Trimestral</t>
        </is>
      </c>
      <c r="E848" t="inlineStr">
        <is>
          <t>Positivo</t>
        </is>
      </c>
      <c r="F848" s="148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100</v>
      </c>
      <c r="L848" s="59">
        <f>IFERROR(IF(OR(J848=0,K848=""),"",IF(E848="Positivo",MIN(MAX(K848/J848,0),1.3),MIN(MAX(J848/K848,0),1.3))),"") </f>
        <v/>
      </c>
      <c r="M848" s="59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449-2024-12-31</t>
        </is>
      </c>
    </row>
    <row r="849">
      <c r="A849" t="n">
        <v>451</v>
      </c>
      <c r="B849" t="inlineStr">
        <is>
          <t>% Participación de publicaciones positiva</t>
        </is>
      </c>
      <c r="C849" t="inlineStr">
        <is>
          <t>Comunicaciones Externas</t>
        </is>
      </c>
      <c r="D849" t="inlineStr">
        <is>
          <t>Semestral</t>
        </is>
      </c>
      <c r="E849" t="inlineStr">
        <is>
          <t>Positivo</t>
        </is>
      </c>
      <c r="F849" s="148" t="n">
        <v>45657</v>
      </c>
      <c r="G849" t="n">
        <v>2024</v>
      </c>
      <c r="H849" t="inlineStr">
        <is>
          <t>Diciembre</t>
        </is>
      </c>
      <c r="I849" t="inlineStr">
        <is>
          <t>2024-2</t>
        </is>
      </c>
      <c r="K849" t="n">
        <v>38.8</v>
      </c>
      <c r="L849" s="59" t="n"/>
      <c r="M849" s="59" t="n"/>
      <c r="N849" t="inlineStr">
        <is>
          <t>Linea Base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451-2024-12-31</t>
        </is>
      </c>
    </row>
    <row r="850">
      <c r="A850" t="n">
        <v>451</v>
      </c>
      <c r="B850" t="inlineStr">
        <is>
          <t>% de publicaciones con sentimiento positivo</t>
        </is>
      </c>
      <c r="C850" t="inlineStr">
        <is>
          <t>Comunicaciones Externas</t>
        </is>
      </c>
      <c r="D850" t="inlineStr">
        <is>
          <t>Trimestral</t>
        </is>
      </c>
      <c r="E850" t="inlineStr">
        <is>
          <t>Positivo</t>
        </is>
      </c>
      <c r="F850" s="148" t="n">
        <v>46022</v>
      </c>
      <c r="G850" t="n">
        <v>2025</v>
      </c>
      <c r="H850" t="inlineStr">
        <is>
          <t>Diciembre</t>
        </is>
      </c>
      <c r="I850" t="inlineStr">
        <is>
          <t>2025-2</t>
        </is>
      </c>
      <c r="J850" t="n">
        <v>100</v>
      </c>
      <c r="K850" t="n">
        <v>125.15</v>
      </c>
      <c r="L850" s="59">
        <f>IFERROR(IF(OR(J850=0,K850=""),"",IF(E850="Positivo",MIN(MAX(K850/J850,0),1.3),MIN(MAX(J850/K850,0),1.3))),"") </f>
        <v/>
      </c>
      <c r="M850" s="59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451-2025-12-31</t>
        </is>
      </c>
    </row>
    <row r="851">
      <c r="A851" t="n">
        <v>452</v>
      </c>
      <c r="B851" t="inlineStr">
        <is>
          <t>Seguimiento a eventos internos y externos institucionales</t>
        </is>
      </c>
      <c r="C851" t="inlineStr">
        <is>
          <t>Comunicaciones Externas</t>
        </is>
      </c>
      <c r="D851" t="inlineStr">
        <is>
          <t>Semestral</t>
        </is>
      </c>
      <c r="E851" t="inlineStr">
        <is>
          <t>Positivo</t>
        </is>
      </c>
      <c r="F851" s="148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130</v>
      </c>
      <c r="L851" s="59">
        <f>IFERROR(IF(OR(J851=0,K851=""),"",IF(E851="Positivo",MIN(MAX(K851/J851,0),1.3),MIN(MAX(J851/K851,0),1.3))),"") </f>
        <v/>
      </c>
      <c r="M851" s="59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452-2024-12-31</t>
        </is>
      </c>
    </row>
    <row r="852">
      <c r="A852" t="n">
        <v>452</v>
      </c>
      <c r="B852" t="inlineStr">
        <is>
          <t>Seguimiento a eventos internos y externos institucionales</t>
        </is>
      </c>
      <c r="C852" t="inlineStr">
        <is>
          <t>Comunicaciones Externas</t>
        </is>
      </c>
      <c r="D852" t="inlineStr">
        <is>
          <t>Trimestral</t>
        </is>
      </c>
      <c r="E852" t="inlineStr">
        <is>
          <t>Positivo</t>
        </is>
      </c>
      <c r="F852" s="148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151.135</v>
      </c>
      <c r="L852" s="59">
        <f>IFERROR(IF(OR(J852=0,K852=""),"",IF(E852="Positivo",MIN(MAX(K852/J852,0),1.3),MIN(MAX(J852/K852,0),1.3))),"") </f>
        <v/>
      </c>
      <c r="M852" s="59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452-2025-12-31</t>
        </is>
      </c>
    </row>
    <row r="853">
      <c r="A853" t="n">
        <v>453</v>
      </c>
      <c r="B853" t="inlineStr">
        <is>
          <t>Número de cursos diseñados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48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300</v>
      </c>
      <c r="K853" t="n">
        <v>640</v>
      </c>
      <c r="L853" s="59">
        <f>IFERROR(IF(OR(J853=0,K853=""),"",IF(E853="Positivo",MIN(MAX(K853/J853,0),1.3),MIN(MAX(J853/K853,0),1.3))),"") </f>
        <v/>
      </c>
      <c r="M853" s="59">
        <f>IFERROR(IF(OR(J853=0,K853=""),"",IF(E853="Positivo",MAX(K853/J853,0),MAX(J853/K853,0))),"") </f>
        <v/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453-2024-12-31</t>
        </is>
      </c>
    </row>
    <row r="854">
      <c r="A854" t="n">
        <v>453</v>
      </c>
      <c r="B854" t="inlineStr">
        <is>
          <t>Número de cursos diseñados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48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400</v>
      </c>
      <c r="K854" t="n">
        <v>348</v>
      </c>
      <c r="L854" s="59">
        <f>IFERROR(IF(OR(J854=0,K854=""),"",IF(E854="Positivo",MIN(MAX(K854/J854,0),1.3),MIN(MAX(J854/K854,0),1.3))),"") </f>
        <v/>
      </c>
      <c r="M854" s="59">
        <f>IFERROR(IF(OR(J854=0,K854=""),"",IF(E854="Positivo",MAX(K854/J854,0),MAX(J854/K854,0))),"") </f>
        <v/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453-2025-12-31</t>
        </is>
      </c>
    </row>
    <row r="855">
      <c r="A855" t="n">
        <v>454</v>
      </c>
      <c r="B855" t="inlineStr">
        <is>
          <t>Satisfacción de la calidad del contenido</t>
        </is>
      </c>
      <c r="C855" t="inlineStr">
        <is>
          <t>Diseño de Contenido Virtual</t>
        </is>
      </c>
      <c r="D855" t="inlineStr">
        <is>
          <t>Trimestral</t>
        </is>
      </c>
      <c r="E855" t="inlineStr">
        <is>
          <t>Positivo</t>
        </is>
      </c>
      <c r="F855" s="148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0</v>
      </c>
      <c r="K855" t="n">
        <v>88</v>
      </c>
      <c r="L855" s="59">
        <f>IFERROR(IF(OR(J855=0,K855=""),"",IF(E855="Positivo",MIN(MAX(K855/J855,0),1.3),MIN(MAX(J855/K855,0),1.3))),"") </f>
        <v/>
      </c>
      <c r="M855" s="59">
        <f>IFERROR(IF(OR(J855=0,K855=""),"",IF(E855="Positivo",MAX(K855/J855,0),MAX(J855/K855,0))),"") </f>
        <v/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454-2024-12-31</t>
        </is>
      </c>
    </row>
    <row r="856">
      <c r="A856" t="n">
        <v>455</v>
      </c>
      <c r="B856" t="inlineStr">
        <is>
          <t>ANS Diseño de contenidos virtuales</t>
        </is>
      </c>
      <c r="C856" t="inlineStr">
        <is>
          <t>Diseño de Contenido Virtual</t>
        </is>
      </c>
      <c r="D856" t="inlineStr">
        <is>
          <t>Trimestral</t>
        </is>
      </c>
      <c r="E856" t="inlineStr">
        <is>
          <t>Positivo</t>
        </is>
      </c>
      <c r="F856" s="148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100</v>
      </c>
      <c r="L856" s="59">
        <f>IFERROR(IF(OR(J856=0,K856=""),"",IF(E856="Positivo",MIN(MAX(K856/J856,0),1.3),MIN(MAX(J856/K856,0),1.3))),"") </f>
        <v/>
      </c>
      <c r="M856" s="59">
        <f>IFERROR(IF(OR(J856=0,K856=""),"",IF(E856="Positivo",MAX(K856/J856,0),MAX(J856/K856,0))),"") </f>
        <v/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455-2024-12-31</t>
        </is>
      </c>
    </row>
    <row r="857">
      <c r="A857" t="n">
        <v>455</v>
      </c>
      <c r="B857" t="inlineStr">
        <is>
          <t>ANS Diseño de contenidos virtuales</t>
        </is>
      </c>
      <c r="C857" t="inlineStr">
        <is>
          <t>Diseño de Contenido Virtual</t>
        </is>
      </c>
      <c r="D857" t="inlineStr">
        <is>
          <t>Semestral</t>
        </is>
      </c>
      <c r="E857" t="inlineStr">
        <is>
          <t>Positivo</t>
        </is>
      </c>
      <c r="F857" s="148" t="n">
        <v>46022</v>
      </c>
      <c r="G857" t="n">
        <v>2025</v>
      </c>
      <c r="H857" t="inlineStr">
        <is>
          <t>Diciembre</t>
        </is>
      </c>
      <c r="I857" t="inlineStr">
        <is>
          <t>2025-2</t>
        </is>
      </c>
      <c r="J857" t="n">
        <v>100</v>
      </c>
      <c r="K857" t="n">
        <v>100</v>
      </c>
      <c r="L857" s="59">
        <f>IFERROR(IF(OR(J857=0,K857=""),"",IF(E857="Positivo",MIN(MAX(K857/J857,0),1.3),MIN(MAX(J857/K857,0),1.3))),"") </f>
        <v/>
      </c>
      <c r="M857" s="59">
        <f>IFERROR(IF(OR(J857=0,K857=""),"",IF(E857="Positivo",MAX(K857/J857,0),MAX(J857/K857,0))),"") </f>
        <v/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455-2025-12-31</t>
        </is>
      </c>
    </row>
    <row r="858">
      <c r="A858" t="n">
        <v>456</v>
      </c>
      <c r="B858" t="inlineStr">
        <is>
          <t>Impacto de campañas de Mailing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48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97.345</v>
      </c>
      <c r="L858" s="59">
        <f>IFERROR(IF(OR(J858=0,K858=""),"",IF(E858="Positivo",MIN(MAX(K858/J858,0),1.3),MIN(MAX(J858/K858,0),1.3))),"") </f>
        <v/>
      </c>
      <c r="M858" s="59">
        <f>IFERROR(IF(OR(J858=0,K858=""),"",IF(E858="Positivo",MAX(K858/J858,0),MAX(J858/K858,0))),"") </f>
        <v/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456-2024-12-31</t>
        </is>
      </c>
    </row>
    <row r="859">
      <c r="A859" t="n">
        <v>456</v>
      </c>
      <c r="B859" t="inlineStr">
        <is>
          <t>Impacto de campañas de Mailing</t>
        </is>
      </c>
      <c r="C859" t="inlineStr">
        <is>
          <t>Comunicaciones Internas</t>
        </is>
      </c>
      <c r="D859" t="inlineStr">
        <is>
          <t>Semestral</t>
        </is>
      </c>
      <c r="E859" t="inlineStr">
        <is>
          <t>Positivo</t>
        </is>
      </c>
      <c r="F859" s="148" t="n">
        <v>46022</v>
      </c>
      <c r="G859" t="n">
        <v>2025</v>
      </c>
      <c r="H859" t="inlineStr">
        <is>
          <t>Diciembre</t>
        </is>
      </c>
      <c r="I859" t="inlineStr">
        <is>
          <t>2025-2</t>
        </is>
      </c>
      <c r="J859" t="n">
        <v>100</v>
      </c>
      <c r="K859" t="n">
        <v>111.5925</v>
      </c>
      <c r="L859" s="59">
        <f>IFERROR(IF(OR(J859=0,K859=""),"",IF(E859="Positivo",MIN(MAX(K859/J859,0),1.3),MIN(MAX(J859/K859,0),1.3))),"") </f>
        <v/>
      </c>
      <c r="M859" s="59">
        <f>IFERROR(IF(OR(J859=0,K859=""),"",IF(E859="Positivo",MAX(K859/J859,0),MAX(J859/K859,0))),"") </f>
        <v/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456-2025-12-31</t>
        </is>
      </c>
    </row>
    <row r="860">
      <c r="A860" t="n">
        <v>457</v>
      </c>
      <c r="B860" t="inlineStr">
        <is>
          <t>Apertura de enlaces en mensajes de texto</t>
        </is>
      </c>
      <c r="C860" t="inlineStr">
        <is>
          <t>Comunicaciones Internas</t>
        </is>
      </c>
      <c r="D860" t="inlineStr">
        <is>
          <t>Semestral</t>
        </is>
      </c>
      <c r="E860" t="inlineStr">
        <is>
          <t>Positivo</t>
        </is>
      </c>
      <c r="F860" s="148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100</v>
      </c>
      <c r="K860" t="n">
        <v>80</v>
      </c>
      <c r="L860" s="59">
        <f>IFERROR(IF(OR(J860=0,K860=""),"",IF(E860="Positivo",MIN(MAX(K860/J860,0),1.3),MIN(MAX(J860/K860,0),1.3))),"") </f>
        <v/>
      </c>
      <c r="M860" s="59">
        <f>IFERROR(IF(OR(J860=0,K860=""),"",IF(E860="Positivo",MAX(K860/J860,0),MAX(J860/K860,0))),"") </f>
        <v/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457-2024-12-31</t>
        </is>
      </c>
    </row>
    <row r="861">
      <c r="A861" t="n">
        <v>457</v>
      </c>
      <c r="B861" t="inlineStr">
        <is>
          <t>Apertura de enlaces en mensajes de texto</t>
        </is>
      </c>
      <c r="C861" t="inlineStr">
        <is>
          <t>Comunicaciones Internas</t>
        </is>
      </c>
      <c r="D861" t="inlineStr">
        <is>
          <t>Semestral</t>
        </is>
      </c>
      <c r="E861" t="inlineStr">
        <is>
          <t>Positivo</t>
        </is>
      </c>
      <c r="F861" s="148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113.0925</v>
      </c>
      <c r="L861" s="59">
        <f>IFERROR(IF(OR(J861=0,K861=""),"",IF(E861="Positivo",MIN(MAX(K861/J861,0),1.3),MIN(MAX(J861/K861,0),1.3))),"") </f>
        <v/>
      </c>
      <c r="M861" s="59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457-2025-12-31</t>
        </is>
      </c>
    </row>
    <row r="862">
      <c r="A862" t="n">
        <v>459</v>
      </c>
      <c r="B862" t="inlineStr">
        <is>
          <t>Número de publicaciones e historias</t>
        </is>
      </c>
      <c r="C862" t="inlineStr">
        <is>
          <t>Comunicaciones Externas</t>
        </is>
      </c>
      <c r="D862" t="inlineStr">
        <is>
          <t>Trimestral</t>
        </is>
      </c>
      <c r="E862" t="inlineStr">
        <is>
          <t>Positivo</t>
        </is>
      </c>
      <c r="F862" s="148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L862" s="59" t="n"/>
      <c r="M862" s="59" t="n"/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459-2024-12-31</t>
        </is>
      </c>
    </row>
    <row r="863">
      <c r="A863" t="n">
        <v>460</v>
      </c>
      <c r="B863" t="inlineStr">
        <is>
          <t>% de profesores (Contrato Indefinido- Fijo) impactados plan de desarrollo docente</t>
        </is>
      </c>
      <c r="C863" t="inlineStr">
        <is>
          <t>GESTIÓN Y DESARROLLO DEL TALENTO HUMANO</t>
        </is>
      </c>
      <c r="D863" t="inlineStr">
        <is>
          <t>Anual</t>
        </is>
      </c>
      <c r="E863" t="inlineStr">
        <is>
          <t>Positivo</t>
        </is>
      </c>
      <c r="F863" s="148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80</v>
      </c>
      <c r="K863" t="n">
        <v>91.43968871595332</v>
      </c>
      <c r="L863" s="59">
        <f>IFERROR(IF(OR(J863=0,K863=""),"",IF(E863="Positivo",MIN(MAX(K863/J863,0),1.3),MIN(MAX(J863/K863,0),1.3))),"") </f>
        <v/>
      </c>
      <c r="M863" s="59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1</v>
      </c>
      <c r="R863" t="inlineStr">
        <is>
          <t>460-2024-12-31</t>
        </is>
      </c>
    </row>
    <row r="864">
      <c r="A864" t="n">
        <v>460</v>
      </c>
      <c r="B864" t="inlineStr">
        <is>
          <t>% de profesores (Contrato Indefinido- Fijo) impactados plan de desarrollo docente *</t>
        </is>
      </c>
      <c r="C864" t="inlineStr">
        <is>
          <t>GESTIÓN Y DESARROLLO DEL TALENTO HUMANO</t>
        </is>
      </c>
      <c r="D864" t="inlineStr">
        <is>
          <t>Anual</t>
        </is>
      </c>
      <c r="E864" t="inlineStr">
        <is>
          <t>Positivo</t>
        </is>
      </c>
      <c r="F864" s="148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80</v>
      </c>
      <c r="K864" t="n">
        <v>84.18000000000001</v>
      </c>
      <c r="L864" s="59">
        <f>IFERROR(IF(OR(J864=0,K864=""),"",IF(E864="Positivo",MIN(MAX(K864/J864,0),1.3),MIN(MAX(J864/K864,0),1.3))),"") </f>
        <v/>
      </c>
      <c r="M864" s="59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1</v>
      </c>
      <c r="R864" t="inlineStr">
        <is>
          <t>460-2025-12-31</t>
        </is>
      </c>
    </row>
    <row r="865">
      <c r="A865" t="n">
        <v>462</v>
      </c>
      <c r="B865" t="inlineStr">
        <is>
          <t>Nivel Esfuerzo Editorial</t>
        </is>
      </c>
      <c r="C865" t="inlineStr">
        <is>
          <t>Editorial y Publicaciones</t>
        </is>
      </c>
      <c r="D865" t="inlineStr">
        <is>
          <t>Semestral</t>
        </is>
      </c>
      <c r="E865" t="inlineStr">
        <is>
          <t>Positivo</t>
        </is>
      </c>
      <c r="F865" s="148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85</v>
      </c>
      <c r="K865" t="n">
        <v>100</v>
      </c>
      <c r="L865" s="59">
        <f>IFERROR(IF(OR(J865=0,K865=""),"",IF(E865="Positivo",MIN(MAX(K865/J865,0),1.3),MIN(MAX(J865/K865,0),1.3))),"") </f>
        <v/>
      </c>
      <c r="M865" s="59">
        <f>IFERROR(IF(OR(J865=0,K865=""),"",IF(E865="Positivo",MAX(K865/J865,0),MAX(J865/K865,0))),"") </f>
        <v/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462-2024-12-31</t>
        </is>
      </c>
    </row>
    <row r="866">
      <c r="A866" t="n">
        <v>463</v>
      </c>
      <c r="B866" t="inlineStr">
        <is>
          <t>Cumplimiento de las acciones del Plan de mejoramiento GPW</t>
        </is>
      </c>
      <c r="C866" t="inlineStr">
        <is>
          <t>GESTIÓN Y DESARROLLO DEL TALENTO HUMANO</t>
        </is>
      </c>
      <c r="D866" t="inlineStr">
        <is>
          <t>Semestral</t>
        </is>
      </c>
      <c r="E866" t="inlineStr">
        <is>
          <t>Positivo</t>
        </is>
      </c>
      <c r="F866" s="148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K866" t="n">
        <v>100</v>
      </c>
      <c r="L866" s="59">
        <f>IFERROR(IF(OR(J866=0,K866=""),"",IF(E866="Positivo",MIN(MAX(K866/J866,0),1.3),MIN(MAX(J866/K866,0),1.3))),"") </f>
        <v/>
      </c>
      <c r="M866" s="59">
        <f>IFERROR(IF(OR(J866=0,K866=""),"",IF(E866="Positivo",MAX(K866/J866,0),MAX(J866/K866,0))),"") </f>
        <v/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463-2024-12-31</t>
        </is>
      </c>
    </row>
    <row r="867">
      <c r="A867" t="n">
        <v>465</v>
      </c>
      <c r="B867" t="inlineStr">
        <is>
          <t>% de depuración histórico  SNIES</t>
        </is>
      </c>
      <c r="C867" t="inlineStr">
        <is>
          <t>DATOS Y ANALÍTICA</t>
        </is>
      </c>
      <c r="D867" t="inlineStr">
        <is>
          <t>Semestral</t>
        </is>
      </c>
      <c r="E867" t="inlineStr">
        <is>
          <t>Positivo</t>
        </is>
      </c>
      <c r="F867" s="148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56.83</v>
      </c>
      <c r="L867" s="59">
        <f>IFERROR(IF(OR(J867=0,K867=""),"",IF(E867="Positivo",MIN(MAX(K867/J867,0),1.3),MIN(MAX(J867/K867,0),1.3))),"") </f>
        <v/>
      </c>
      <c r="M867" s="59">
        <f>IFERROR(IF(OR(J867=0,K867=""),"",IF(E867="Positivo",MAX(K867/J867,0),MAX(J867/K867,0))),"") </f>
        <v/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465-2024-12-31</t>
        </is>
      </c>
    </row>
    <row r="868">
      <c r="A868" t="n">
        <v>466</v>
      </c>
      <c r="B868" t="inlineStr">
        <is>
          <t>NPS Estudiantes</t>
        </is>
      </c>
      <c r="C868" t="inlineStr">
        <is>
          <t>Servicio</t>
        </is>
      </c>
      <c r="D868" t="inlineStr">
        <is>
          <t>Semestral</t>
        </is>
      </c>
      <c r="E868" t="inlineStr">
        <is>
          <t>Positivo</t>
        </is>
      </c>
      <c r="F868" s="148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J868" t="n">
        <v>100</v>
      </c>
      <c r="K868" t="n">
        <v>113.4</v>
      </c>
      <c r="L868" s="59">
        <f>IFERROR(IF(OR(J868=0,K868=""),"",IF(E868="Positivo",MIN(MAX(K868/J868,0),1.3),MIN(MAX(J868/K868,0),1.3))),"") </f>
        <v/>
      </c>
      <c r="M868" s="59">
        <f>IFERROR(IF(OR(J868=0,K868=""),"",IF(E868="Positivo",MAX(K868/J868,0),MAX(J868/K868,0))),"") </f>
        <v/>
      </c>
      <c r="N868" t="inlineStr">
        <is>
          <t>ENT</t>
        </is>
      </c>
      <c r="O868" t="inlineStr">
        <is>
          <t>DEC</t>
        </is>
      </c>
      <c r="P868" t="n">
        <v>1</v>
      </c>
      <c r="Q868" t="n">
        <v>1</v>
      </c>
      <c r="R868" t="inlineStr">
        <is>
          <t>466-2024-12-31</t>
        </is>
      </c>
    </row>
    <row r="869">
      <c r="A869" t="n">
        <v>466</v>
      </c>
      <c r="B869" t="inlineStr">
        <is>
          <t>NPS Estudiantes</t>
        </is>
      </c>
      <c r="C869" t="inlineStr">
        <is>
          <t>Servicio</t>
        </is>
      </c>
      <c r="D869" t="inlineStr">
        <is>
          <t>Semestral</t>
        </is>
      </c>
      <c r="E869" t="inlineStr">
        <is>
          <t>Positivo</t>
        </is>
      </c>
      <c r="F869" s="148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106.55</v>
      </c>
      <c r="L869" s="59">
        <f>IFERROR(IF(OR(J869=0,K869=""),"",IF(E869="Positivo",MIN(MAX(K869/J869,0),1.3),MIN(MAX(J869/K869,0),1.3))),"") </f>
        <v/>
      </c>
      <c r="M869" s="59">
        <f>IFERROR(IF(OR(J869=0,K869=""),"",IF(E869="Positivo",MAX(K869/J869,0),MAX(J869/K869,0))),"") </f>
        <v/>
      </c>
      <c r="N869" t="inlineStr">
        <is>
          <t>ENT</t>
        </is>
      </c>
      <c r="O869" t="inlineStr">
        <is>
          <t>DEC</t>
        </is>
      </c>
      <c r="P869" t="n">
        <v>1</v>
      </c>
      <c r="Q869" t="n">
        <v>1</v>
      </c>
      <c r="R869" t="inlineStr">
        <is>
          <t>466-2025-12-31</t>
        </is>
      </c>
    </row>
    <row r="870">
      <c r="A870" t="n">
        <v>467</v>
      </c>
      <c r="B870" t="inlineStr">
        <is>
          <t>NPS Graduados</t>
        </is>
      </c>
      <c r="C870" t="inlineStr">
        <is>
          <t>EXPERIENCIA INSTITUCIONAL</t>
        </is>
      </c>
      <c r="D870" t="inlineStr">
        <is>
          <t>Semestral</t>
        </is>
      </c>
      <c r="E870" t="inlineStr">
        <is>
          <t>Positivo</t>
        </is>
      </c>
      <c r="F870" s="148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121.54</v>
      </c>
      <c r="L870" s="59">
        <f>IFERROR(IF(OR(J870=0,K870=""),"",IF(E870="Positivo",MIN(MAX(K870/J870,0),1.3),MIN(MAX(J870/K870,0),1.3))),"") </f>
        <v/>
      </c>
      <c r="M870" s="59">
        <f>IFERROR(IF(OR(J870=0,K870=""),"",IF(E870="Positivo",MAX(K870/J870,0),MAX(J870/K870,0))),"") </f>
        <v/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467-2024-12-31</t>
        </is>
      </c>
    </row>
    <row r="871">
      <c r="A871" t="n">
        <v>467</v>
      </c>
      <c r="B871" t="inlineStr">
        <is>
          <t>NPS Graduados</t>
        </is>
      </c>
      <c r="C871" t="inlineStr">
        <is>
          <t>EXPERIENCIA INSTITUCIONAL</t>
        </is>
      </c>
      <c r="D871" t="inlineStr">
        <is>
          <t>Trimestral</t>
        </is>
      </c>
      <c r="E871" t="inlineStr">
        <is>
          <t>Positivo</t>
        </is>
      </c>
      <c r="F871" s="148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108.75</v>
      </c>
      <c r="L871" s="59">
        <f>IFERROR(IF(OR(J871=0,K871=""),"",IF(E871="Positivo",MIN(MAX(K871/J871,0),1.3),MIN(MAX(J871/K871,0),1.3))),"") </f>
        <v/>
      </c>
      <c r="M871" s="59">
        <f>IFERROR(IF(OR(J871=0,K871=""),"",IF(E871="Positivo",MAX(K871/J871,0),MAX(J871/K871,0))),"") </f>
        <v/>
      </c>
      <c r="N871" t="inlineStr">
        <is>
          <t>ENT</t>
        </is>
      </c>
      <c r="O871" t="inlineStr">
        <is>
          <t>DEC</t>
        </is>
      </c>
      <c r="P871" t="n">
        <v>0</v>
      </c>
      <c r="Q871" t="n">
        <v>1</v>
      </c>
      <c r="R871" t="inlineStr">
        <is>
          <t>467-2025-12-31</t>
        </is>
      </c>
    </row>
    <row r="872">
      <c r="A872" t="n">
        <v>468</v>
      </c>
      <c r="B872" t="inlineStr">
        <is>
          <t>CES General</t>
        </is>
      </c>
      <c r="C872" t="inlineStr">
        <is>
          <t>EXPERIENCIA INSTITUCIONAL</t>
        </is>
      </c>
      <c r="D872" t="inlineStr">
        <is>
          <t>Semestral</t>
        </is>
      </c>
      <c r="E872" t="inlineStr">
        <is>
          <t>Negativo</t>
        </is>
      </c>
      <c r="F872" s="148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</v>
      </c>
      <c r="K872" t="n">
        <v>2.725</v>
      </c>
      <c r="L872" s="59">
        <f>IFERROR(IF(OR(J872=0,K872=""),"",IF(E872="Positivo",MIN(MAX(K872/J872,0),1.3),MIN(MAX(J872/K872,0),1.3))),"") </f>
        <v/>
      </c>
      <c r="M872" s="59">
        <f>IFERROR(IF(OR(J872=0,K872=""),"",IF(E872="Positivo",MAX(K872/J872,0),MAX(J872/K872,0))),"") </f>
        <v/>
      </c>
      <c r="N872" t="inlineStr">
        <is>
          <t>ENT</t>
        </is>
      </c>
      <c r="O872" t="inlineStr">
        <is>
          <t>DEC</t>
        </is>
      </c>
      <c r="P872" t="n">
        <v>0</v>
      </c>
      <c r="Q872" t="n">
        <v>1</v>
      </c>
      <c r="R872" t="inlineStr">
        <is>
          <t>468-2024-12-31</t>
        </is>
      </c>
    </row>
    <row r="873">
      <c r="A873" t="n">
        <v>468</v>
      </c>
      <c r="B873" t="inlineStr">
        <is>
          <t>CES General</t>
        </is>
      </c>
      <c r="C873" t="inlineStr">
        <is>
          <t>EXPERIENCIA INSTITUCIONAL</t>
        </is>
      </c>
      <c r="D873" t="inlineStr">
        <is>
          <t>Trimestral</t>
        </is>
      </c>
      <c r="E873" t="inlineStr">
        <is>
          <t>Negativo</t>
        </is>
      </c>
      <c r="F873" s="148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2.5</v>
      </c>
      <c r="K873" t="n">
        <v>2.25</v>
      </c>
      <c r="L873" s="59">
        <f>IFERROR(IF(OR(J873=0,K873=""),"",IF(E873="Positivo",MIN(MAX(K873/J873,0),1.3),MIN(MAX(J873/K873,0),1.3))),"") </f>
        <v/>
      </c>
      <c r="M873" s="59">
        <f>IFERROR(IF(OR(J873=0,K873=""),"",IF(E873="Positivo",MAX(K873/J873,0),MAX(J873/K873,0))),"") </f>
        <v/>
      </c>
      <c r="N873" t="inlineStr">
        <is>
          <t>DEC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468-2025-12-31</t>
        </is>
      </c>
    </row>
    <row r="874">
      <c r="A874" t="n">
        <v>469</v>
      </c>
      <c r="B874" t="inlineStr">
        <is>
          <t>Cumplimiento Plan Anual Áreas sede Medellín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48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99.7</v>
      </c>
      <c r="L874" s="59">
        <f>IFERROR(IF(OR(J874=0,K874=""),"",IF(E874="Positivo",MIN(MAX(K874/J874,0),1.0),MIN(MAX(J874/K874,0),1.0))),"") </f>
        <v/>
      </c>
      <c r="M874" s="59">
        <f>IFERROR(IF(OR(J874=0,K874=""),"",IF(E874="Positivo",MAX(K874/J874,0),MAX(J874/K874,0))),"") </f>
        <v/>
      </c>
      <c r="N874" t="inlineStr">
        <is>
          <t>%</t>
        </is>
      </c>
      <c r="O874" t="inlineStr">
        <is>
          <t>%</t>
        </is>
      </c>
      <c r="P874" t="n">
        <v>1</v>
      </c>
      <c r="Q874" t="n">
        <v>1</v>
      </c>
      <c r="R874" t="inlineStr">
        <is>
          <t>469-2024-12-31</t>
        </is>
      </c>
    </row>
    <row r="875">
      <c r="A875" t="n">
        <v>469</v>
      </c>
      <c r="B875" t="inlineStr">
        <is>
          <t>Cumplimiento Plan Anual Áreas sede Medellín</t>
        </is>
      </c>
      <c r="C875" t="inlineStr">
        <is>
          <t>Planeación Estratégica</t>
        </is>
      </c>
      <c r="D875" t="inlineStr">
        <is>
          <t>Semestral</t>
        </is>
      </c>
      <c r="E875" t="inlineStr">
        <is>
          <t>Positivo</t>
        </is>
      </c>
      <c r="F875" s="148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99.13</v>
      </c>
      <c r="L875" s="59">
        <f>IFERROR(IF(OR(J875=0,K875=""),"",IF(E875="Positivo",MIN(MAX(K875/J875,0),1.0),MIN(MAX(J875/K875,0),1.0))),"") </f>
        <v/>
      </c>
      <c r="M875" s="59">
        <f>IFERROR(IF(OR(J875=0,K875=""),"",IF(E875="Positivo",MAX(K875/J875,0),MAX(J875/K875,0))),"") </f>
        <v/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469-2025-12-31</t>
        </is>
      </c>
    </row>
    <row r="876">
      <c r="A876" t="n">
        <v>470</v>
      </c>
      <c r="B876" t="inlineStr">
        <is>
          <t>Cumplimiento plan anual Secretaria académica y de extensión</t>
        </is>
      </c>
      <c r="C876" t="inlineStr">
        <is>
          <t>Planeación Estratégica</t>
        </is>
      </c>
      <c r="D876" t="inlineStr">
        <is>
          <t>Trimestral</t>
        </is>
      </c>
      <c r="E876" t="inlineStr">
        <is>
          <t>Positivo</t>
        </is>
      </c>
      <c r="F876" s="148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100</v>
      </c>
      <c r="K876" t="n">
        <v>100</v>
      </c>
      <c r="L876" s="59">
        <f>IFERROR(IF(OR(J876=0,K876=""),"",IF(E876="Positivo",MIN(MAX(K876/J876,0),1.0),MIN(MAX(J876/K876,0),1.0))),"") </f>
        <v/>
      </c>
      <c r="M876" s="59">
        <f>IFERROR(IF(OR(J876=0,K876=""),"",IF(E876="Positivo",MAX(K876/J876,0),MAX(J876/K876,0))),"") </f>
        <v/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470-2024-12-31</t>
        </is>
      </c>
    </row>
    <row r="877">
      <c r="A877" t="n">
        <v>470</v>
      </c>
      <c r="B877" t="inlineStr">
        <is>
          <t>Cumplimiento plan anual Secretaria académica y de extensión</t>
        </is>
      </c>
      <c r="C877" t="inlineStr">
        <is>
          <t>Planeación Estratégica</t>
        </is>
      </c>
      <c r="D877" t="inlineStr">
        <is>
          <t>Semestral</t>
        </is>
      </c>
      <c r="E877" t="inlineStr">
        <is>
          <t>Positivo</t>
        </is>
      </c>
      <c r="F877" s="148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100</v>
      </c>
      <c r="K877" t="n">
        <v>100</v>
      </c>
      <c r="L877" s="59">
        <f>IFERROR(IF(OR(J877=0,K877=""),"",IF(E877="Positivo",MIN(MAX(K877/J877,0),1.0),MIN(MAX(J877/K877,0),1.0))),"") </f>
        <v/>
      </c>
      <c r="M877" s="59">
        <f>IFERROR(IF(OR(J877=0,K877=""),"",IF(E877="Positivo",MAX(K877/J877,0),MAX(J877/K877,0))),"") </f>
        <v/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470-2025-12-31</t>
        </is>
      </c>
    </row>
    <row r="878">
      <c r="A878" t="n">
        <v>471</v>
      </c>
      <c r="B878" t="inlineStr">
        <is>
          <t>Cumplimiento plan anual Gerencia de Talento Humano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48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</v>
      </c>
      <c r="L878" s="59">
        <f>IFERROR(IF(OR(J878=0,K878=""),"",IF(E878="Positivo",MIN(MAX(K878/J878,0),1.0),MIN(MAX(J878/K878,0),1.0))),"") </f>
        <v/>
      </c>
      <c r="M878" s="59">
        <f>IFERROR(IF(OR(J878=0,K878=""),"",IF(E878="Positivo",MAX(K878/J878,0),MAX(J878/K878,0))),"") </f>
        <v/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471-2024-12-31</t>
        </is>
      </c>
    </row>
    <row r="879">
      <c r="A879" t="n">
        <v>471</v>
      </c>
      <c r="B879" t="inlineStr">
        <is>
          <t>Cumplimiento plan anual Gerencia de Talento Humano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48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99.86</v>
      </c>
      <c r="L879" s="59">
        <f>IFERROR(IF(OR(J879=0,K879=""),"",IF(E879="Positivo",MIN(MAX(K879/J879,0),1.0),MIN(MAX(J879/K879,0),1.0))),"") </f>
        <v/>
      </c>
      <c r="M879" s="59">
        <f>IFERROR(IF(OR(J879=0,K879=""),"",IF(E879="Positivo",MAX(K879/J879,0),MAX(J879/K879,0))),"") </f>
        <v/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471-2025-12-31</t>
        </is>
      </c>
    </row>
    <row r="880">
      <c r="A880" t="n">
        <v>472</v>
      </c>
      <c r="B880" t="inlineStr">
        <is>
          <t>Cobertura de Recolección de Variables ADA (Arquitectura de datos para la analitica)</t>
        </is>
      </c>
      <c r="C880" t="inlineStr">
        <is>
          <t>DATOS Y ANALÍTICA</t>
        </is>
      </c>
      <c r="D880" t="inlineStr">
        <is>
          <t>Semestral</t>
        </is>
      </c>
      <c r="E880" t="inlineStr">
        <is>
          <t>Positivo</t>
        </is>
      </c>
      <c r="F880" s="148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59">
        <f>IFERROR(IF(OR(J880=0,K880=""),"",IF(E880="Positivo",MIN(MAX(K880/J880,0),1.3),MIN(MAX(J880/K880,0),1.3))),"") </f>
        <v/>
      </c>
      <c r="M880" s="59">
        <f>IFERROR(IF(OR(J880=0,K880=""),"",IF(E880="Positivo",MAX(K880/J880,0),MAX(J880/K880,0))),"") </f>
        <v/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472-2024-12-31</t>
        </is>
      </c>
    </row>
    <row r="881">
      <c r="A881" t="n">
        <v>473</v>
      </c>
      <c r="B881" t="inlineStr">
        <is>
          <t>Programas con planes de estudios definidos</t>
        </is>
      </c>
      <c r="C881" t="inlineStr">
        <is>
          <t>Gestión, Evaluación e Innovación Curricular</t>
        </is>
      </c>
      <c r="D881" t="inlineStr">
        <is>
          <t>Semestral</t>
        </is>
      </c>
      <c r="E881" t="inlineStr">
        <is>
          <t>Positivo</t>
        </is>
      </c>
      <c r="F881" s="148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K881" t="n">
        <v>100</v>
      </c>
      <c r="L881" s="59">
        <f>IFERROR(IF(OR(J881=0,K881=""),"",IF(E881="Positivo",MIN(MAX(K881/J881,0),1.3),MIN(MAX(J881/K881,0),1.3))),"") </f>
        <v/>
      </c>
      <c r="M881" s="59">
        <f>IFERROR(IF(OR(J881=0,K881=""),"",IF(E881="Positivo",MAX(K881/J881,0),MAX(J881/K881,0))),"") </f>
        <v/>
      </c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473-2024-12-31</t>
        </is>
      </c>
    </row>
    <row r="882">
      <c r="A882" t="n">
        <v>473</v>
      </c>
      <c r="B882" t="inlineStr">
        <is>
          <t>Programas con planes de estudios definidos</t>
        </is>
      </c>
      <c r="C882" t="inlineStr">
        <is>
          <t>Gestión, Evaluación e Innovación Curricular</t>
        </is>
      </c>
      <c r="D882" t="inlineStr">
        <is>
          <t>Semestral</t>
        </is>
      </c>
      <c r="E882" t="inlineStr">
        <is>
          <t>Positivo</t>
        </is>
      </c>
      <c r="F882" s="148" t="n">
        <v>45838</v>
      </c>
      <c r="G882" t="n">
        <v>2025</v>
      </c>
      <c r="H882" t="inlineStr">
        <is>
          <t>Junio</t>
        </is>
      </c>
      <c r="I882" t="inlineStr">
        <is>
          <t>2025-1</t>
        </is>
      </c>
      <c r="J882" t="n">
        <v>100</v>
      </c>
      <c r="K882" t="n">
        <v>100</v>
      </c>
      <c r="L882" s="59">
        <f>IFERROR(IF(OR(J882=0,K882=""),"",IF(E882="Positivo",MIN(MAX(K882/J882,0),1.3),MIN(MAX(J882/K882,0),1.3))),"") </f>
        <v/>
      </c>
      <c r="M882" s="59">
        <f>IFERROR(IF(OR(J882=0,K882=""),"",IF(E882="Positivo",MAX(K882/J882,0),MAX(J882/K882,0))),"") </f>
        <v/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473-2025-06-30</t>
        </is>
      </c>
    </row>
    <row r="883">
      <c r="A883" t="n">
        <v>474</v>
      </c>
      <c r="B883" t="inlineStr">
        <is>
          <t>Programas con planes de estudios definidos por escuela (Nuevos Programas)</t>
        </is>
      </c>
      <c r="C883" t="inlineStr">
        <is>
          <t>Gestión de Unidades Académicas</t>
        </is>
      </c>
      <c r="D883" t="inlineStr">
        <is>
          <t>Semestral</t>
        </is>
      </c>
      <c r="E883" t="inlineStr">
        <is>
          <t>Positivo</t>
        </is>
      </c>
      <c r="F883" s="148" t="n">
        <v>45657</v>
      </c>
      <c r="G883" t="n">
        <v>2024</v>
      </c>
      <c r="H883" t="inlineStr">
        <is>
          <t>Diciembre</t>
        </is>
      </c>
      <c r="I883" t="inlineStr">
        <is>
          <t>2024-2</t>
        </is>
      </c>
      <c r="J883" t="n">
        <v>100</v>
      </c>
      <c r="K883" t="n">
        <v>100</v>
      </c>
      <c r="L883" s="59">
        <f>IFERROR(IF(OR(J883=0,K883=""),"",IF(E883="Positivo",MIN(MAX(K883/J883,0),1.3),MIN(MAX(J883/K883,0),1.3))),"") </f>
        <v/>
      </c>
      <c r="M883" s="59">
        <f>IFERROR(IF(OR(J883=0,K883=""),"",IF(E883="Positivo",MAX(K883/J883,0),MAX(J883/K883,0))),"") </f>
        <v/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474-2024-12-31</t>
        </is>
      </c>
    </row>
    <row r="884">
      <c r="A884" t="n">
        <v>474</v>
      </c>
      <c r="B884" t="inlineStr">
        <is>
          <t>Programas con planes de estudios definidos por escuela (Nuevos Programas)</t>
        </is>
      </c>
      <c r="C884" t="inlineStr">
        <is>
          <t>Gestión de Unidades Académicas</t>
        </is>
      </c>
      <c r="D884" t="inlineStr">
        <is>
          <t>Trimestral</t>
        </is>
      </c>
      <c r="E884" t="inlineStr">
        <is>
          <t>Positivo</t>
        </is>
      </c>
      <c r="F884" s="148" t="n">
        <v>46022</v>
      </c>
      <c r="G884" t="n">
        <v>2025</v>
      </c>
      <c r="H884" t="inlineStr">
        <is>
          <t>Diciembre</t>
        </is>
      </c>
      <c r="I884" t="inlineStr">
        <is>
          <t>2025-2</t>
        </is>
      </c>
      <c r="K884" t="n">
        <v>0</v>
      </c>
      <c r="L884" s="59" t="n"/>
      <c r="M884" s="59" t="n"/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474-2025-12-31</t>
        </is>
      </c>
    </row>
    <row r="885">
      <c r="A885" t="n">
        <v>475</v>
      </c>
      <c r="B885" t="inlineStr">
        <is>
          <t>Número de renovaciones de registro calificado radicadas al MEN</t>
        </is>
      </c>
      <c r="C885" t="inlineStr">
        <is>
          <t>Creación, modificación y cierre de programas académicos</t>
        </is>
      </c>
      <c r="D885" t="inlineStr">
        <is>
          <t>Semestral</t>
        </is>
      </c>
      <c r="E885" t="inlineStr">
        <is>
          <t>Positivo</t>
        </is>
      </c>
      <c r="F885" s="148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200</v>
      </c>
      <c r="K885" t="n">
        <v>140</v>
      </c>
      <c r="L885" s="59">
        <f>IFERROR(IF(OR(J885=0,K885=""),"",IF(E885="Positivo",MIN(MAX(K885/J885,0),1.3),MIN(MAX(J885/K885,0),1.3))),"") </f>
        <v/>
      </c>
      <c r="M885" s="59">
        <f>IFERROR(IF(OR(J885=0,K885=""),"",IF(E885="Positivo",MAX(K885/J885,0),MAX(J885/K885,0))),"") </f>
        <v/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475-2024-12-31</t>
        </is>
      </c>
    </row>
    <row r="886">
      <c r="A886" t="n">
        <v>475</v>
      </c>
      <c r="B886" t="inlineStr">
        <is>
          <t>Número de renovaciones de registro calificado radicadas al MEN</t>
        </is>
      </c>
      <c r="C886" t="inlineStr">
        <is>
          <t>Creación, modificación y cierre de programas académicos</t>
        </is>
      </c>
      <c r="D886" t="inlineStr">
        <is>
          <t>Trimestral</t>
        </is>
      </c>
      <c r="E886" t="inlineStr">
        <is>
          <t>Positivo</t>
        </is>
      </c>
      <c r="F886" s="148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200</v>
      </c>
      <c r="K886" t="n">
        <v>100</v>
      </c>
      <c r="L886" s="59">
        <f>IFERROR(IF(OR(J886=0,K886=""),"",IF(E886="Positivo",MIN(MAX(K886/J886,0),1.3),MIN(MAX(J886/K886,0),1.3))),"") </f>
        <v/>
      </c>
      <c r="M886" s="59">
        <f>IFERROR(IF(OR(J886=0,K886=""),"",IF(E886="Positivo",MAX(K886/J886,0),MAX(J886/K886,0))),"") </f>
        <v/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475-2025-12-31</t>
        </is>
      </c>
    </row>
    <row r="887">
      <c r="A887" t="n">
        <v>476</v>
      </c>
      <c r="B887" t="inlineStr">
        <is>
          <t>Programas con resultados de aprendizaje definidos</t>
        </is>
      </c>
      <c r="C887" t="inlineStr">
        <is>
          <t>Gestión, Evaluación e Innovación Curricular</t>
        </is>
      </c>
      <c r="D887" t="inlineStr">
        <is>
          <t>Semestral</t>
        </is>
      </c>
      <c r="E887" t="inlineStr">
        <is>
          <t>Positivo</t>
        </is>
      </c>
      <c r="F887" s="148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59">
        <f>IFERROR(IF(OR(J887=0,K887=""),"",IF(E887="Positivo",MIN(MAX(K887/J887,0),1.3),MIN(MAX(J887/K887,0),1.3))),"") </f>
        <v/>
      </c>
      <c r="M887" s="59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476-2024-12-31</t>
        </is>
      </c>
    </row>
    <row r="888">
      <c r="A888" t="n">
        <v>476</v>
      </c>
      <c r="B888" t="inlineStr">
        <is>
          <t>Programas con resultados de aprendizaje definidos</t>
        </is>
      </c>
      <c r="C888" t="inlineStr">
        <is>
          <t>Gestión, Evaluación e Innovación Curricular</t>
        </is>
      </c>
      <c r="D888" t="inlineStr">
        <is>
          <t>Semestral</t>
        </is>
      </c>
      <c r="E888" t="inlineStr">
        <is>
          <t>Positivo</t>
        </is>
      </c>
      <c r="F888" s="148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100</v>
      </c>
      <c r="L888" s="59">
        <f>IFERROR(IF(OR(J888=0,K888=""),"",IF(E888="Positivo",MIN(MAX(K888/J888,0),1.3),MIN(MAX(J888/K888,0),1.3))),"") </f>
        <v/>
      </c>
      <c r="M888" s="59">
        <f>IFERROR(IF(OR(J888=0,K888=""),"",IF(E888="Positivo",MAX(K888/J888,0),MAX(J888/K888,0))),"") </f>
        <v/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476-2025-12-31</t>
        </is>
      </c>
    </row>
    <row r="889">
      <c r="A889" t="n">
        <v>477</v>
      </c>
      <c r="B889" t="inlineStr">
        <is>
          <t>Programas con planes de estudios definidos por escuela (Programas Renovación, modificación y acreditación)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48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59">
        <f>IFERROR(IF(OR(J889=0,K889=""),"",IF(E889="Positivo",MIN(MAX(K889/J889,0),1.3),MIN(MAX(J889/K889,0),1.3))),"") </f>
        <v/>
      </c>
      <c r="M889" s="59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477-2024-12-31</t>
        </is>
      </c>
    </row>
    <row r="890">
      <c r="A890" t="n">
        <v>478</v>
      </c>
      <c r="B890" t="inlineStr">
        <is>
          <t>Programas con planes de estudios definidos por escuela (Mantenimiento de programas)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48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100</v>
      </c>
      <c r="L890" s="59">
        <f>IFERROR(IF(OR(J890=0,K890=""),"",IF(E890="Positivo",MIN(MAX(K890/J890,0),1.3),MIN(MAX(J890/K890,0),1.3))),"") </f>
        <v/>
      </c>
      <c r="M890" s="59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478-2024-12-31</t>
        </is>
      </c>
    </row>
    <row r="891">
      <c r="A891" t="n">
        <v>478</v>
      </c>
      <c r="B891" t="inlineStr">
        <is>
          <t>Programas con planes de estudios definidos por escuela (Mantenimiento de programas)</t>
        </is>
      </c>
      <c r="C891" t="inlineStr">
        <is>
          <t>Gestión de Unidades Académicas</t>
        </is>
      </c>
      <c r="D891" t="inlineStr">
        <is>
          <t>Trimestral</t>
        </is>
      </c>
      <c r="E891" t="inlineStr">
        <is>
          <t>Positivo</t>
        </is>
      </c>
      <c r="F891" s="148" t="n">
        <v>46022</v>
      </c>
      <c r="G891" t="n">
        <v>2025</v>
      </c>
      <c r="H891" t="inlineStr">
        <is>
          <t>Diciembre</t>
        </is>
      </c>
      <c r="I891" t="inlineStr">
        <is>
          <t>2025-2</t>
        </is>
      </c>
      <c r="K891" t="n">
        <v>0</v>
      </c>
      <c r="L891" s="59" t="n"/>
      <c r="M891" s="59" t="n"/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478-2025-12-31</t>
        </is>
      </c>
    </row>
    <row r="892">
      <c r="A892" t="n">
        <v>479</v>
      </c>
      <c r="B892" t="inlineStr">
        <is>
          <t>Programas con resultados de aprendizaje definidos por escuela (Nuevos Programas)</t>
        </is>
      </c>
      <c r="C892" t="inlineStr">
        <is>
          <t>Gestión de Unidades Académicas</t>
        </is>
      </c>
      <c r="D892" t="inlineStr">
        <is>
          <t>Semestral</t>
        </is>
      </c>
      <c r="E892" t="inlineStr">
        <is>
          <t>Positivo</t>
        </is>
      </c>
      <c r="F892" s="148" t="n">
        <v>45657</v>
      </c>
      <c r="G892" t="n">
        <v>2024</v>
      </c>
      <c r="H892" t="inlineStr">
        <is>
          <t>Diciembre</t>
        </is>
      </c>
      <c r="I892" t="inlineStr">
        <is>
          <t>2024-2</t>
        </is>
      </c>
      <c r="J892" t="n">
        <v>200</v>
      </c>
      <c r="K892" t="n">
        <v>200</v>
      </c>
      <c r="L892" s="59">
        <f>IFERROR(IF(OR(J892=0,K892=""),"",IF(E892="Positivo",MIN(MAX(K892/J892,0),1.3),MIN(MAX(J892/K892,0),1.3))),"") </f>
        <v/>
      </c>
      <c r="M892" s="59">
        <f>IFERROR(IF(OR(J892=0,K892=""),"",IF(E892="Positivo",MAX(K892/J892,0),MAX(J892/K892,0))),"") </f>
        <v/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479-2024-12-31</t>
        </is>
      </c>
    </row>
    <row r="893">
      <c r="A893" t="n">
        <v>480</v>
      </c>
      <c r="B893" t="inlineStr">
        <is>
          <t>Programas con resultados de aprendizaje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48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59">
        <f>IFERROR(IF(OR(J893=0,K893=""),"",IF(E893="Positivo",MIN(MAX(K893/J893,0),1.3),MIN(MAX(J893/K893,0),1.3))),"") </f>
        <v/>
      </c>
      <c r="M893" s="59">
        <f>IFERROR(IF(OR(J893=0,K893=""),"",IF(E893="Positivo",MAX(K893/J893,0),MAX(J893/K893,0))),"") </f>
        <v/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480-2024-12-31</t>
        </is>
      </c>
    </row>
    <row r="894">
      <c r="A894" t="n">
        <v>481</v>
      </c>
      <c r="B894" t="inlineStr">
        <is>
          <t>Solicitudes de documentación completadas</t>
        </is>
      </c>
      <c r="C894" t="inlineStr">
        <is>
          <t>Gestión, Evaluación e Innovación Curricular</t>
        </is>
      </c>
      <c r="D894" t="inlineStr">
        <is>
          <t>Semestral</t>
        </is>
      </c>
      <c r="E894" t="inlineStr">
        <is>
          <t>Positivo</t>
        </is>
      </c>
      <c r="F894" s="148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100</v>
      </c>
      <c r="K894" t="n">
        <v>100</v>
      </c>
      <c r="L894" s="59">
        <f>IFERROR(IF(OR(J894=0,K894=""),"",IF(E894="Positivo",MIN(MAX(K894/J894,0),1.3),MIN(MAX(J894/K894,0),1.3))),"") </f>
        <v/>
      </c>
      <c r="M894" s="59">
        <f>IFERROR(IF(OR(J894=0,K894=""),"",IF(E894="Positivo",MAX(K894/J894,0),MAX(J894/K894,0))),"") </f>
        <v/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481-2024-12-31</t>
        </is>
      </c>
    </row>
    <row r="895">
      <c r="A895" t="n">
        <v>481</v>
      </c>
      <c r="B895" t="inlineStr">
        <is>
          <t>Solicitudes de documentación completadas</t>
        </is>
      </c>
      <c r="C895" t="inlineStr">
        <is>
          <t>Gestión, Evaluación e Innovación Curricular</t>
        </is>
      </c>
      <c r="D895" t="inlineStr">
        <is>
          <t>Trimestral</t>
        </is>
      </c>
      <c r="E895" t="inlineStr">
        <is>
          <t>Positivo</t>
        </is>
      </c>
      <c r="F895" s="148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100</v>
      </c>
      <c r="K895" t="n">
        <v>100</v>
      </c>
      <c r="L895" s="59">
        <f>IFERROR(IF(OR(J895=0,K895=""),"",IF(E895="Positivo",MIN(MAX(K895/J895,0),1.3),MIN(MAX(J895/K895,0),1.3))),"") </f>
        <v/>
      </c>
      <c r="M895" s="59">
        <f>IFERROR(IF(OR(J895=0,K895=""),"",IF(E895="Positivo",MAX(K895/J895,0),MAX(J895/K895,0))),"") </f>
        <v/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481-2025-12-31</t>
        </is>
      </c>
    </row>
    <row r="896">
      <c r="A896" t="n">
        <v>483</v>
      </c>
      <c r="B896" t="inlineStr">
        <is>
          <t>Tasa de incremento en la resolución de solicitudes de la vicerrectoría de crecimiento</t>
        </is>
      </c>
      <c r="C896" t="inlineStr">
        <is>
          <t>Gestión de campañas integradas de marketing</t>
        </is>
      </c>
      <c r="D896" t="inlineStr">
        <is>
          <t>Anual</t>
        </is>
      </c>
      <c r="E896" t="inlineStr">
        <is>
          <t>Positivo</t>
        </is>
      </c>
      <c r="F896" s="148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10</v>
      </c>
      <c r="K896" t="n">
        <v>91.65000000000001</v>
      </c>
      <c r="L896" s="59">
        <f>IFERROR(IF(OR(J896=0,K896=""),"",IF(E896="Positivo",MIN(MAX(K896/J896,0),1.3),MIN(MAX(J896/K896,0),1.3))),"") </f>
        <v/>
      </c>
      <c r="M896" s="59">
        <f>IFERROR(IF(OR(J896=0,K896=""),"",IF(E896="Positivo",MAX(K896/J896,0),MAX(J896/K896,0))),"") </f>
        <v/>
      </c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483-2024-12-31</t>
        </is>
      </c>
    </row>
    <row r="897">
      <c r="A897" t="n">
        <v>484</v>
      </c>
      <c r="B897" t="inlineStr">
        <is>
          <t>Cumplimiento del Programa de la Cultura del Autocuidado</t>
        </is>
      </c>
      <c r="C897" t="inlineStr">
        <is>
          <t>GESTIÓN DE SEGURIDAD Y SALUD EN EL TRABAJO</t>
        </is>
      </c>
      <c r="D897" t="inlineStr">
        <is>
          <t>Trimestral</t>
        </is>
      </c>
      <c r="E897" t="inlineStr">
        <is>
          <t>Positivo</t>
        </is>
      </c>
      <c r="F897" s="148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90</v>
      </c>
      <c r="K897" t="n">
        <v>100</v>
      </c>
      <c r="L897" s="59">
        <f>IFERROR(IF(OR(J897=0,K897=""),"",IF(E897="Positivo",MIN(MAX(K897/J897,0),1.3),MIN(MAX(J897/K897,0),1.3))),"") </f>
        <v/>
      </c>
      <c r="M897" s="59">
        <f>IFERROR(IF(OR(J897=0,K897=""),"",IF(E897="Positivo",MAX(K897/J897,0),MAX(J897/K897,0))),"") </f>
        <v/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484-2024-12-31</t>
        </is>
      </c>
    </row>
    <row r="898">
      <c r="A898" t="n">
        <v>484</v>
      </c>
      <c r="B898" t="inlineStr">
        <is>
          <t>Cumplimiento del Programa de la Cultura del Autocuidado</t>
        </is>
      </c>
      <c r="C898" t="inlineStr">
        <is>
          <t>GESTIÓN DE SEGURIDAD Y SALUD EN EL TRABAJO</t>
        </is>
      </c>
      <c r="D898" t="inlineStr">
        <is>
          <t>Semestral</t>
        </is>
      </c>
      <c r="E898" t="inlineStr">
        <is>
          <t>Positivo</t>
        </is>
      </c>
      <c r="F898" s="148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90</v>
      </c>
      <c r="K898" t="n">
        <v>100</v>
      </c>
      <c r="L898" s="59">
        <f>IFERROR(IF(OR(J898=0,K898=""),"",IF(E898="Positivo",MIN(MAX(K898/J898,0),1.3),MIN(MAX(J898/K898,0),1.3))),"") </f>
        <v/>
      </c>
      <c r="M898" s="59">
        <f>IFERROR(IF(OR(J898=0,K898=""),"",IF(E898="Positivo",MAX(K898/J898,0),MAX(J898/K898,0))),"") </f>
        <v/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484-2025-12-31</t>
        </is>
      </c>
    </row>
    <row r="899">
      <c r="A899" t="n">
        <v>485</v>
      </c>
      <c r="B899" t="inlineStr">
        <is>
          <t>Oportunidad en el cierre de acciones</t>
        </is>
      </c>
      <c r="C899" t="inlineStr">
        <is>
          <t>Gestión de calidad</t>
        </is>
      </c>
      <c r="D899" t="inlineStr">
        <is>
          <t>Mensual</t>
        </is>
      </c>
      <c r="E899" t="inlineStr">
        <is>
          <t>Positivo</t>
        </is>
      </c>
      <c r="F899" s="148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80</v>
      </c>
      <c r="K899" t="n">
        <v>91.66666666666666</v>
      </c>
      <c r="L899" s="59">
        <f>IFERROR(IF(OR(J899=0,K899=""),"",IF(E899="Positivo",MIN(MAX(K899/J899,0),1.3),MIN(MAX(J899/K899,0),1.3))),"") </f>
        <v/>
      </c>
      <c r="M899" s="59">
        <f>IFERROR(IF(OR(J899=0,K899=""),"",IF(E899="Positivo",MAX(K899/J899,0),MAX(J899/K899,0))),"") </f>
        <v/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485-2024-12-31</t>
        </is>
      </c>
    </row>
    <row r="900">
      <c r="A900" t="n">
        <v>485</v>
      </c>
      <c r="B900" t="inlineStr">
        <is>
          <t>Oportunidad en el cierre de acciones</t>
        </is>
      </c>
      <c r="C900" t="inlineStr">
        <is>
          <t>Gestión de calidad</t>
        </is>
      </c>
      <c r="D900" t="inlineStr">
        <is>
          <t>Mensual</t>
        </is>
      </c>
      <c r="E900" t="inlineStr">
        <is>
          <t>Positivo</t>
        </is>
      </c>
      <c r="F900" s="148" t="n">
        <v>46022</v>
      </c>
      <c r="G900" t="n">
        <v>2025</v>
      </c>
      <c r="H900" t="inlineStr">
        <is>
          <t>Diciembre</t>
        </is>
      </c>
      <c r="I900" t="inlineStr">
        <is>
          <t>2025-2</t>
        </is>
      </c>
      <c r="J900" t="n">
        <v>80</v>
      </c>
      <c r="K900" t="n">
        <v>80.14090909090909</v>
      </c>
      <c r="L900" s="59">
        <f>IFERROR(IF(OR(J900=0,K900=""),"",IF(E900="Positivo",MIN(MAX(K900/J900,0),1.3),MIN(MAX(J900/K900,0),1.3))),"") </f>
        <v/>
      </c>
      <c r="M900" s="59">
        <f>IFERROR(IF(OR(J900=0,K900=""),"",IF(E900="Positivo",MAX(K900/J900,0),MAX(J900/K900,0))),"") </f>
        <v/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485-2025-12-31</t>
        </is>
      </c>
    </row>
    <row r="901">
      <c r="A901" t="n">
        <v>486</v>
      </c>
      <c r="B901" t="inlineStr">
        <is>
          <t>Número de visitas a la página web</t>
        </is>
      </c>
      <c r="C901" t="inlineStr">
        <is>
          <t>Comunicaciones Internas</t>
        </is>
      </c>
      <c r="D901" t="inlineStr">
        <is>
          <t>Semestral</t>
        </is>
      </c>
      <c r="E901" t="inlineStr">
        <is>
          <t>Positivo</t>
        </is>
      </c>
      <c r="F901" s="148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0</v>
      </c>
      <c r="K901" t="n">
        <v>7600000</v>
      </c>
      <c r="L901" s="59">
        <f>IFERROR(IF(OR(J901=0,K901=""),"",IF(E901="Positivo",MIN(MAX(K901/J901,0),1.3),MIN(MAX(J901/K901,0),1.3))),"") </f>
        <v/>
      </c>
      <c r="M901" s="59">
        <f>IFERROR(IF(OR(J901=0,K901=""),"",IF(E901="Positivo",MAX(K901/J901,0),MAX(J901/K901,0))),"") </f>
        <v/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486-2024-12-31</t>
        </is>
      </c>
    </row>
    <row r="902">
      <c r="A902" t="n">
        <v>486</v>
      </c>
      <c r="B902" t="inlineStr">
        <is>
          <t>Número de visitas a la página web</t>
        </is>
      </c>
      <c r="C902" t="inlineStr">
        <is>
          <t>Comunicaciones Internas</t>
        </is>
      </c>
      <c r="D902" t="inlineStr">
        <is>
          <t>Trimestral</t>
        </is>
      </c>
      <c r="E902" t="inlineStr">
        <is>
          <t>Positivo</t>
        </is>
      </c>
      <c r="F902" s="148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K902" t="n">
        <v>5594551</v>
      </c>
      <c r="L902" s="59" t="n"/>
      <c r="M902" s="59" t="n"/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486-2025-12-31</t>
        </is>
      </c>
    </row>
    <row r="903">
      <c r="A903" t="n">
        <v>487</v>
      </c>
      <c r="B903" t="inlineStr">
        <is>
          <t>Impactados Talleres de formación</t>
        </is>
      </c>
      <c r="C903" t="inlineStr">
        <is>
          <t>Centro de Medios Audiovisuales</t>
        </is>
      </c>
      <c r="D903" t="inlineStr">
        <is>
          <t>Anual</t>
        </is>
      </c>
      <c r="E903" t="inlineStr">
        <is>
          <t>Positivo</t>
        </is>
      </c>
      <c r="F903" s="148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20</v>
      </c>
      <c r="K903" t="n">
        <v>6.06</v>
      </c>
      <c r="L903" s="59">
        <f>IFERROR(IF(OR(J903=0,K903=""),"",IF(E903="Positivo",MIN(MAX(K903/J903,0),1.3),MIN(MAX(J903/K903,0),1.3))),"") </f>
        <v/>
      </c>
      <c r="M903" s="59">
        <f>IFERROR(IF(OR(J903=0,K903=""),"",IF(E903="Positivo",MAX(K903/J903,0),MAX(J903/K903,0))),"") </f>
        <v/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487-2024-12-31</t>
        </is>
      </c>
    </row>
    <row r="904">
      <c r="A904" t="n">
        <v>487</v>
      </c>
      <c r="B904" t="inlineStr">
        <is>
          <t>Impactados Talleres de formación</t>
        </is>
      </c>
      <c r="C904" t="inlineStr">
        <is>
          <t>Centro de Medios Audiovisuales</t>
        </is>
      </c>
      <c r="D904" t="inlineStr">
        <is>
          <t>Anual</t>
        </is>
      </c>
      <c r="E904" t="inlineStr">
        <is>
          <t>Positivo</t>
        </is>
      </c>
      <c r="F904" s="148" t="n">
        <v>46022</v>
      </c>
      <c r="G904" t="n">
        <v>2025</v>
      </c>
      <c r="H904" t="inlineStr">
        <is>
          <t>Diciembre</t>
        </is>
      </c>
      <c r="I904" t="inlineStr">
        <is>
          <t>2025-2</t>
        </is>
      </c>
      <c r="J904" t="n">
        <v>20</v>
      </c>
      <c r="K904" t="n">
        <v>58.86</v>
      </c>
      <c r="L904" s="59">
        <f>IFERROR(IF(OR(J904=0,K904=""),"",IF(E904="Positivo",MIN(MAX(K904/J904,0),1.3),MIN(MAX(J904/K904,0),1.3))),"") </f>
        <v/>
      </c>
      <c r="M904" s="59">
        <f>IFERROR(IF(OR(J904=0,K904=""),"",IF(E904="Positivo",MAX(K904/J904,0),MAX(J904/K904,0))),"") </f>
        <v/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487-2025-12-31</t>
        </is>
      </c>
    </row>
    <row r="905">
      <c r="A905" t="n">
        <v>488</v>
      </c>
      <c r="B905" t="inlineStr">
        <is>
          <t>Oportunidad en el cierre de actividades de los planes de mejora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48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85</v>
      </c>
      <c r="K905" t="n">
        <v>92.96128846079502</v>
      </c>
      <c r="L905" s="59">
        <f>IFERROR(IF(OR(J905=0,K905=""),"",IF(E905="Positivo",MIN(MAX(K905/J905,0),1.3),MIN(MAX(J905/K905,0),1.3))),"") </f>
        <v/>
      </c>
      <c r="M905" s="59">
        <f>IFERROR(IF(OR(J905=0,K905=""),"",IF(E905="Positivo",MAX(K905/J905,0),MAX(J905/K905,0))),"") </f>
        <v/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488-2024-12-31</t>
        </is>
      </c>
    </row>
    <row r="906">
      <c r="A906" t="n">
        <v>488</v>
      </c>
      <c r="B906" t="inlineStr">
        <is>
          <t>Oportunidad en el cierre de actividades de los planes de mejora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48" t="n">
        <v>46022</v>
      </c>
      <c r="G906" t="n">
        <v>2025</v>
      </c>
      <c r="H906" t="inlineStr">
        <is>
          <t>Diciembre</t>
        </is>
      </c>
      <c r="I906" t="inlineStr">
        <is>
          <t>2025-2</t>
        </is>
      </c>
      <c r="J906" t="n">
        <v>85</v>
      </c>
      <c r="K906" t="n">
        <v>77.20042389461328</v>
      </c>
      <c r="L906" s="59">
        <f>IFERROR(IF(OR(J906=0,K906=""),"",IF(E906="Positivo",MIN(MAX(K906/J906,0),1.3),MIN(MAX(J906/K906,0),1.3))),"") </f>
        <v/>
      </c>
      <c r="M906" s="59">
        <f>IFERROR(IF(OR(J906=0,K906=""),"",IF(E906="Positivo",MAX(K906/J906,0),MAX(J906/K906,0))),"") </f>
        <v/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488-2025-12-31</t>
        </is>
      </c>
    </row>
    <row r="907">
      <c r="A907" t="n">
        <v>488</v>
      </c>
      <c r="B907" t="inlineStr">
        <is>
          <t>Oportunidad en el cierre de actividades de los planes de mejora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48" t="n">
        <v>46081</v>
      </c>
      <c r="G907" t="n">
        <v>2026</v>
      </c>
      <c r="H907" t="inlineStr">
        <is>
          <t>Febrero</t>
        </is>
      </c>
      <c r="I907" t="inlineStr">
        <is>
          <t>2026-1</t>
        </is>
      </c>
      <c r="K907" t="n">
        <v>72.16</v>
      </c>
      <c r="L907" s="59" t="n"/>
      <c r="M907" s="59" t="n"/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488-2026-02-28</t>
        </is>
      </c>
      <c r="S907" t="inlineStr"/>
    </row>
    <row r="908">
      <c r="A908" t="n">
        <v>489</v>
      </c>
      <c r="B908" t="inlineStr">
        <is>
          <t>Cumplimiento en la evaluación de las oportunidades de mejora (OM)</t>
        </is>
      </c>
      <c r="C908" t="inlineStr">
        <is>
          <t>Gestión de calidad</t>
        </is>
      </c>
      <c r="D908" t="inlineStr">
        <is>
          <t>Mensual</t>
        </is>
      </c>
      <c r="E908" t="inlineStr">
        <is>
          <t>Positivo</t>
        </is>
      </c>
      <c r="F908" s="148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100</v>
      </c>
      <c r="L908" s="59">
        <f>IFERROR(IF(OR(J908=0,K908=""),"",IF(E908="Positivo",MIN(MAX(K908/J908,0),1.3),MIN(MAX(J908/K908,0),1.3))),"") </f>
        <v/>
      </c>
      <c r="M908" s="59">
        <f>IFERROR(IF(OR(J908=0,K908=""),"",IF(E908="Positivo",MAX(K908/J908,0),MAX(J908/K908,0))),"") </f>
        <v/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489-2024-12-31</t>
        </is>
      </c>
    </row>
    <row r="909">
      <c r="A909" t="n">
        <v>490</v>
      </c>
      <c r="B909" t="inlineStr">
        <is>
          <t>Nivel de Satisfacción Servicios Prestados - Planeación Estratégica</t>
        </is>
      </c>
      <c r="C909" t="inlineStr">
        <is>
          <t>Planeación Estratégica</t>
        </is>
      </c>
      <c r="D909" t="inlineStr">
        <is>
          <t>Anual</t>
        </is>
      </c>
      <c r="E909" t="inlineStr">
        <is>
          <t>Positivo</t>
        </is>
      </c>
      <c r="F909" s="148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80</v>
      </c>
      <c r="K909" t="n">
        <v>88</v>
      </c>
      <c r="L909" s="59">
        <f>IFERROR(IF(OR(J909=0,K909=""),"",IF(E909="Positivo",MIN(MAX(K909/J909,0),1.3),MIN(MAX(J909/K909,0),1.3))),"") </f>
        <v/>
      </c>
      <c r="M909" s="59">
        <f>IFERROR(IF(OR(J909=0,K909=""),"",IF(E909="Positivo",MAX(K909/J909,0),MAX(J909/K909,0))),"") </f>
        <v/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490-2024-12-31</t>
        </is>
      </c>
    </row>
    <row r="910">
      <c r="A910" t="n">
        <v>490</v>
      </c>
      <c r="B910" t="inlineStr">
        <is>
          <t>Nivel de Satisfacción Servicios Prestados - Planeación Estratégica</t>
        </is>
      </c>
      <c r="C910" t="inlineStr">
        <is>
          <t>Planeación Estratégica</t>
        </is>
      </c>
      <c r="D910" t="inlineStr">
        <is>
          <t>Anual</t>
        </is>
      </c>
      <c r="E910" t="inlineStr">
        <is>
          <t>Positivo</t>
        </is>
      </c>
      <c r="F910" s="148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J910" t="n">
        <v>80</v>
      </c>
      <c r="K910" t="n">
        <v>100</v>
      </c>
      <c r="L910" s="59">
        <f>IFERROR(IF(OR(J910=0,K910=""),"",IF(E910="Positivo",MIN(MAX(K910/J910,0),1.3),MIN(MAX(J910/K910,0),1.3))),"") </f>
        <v/>
      </c>
      <c r="M910" s="59">
        <f>IFERROR(IF(OR(J910=0,K910=""),"",IF(E910="Positivo",MAX(K910/J910,0),MAX(J910/K910,0))),"") </f>
        <v/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490-2025-12-31</t>
        </is>
      </c>
    </row>
    <row r="911">
      <c r="A911" t="n">
        <v>491</v>
      </c>
      <c r="B911" t="inlineStr">
        <is>
          <t>Nivel de Satisfacción Servicios Prestados - Gestión de proyectos</t>
        </is>
      </c>
      <c r="C911" t="inlineStr">
        <is>
          <t>Gestión de Proyectos</t>
        </is>
      </c>
      <c r="D911" t="inlineStr">
        <is>
          <t>Anual</t>
        </is>
      </c>
      <c r="E911" t="inlineStr">
        <is>
          <t>Positivo</t>
        </is>
      </c>
      <c r="F911" s="148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80</v>
      </c>
      <c r="K911" t="n">
        <v>88</v>
      </c>
      <c r="L911" s="59">
        <f>IFERROR(IF(OR(J911=0,K911=""),"",IF(E911="Positivo",MIN(MAX(K911/J911,0),1.3),MIN(MAX(J911/K911,0),1.3))),"") </f>
        <v/>
      </c>
      <c r="M911" s="59">
        <f>IFERROR(IF(OR(J911=0,K911=""),"",IF(E911="Positivo",MAX(K911/J911,0),MAX(J911/K911,0))),"") </f>
        <v/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491-2024-12-31</t>
        </is>
      </c>
    </row>
    <row r="912">
      <c r="A912" t="n">
        <v>491</v>
      </c>
      <c r="B912" t="inlineStr">
        <is>
          <t>Nivel de Satisfacción Servicios Prestados - Gestión de proyectos</t>
        </is>
      </c>
      <c r="C912" t="inlineStr">
        <is>
          <t>Gestión de Proyectos</t>
        </is>
      </c>
      <c r="D912" t="inlineStr">
        <is>
          <t>Anual</t>
        </is>
      </c>
      <c r="E912" t="inlineStr">
        <is>
          <t>Positivo</t>
        </is>
      </c>
      <c r="F912" s="148" t="n">
        <v>46022</v>
      </c>
      <c r="G912" t="n">
        <v>2025</v>
      </c>
      <c r="H912" t="inlineStr">
        <is>
          <t>Diciembre</t>
        </is>
      </c>
      <c r="I912" t="inlineStr">
        <is>
          <t>2025-2</t>
        </is>
      </c>
      <c r="J912" t="n">
        <v>80</v>
      </c>
      <c r="K912" t="n">
        <v>100</v>
      </c>
      <c r="L912" s="59">
        <f>IFERROR(IF(OR(J912=0,K912=""),"",IF(E912="Positivo",MIN(MAX(K912/J912,0),1.3),MIN(MAX(J912/K912,0),1.3))),"") </f>
        <v/>
      </c>
      <c r="M912" s="59">
        <f>IFERROR(IF(OR(J912=0,K912=""),"",IF(E912="Positivo",MAX(K912/J912,0),MAX(J912/K912,0))),"") </f>
        <v/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491-2025-12-31</t>
        </is>
      </c>
    </row>
    <row r="913">
      <c r="A913" t="n">
        <v>492</v>
      </c>
      <c r="B913" t="inlineStr">
        <is>
          <t>Nivel de Satisfacción Servicios Prestados - Desempeño Institucional</t>
        </is>
      </c>
      <c r="C913" t="inlineStr">
        <is>
          <t>Desempeño Institucional</t>
        </is>
      </c>
      <c r="D913" t="inlineStr">
        <is>
          <t>Anual</t>
        </is>
      </c>
      <c r="E913" t="inlineStr">
        <is>
          <t>Positivo</t>
        </is>
      </c>
      <c r="F913" s="148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80</v>
      </c>
      <c r="K913" t="n">
        <v>83</v>
      </c>
      <c r="L913" s="59">
        <f>IFERROR(IF(OR(J913=0,K913=""),"",IF(E913="Positivo",MIN(MAX(K913/J913,0),1.3),MIN(MAX(J913/K913,0),1.3))),"") </f>
        <v/>
      </c>
      <c r="M913" s="59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492-2024-12-31</t>
        </is>
      </c>
    </row>
    <row r="914">
      <c r="A914" t="n">
        <v>492</v>
      </c>
      <c r="B914" t="inlineStr">
        <is>
          <t>Nivel de Satisfacción Servicios Prestados - Desempeño Institucional</t>
        </is>
      </c>
      <c r="C914" t="inlineStr">
        <is>
          <t>Desempeño Institucional</t>
        </is>
      </c>
      <c r="D914" t="inlineStr">
        <is>
          <t>Anual</t>
        </is>
      </c>
      <c r="E914" t="inlineStr">
        <is>
          <t>Positivo</t>
        </is>
      </c>
      <c r="F914" s="148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80</v>
      </c>
      <c r="K914" t="n">
        <v>95</v>
      </c>
      <c r="L914" s="59">
        <f>IFERROR(IF(OR(J914=0,K914=""),"",IF(E914="Positivo",MIN(MAX(K914/J914,0),1.3),MIN(MAX(J914/K914,0),1.3))),"") </f>
        <v/>
      </c>
      <c r="M914" s="59">
        <f>IFERROR(IF(OR(J914=0,K914=""),"",IF(E914="Positivo",MAX(K914/J914,0),MAX(J914/K914,0))),"") </f>
        <v/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492-2025-12-31</t>
        </is>
      </c>
    </row>
    <row r="915">
      <c r="A915" t="n">
        <v>493</v>
      </c>
      <c r="B915" t="inlineStr">
        <is>
          <t>Nivel de Satisfacción Servicios Prestados - Gestión Jurídica Y Normativa</t>
        </is>
      </c>
      <c r="C915" t="inlineStr">
        <is>
          <t>GESTIÓN JURÍDICA Y NORMATIVA</t>
        </is>
      </c>
      <c r="D915" t="inlineStr">
        <is>
          <t>Anual</t>
        </is>
      </c>
      <c r="E915" t="inlineStr">
        <is>
          <t>Positivo</t>
        </is>
      </c>
      <c r="F915" s="148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81</v>
      </c>
      <c r="L915" s="59">
        <f>IFERROR(IF(OR(J915=0,K915=""),"",IF(E915="Positivo",MIN(MAX(K915/J915,0),1.3),MIN(MAX(J915/K915,0),1.3))),"") </f>
        <v/>
      </c>
      <c r="M915" s="59">
        <f>IFERROR(IF(OR(J915=0,K915=""),"",IF(E915="Positivo",MAX(K915/J915,0),MAX(J915/K915,0))),"") </f>
        <v/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493-2024-12-31</t>
        </is>
      </c>
    </row>
    <row r="916">
      <c r="A916" t="n">
        <v>493</v>
      </c>
      <c r="B916" t="inlineStr">
        <is>
          <t>Nivel de Satisfacción Servicios Prestados - Gestión Jurídica Y Normativa</t>
        </is>
      </c>
      <c r="C916" t="inlineStr">
        <is>
          <t>GESTIÓN JURÍDICA Y NORMATIVA</t>
        </is>
      </c>
      <c r="D916" t="inlineStr">
        <is>
          <t>Anual</t>
        </is>
      </c>
      <c r="E916" t="inlineStr">
        <is>
          <t>Positivo</t>
        </is>
      </c>
      <c r="F916" s="148" t="n">
        <v>46022</v>
      </c>
      <c r="G916" t="n">
        <v>2025</v>
      </c>
      <c r="H916" t="inlineStr">
        <is>
          <t>Diciembre</t>
        </is>
      </c>
      <c r="I916" t="inlineStr">
        <is>
          <t>2025-2</t>
        </is>
      </c>
      <c r="J916" t="n">
        <v>80</v>
      </c>
      <c r="K916" t="n">
        <v>77</v>
      </c>
      <c r="L916" s="59">
        <f>IFERROR(IF(OR(J916=0,K916=""),"",IF(E916="Positivo",MIN(MAX(K916/J916,0),1.3),MIN(MAX(J916/K916,0),1.3))),"") </f>
        <v/>
      </c>
      <c r="M916" s="59">
        <f>IFERROR(IF(OR(J916=0,K916=""),"",IF(E916="Positivo",MAX(K916/J916,0),MAX(J916/K916,0))),"") </f>
        <v/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493-2025-12-31</t>
        </is>
      </c>
    </row>
    <row r="917">
      <c r="A917" t="n">
        <v>494</v>
      </c>
      <c r="B917" t="inlineStr">
        <is>
          <t>Nivel de Satisfacción Servicios Prestados - Administración De Servicios Generales</t>
        </is>
      </c>
      <c r="C917" t="inlineStr">
        <is>
          <t>Administración de Servicios Generales</t>
        </is>
      </c>
      <c r="D917" t="inlineStr">
        <is>
          <t>Anual</t>
        </is>
      </c>
      <c r="E917" t="inlineStr">
        <is>
          <t>Positivo</t>
        </is>
      </c>
      <c r="F917" s="148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80</v>
      </c>
      <c r="K917" t="n">
        <v>89</v>
      </c>
      <c r="L917" s="59">
        <f>IFERROR(IF(OR(J917=0,K917=""),"",IF(E917="Positivo",MIN(MAX(K917/J917,0),1.3),MIN(MAX(J917/K917,0),1.3))),"") </f>
        <v/>
      </c>
      <c r="M917" s="59">
        <f>IFERROR(IF(OR(J917=0,K917=""),"",IF(E917="Positivo",MAX(K917/J917,0),MAX(J917/K917,0))),"") </f>
        <v/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494-2024-12-31</t>
        </is>
      </c>
    </row>
    <row r="918">
      <c r="A918" t="n">
        <v>494</v>
      </c>
      <c r="B918" t="inlineStr">
        <is>
          <t>Nivel de Satisfacción Servicios Prestados - Administración De Servicios Generales</t>
        </is>
      </c>
      <c r="C918" t="inlineStr">
        <is>
          <t>Administración de Servicios Generales</t>
        </is>
      </c>
      <c r="D918" t="inlineStr">
        <is>
          <t>Anual</t>
        </is>
      </c>
      <c r="E918" t="inlineStr">
        <is>
          <t>Positivo</t>
        </is>
      </c>
      <c r="F918" s="148" t="n">
        <v>46022</v>
      </c>
      <c r="G918" t="n">
        <v>2025</v>
      </c>
      <c r="H918" t="inlineStr">
        <is>
          <t>Diciembre</t>
        </is>
      </c>
      <c r="I918" t="inlineStr">
        <is>
          <t>2025-2</t>
        </is>
      </c>
      <c r="J918" t="n">
        <v>80</v>
      </c>
      <c r="K918" t="n">
        <v>93</v>
      </c>
      <c r="L918" s="59">
        <f>IFERROR(IF(OR(J918=0,K918=""),"",IF(E918="Positivo",MIN(MAX(K918/J918,0),1.3),MIN(MAX(J918/K918,0),1.3))),"") </f>
        <v/>
      </c>
      <c r="M918" s="59">
        <f>IFERROR(IF(OR(J918=0,K918=""),"",IF(E918="Positivo",MAX(K918/J918,0),MAX(J918/K918,0))),"") </f>
        <v/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494-2025-12-31</t>
        </is>
      </c>
    </row>
    <row r="919">
      <c r="A919" t="n">
        <v>495</v>
      </c>
      <c r="B919" t="inlineStr">
        <is>
          <t>Nivel de Satisfacción Servicios Prestados - Contabilidad</t>
        </is>
      </c>
      <c r="C919" t="inlineStr">
        <is>
          <t>Contabilidad</t>
        </is>
      </c>
      <c r="D919" t="inlineStr">
        <is>
          <t>Anual</t>
        </is>
      </c>
      <c r="E919" t="inlineStr">
        <is>
          <t>Positivo</t>
        </is>
      </c>
      <c r="F919" s="148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92</v>
      </c>
      <c r="L919" s="59">
        <f>IFERROR(IF(OR(J919=0,K919=""),"",IF(E919="Positivo",MIN(MAX(K919/J919,0),1.3),MIN(MAX(J919/K919,0),1.3))),"") </f>
        <v/>
      </c>
      <c r="M919" s="59">
        <f>IFERROR(IF(OR(J919=0,K919=""),"",IF(E919="Positivo",MAX(K919/J919,0),MAX(J919/K919,0))),"") </f>
        <v/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495-2024-12-31</t>
        </is>
      </c>
    </row>
    <row r="920">
      <c r="A920" t="n">
        <v>495</v>
      </c>
      <c r="B920" t="inlineStr">
        <is>
          <t>Nivel de Satisfacción Servicios Prestados - Contabilidad</t>
        </is>
      </c>
      <c r="C920" t="inlineStr">
        <is>
          <t>Contabilidad</t>
        </is>
      </c>
      <c r="D920" t="inlineStr">
        <is>
          <t>Anual</t>
        </is>
      </c>
      <c r="E920" t="inlineStr">
        <is>
          <t>Positivo</t>
        </is>
      </c>
      <c r="F920" s="148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63</v>
      </c>
      <c r="L920" s="59">
        <f>IFERROR(IF(OR(J920=0,K920=""),"",IF(E920="Positivo",MIN(MAX(K920/J920,0),1.3),MIN(MAX(J920/K920,0),1.3))),"") </f>
        <v/>
      </c>
      <c r="M920" s="59">
        <f>IFERROR(IF(OR(J920=0,K920=""),"",IF(E920="Positivo",MAX(K920/J920,0),MAX(J920/K920,0))),"") </f>
        <v/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495-2025-12-31</t>
        </is>
      </c>
    </row>
    <row r="921">
      <c r="A921" t="n">
        <v>496</v>
      </c>
      <c r="B921" t="inlineStr">
        <is>
          <t>Nivel de Satisfacción Servicios Prestados - Planeación Financiera</t>
        </is>
      </c>
      <c r="C921" t="inlineStr">
        <is>
          <t>Planeación Financiera</t>
        </is>
      </c>
      <c r="D921" t="inlineStr">
        <is>
          <t>Anual</t>
        </is>
      </c>
      <c r="E921" t="inlineStr">
        <is>
          <t>Positivo</t>
        </is>
      </c>
      <c r="F921" s="148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88</v>
      </c>
      <c r="L921" s="59">
        <f>IFERROR(IF(OR(J921=0,K921=""),"",IF(E921="Positivo",MIN(MAX(K921/J921,0),1.3),MIN(MAX(J921/K921,0),1.3))),"") </f>
        <v/>
      </c>
      <c r="M921" s="59">
        <f>IFERROR(IF(OR(J921=0,K921=""),"",IF(E921="Positivo",MAX(K921/J921,0),MAX(J921/K921,0))),"") </f>
        <v/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496-2024-12-31</t>
        </is>
      </c>
    </row>
    <row r="922">
      <c r="A922" t="n">
        <v>496</v>
      </c>
      <c r="B922" t="inlineStr">
        <is>
          <t>Nivel de Satisfacción Servicios Prestados - Planeación Financiera</t>
        </is>
      </c>
      <c r="C922" t="inlineStr">
        <is>
          <t>Planeación Financiera</t>
        </is>
      </c>
      <c r="D922" t="inlineStr">
        <is>
          <t>Anual</t>
        </is>
      </c>
      <c r="E922" t="inlineStr">
        <is>
          <t>Positivo</t>
        </is>
      </c>
      <c r="F922" s="148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100</v>
      </c>
      <c r="L922" s="59">
        <f>IFERROR(IF(OR(J922=0,K922=""),"",IF(E922="Positivo",MIN(MAX(K922/J922,0),1.3),MIN(MAX(J922/K922,0),1.3))),"") </f>
        <v/>
      </c>
      <c r="M922" s="59">
        <f>IFERROR(IF(OR(J922=0,K922=""),"",IF(E922="Positivo",MAX(K922/J922,0),MAX(J922/K922,0))),"") </f>
        <v/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496-2025-12-31</t>
        </is>
      </c>
    </row>
    <row r="923">
      <c r="A923" t="n">
        <v>497</v>
      </c>
      <c r="B923" t="inlineStr">
        <is>
          <t>Nivel de Satisfacción Servicios Prestados - Tesorería</t>
        </is>
      </c>
      <c r="C923" t="inlineStr">
        <is>
          <t>Tesorería</t>
        </is>
      </c>
      <c r="D923" t="inlineStr">
        <is>
          <t>Anual</t>
        </is>
      </c>
      <c r="E923" t="inlineStr">
        <is>
          <t>Positivo</t>
        </is>
      </c>
      <c r="F923" s="148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83</v>
      </c>
      <c r="L923" s="59">
        <f>IFERROR(IF(OR(J923=0,K923=""),"",IF(E923="Positivo",MIN(MAX(K923/J923,0),1.3),MIN(MAX(J923/K923,0),1.3))),"") </f>
        <v/>
      </c>
      <c r="M923" s="59">
        <f>IFERROR(IF(OR(J923=0,K923=""),"",IF(E923="Positivo",MAX(K923/J923,0),MAX(J923/K923,0))),"") </f>
        <v/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497-2024-12-31</t>
        </is>
      </c>
    </row>
    <row r="924">
      <c r="A924" t="n">
        <v>498</v>
      </c>
      <c r="B924" t="inlineStr">
        <is>
          <t>Nivel de Satisfacción Servicios Prestados - Centro de Medios Audiovisuales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48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92</v>
      </c>
      <c r="L924" s="59">
        <f>IFERROR(IF(OR(J924=0,K924=""),"",IF(E924="Positivo",MIN(MAX(K924/J924,0),1.3),MIN(MAX(J924/K924,0),1.3))),"") </f>
        <v/>
      </c>
      <c r="M924" s="59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498-2024-12-31</t>
        </is>
      </c>
    </row>
    <row r="925">
      <c r="A925" t="n">
        <v>498</v>
      </c>
      <c r="B925" t="inlineStr">
        <is>
          <t>Nivel de Satisfacción Servicios Prestados - Centro de Medios Audiovisuales</t>
        </is>
      </c>
      <c r="C925" t="inlineStr">
        <is>
          <t>Centro de Medios Audiovisuales</t>
        </is>
      </c>
      <c r="D925" t="inlineStr">
        <is>
          <t>Anual</t>
        </is>
      </c>
      <c r="E925" t="inlineStr">
        <is>
          <t>Positivo</t>
        </is>
      </c>
      <c r="F925" s="148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95</v>
      </c>
      <c r="L925" s="59">
        <f>IFERROR(IF(OR(J925=0,K925=""),"",IF(E925="Positivo",MIN(MAX(K925/J925,0),1.3),MIN(MAX(J925/K925,0),1.3))),"") </f>
        <v/>
      </c>
      <c r="M925" s="59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498-2025-12-31</t>
        </is>
      </c>
    </row>
    <row r="926">
      <c r="A926" t="n">
        <v>499</v>
      </c>
      <c r="B926" t="inlineStr">
        <is>
          <t>Nivel de Satisfacción Servicios Prestados - Datos y analítica</t>
        </is>
      </c>
      <c r="C926" t="inlineStr">
        <is>
          <t>DATOS Y ANALÍTICA</t>
        </is>
      </c>
      <c r="D926" t="inlineStr">
        <is>
          <t>Anual</t>
        </is>
      </c>
      <c r="E926" t="inlineStr">
        <is>
          <t>Positivo</t>
        </is>
      </c>
      <c r="F926" s="148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87</v>
      </c>
      <c r="L926" s="59">
        <f>IFERROR(IF(OR(J926=0,K926=""),"",IF(E926="Positivo",MIN(MAX(K926/J926,0),1.3),MIN(MAX(J926/K926,0),1.3))),"") </f>
        <v/>
      </c>
      <c r="M926" s="59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499-2024-12-31</t>
        </is>
      </c>
    </row>
    <row r="927">
      <c r="A927" t="n">
        <v>499</v>
      </c>
      <c r="B927" t="inlineStr">
        <is>
          <t>Nivel de Satisfacción Servicios Prestados - Datos y analítica</t>
        </is>
      </c>
      <c r="C927" t="inlineStr">
        <is>
          <t>DATOS Y ANALÍTICA</t>
        </is>
      </c>
      <c r="D927" t="inlineStr">
        <is>
          <t>Anual</t>
        </is>
      </c>
      <c r="E927" t="inlineStr">
        <is>
          <t>Positivo</t>
        </is>
      </c>
      <c r="F927" s="148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0</v>
      </c>
      <c r="L927" s="59">
        <f>IFERROR(IF(OR(J927=0,K927=""),"",IF(E927="Positivo",MIN(MAX(K927/J927,0),1.3),MIN(MAX(J927/K927,0),1.3))),"") </f>
        <v/>
      </c>
      <c r="M927" s="59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499-2025-12-31</t>
        </is>
      </c>
    </row>
    <row r="928">
      <c r="A928" t="n">
        <v>500</v>
      </c>
      <c r="B928" t="inlineStr">
        <is>
          <t>Nivel de Satisfacción Servicios Prestados -Servicio de Salud</t>
        </is>
      </c>
      <c r="C928" t="inlineStr">
        <is>
          <t>Servicio de Salud</t>
        </is>
      </c>
      <c r="D928" t="inlineStr">
        <is>
          <t>Anual</t>
        </is>
      </c>
      <c r="E928" t="inlineStr">
        <is>
          <t>Positivo</t>
        </is>
      </c>
      <c r="F928" s="148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89</v>
      </c>
      <c r="L928" s="59">
        <f>IFERROR(IF(OR(J928=0,K928=""),"",IF(E928="Positivo",MIN(MAX(K928/J928,0),1.3),MIN(MAX(J928/K928,0),1.3))),"") </f>
        <v/>
      </c>
      <c r="M928" s="59">
        <f>IFERROR(IF(OR(J928=0,K928=""),"",IF(E928="Positivo",MAX(K928/J928,0),MAX(J928/K928,0))),"") </f>
        <v/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500-2024-12-31</t>
        </is>
      </c>
    </row>
    <row r="929">
      <c r="A929" t="n">
        <v>500</v>
      </c>
      <c r="B929" t="inlineStr">
        <is>
          <t>Nivel de Satisfacción Servicios Prestados -Servicio de Salud</t>
        </is>
      </c>
      <c r="C929" t="inlineStr">
        <is>
          <t>Servicio de Salud</t>
        </is>
      </c>
      <c r="D929" t="inlineStr">
        <is>
          <t>Anual</t>
        </is>
      </c>
      <c r="E929" t="inlineStr">
        <is>
          <t>Positivo</t>
        </is>
      </c>
      <c r="F929" s="148" t="n">
        <v>46022</v>
      </c>
      <c r="G929" t="n">
        <v>2025</v>
      </c>
      <c r="H929" t="inlineStr">
        <is>
          <t>Diciembre</t>
        </is>
      </c>
      <c r="I929" t="inlineStr">
        <is>
          <t>2025-2</t>
        </is>
      </c>
      <c r="J929" t="n">
        <v>80</v>
      </c>
      <c r="K929" t="n">
        <v>100</v>
      </c>
      <c r="L929" s="59">
        <f>IFERROR(IF(OR(J929=0,K929=""),"",IF(E929="Positivo",MIN(MAX(K929/J929,0),1.3),MIN(MAX(J929/K929,0),1.3))),"") </f>
        <v/>
      </c>
      <c r="M929" s="59">
        <f>IFERROR(IF(OR(J929=0,K929=""),"",IF(E929="Positivo",MAX(K929/J929,0),MAX(J929/K929,0))),"") </f>
        <v/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500-2025-12-31</t>
        </is>
      </c>
    </row>
    <row r="930">
      <c r="A930" t="n">
        <v>501</v>
      </c>
      <c r="B930" t="inlineStr">
        <is>
          <t>Nivel de Satisfacción Servicios Prestados -Gestión, evaluación e innovación curricular</t>
        </is>
      </c>
      <c r="C930" t="inlineStr">
        <is>
          <t>Gestión, Evaluación e Innovación Curricular</t>
        </is>
      </c>
      <c r="D930" t="inlineStr">
        <is>
          <t>Anual</t>
        </is>
      </c>
      <c r="E930" t="inlineStr">
        <is>
          <t>Positivo</t>
        </is>
      </c>
      <c r="F930" s="148" t="n">
        <v>45657</v>
      </c>
      <c r="G930" t="n">
        <v>2024</v>
      </c>
      <c r="H930" t="inlineStr">
        <is>
          <t>Diciembre</t>
        </is>
      </c>
      <c r="I930" t="inlineStr">
        <is>
          <t>2024-2</t>
        </is>
      </c>
      <c r="J930" t="n">
        <v>80</v>
      </c>
      <c r="K930" t="n">
        <v>88</v>
      </c>
      <c r="L930" s="59">
        <f>IFERROR(IF(OR(J930=0,K930=""),"",IF(E930="Positivo",MIN(MAX(K930/J930,0),1.3),MIN(MAX(J930/K930,0),1.3))),"") </f>
        <v/>
      </c>
      <c r="M930" s="59">
        <f>IFERROR(IF(OR(J930=0,K930=""),"",IF(E930="Positivo",MAX(K930/J930,0),MAX(J930/K930,0))),"") </f>
        <v/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501-2024-12-31</t>
        </is>
      </c>
    </row>
    <row r="931">
      <c r="A931" t="n">
        <v>501</v>
      </c>
      <c r="B931" t="inlineStr">
        <is>
          <t>Nivel de Satisfacción Servicios Prestados -Gestión, evaluación e innovación curricular</t>
        </is>
      </c>
      <c r="C931" t="inlineStr">
        <is>
          <t>Gestión, Evaluación e Innovación Curricular</t>
        </is>
      </c>
      <c r="D931" t="inlineStr">
        <is>
          <t>Anual</t>
        </is>
      </c>
      <c r="E931" t="inlineStr">
        <is>
          <t>Positivo</t>
        </is>
      </c>
      <c r="F931" s="148" t="n">
        <v>46022</v>
      </c>
      <c r="G931" t="n">
        <v>2025</v>
      </c>
      <c r="H931" t="inlineStr">
        <is>
          <t>Diciembre</t>
        </is>
      </c>
      <c r="I931" t="inlineStr">
        <is>
          <t>2025-2</t>
        </is>
      </c>
      <c r="J931" t="n">
        <v>80</v>
      </c>
      <c r="K931" t="n">
        <v>100</v>
      </c>
      <c r="L931" s="59">
        <f>IFERROR(IF(OR(J931=0,K931=""),"",IF(E931="Positivo",MIN(MAX(K931/J931,0),1.3),MIN(MAX(J931/K931,0),1.3))),"") </f>
        <v/>
      </c>
      <c r="M931" s="59">
        <f>IFERROR(IF(OR(J931=0,K931=""),"",IF(E931="Positivo",MAX(K931/J931,0),MAX(J931/K931,0))),"") </f>
        <v/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501-2025-12-31</t>
        </is>
      </c>
    </row>
    <row r="932">
      <c r="A932" t="n">
        <v>502</v>
      </c>
      <c r="B932" t="inlineStr">
        <is>
          <t>Nivel de Satisfacción Servicios Prestados -Formación para la investigación, creación e innovación</t>
        </is>
      </c>
      <c r="C932" t="inlineStr">
        <is>
          <t>Formación para la investigación, creación e innovación</t>
        </is>
      </c>
      <c r="D932" t="inlineStr">
        <is>
          <t>Anual</t>
        </is>
      </c>
      <c r="E932" t="inlineStr">
        <is>
          <t>Positivo</t>
        </is>
      </c>
      <c r="F932" s="148" t="n">
        <v>45657</v>
      </c>
      <c r="G932" t="n">
        <v>2024</v>
      </c>
      <c r="H932" t="inlineStr">
        <is>
          <t>Diciembre</t>
        </is>
      </c>
      <c r="I932" t="inlineStr">
        <is>
          <t>2024-2</t>
        </is>
      </c>
      <c r="J932" t="n">
        <v>80</v>
      </c>
      <c r="K932" t="n">
        <v>90</v>
      </c>
      <c r="L932" s="59">
        <f>IFERROR(IF(OR(J932=0,K932=""),"",IF(E932="Positivo",MIN(MAX(K932/J932,0),1.3),MIN(MAX(J932/K932,0),1.3))),"") </f>
        <v/>
      </c>
      <c r="M932" s="59">
        <f>IFERROR(IF(OR(J932=0,K932=""),"",IF(E932="Positivo",MAX(K932/J932,0),MAX(J932/K932,0))),"") </f>
        <v/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502-2024-12-31</t>
        </is>
      </c>
    </row>
    <row r="933">
      <c r="A933" t="n">
        <v>502</v>
      </c>
      <c r="B933" t="inlineStr">
        <is>
          <t>Nivel de Satisfacción Servicios Prestados -Formación para la investigación, creación e innovación</t>
        </is>
      </c>
      <c r="C933" t="inlineStr">
        <is>
          <t>Formación para la investigación, creación e innovación</t>
        </is>
      </c>
      <c r="D933" t="inlineStr">
        <is>
          <t>Anual</t>
        </is>
      </c>
      <c r="E933" t="inlineStr">
        <is>
          <t>Positivo</t>
        </is>
      </c>
      <c r="F933" s="148" t="n">
        <v>46022</v>
      </c>
      <c r="G933" t="n">
        <v>2025</v>
      </c>
      <c r="H933" t="inlineStr">
        <is>
          <t>Diciembre</t>
        </is>
      </c>
      <c r="I933" t="inlineStr">
        <is>
          <t>2025-2</t>
        </is>
      </c>
      <c r="J933" t="n">
        <v>80</v>
      </c>
      <c r="K933" t="n">
        <v>97</v>
      </c>
      <c r="L933" s="59">
        <f>IFERROR(IF(OR(J933=0,K933=""),"",IF(E933="Positivo",MIN(MAX(K933/J933,0),1.3),MIN(MAX(J933/K933,0),1.3))),"") </f>
        <v/>
      </c>
      <c r="M933" s="59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502-2025-12-31</t>
        </is>
      </c>
    </row>
    <row r="934">
      <c r="A934" t="n">
        <v>503</v>
      </c>
      <c r="B934" t="inlineStr">
        <is>
          <t>Nivel de Satisfacción Servicios Prestados -Gestión de Unidades Académicas</t>
        </is>
      </c>
      <c r="C934" t="inlineStr">
        <is>
          <t>Gestión de Unidades Académicas</t>
        </is>
      </c>
      <c r="D934" t="inlineStr">
        <is>
          <t>Anual</t>
        </is>
      </c>
      <c r="E934" t="inlineStr">
        <is>
          <t>Positivo</t>
        </is>
      </c>
      <c r="F934" s="148" t="n">
        <v>45657</v>
      </c>
      <c r="G934" t="n">
        <v>2024</v>
      </c>
      <c r="H934" t="inlineStr">
        <is>
          <t>Diciembre</t>
        </is>
      </c>
      <c r="I934" t="inlineStr">
        <is>
          <t>2024-2</t>
        </is>
      </c>
      <c r="J934" t="n">
        <v>80</v>
      </c>
      <c r="K934" t="n">
        <v>86</v>
      </c>
      <c r="L934" s="59">
        <f>IFERROR(IF(OR(J934=0,K934=""),"",IF(E934="Positivo",MIN(MAX(K934/J934,0),1.3),MIN(MAX(J934/K934,0),1.3))),"") </f>
        <v/>
      </c>
      <c r="M934" s="59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503-2024-12-31</t>
        </is>
      </c>
    </row>
    <row r="935">
      <c r="A935" t="n">
        <v>503</v>
      </c>
      <c r="B935" t="inlineStr">
        <is>
          <t>Nivel de Satisfacción Servicios Prestados -Gestión de Unidades Académicas</t>
        </is>
      </c>
      <c r="C935" t="inlineStr">
        <is>
          <t>Gestión de Unidades Académicas</t>
        </is>
      </c>
      <c r="D935" t="inlineStr">
        <is>
          <t>Anual</t>
        </is>
      </c>
      <c r="E935" t="inlineStr">
        <is>
          <t>Positivo</t>
        </is>
      </c>
      <c r="F935" s="148" t="n">
        <v>46022</v>
      </c>
      <c r="G935" t="n">
        <v>2025</v>
      </c>
      <c r="H935" t="inlineStr">
        <is>
          <t>Diciembre</t>
        </is>
      </c>
      <c r="I935" t="inlineStr">
        <is>
          <t>2025-2</t>
        </is>
      </c>
      <c r="J935" t="n">
        <v>80</v>
      </c>
      <c r="K935" t="n">
        <v>94</v>
      </c>
      <c r="L935" s="59">
        <f>IFERROR(IF(OR(J935=0,K935=""),"",IF(E935="Positivo",MIN(MAX(K935/J935,0),1.3),MIN(MAX(J935/K935,0),1.3))),"") </f>
        <v/>
      </c>
      <c r="M935" s="59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503-2025-12-31</t>
        </is>
      </c>
    </row>
    <row r="936">
      <c r="A936" t="n">
        <v>504</v>
      </c>
      <c r="B936" t="inlineStr">
        <is>
          <t>Nivel de Satisfacción Servicios Prestados - LEI</t>
        </is>
      </c>
      <c r="C936" t="inlineStr">
        <is>
          <t>LEI</t>
        </is>
      </c>
      <c r="D936" t="inlineStr">
        <is>
          <t>Anual</t>
        </is>
      </c>
      <c r="E936" t="inlineStr">
        <is>
          <t>Positivo</t>
        </is>
      </c>
      <c r="F936" s="148" t="n">
        <v>45657</v>
      </c>
      <c r="G936" t="n">
        <v>2024</v>
      </c>
      <c r="H936" t="inlineStr">
        <is>
          <t>Diciembre</t>
        </is>
      </c>
      <c r="I936" t="inlineStr">
        <is>
          <t>2024-2</t>
        </is>
      </c>
      <c r="J936" t="n">
        <v>80</v>
      </c>
      <c r="K936" t="n">
        <v>88</v>
      </c>
      <c r="L936" s="59">
        <f>IFERROR(IF(OR(J936=0,K936=""),"",IF(E936="Positivo",MIN(MAX(K936/J936,0),1.3),MIN(MAX(J936/K936,0),1.3))),"") </f>
        <v/>
      </c>
      <c r="M936" s="59">
        <f>IFERROR(IF(OR(J936=0,K936=""),"",IF(E936="Positivo",MAX(K936/J936,0),MAX(J936/K936,0))),"") </f>
        <v/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504-2024-12-31</t>
        </is>
      </c>
    </row>
    <row r="937">
      <c r="A937" t="n">
        <v>504</v>
      </c>
      <c r="B937" t="inlineStr">
        <is>
          <t>Nivel de Satisfacción Servicios Prestados - LEI</t>
        </is>
      </c>
      <c r="C937" t="inlineStr">
        <is>
          <t>LEI</t>
        </is>
      </c>
      <c r="D937" t="inlineStr">
        <is>
          <t>Anual</t>
        </is>
      </c>
      <c r="E937" t="inlineStr">
        <is>
          <t>Positivo</t>
        </is>
      </c>
      <c r="F937" s="148" t="n">
        <v>46022</v>
      </c>
      <c r="G937" t="n">
        <v>2025</v>
      </c>
      <c r="H937" t="inlineStr">
        <is>
          <t>Diciembre</t>
        </is>
      </c>
      <c r="I937" t="inlineStr">
        <is>
          <t>2025-2</t>
        </is>
      </c>
      <c r="J937" t="n">
        <v>80</v>
      </c>
      <c r="K937" t="n">
        <v>88</v>
      </c>
      <c r="L937" s="59">
        <f>IFERROR(IF(OR(J937=0,K937=""),"",IF(E937="Positivo",MIN(MAX(K937/J937,0),1.3),MIN(MAX(J937/K937,0),1.3))),"") </f>
        <v/>
      </c>
      <c r="M937" s="59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504-2025-12-31</t>
        </is>
      </c>
    </row>
    <row r="938">
      <c r="A938" t="n">
        <v>505</v>
      </c>
      <c r="B938" t="inlineStr">
        <is>
          <t>Nivel de Satisfacción Servicios Prestados - Mercadeo de programas académicos</t>
        </is>
      </c>
      <c r="C938" t="inlineStr">
        <is>
          <t>Mercadeo de programas académicos</t>
        </is>
      </c>
      <c r="D938" t="inlineStr">
        <is>
          <t>Anual</t>
        </is>
      </c>
      <c r="E938" t="inlineStr">
        <is>
          <t>Positivo</t>
        </is>
      </c>
      <c r="F938" s="148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80</v>
      </c>
      <c r="K938" t="n">
        <v>85</v>
      </c>
      <c r="L938" s="59">
        <f>IFERROR(IF(OR(J938=0,K938=""),"",IF(E938="Positivo",MIN(MAX(K938/J938,0),1.3),MIN(MAX(J938/K938,0),1.3))),"") </f>
        <v/>
      </c>
      <c r="M938" s="59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505-2024-12-31</t>
        </is>
      </c>
    </row>
    <row r="939">
      <c r="A939" t="n">
        <v>505</v>
      </c>
      <c r="B939" t="inlineStr">
        <is>
          <t>Nivel de Satisfacción Servicios Prestados - Mercadeo de programas académicos</t>
        </is>
      </c>
      <c r="C939" t="inlineStr">
        <is>
          <t>Mercadeo de programas académicos</t>
        </is>
      </c>
      <c r="D939" t="inlineStr">
        <is>
          <t>Anual</t>
        </is>
      </c>
      <c r="E939" t="inlineStr">
        <is>
          <t>Positivo</t>
        </is>
      </c>
      <c r="F939" s="148" t="n">
        <v>46022</v>
      </c>
      <c r="G939" t="n">
        <v>2025</v>
      </c>
      <c r="H939" t="inlineStr">
        <is>
          <t>Diciembre</t>
        </is>
      </c>
      <c r="I939" t="inlineStr">
        <is>
          <t>2025-2</t>
        </is>
      </c>
      <c r="J939" t="n">
        <v>80</v>
      </c>
      <c r="K939" t="n">
        <v>86</v>
      </c>
      <c r="L939" s="59">
        <f>IFERROR(IF(OR(J939=0,K939=""),"",IF(E939="Positivo",MIN(MAX(K939/J939,0),1.3),MIN(MAX(J939/K939,0),1.3))),"") </f>
        <v/>
      </c>
      <c r="M939" s="59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505-2025-12-31</t>
        </is>
      </c>
    </row>
    <row r="940">
      <c r="A940" t="n">
        <v>506</v>
      </c>
      <c r="B940" t="inlineStr">
        <is>
          <t>Nivel de Satisfacción Servicios Prestados - Prácticas</t>
        </is>
      </c>
      <c r="C940" t="inlineStr">
        <is>
          <t>Prácticas</t>
        </is>
      </c>
      <c r="D940" t="inlineStr">
        <is>
          <t>Anual</t>
        </is>
      </c>
      <c r="E940" t="inlineStr">
        <is>
          <t>Positivo</t>
        </is>
      </c>
      <c r="F940" s="148" t="n">
        <v>45657</v>
      </c>
      <c r="G940" t="n">
        <v>2024</v>
      </c>
      <c r="H940" t="inlineStr">
        <is>
          <t>Diciembre</t>
        </is>
      </c>
      <c r="I940" t="inlineStr">
        <is>
          <t>2024-2</t>
        </is>
      </c>
      <c r="J940" t="n">
        <v>80</v>
      </c>
      <c r="K940" t="n">
        <v>67</v>
      </c>
      <c r="L940" s="59">
        <f>IFERROR(IF(OR(J940=0,K940=""),"",IF(E940="Positivo",MIN(MAX(K940/J940,0),1.3),MIN(MAX(J940/K940,0),1.3))),"") </f>
        <v/>
      </c>
      <c r="M940" s="59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506-2024-12-31</t>
        </is>
      </c>
    </row>
    <row r="941">
      <c r="A941" t="n">
        <v>506</v>
      </c>
      <c r="B941" t="inlineStr">
        <is>
          <t>Nivel de Satisfacción Servicios Prestados - Prácticas</t>
        </is>
      </c>
      <c r="C941" t="inlineStr">
        <is>
          <t>Prácticas</t>
        </is>
      </c>
      <c r="D941" t="inlineStr">
        <is>
          <t>Trimestral</t>
        </is>
      </c>
      <c r="E941" t="inlineStr">
        <is>
          <t>Positivo</t>
        </is>
      </c>
      <c r="F941" s="148" t="n">
        <v>46022</v>
      </c>
      <c r="G941" t="n">
        <v>2025</v>
      </c>
      <c r="H941" t="inlineStr">
        <is>
          <t>Diciembre</t>
        </is>
      </c>
      <c r="I941" t="inlineStr">
        <is>
          <t>2025-2</t>
        </is>
      </c>
      <c r="J941" t="n">
        <v>80</v>
      </c>
      <c r="K941" t="n">
        <v>92.5</v>
      </c>
      <c r="L941" s="59">
        <f>IFERROR(IF(OR(J941=0,K941=""),"",IF(E941="Positivo",MIN(MAX(K941/J941,0),1.3),MIN(MAX(J941/K941,0),1.3))),"") </f>
        <v/>
      </c>
      <c r="M941" s="59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506-2025-12-31</t>
        </is>
      </c>
    </row>
    <row r="942">
      <c r="A942" t="n">
        <v>507</v>
      </c>
      <c r="B942" t="inlineStr">
        <is>
          <t>Nivel de Satisfacción Servicios Prestados -Cultura y Deporte</t>
        </is>
      </c>
      <c r="C942" t="inlineStr">
        <is>
          <t>Cultura y Deporte</t>
        </is>
      </c>
      <c r="D942" t="inlineStr">
        <is>
          <t>Anual</t>
        </is>
      </c>
      <c r="E942" t="inlineStr">
        <is>
          <t>Positivo</t>
        </is>
      </c>
      <c r="F942" s="148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80</v>
      </c>
      <c r="K942" t="n">
        <v>77</v>
      </c>
      <c r="L942" s="59">
        <f>IFERROR(IF(OR(J942=0,K942=""),"",IF(E942="Positivo",MIN(MAX(K942/J942,0),1.3),MIN(MAX(J942/K942,0),1.3))),"") </f>
        <v/>
      </c>
      <c r="M942" s="59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507-2024-12-31</t>
        </is>
      </c>
    </row>
    <row r="943">
      <c r="A943" t="n">
        <v>507</v>
      </c>
      <c r="B943" t="inlineStr">
        <is>
          <t>Nivel de Satisfacción Servicios Prestados -Cultura y Deporte</t>
        </is>
      </c>
      <c r="C943" t="inlineStr">
        <is>
          <t>Cultura y Deporte</t>
        </is>
      </c>
      <c r="D943" t="inlineStr">
        <is>
          <t>Trimestral</t>
        </is>
      </c>
      <c r="E943" t="inlineStr">
        <is>
          <t>Positivo</t>
        </is>
      </c>
      <c r="F943" s="148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80</v>
      </c>
      <c r="K943" t="n">
        <v>99</v>
      </c>
      <c r="L943" s="59">
        <f>IFERROR(IF(OR(J943=0,K943=""),"",IF(E943="Positivo",MIN(MAX(K943/J943,0),1.3),MIN(MAX(J943/K943,0),1.3))),"") </f>
        <v/>
      </c>
      <c r="M943" s="59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507-2025-12-31</t>
        </is>
      </c>
    </row>
    <row r="944">
      <c r="A944" t="n">
        <v>508</v>
      </c>
      <c r="B944" t="inlineStr">
        <is>
          <t>Nivel de Satisfacción Servicios Prestados - Diseño y contenido virtual</t>
        </is>
      </c>
      <c r="C944" t="inlineStr">
        <is>
          <t>Diseño de Contenido Virtual</t>
        </is>
      </c>
      <c r="D944" t="inlineStr">
        <is>
          <t>Anual</t>
        </is>
      </c>
      <c r="E944" t="inlineStr">
        <is>
          <t>Positivo</t>
        </is>
      </c>
      <c r="F944" s="148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88</v>
      </c>
      <c r="L944" s="59">
        <f>IFERROR(IF(OR(J944=0,K944=""),"",IF(E944="Positivo",MIN(MAX(K944/J944,0),1.3),MIN(MAX(J944/K944,0),1.3))),"") </f>
        <v/>
      </c>
      <c r="M944" s="59">
        <f>IFERROR(IF(OR(J944=0,K944=""),"",IF(E944="Positivo",MAX(K944/J944,0),MAX(J944/K944,0))),"") </f>
        <v/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508-2024-12-31</t>
        </is>
      </c>
    </row>
    <row r="945">
      <c r="A945" t="n">
        <v>508</v>
      </c>
      <c r="B945" t="inlineStr">
        <is>
          <t>Nivel de Satisfacción Servicios Prestados - Diseño y contenido virtual</t>
        </is>
      </c>
      <c r="C945" t="inlineStr">
        <is>
          <t>Diseño de Contenido Virtual</t>
        </is>
      </c>
      <c r="D945" t="inlineStr">
        <is>
          <t>Anual</t>
        </is>
      </c>
      <c r="E945" t="inlineStr">
        <is>
          <t>Positivo</t>
        </is>
      </c>
      <c r="F945" s="148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89</v>
      </c>
      <c r="L945" s="59">
        <f>IFERROR(IF(OR(J945=0,K945=""),"",IF(E945="Positivo",MIN(MAX(K945/J945,0),1.3),MIN(MAX(J945/K945,0),1.3))),"") </f>
        <v/>
      </c>
      <c r="M945" s="59">
        <f>IFERROR(IF(OR(J945=0,K945=""),"",IF(E945="Positivo",MAX(K945/J945,0),MAX(J945/K945,0))),"") </f>
        <v/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508-2025-12-31</t>
        </is>
      </c>
    </row>
    <row r="946">
      <c r="A946" t="n">
        <v>509</v>
      </c>
      <c r="B946" t="inlineStr">
        <is>
          <t>Cumplimiento a cronograma de proyectos 2025</t>
        </is>
      </c>
      <c r="C946" t="inlineStr">
        <is>
          <t>Gestión de Proyectos</t>
        </is>
      </c>
      <c r="D946" t="inlineStr">
        <is>
          <t>Mensual</t>
        </is>
      </c>
      <c r="E946" t="inlineStr">
        <is>
          <t>Positivo</t>
        </is>
      </c>
      <c r="F946" s="148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90</v>
      </c>
      <c r="K946" t="n">
        <v>97.33</v>
      </c>
      <c r="L946" s="59">
        <f>IFERROR(IF(OR(J946=0,K946=""),"",IF(E946="Positivo",MIN(MAX(K946/J946,0),1.3),MIN(MAX(J946/K946,0),1.3))),"") </f>
        <v/>
      </c>
      <c r="M946" s="59">
        <f>IFERROR(IF(OR(J946=0,K946=""),"",IF(E946="Positivo",MAX(K946/J946,0),MAX(J946/K946,0))),"") </f>
        <v/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509-2025-12-31</t>
        </is>
      </c>
    </row>
    <row r="947">
      <c r="A947" t="n">
        <v>510</v>
      </c>
      <c r="B947" t="inlineStr">
        <is>
          <t>Frecuencia de incidentes de riesgos</t>
        </is>
      </c>
      <c r="C947" t="inlineStr">
        <is>
          <t>GESTIÓN DE RIESGOS</t>
        </is>
      </c>
      <c r="D947" t="inlineStr">
        <is>
          <t>Semestral</t>
        </is>
      </c>
      <c r="E947" t="inlineStr">
        <is>
          <t>Positivo</t>
        </is>
      </c>
      <c r="F947" s="148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K947" t="n">
        <v>0</v>
      </c>
      <c r="L947" s="59" t="n"/>
      <c r="M947" s="59" t="n"/>
      <c r="N947" t="inlineStr">
        <is>
          <t>Linea Base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510-2025-12-31</t>
        </is>
      </c>
    </row>
    <row r="948">
      <c r="A948" t="n">
        <v>511</v>
      </c>
      <c r="B948" t="inlineStr">
        <is>
          <t>Eficacia de controles</t>
        </is>
      </c>
      <c r="C948" t="inlineStr">
        <is>
          <t>GESTIÓN DE RIESGOS</t>
        </is>
      </c>
      <c r="D948" t="inlineStr">
        <is>
          <t>Semestral</t>
        </is>
      </c>
      <c r="E948" t="inlineStr">
        <is>
          <t>Positivo</t>
        </is>
      </c>
      <c r="F948" s="148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257.48</v>
      </c>
      <c r="L948" s="59" t="n"/>
      <c r="M948" s="59" t="n"/>
      <c r="N948" t="inlineStr">
        <is>
          <t>Linea Base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511-2025-12-31</t>
        </is>
      </c>
    </row>
    <row r="949">
      <c r="A949" t="n">
        <v>513</v>
      </c>
      <c r="B949" t="inlineStr">
        <is>
          <t>Nivel de cumplimiento del plan de seguimiento a controles</t>
        </is>
      </c>
      <c r="C949" t="inlineStr">
        <is>
          <t>GESTIÓN DE RIESGOS</t>
        </is>
      </c>
      <c r="D949" t="inlineStr">
        <is>
          <t>Semestral</t>
        </is>
      </c>
      <c r="E949" t="inlineStr">
        <is>
          <t>Positivo</t>
        </is>
      </c>
      <c r="F949" s="148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K949" t="n">
        <v>100</v>
      </c>
      <c r="N949" t="inlineStr">
        <is>
          <t>Linea Base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513-2025-12-31</t>
        </is>
      </c>
    </row>
    <row r="950">
      <c r="A950" t="n">
        <v>514</v>
      </c>
      <c r="B950" t="inlineStr">
        <is>
          <t>Respuesta ante nuevas necesidades de control</t>
        </is>
      </c>
      <c r="C950" t="inlineStr">
        <is>
          <t>GESTIÓN DE RIESGOS</t>
        </is>
      </c>
      <c r="D950" t="inlineStr">
        <is>
          <t>Trimestral</t>
        </is>
      </c>
      <c r="E950" t="inlineStr">
        <is>
          <t>Positivo</t>
        </is>
      </c>
      <c r="F950" s="148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70</v>
      </c>
      <c r="K950" t="n">
        <v>68.89</v>
      </c>
      <c r="L950" s="59">
        <f>IFERROR(IF(OR(J950=0,K950=""),"",IF(E950="Positivo",MIN(MAX(K950/J950,0),1.3),MIN(MAX(J950/K950,0),1.3))),"") </f>
        <v/>
      </c>
      <c r="M950" s="59">
        <f>IFERROR(IF(OR(J950=0,K950=""),"",IF(E950="Positivo",MAX(K950/J950,0),MAX(J950/K950,0))),"") </f>
        <v/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514-2025-12-31</t>
        </is>
      </c>
    </row>
    <row r="951">
      <c r="A951" t="n">
        <v>515</v>
      </c>
      <c r="B951" t="inlineStr">
        <is>
          <t>Porcentaje de procesos de control implementados</t>
        </is>
      </c>
      <c r="C951" t="inlineStr">
        <is>
          <t>GESTIÓN DE LA TECNOLOGÍA E INNOVACIÓN DIGITAL</t>
        </is>
      </c>
      <c r="D951" t="inlineStr">
        <is>
          <t>Trimestral</t>
        </is>
      </c>
      <c r="E951" t="inlineStr">
        <is>
          <t>Positivo</t>
        </is>
      </c>
      <c r="F951" s="148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K951" t="n">
        <v>66.67</v>
      </c>
      <c r="L951" s="59" t="n"/>
      <c r="M951" s="59" t="n"/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515-2025-12-31</t>
        </is>
      </c>
    </row>
    <row r="952">
      <c r="A952" t="n">
        <v>516</v>
      </c>
      <c r="B952" t="inlineStr">
        <is>
          <t>Porcentaje de colaboradores formados en ciberseguridad</t>
        </is>
      </c>
      <c r="C952" t="inlineStr">
        <is>
          <t>GESTIÓN DE LA TECNOLOGÍA E INNOVACIÓN DIGITAL</t>
        </is>
      </c>
      <c r="D952" t="inlineStr">
        <is>
          <t>Trimestral</t>
        </is>
      </c>
      <c r="E952" t="inlineStr">
        <is>
          <t>Positivo</t>
        </is>
      </c>
      <c r="F952" s="148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K952" t="n">
        <v>315.79</v>
      </c>
      <c r="L952" s="59" t="n"/>
      <c r="M952" s="59" t="n"/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516-2025-12-31</t>
        </is>
      </c>
    </row>
    <row r="953">
      <c r="A953" t="n">
        <v>518</v>
      </c>
      <c r="B953" t="inlineStr">
        <is>
          <t>Cumplimiento programa de auditoría</t>
        </is>
      </c>
      <c r="C953" t="inlineStr">
        <is>
          <t>AUDITORÍA INTERNA</t>
        </is>
      </c>
      <c r="D953" t="inlineStr">
        <is>
          <t>Semestral</t>
        </is>
      </c>
      <c r="E953" t="inlineStr">
        <is>
          <t>Positivo</t>
        </is>
      </c>
      <c r="F953" s="148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100</v>
      </c>
      <c r="K953" t="n">
        <v>137.5</v>
      </c>
      <c r="L953" s="59">
        <f>IFERROR(IF(OR(J953=0,K953=""),"",IF(E953="Positivo",MIN(MAX(K953/J953,0),1.3),MIN(MAX(J953/K953,0),1.3))),"") </f>
        <v/>
      </c>
      <c r="M953" s="59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518-2025-12-31</t>
        </is>
      </c>
    </row>
    <row r="954">
      <c r="A954" t="n">
        <v>519</v>
      </c>
      <c r="B954" t="inlineStr">
        <is>
          <t>% de publicaciones con sentimiento neutro o negativo</t>
        </is>
      </c>
      <c r="C954" t="inlineStr">
        <is>
          <t>Comunicaciones Externas</t>
        </is>
      </c>
      <c r="D954" t="inlineStr">
        <is>
          <t>Trimestral</t>
        </is>
      </c>
      <c r="E954" t="inlineStr">
        <is>
          <t>Positivo</t>
        </is>
      </c>
      <c r="F954" s="148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100</v>
      </c>
      <c r="K954" t="n">
        <v>281.29</v>
      </c>
      <c r="L954" s="59">
        <f>IFERROR(IF(OR(J954=0,K954=""),"",IF(E954="Positivo",MIN(MAX(K954/J954,0),1.3),MIN(MAX(J954/K954,0),1.3))),"") </f>
        <v/>
      </c>
      <c r="M954" s="59">
        <f>IFERROR(IF(OR(J954=0,K954=""),"",IF(E954="Positivo",MAX(K954/J954,0),MAX(J954/K954,0))),"") </f>
        <v/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519-2025-12-31</t>
        </is>
      </c>
    </row>
    <row r="955">
      <c r="A955" t="n">
        <v>522</v>
      </c>
      <c r="B955" t="inlineStr">
        <is>
          <t>Asignaturas o modulos con mecanismos de evaluación implementados</t>
        </is>
      </c>
      <c r="C955" t="inlineStr">
        <is>
          <t>Gestión, Evaluación e Innovación Curricular</t>
        </is>
      </c>
      <c r="D955" t="inlineStr">
        <is>
          <t>Anual</t>
        </is>
      </c>
      <c r="E955" t="inlineStr">
        <is>
          <t>Positivo</t>
        </is>
      </c>
      <c r="F955" s="148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20</v>
      </c>
      <c r="K955" t="n">
        <v>100</v>
      </c>
      <c r="L955" s="59">
        <f>IFERROR(IF(OR(J955=0,K955=""),"",IF(E955="Positivo",MIN(MAX(K955/J955,0),1.3),MIN(MAX(J955/K955,0),1.3))),"") </f>
        <v/>
      </c>
      <c r="M955" s="59">
        <f>IFERROR(IF(OR(J955=0,K955=""),"",IF(E955="Positivo",MAX(K955/J955,0),MAX(J955/K955,0))),"") </f>
        <v/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522-2025-12-31</t>
        </is>
      </c>
    </row>
    <row r="956">
      <c r="A956" t="n">
        <v>523</v>
      </c>
      <c r="B956" t="inlineStr">
        <is>
          <t>Ingresos totales de educación para la vida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48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95</v>
      </c>
      <c r="K956" t="n">
        <v>95.76000000000001</v>
      </c>
      <c r="L956" s="59">
        <f>IFERROR(IF(OR(J956=0,K956=""),"",IF(E956="Positivo",MIN(MAX(K956/J956,0),1.3),MIN(MAX(J956/K956,0),1.3))),"") </f>
        <v/>
      </c>
      <c r="M956" s="59">
        <f>IFERROR(IF(OR(J956=0,K956=""),"",IF(E956="Positivo",MAX(K956/J956,0),MAX(J956/K956,0))),"") </f>
        <v/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523-2025-12-31</t>
        </is>
      </c>
    </row>
    <row r="957">
      <c r="A957" t="n">
        <v>524</v>
      </c>
      <c r="B957" t="inlineStr">
        <is>
          <t>Total Leads por canales de captación</t>
        </is>
      </c>
      <c r="C957" t="inlineStr">
        <is>
          <t>Mercadeo de programas académicos</t>
        </is>
      </c>
      <c r="D957" t="inlineStr">
        <is>
          <t>Trimestral</t>
        </is>
      </c>
      <c r="E957" t="inlineStr">
        <is>
          <t>Positivo</t>
        </is>
      </c>
      <c r="F957" s="148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200</v>
      </c>
      <c r="K957" t="n">
        <v>205.45</v>
      </c>
      <c r="L957" s="59">
        <f>IFERROR(IF(OR(J957=0,K957=""),"",IF(E957="Positivo",MIN(MAX(K957/J957,0),1.3),MIN(MAX(J957/K957,0),1.3))),"") </f>
        <v/>
      </c>
      <c r="M957" s="59">
        <f>IFERROR(IF(OR(J957=0,K957=""),"",IF(E957="Positivo",MAX(K957/J957,0),MAX(J957/K957,0))),"") </f>
        <v/>
      </c>
      <c r="N957" t="inlineStr">
        <is>
          <t>ENT</t>
        </is>
      </c>
      <c r="O957" t="inlineStr">
        <is>
          <t>ENT</t>
        </is>
      </c>
      <c r="P957" t="n">
        <v>0</v>
      </c>
      <c r="Q957" t="n">
        <v>0</v>
      </c>
      <c r="R957" t="inlineStr">
        <is>
          <t>524-2025-12-31</t>
        </is>
      </c>
    </row>
    <row r="958">
      <c r="A958" t="n">
        <v>526</v>
      </c>
      <c r="B958" t="inlineStr">
        <is>
          <t>Cumplimiento Politica Polisigs</t>
        </is>
      </c>
      <c r="C958" t="inlineStr">
        <is>
          <t>Planificación POLISIGS</t>
        </is>
      </c>
      <c r="D958" t="inlineStr">
        <is>
          <t>Semestral</t>
        </is>
      </c>
      <c r="E958" t="inlineStr">
        <is>
          <t>Positivo</t>
        </is>
      </c>
      <c r="F958" s="148" t="n">
        <v>45930</v>
      </c>
      <c r="G958" t="n">
        <v>2025</v>
      </c>
      <c r="H958" t="inlineStr">
        <is>
          <t>Septiembre</t>
        </is>
      </c>
      <c r="I958" t="inlineStr">
        <is>
          <t>2025-2</t>
        </is>
      </c>
      <c r="J958" t="n">
        <v>95</v>
      </c>
      <c r="K958" t="n">
        <v>96.59999999999999</v>
      </c>
      <c r="L958" s="59">
        <f>IFERROR(IF(OR(J958=0,K958=""),"",IF(E958="Positivo",MIN(MAX(K958/J958,0),1.3),MIN(MAX(J958/K958,0),1.3))),"") </f>
        <v/>
      </c>
      <c r="M958" s="59">
        <f>IFERROR(IF(OR(J958=0,K958=""),"",IF(E958="Positivo",MAX(K958/J958,0),MAX(J958/K958,0))),"") </f>
        <v/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526-2025-09-30</t>
        </is>
      </c>
    </row>
    <row r="959">
      <c r="A959" t="n">
        <v>527</v>
      </c>
      <c r="B959" t="inlineStr">
        <is>
          <t>Participación de Grupos de Interés en la construcción del nuevo plan de desarrollo (PDI)</t>
        </is>
      </c>
      <c r="C959" t="inlineStr">
        <is>
          <t>Planeación Estratégica</t>
        </is>
      </c>
      <c r="D959" t="inlineStr">
        <is>
          <t>Anual</t>
        </is>
      </c>
      <c r="E959" t="inlineStr">
        <is>
          <t>Positivo</t>
        </is>
      </c>
      <c r="F959" s="148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100</v>
      </c>
      <c r="K959" t="n">
        <v>197.94</v>
      </c>
      <c r="L959" s="59">
        <f>IFERROR(IF(OR(J959=0,K959=""),"",IF(E959="Positivo",MIN(MAX(K959/J959,0),1.3),MIN(MAX(J959/K959,0),1.3))),"") </f>
        <v/>
      </c>
      <c r="M959" s="59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527-2025-12-31</t>
        </is>
      </c>
    </row>
    <row r="960">
      <c r="A960" t="n">
        <v>528</v>
      </c>
      <c r="B960" t="inlineStr">
        <is>
          <t>Participación de la comunidad en la Rendición de Cuentas</t>
        </is>
      </c>
      <c r="C960" t="inlineStr">
        <is>
          <t>Planeación Estratégica</t>
        </is>
      </c>
      <c r="D960" t="inlineStr">
        <is>
          <t>Anual</t>
        </is>
      </c>
      <c r="E960" t="inlineStr">
        <is>
          <t>Positivo</t>
        </is>
      </c>
      <c r="F960" s="148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100</v>
      </c>
      <c r="K960" t="n">
        <v>1158</v>
      </c>
      <c r="L960" s="59">
        <f>IFERROR(IF(OR(J960=0,K960=""),"",IF(E960="Positivo",MIN(MAX(K960/J960,0),1.3),MIN(MAX(J960/K960,0),1.3))),"") </f>
        <v/>
      </c>
      <c r="M960" s="59">
        <f>IFERROR(IF(OR(J960=0,K960=""),"",IF(E960="Positivo",MAX(K960/J960,0),MAX(J960/K960,0))),"") </f>
        <v/>
      </c>
      <c r="N960" t="inlineStr">
        <is>
          <t>ENT</t>
        </is>
      </c>
      <c r="O960" t="inlineStr">
        <is>
          <t>ENT</t>
        </is>
      </c>
      <c r="P960" t="n">
        <v>0</v>
      </c>
      <c r="Q960" t="n">
        <v>0</v>
      </c>
      <c r="R960" t="inlineStr">
        <is>
          <t>528-2025-12-31</t>
        </is>
      </c>
    </row>
    <row r="961">
      <c r="A961" t="n">
        <v>529</v>
      </c>
      <c r="B961" t="inlineStr">
        <is>
          <t>Oportunidad en la solución de solicitudes de infraestructura</t>
        </is>
      </c>
      <c r="C961" t="inlineStr">
        <is>
          <t>Gestión Infraestructura Física</t>
        </is>
      </c>
      <c r="D961" t="inlineStr">
        <is>
          <t>Semestral</t>
        </is>
      </c>
      <c r="E961" t="inlineStr">
        <is>
          <t>Positivo</t>
        </is>
      </c>
      <c r="F961" s="148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180</v>
      </c>
      <c r="K961" t="n">
        <v>294.16</v>
      </c>
      <c r="L961" s="59">
        <f>IFERROR(IF(OR(J961=0,K961=""),"",IF(E961="Positivo",MIN(MAX(K961/J961,0),1.3),MIN(MAX(J961/K961,0),1.3))),"") </f>
        <v/>
      </c>
      <c r="M961" s="59">
        <f>IFERROR(IF(OR(J961=0,K961=""),"",IF(E961="Positivo",MAX(K961/J961,0),MAX(J961/K961,0))),"") </f>
        <v/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529-2025-12-31</t>
        </is>
      </c>
    </row>
    <row r="962">
      <c r="A962" t="n">
        <v>530</v>
      </c>
      <c r="B962" t="inlineStr">
        <is>
          <t>Índice de Cumplimiento del Sprint</t>
        </is>
      </c>
      <c r="C962" t="inlineStr">
        <is>
          <t>GESTIÓN DE LA TECNOLOGÍA E INNOVACIÓN DIGITAL</t>
        </is>
      </c>
      <c r="D962" t="inlineStr">
        <is>
          <t>Trimestral</t>
        </is>
      </c>
      <c r="E962" t="inlineStr">
        <is>
          <t>Positivo</t>
        </is>
      </c>
      <c r="F962" s="148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97</v>
      </c>
      <c r="K962" t="n">
        <v>85.56</v>
      </c>
      <c r="L962" s="59">
        <f>IFERROR(IF(OR(J962=0,K962=""),"",IF(E962="Positivo",MIN(MAX(K962/J962,0),1.3),MIN(MAX(J962/K962,0),1.3))),"") </f>
        <v/>
      </c>
      <c r="M962" s="59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530-2025-12-31</t>
        </is>
      </c>
    </row>
    <row r="963">
      <c r="A963" t="n">
        <v>531</v>
      </c>
      <c r="B963" t="inlineStr">
        <is>
          <t>Eficiencia de capacidad instalada</t>
        </is>
      </c>
      <c r="C963" t="inlineStr">
        <is>
          <t>GESTIÓN DE LA TECNOLOGÍA E INNOVACIÓN DIGITAL</t>
        </is>
      </c>
      <c r="D963" t="inlineStr">
        <is>
          <t>Trimestral</t>
        </is>
      </c>
      <c r="E963" t="inlineStr">
        <is>
          <t>Positivo</t>
        </is>
      </c>
      <c r="F963" s="148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90</v>
      </c>
      <c r="K963" t="n">
        <v>93.94</v>
      </c>
      <c r="L963" s="59">
        <f>IFERROR(IF(OR(J963=0,K963=""),"",IF(E963="Positivo",MIN(MAX(K963/J963,0),1.3),MIN(MAX(J963/K963,0),1.3))),"") </f>
        <v/>
      </c>
      <c r="M963" s="59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531-2025-12-31</t>
        </is>
      </c>
    </row>
    <row r="964">
      <c r="A964" t="n">
        <v>532</v>
      </c>
      <c r="B964" t="inlineStr">
        <is>
          <t>Actividades de Cooperación en Internacionalización</t>
        </is>
      </c>
      <c r="C964" t="inlineStr">
        <is>
          <t>VISIBILIDAD NACIONAL E INTERNACIONAL</t>
        </is>
      </c>
      <c r="D964" t="inlineStr">
        <is>
          <t>Trimestral</t>
        </is>
      </c>
      <c r="E964" t="inlineStr">
        <is>
          <t>Positivo</t>
        </is>
      </c>
      <c r="F964" s="148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200</v>
      </c>
      <c r="K964" t="n">
        <v>267.93</v>
      </c>
      <c r="L964" s="59">
        <f>IFERROR(IF(OR(J964=0,K964=""),"",IF(E964="Positivo",MIN(MAX(K964/J964,0),1.3),MIN(MAX(J964/K964,0),1.3))),"") </f>
        <v/>
      </c>
      <c r="M964" s="59">
        <f>IFERROR(IF(OR(J964=0,K964=""),"",IF(E964="Positivo",MAX(K964/J964,0),MAX(J964/K964,0))),"") </f>
        <v/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532-2025-12-31</t>
        </is>
      </c>
    </row>
    <row r="965">
      <c r="A965" t="n">
        <v>533</v>
      </c>
      <c r="B965" t="inlineStr">
        <is>
          <t>Participación de estudiantes externos invitados a actividades de cooperación nacional e internacional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48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302.84</v>
      </c>
      <c r="L965" s="59">
        <f>IFERROR(IF(OR(J965=0,K965=""),"",IF(E965="Positivo",MIN(MAX(K965/J965,0),1.3),MIN(MAX(J965/K965,0),1.3))),"") </f>
        <v/>
      </c>
      <c r="M965" s="59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533-2025-12-31</t>
        </is>
      </c>
    </row>
    <row r="966">
      <c r="A966" t="n">
        <v>534</v>
      </c>
      <c r="B966" t="inlineStr">
        <is>
          <t>Participación de estudiantes POLI en actividades de cooperación nacional e internacional</t>
        </is>
      </c>
      <c r="C966" t="inlineStr">
        <is>
          <t>VISIBILIDAD NACIONAL E INTERNACIONAL</t>
        </is>
      </c>
      <c r="D966" t="inlineStr">
        <is>
          <t>Trimestral</t>
        </is>
      </c>
      <c r="E966" t="inlineStr">
        <is>
          <t>Positivo</t>
        </is>
      </c>
      <c r="F966" s="148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200</v>
      </c>
      <c r="K966" t="n">
        <v>268.62</v>
      </c>
      <c r="L966" s="59">
        <f>IFERROR(IF(OR(J966=0,K966=""),"",IF(E966="Positivo",MIN(MAX(K966/J966,0),1.3),MIN(MAX(J966/K966,0),1.3))),"") </f>
        <v/>
      </c>
      <c r="M966" s="59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534-2025-12-31</t>
        </is>
      </c>
    </row>
    <row r="967">
      <c r="A967" t="n">
        <v>535</v>
      </c>
      <c r="B967" t="inlineStr">
        <is>
          <t>Participación de profesores externos invitados a actividades de cooperación nacional e internacional</t>
        </is>
      </c>
      <c r="C967" t="inlineStr">
        <is>
          <t>VISIBILIDAD NACIONAL E INTERNACIONAL</t>
        </is>
      </c>
      <c r="D967" t="inlineStr">
        <is>
          <t>Trimestral</t>
        </is>
      </c>
      <c r="E967" t="inlineStr">
        <is>
          <t>Positivo</t>
        </is>
      </c>
      <c r="F967" s="148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200</v>
      </c>
      <c r="K967" t="n">
        <v>342.3</v>
      </c>
      <c r="L967" s="59">
        <f>IFERROR(IF(OR(J967=0,K967=""),"",IF(E967="Positivo",MIN(MAX(K967/J967,0),1.3),MIN(MAX(J967/K967,0),1.3))),"") </f>
        <v/>
      </c>
      <c r="M967" s="59">
        <f>IFERROR(IF(OR(J967=0,K967=""),"",IF(E967="Positivo",MAX(K967/J967,0),MAX(J967/K967,0))),"") </f>
        <v/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535-2025-12-31</t>
        </is>
      </c>
    </row>
    <row r="968">
      <c r="A968" t="n">
        <v>536</v>
      </c>
      <c r="B968" t="inlineStr">
        <is>
          <t>Participación de profesores POLI en actividades de cooperación nacional e internacional</t>
        </is>
      </c>
      <c r="C968" t="inlineStr">
        <is>
          <t>VISIBILIDAD NACIONAL E INTERNACIONAL</t>
        </is>
      </c>
      <c r="D968" t="inlineStr">
        <is>
          <t>Trimestral</t>
        </is>
      </c>
      <c r="E968" t="inlineStr">
        <is>
          <t>Positivo</t>
        </is>
      </c>
      <c r="F968" s="148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200</v>
      </c>
      <c r="K968" t="n">
        <v>370.08</v>
      </c>
      <c r="L968" s="59">
        <f>IFERROR(IF(OR(J968=0,K968=""),"",IF(E968="Positivo",MIN(MAX(K968/J968,0),1.3),MIN(MAX(J968/K968,0),1.3))),"") </f>
        <v/>
      </c>
      <c r="M968" s="59">
        <f>IFERROR(IF(OR(J968=0,K968=""),"",IF(E968="Positivo",MAX(K968/J968,0),MAX(J968/K968,0))),"") </f>
        <v/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536-2025-12-31</t>
        </is>
      </c>
    </row>
    <row r="969">
      <c r="A969" t="n">
        <v>537</v>
      </c>
      <c r="B969" t="inlineStr">
        <is>
          <t>FCR- Resolución en primer contacto</t>
        </is>
      </c>
      <c r="C969" t="inlineStr">
        <is>
          <t>Servicio</t>
        </is>
      </c>
      <c r="D969" t="inlineStr">
        <is>
          <t>Trimestral</t>
        </is>
      </c>
      <c r="E969" t="inlineStr">
        <is>
          <t>Positivo</t>
        </is>
      </c>
      <c r="F969" s="148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65</v>
      </c>
      <c r="K969" t="n">
        <v>64.3</v>
      </c>
      <c r="L969" s="59">
        <f>IFERROR(IF(OR(J969=0,K969=""),"",IF(E969="Positivo",MIN(MAX(K969/J969,0),1.3),MIN(MAX(J969/K969,0),1.3))),"") </f>
        <v/>
      </c>
      <c r="M969" s="59">
        <f>IFERROR(IF(OR(J969=0,K969=""),"",IF(E969="Positivo",MAX(K969/J969,0),MAX(J969/K969,0))),"") </f>
        <v/>
      </c>
      <c r="N969" t="inlineStr">
        <is>
          <t>ENT</t>
        </is>
      </c>
      <c r="O969" t="inlineStr">
        <is>
          <t>ENT</t>
        </is>
      </c>
      <c r="P969" t="n">
        <v>0</v>
      </c>
      <c r="Q969" t="n">
        <v>0</v>
      </c>
      <c r="R969" t="inlineStr">
        <is>
          <t>537-2025-12-31</t>
        </is>
      </c>
    </row>
    <row r="970">
      <c r="A970" t="n">
        <v>538</v>
      </c>
      <c r="B970" t="inlineStr">
        <is>
          <t>Cumplimiento de sesiones de socialización de planeación académica</t>
        </is>
      </c>
      <c r="C970" t="inlineStr">
        <is>
          <t>Registro y Control</t>
        </is>
      </c>
      <c r="D970" t="inlineStr">
        <is>
          <t>Trimestral</t>
        </is>
      </c>
      <c r="E970" t="inlineStr">
        <is>
          <t>Positivo</t>
        </is>
      </c>
      <c r="F970" s="148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90</v>
      </c>
      <c r="K970" t="n">
        <v>100</v>
      </c>
      <c r="L970" s="59">
        <f>IFERROR(IF(OR(J970=0,K970=""),"",IF(E970="Positivo",MIN(MAX(K970/J970,0),1.3),MIN(MAX(J970/K970,0),1.3))),"") </f>
        <v/>
      </c>
      <c r="M970" s="59">
        <f>IFERROR(IF(OR(J970=0,K970=""),"",IF(E970="Positivo",MAX(K970/J970,0),MAX(J970/K970,0))),"") </f>
        <v/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538-2025-12-31</t>
        </is>
      </c>
    </row>
    <row r="971">
      <c r="A971" t="n">
        <v>539</v>
      </c>
      <c r="B971" t="inlineStr">
        <is>
          <t>CES emisión de certificados</t>
        </is>
      </c>
      <c r="C971" t="inlineStr">
        <is>
          <t>Registro y Control</t>
        </is>
      </c>
      <c r="D971" t="inlineStr">
        <is>
          <t>Trimestral</t>
        </is>
      </c>
      <c r="E971" t="inlineStr">
        <is>
          <t>Negativo</t>
        </is>
      </c>
      <c r="F971" s="148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2.5</v>
      </c>
      <c r="K971" t="n">
        <v>2.5</v>
      </c>
      <c r="L971" s="59">
        <f>IFERROR(IF(OR(J971=0,K971=""),"",IF(E971="Positivo",MIN(MAX(K971/J971,0),1.3),MIN(MAX(J971/K971,0),1.3))),"") </f>
        <v/>
      </c>
      <c r="M971" s="59">
        <f>IFERROR(IF(OR(J971=0,K971=""),"",IF(E971="Positivo",MAX(K971/J971,0),MAX(J971/K971,0))),"") </f>
        <v/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539-2025-12-31</t>
        </is>
      </c>
    </row>
    <row r="972">
      <c r="A972" t="n">
        <v>540</v>
      </c>
      <c r="B972" t="inlineStr">
        <is>
          <t>Nivel de Calidad de los Datos Cargados al SNIES</t>
        </is>
      </c>
      <c r="C972" t="inlineStr">
        <is>
          <t>DATOS Y ANALÍTICA</t>
        </is>
      </c>
      <c r="D972" t="inlineStr">
        <is>
          <t>Trimestral</t>
        </is>
      </c>
      <c r="E972" t="inlineStr">
        <is>
          <t>Positivo</t>
        </is>
      </c>
      <c r="F972" s="148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97</v>
      </c>
      <c r="K972" t="n">
        <v>97.61500000000001</v>
      </c>
      <c r="L972" s="59">
        <f>IFERROR(IF(OR(J972=0,K972=""),"",IF(E972="Positivo",MIN(MAX(K972/J972,0),1.3),MIN(MAX(J972/K972,0),1.3))),"") </f>
        <v/>
      </c>
      <c r="M972" s="59">
        <f>IFERROR(IF(OR(J972=0,K972=""),"",IF(E972="Positivo",MAX(K972/J972,0),MAX(J972/K972,0))),"") </f>
        <v/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540-2025-12-31</t>
        </is>
      </c>
    </row>
    <row r="973">
      <c r="A973" t="n">
        <v>541</v>
      </c>
      <c r="B973" t="inlineStr">
        <is>
          <t>Participación de graduados en actividades de empleabilidad y relacionamiento</t>
        </is>
      </c>
      <c r="C973" t="inlineStr">
        <is>
          <t>Gestión de Graduados</t>
        </is>
      </c>
      <c r="D973" t="inlineStr">
        <is>
          <t>Anual</t>
        </is>
      </c>
      <c r="E973" t="inlineStr">
        <is>
          <t>Positivo</t>
        </is>
      </c>
      <c r="F973" s="148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4</v>
      </c>
      <c r="K973" t="n">
        <v>6.99</v>
      </c>
      <c r="L973" s="59">
        <f>IFERROR(IF(OR(J973=0,K973=""),"",IF(E973="Positivo",MIN(MAX(K973/J973,0),1.3),MIN(MAX(J973/K973,0),1.3))),"") </f>
        <v/>
      </c>
      <c r="M973" s="59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541-2025-12-31</t>
        </is>
      </c>
    </row>
    <row r="974">
      <c r="A974" t="n">
        <v>542</v>
      </c>
      <c r="B974" t="inlineStr">
        <is>
          <t>Tasa de cotización del graduado - Metrica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48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K974" t="n">
        <v>81.23999999999999</v>
      </c>
      <c r="L974" s="59" t="n"/>
      <c r="M974" s="59" t="n"/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542-2025-12-31</t>
        </is>
      </c>
      <c r="S974" t="inlineStr">
        <is>
          <t>Metrica</t>
        </is>
      </c>
    </row>
    <row r="975">
      <c r="A975" t="n">
        <v>543</v>
      </c>
      <c r="B975" t="inlineStr">
        <is>
          <t>Tasa de interacción por usuario</t>
        </is>
      </c>
      <c r="C975" t="inlineStr">
        <is>
          <t>Editorial y Publicaciones</t>
        </is>
      </c>
      <c r="D975" t="inlineStr">
        <is>
          <t>Trimestral</t>
        </is>
      </c>
      <c r="E975" t="inlineStr">
        <is>
          <t>Positivo</t>
        </is>
      </c>
      <c r="F975" s="148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14.2</v>
      </c>
      <c r="L975" s="59" t="n"/>
      <c r="M975" s="59" t="n"/>
      <c r="N975" t="inlineStr">
        <is>
          <t>ENT</t>
        </is>
      </c>
      <c r="O975" t="inlineStr">
        <is>
          <t>ENT</t>
        </is>
      </c>
      <c r="P975" t="n">
        <v>0</v>
      </c>
      <c r="Q975" t="n">
        <v>0</v>
      </c>
      <c r="R975" t="inlineStr">
        <is>
          <t>543-2025-12-31</t>
        </is>
      </c>
    </row>
    <row r="976">
      <c r="A976" t="n">
        <v>544</v>
      </c>
      <c r="B976" t="inlineStr">
        <is>
          <t>Producción de ambientes inmersivos LEI</t>
        </is>
      </c>
      <c r="C976" t="inlineStr">
        <is>
          <t>LEI</t>
        </is>
      </c>
      <c r="D976" t="inlineStr">
        <is>
          <t>Trimestral</t>
        </is>
      </c>
      <c r="E976" t="inlineStr">
        <is>
          <t>Positivo</t>
        </is>
      </c>
      <c r="F976" s="148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100</v>
      </c>
      <c r="K976" t="n">
        <v>206.25</v>
      </c>
      <c r="L976" s="59">
        <f>IFERROR(IF(OR(J976=0,K976=""),"",IF(E976="Positivo",MIN(MAX(K976/J976,0),1.3),MIN(MAX(J976/K976,0),1.3))),"") </f>
        <v/>
      </c>
      <c r="M976" s="59">
        <f>IFERROR(IF(OR(J976=0,K976=""),"",IF(E976="Positivo",MAX(K976/J976,0),MAX(J976/K976,0))),"") </f>
        <v/>
      </c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544-2025-12-31</t>
        </is>
      </c>
    </row>
    <row r="977">
      <c r="A977" t="n">
        <v>546</v>
      </c>
      <c r="B977" t="inlineStr">
        <is>
          <t>Tasa de participación de graduados en instrumentos de seguimiento (M0, M1, M5)</t>
        </is>
      </c>
      <c r="C977" t="inlineStr">
        <is>
          <t>Gestión de Graduados</t>
        </is>
      </c>
      <c r="D977" t="inlineStr">
        <is>
          <t>Anual</t>
        </is>
      </c>
      <c r="E977" t="inlineStr">
        <is>
          <t>Positivo</t>
        </is>
      </c>
      <c r="F977" s="148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100</v>
      </c>
      <c r="K977" t="n">
        <v>113.38</v>
      </c>
      <c r="L977" s="59">
        <f>IFERROR(IF(OR(J977=0,K977=""),"",IF(E977="Positivo",MIN(MAX(K977/J977,0),1.3),MIN(MAX(J977/K977,0),1.3))),"") </f>
        <v/>
      </c>
      <c r="M977" s="59">
        <f>IFERROR(IF(OR(J977=0,K977=""),"",IF(E977="Positivo",MAX(K977/J977,0),MAX(J977/K977,0))),"") </f>
        <v/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546-2025-12-31</t>
        </is>
      </c>
    </row>
    <row r="978">
      <c r="A978" t="n">
        <v>547</v>
      </c>
      <c r="B978" t="inlineStr">
        <is>
          <t>Nivel de satisfacción del graduado con la institución</t>
        </is>
      </c>
      <c r="C978" t="inlineStr">
        <is>
          <t>Gestión de Graduados</t>
        </is>
      </c>
      <c r="D978" t="inlineStr">
        <is>
          <t>Anual</t>
        </is>
      </c>
      <c r="E978" t="inlineStr">
        <is>
          <t>Positivo</t>
        </is>
      </c>
      <c r="F978" s="148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K978" t="n">
        <v>92</v>
      </c>
      <c r="L978" s="59" t="n"/>
      <c r="M978" s="59" t="n"/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547-2025-12-31</t>
        </is>
      </c>
    </row>
    <row r="979">
      <c r="A979" t="n">
        <v>550</v>
      </c>
      <c r="B979" t="inlineStr">
        <is>
          <t>Nivel de satisfacción con las actividades de formación</t>
        </is>
      </c>
      <c r="C979" t="inlineStr">
        <is>
          <t>Emprendimiento</t>
        </is>
      </c>
      <c r="D979" t="inlineStr">
        <is>
          <t>Trimestral</t>
        </is>
      </c>
      <c r="E979" t="inlineStr">
        <is>
          <t>Positivo</t>
        </is>
      </c>
      <c r="F979" s="148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80</v>
      </c>
      <c r="K979" t="n">
        <v>95.5</v>
      </c>
      <c r="L979" s="59">
        <f>IFERROR(IF(OR(J979=0,K979=""),"",IF(E979="Positivo",MIN(MAX(K979/J979,0),1.3),MIN(MAX(J979/K979,0),1.3))),"") </f>
        <v/>
      </c>
      <c r="M979" s="59">
        <f>IFERROR(IF(OR(J979=0,K979=""),"",IF(E979="Positivo",MAX(K979/J979,0),MAX(J979/K979,0))),"") </f>
        <v/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550-2025-12-31</t>
        </is>
      </c>
    </row>
    <row r="980">
      <c r="A980" t="n">
        <v>551</v>
      </c>
      <c r="B980" t="inlineStr">
        <is>
          <t>Evaluación del desempeño de los mentores</t>
        </is>
      </c>
      <c r="C980" t="inlineStr">
        <is>
          <t>Emprendimiento</t>
        </is>
      </c>
      <c r="D980" t="inlineStr">
        <is>
          <t>Trimestral</t>
        </is>
      </c>
      <c r="E980" t="inlineStr">
        <is>
          <t>Positivo</t>
        </is>
      </c>
      <c r="F980" s="148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4</v>
      </c>
      <c r="K980" t="n">
        <v>5</v>
      </c>
      <c r="L980" s="59">
        <f>IFERROR(IF(OR(J980=0,K980=""),"",IF(E980="Positivo",MIN(MAX(K980/J980,0),1.3),MIN(MAX(J980/K980,0),1.3))),"") </f>
        <v/>
      </c>
      <c r="M980" s="59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551-2025-12-31</t>
        </is>
      </c>
    </row>
    <row r="981">
      <c r="A981" t="n">
        <v>552</v>
      </c>
      <c r="B981" t="inlineStr">
        <is>
          <t>Nivel de Satisfacción Servicios Prestados -Gestión de la Responsabilidad Social</t>
        </is>
      </c>
      <c r="C981" t="inlineStr">
        <is>
          <t>Gestión de la Responsabilidad Social</t>
        </is>
      </c>
      <c r="D981" t="inlineStr">
        <is>
          <t>Anual</t>
        </is>
      </c>
      <c r="E981" t="inlineStr">
        <is>
          <t>Positivo</t>
        </is>
      </c>
      <c r="F981" s="148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80</v>
      </c>
      <c r="K981" t="n">
        <v>92</v>
      </c>
      <c r="L981" s="59">
        <f>IFERROR(IF(OR(J981=0,K981=""),"",IF(E981="Positivo",MIN(MAX(K981/J981,0),1.3),MIN(MAX(J981/K981,0),1.3))),"") </f>
        <v/>
      </c>
      <c r="M981" s="59">
        <f>IFERROR(IF(OR(J981=0,K981=""),"",IF(E981="Positivo",MAX(K981/J981,0),MAX(J981/K981,0))),"") </f>
        <v/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552-2025-12-31</t>
        </is>
      </c>
    </row>
    <row r="982">
      <c r="A982" t="n">
        <v>553</v>
      </c>
      <c r="B982" t="inlineStr">
        <is>
          <t>Nivel de Satisfacción Servicios Prestados -Inscripción, admisión y matrícula de estudiantes nuevos</t>
        </is>
      </c>
      <c r="C982" t="inlineStr">
        <is>
          <t>Inscripción, admisión y matrícula de estudiantes nuevos</t>
        </is>
      </c>
      <c r="D982" t="inlineStr">
        <is>
          <t>Anual</t>
        </is>
      </c>
      <c r="E982" t="inlineStr">
        <is>
          <t>Positivo</t>
        </is>
      </c>
      <c r="F982" s="148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80</v>
      </c>
      <c r="K982" t="n">
        <v>83</v>
      </c>
      <c r="L982" s="59">
        <f>IFERROR(IF(OR(J982=0,K982=""),"",IF(E982="Positivo",MIN(MAX(K982/J982,0),1.3),MIN(MAX(J982/K982,0),1.3))),"") </f>
        <v/>
      </c>
      <c r="M982" s="59">
        <f>IFERROR(IF(OR(J982=0,K982=""),"",IF(E982="Positivo",MAX(K982/J982,0),MAX(J982/K982,0))),"") </f>
        <v/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553-2025-12-31</t>
        </is>
      </c>
    </row>
    <row r="983">
      <c r="A983" t="n">
        <v>554</v>
      </c>
      <c r="B983" t="inlineStr">
        <is>
          <t>Nivel de Satisfacción Servicios Prestados -Permanencia</t>
        </is>
      </c>
      <c r="C983" t="inlineStr">
        <is>
          <t>Permanencia</t>
        </is>
      </c>
      <c r="D983" t="inlineStr">
        <is>
          <t>Trimestral</t>
        </is>
      </c>
      <c r="E983" t="inlineStr">
        <is>
          <t>Positivo</t>
        </is>
      </c>
      <c r="F983" s="148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80</v>
      </c>
      <c r="K983" t="n">
        <v>95</v>
      </c>
      <c r="L983" s="59">
        <f>IFERROR(IF(OR(J983=0,K983=""),"",IF(E983="Positivo",MIN(MAX(K983/J983,0),1.3),MIN(MAX(J983/K983,0),1.3))),"") </f>
        <v/>
      </c>
      <c r="M983" s="59">
        <f>IFERROR(IF(OR(J983=0,K983=""),"",IF(E983="Positivo",MAX(K983/J983,0),MAX(J983/K983,0))),"") </f>
        <v/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554-2025-12-31</t>
        </is>
      </c>
    </row>
    <row r="984">
      <c r="A984" t="n">
        <v>555</v>
      </c>
      <c r="B984" t="inlineStr">
        <is>
          <t>Nivel de Satisfacción Servicios Prestados -Mercadeo y venta de educación para la vida</t>
        </is>
      </c>
      <c r="C984" t="inlineStr">
        <is>
          <t>Mercadeo y venta de educación para la vida</t>
        </is>
      </c>
      <c r="D984" t="inlineStr">
        <is>
          <t>Trimestral</t>
        </is>
      </c>
      <c r="E984" t="inlineStr">
        <is>
          <t>Positivo</t>
        </is>
      </c>
      <c r="F984" s="148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80</v>
      </c>
      <c r="K984" t="n">
        <v>100</v>
      </c>
      <c r="L984" s="59">
        <f>IFERROR(IF(OR(J984=0,K984=""),"",IF(E984="Positivo",MIN(MAX(K984/J984,0),1.3),MIN(MAX(J984/K984,0),1.3))),"") </f>
        <v/>
      </c>
      <c r="M984" s="59">
        <f>IFERROR(IF(OR(J984=0,K984=""),"",IF(E984="Positivo",MAX(K984/J984,0),MAX(J984/K984,0))),"") </f>
        <v/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555-2025-12-31</t>
        </is>
      </c>
    </row>
    <row r="985">
      <c r="A985" t="n">
        <v>556</v>
      </c>
      <c r="B985" t="inlineStr">
        <is>
          <t>Cumplimiento Plan de formación Institucional</t>
        </is>
      </c>
      <c r="C985" t="inlineStr">
        <is>
          <t>GESTIÓN Y DESARROLLO DEL TALENTO HUMANO</t>
        </is>
      </c>
      <c r="D985" t="inlineStr">
        <is>
          <t>Anual</t>
        </is>
      </c>
      <c r="E985" t="inlineStr">
        <is>
          <t>Positivo</t>
        </is>
      </c>
      <c r="F985" s="148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70</v>
      </c>
      <c r="K985" t="n">
        <v>113.75</v>
      </c>
      <c r="L985" s="59">
        <f>IFERROR(IF(OR(J985=0,K985=""),"",IF(E985="Positivo",MIN(MAX(K985/J985,0),1.3),MIN(MAX(J985/K985,0),1.3))),"") </f>
        <v/>
      </c>
      <c r="M985" s="59">
        <f>IFERROR(IF(OR(J985=0,K985=""),"",IF(E985="Positivo",MAX(K985/J985,0),MAX(J985/K985,0))),"") </f>
        <v/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556-2025-12-31</t>
        </is>
      </c>
    </row>
  </sheetData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8" min="1" max="1"/>
    <col width="19.6640625" bestFit="1" customWidth="1" style="108" min="2" max="2"/>
    <col width="24.88671875" bestFit="1" customWidth="1" style="108" min="3" max="3"/>
    <col width="11.5546875" customWidth="1" style="108" min="4" max="4"/>
    <col width="44.88671875" bestFit="1" customWidth="1" style="108" min="5" max="5"/>
    <col width="49.88671875" customWidth="1" style="108" min="6" max="6"/>
    <col width="2.5546875" customWidth="1" style="108" min="7" max="7"/>
    <col width="24.88671875" bestFit="1" customWidth="1" style="108" min="8" max="8"/>
    <col width="11.5546875" customWidth="1" style="108" min="9" max="9"/>
    <col width="46.109375" customWidth="1" style="108" min="10" max="10"/>
    <col width="35.77734375" customWidth="1" style="108" min="11" max="11"/>
    <col width="11.5546875" customWidth="1" style="108" min="12" max="16384"/>
  </cols>
  <sheetData>
    <row r="1">
      <c r="A1" s="109" t="n"/>
      <c r="B1" s="109" t="n"/>
      <c r="C1" s="115" t="inlineStr">
        <is>
          <t>Serie Unica</t>
        </is>
      </c>
      <c r="H1" s="113" t="inlineStr">
        <is>
          <t>Multiserie</t>
        </is>
      </c>
      <c r="I1" s="140" t="n"/>
      <c r="J1" s="140" t="n"/>
      <c r="K1" s="141" t="n"/>
    </row>
    <row r="2">
      <c r="A2" s="109" t="inlineStr">
        <is>
          <t>Base a generar</t>
        </is>
      </c>
      <c r="B2" s="109" t="inlineStr">
        <is>
          <t>Hoja a actualizar</t>
        </is>
      </c>
      <c r="C2" s="109" t="inlineStr">
        <is>
          <t>Fuente</t>
        </is>
      </c>
      <c r="D2" s="109" t="inlineStr">
        <is>
          <t>Variable</t>
        </is>
      </c>
      <c r="E2" s="109" t="inlineStr">
        <is>
          <t>Tipo 1 (Generales)</t>
        </is>
      </c>
      <c r="F2" s="109" t="inlineStr">
        <is>
          <t>Tipo 2 (Desglose de Variables)</t>
        </is>
      </c>
      <c r="H2" s="112" t="inlineStr">
        <is>
          <t>Fuente</t>
        </is>
      </c>
      <c r="I2" s="112" t="inlineStr">
        <is>
          <t>Variable</t>
        </is>
      </c>
      <c r="J2" s="112" t="inlineStr">
        <is>
          <t>Tipo 1 (Generales)</t>
        </is>
      </c>
      <c r="K2" s="112" t="inlineStr">
        <is>
          <t>Tipo 2 (Desglose de Series)</t>
        </is>
      </c>
    </row>
    <row r="3" ht="28.8" customHeight="1">
      <c r="A3" s="114" t="inlineStr">
        <is>
          <t>Resultados Consolidado</t>
        </is>
      </c>
      <c r="B3" s="114" t="inlineStr">
        <is>
          <t>Consolidado Historico</t>
        </is>
      </c>
      <c r="C3" s="111" t="inlineStr">
        <is>
          <t>Consolidado_API_Kawak.xlsx</t>
        </is>
      </c>
      <c r="D3" s="111" t="inlineStr">
        <is>
          <t>Meta</t>
        </is>
      </c>
      <c r="E3" s="111" t="inlineStr">
        <is>
          <t>Meta / Cumplimiento en caso de que meta este vacio</t>
        </is>
      </c>
      <c r="F3" s="111" t="inlineStr">
        <is>
          <t>Valor de variable Meta</t>
        </is>
      </c>
      <c r="H3" s="110" t="inlineStr">
        <is>
          <t>Consolidado_API_Kawak.xlsx</t>
        </is>
      </c>
      <c r="I3" s="110" t="inlineStr">
        <is>
          <t>Meta</t>
        </is>
      </c>
      <c r="J3" s="110" t="inlineStr">
        <is>
          <t>Meta / Cumplimiento en caso de que meta este vacio</t>
        </is>
      </c>
      <c r="K3" s="110" t="inlineStr">
        <is>
          <t>Valor de series (Acumulado, Promedio, Cierre) Meta</t>
        </is>
      </c>
    </row>
    <row r="4" ht="28.8" customHeight="1">
      <c r="A4" s="61" t="n"/>
      <c r="B4" s="61" t="n"/>
      <c r="C4" s="111" t="inlineStr">
        <is>
          <t>Consolidado_API_Kawak.xlsx</t>
        </is>
      </c>
      <c r="D4" s="111" t="inlineStr">
        <is>
          <t>Ejecución</t>
        </is>
      </c>
      <c r="E4" s="111" t="inlineStr">
        <is>
          <t>Resultado</t>
        </is>
      </c>
      <c r="F4" s="111" t="inlineStr">
        <is>
          <t>Valor de variable Ejecución</t>
        </is>
      </c>
      <c r="H4" s="110" t="inlineStr">
        <is>
          <t>Consolidado_API_Kawak.xlsx</t>
        </is>
      </c>
      <c r="I4" s="110" t="inlineStr">
        <is>
          <t>Ejecución</t>
        </is>
      </c>
      <c r="J4" s="110" t="inlineStr">
        <is>
          <t>Resultado</t>
        </is>
      </c>
      <c r="K4" s="110" t="inlineStr">
        <is>
          <t>Valor de series (Acumulado, Promedio, Cierre) Ejecución</t>
        </is>
      </c>
    </row>
    <row r="5" ht="43.2" customHeight="1">
      <c r="A5" s="61" t="n"/>
      <c r="B5" s="57" t="n"/>
      <c r="C5" s="111" t="inlineStr">
        <is>
          <t>Observación</t>
        </is>
      </c>
      <c r="D5" s="111" t="n"/>
      <c r="E5" s="111" t="inlineStr">
        <is>
          <t>Extracción directa de la información</t>
        </is>
      </c>
      <c r="F5" s="111" t="inlineStr">
        <is>
          <t>Se debe validar el indicador en la Hoja Variables Columna Campo para identificar la Variable Meta y la Variable Ejecución  si es informativo extraer de forma general</t>
        </is>
      </c>
      <c r="H5" s="110" t="inlineStr">
        <is>
          <t>Observación</t>
        </is>
      </c>
      <c r="I5" s="110" t="n"/>
      <c r="J5" s="110" t="inlineStr">
        <is>
          <t>Extracción directa de la información</t>
        </is>
      </c>
      <c r="K5" s="110" t="inlineStr">
        <is>
          <t>Se debe validar el indicador en la Hoja Catalogo Indicadores - Tipo de calculo</t>
        </is>
      </c>
    </row>
    <row r="6" ht="57.6" customHeight="1">
      <c r="A6" s="61" t="n"/>
      <c r="B6" s="114" t="inlineStr">
        <is>
          <t>Consolidado Semestral</t>
        </is>
      </c>
      <c r="C6" s="111" t="inlineStr">
        <is>
          <t>Consolidado Historico</t>
        </is>
      </c>
      <c r="D6" s="111" t="inlineStr">
        <is>
          <t>Meta</t>
        </is>
      </c>
      <c r="E6" s="111" t="inlineStr">
        <is>
          <t>Buscar en el catalogo de indicadores la columna TipoCalculo e identificar si la variable Meta es acumulado (Suma), Cierre, Promedio por semestre</t>
        </is>
      </c>
      <c r="F6" s="111" t="inlineStr">
        <is>
          <t>Buscar en el catalogo de indicadores la columna TipoCalculo e identificar si la variable Meta es acumulado (Suma), Cierre, Promedio por semestre</t>
        </is>
      </c>
      <c r="H6" s="110" t="inlineStr">
        <is>
          <t>Consolidado Historico</t>
        </is>
      </c>
      <c r="I6" s="110" t="inlineStr">
        <is>
          <t>Meta</t>
        </is>
      </c>
      <c r="J6" s="110" t="inlineStr">
        <is>
          <t>Buscar en el catalogo de indicadores la columna TipoCalculo e identificar si la variable Meta es acumulado (Suma), Cierre, Promedio por semestre</t>
        </is>
      </c>
      <c r="K6" s="110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61" t="n"/>
      <c r="B7" s="57" t="n"/>
      <c r="C7" s="111" t="inlineStr">
        <is>
          <t>Consolidado Historico</t>
        </is>
      </c>
      <c r="D7" s="111" t="inlineStr">
        <is>
          <t>Ejecución</t>
        </is>
      </c>
      <c r="E7" s="111" t="inlineStr">
        <is>
          <t>Buscar en el catalogo de indicadores la columna TipoCalculo e identificar si la variable Ejecución es acumulado (Suma), Cierre, Promedio por semestre</t>
        </is>
      </c>
      <c r="F7" s="111" t="inlineStr">
        <is>
          <t>Buscar en el catalogo de indicadores la columna TipoCalculo e identificar si la variable Ejecución es acumulado (Suma), Cierre, Promedio por semestre</t>
        </is>
      </c>
      <c r="H7" s="110" t="inlineStr">
        <is>
          <t>Consolidado Historico</t>
        </is>
      </c>
      <c r="I7" s="110" t="inlineStr">
        <is>
          <t>Ejecución</t>
        </is>
      </c>
      <c r="J7" s="110" t="inlineStr">
        <is>
          <t>Buscar en el catalogo de indicadores la columna TipoCalculo e identificar si la variable Ejecución es acumulado (Suma), Cierre, Promedio por semestre</t>
        </is>
      </c>
      <c r="K7" s="110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61" t="n"/>
      <c r="B8" s="114" t="inlineStr">
        <is>
          <t>Consolidado Cierre</t>
        </is>
      </c>
      <c r="C8" s="111" t="inlineStr">
        <is>
          <t>Consolidado Historico</t>
        </is>
      </c>
      <c r="D8" s="111" t="inlineStr">
        <is>
          <t>Meta</t>
        </is>
      </c>
      <c r="E8" s="111" t="inlineStr">
        <is>
          <t>Buscar en el catalogo de indicadores la columna TipoCalculo e identificar si la variable Meta es acumulado (Suma), Cierre, Promedio por año</t>
        </is>
      </c>
      <c r="F8" s="111" t="inlineStr">
        <is>
          <t>Buscar en el catalogo de indicadores la columna TipoCalculo e identificar si la variable Meta es acumulado (Suma), Cierre, Promedio por año</t>
        </is>
      </c>
      <c r="H8" s="110" t="inlineStr">
        <is>
          <t>Consolidado Historico</t>
        </is>
      </c>
      <c r="I8" s="110" t="inlineStr">
        <is>
          <t>Meta</t>
        </is>
      </c>
      <c r="J8" s="110" t="inlineStr">
        <is>
          <t>Buscar en el catalogo de indicadores la columna TipoCalculo e identificar si la variable Meta es acumulado (Suma), Cierre, Promedio por año</t>
        </is>
      </c>
      <c r="K8" s="110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57" t="n"/>
      <c r="B9" s="57" t="n"/>
      <c r="C9" s="111" t="inlineStr">
        <is>
          <t>Consolidado Historico</t>
        </is>
      </c>
      <c r="D9" s="111" t="inlineStr">
        <is>
          <t>Ejecución</t>
        </is>
      </c>
      <c r="E9" s="111" t="inlineStr">
        <is>
          <t>Buscar en el catalogo de indicadores la columna TipoCalculo e identificar si la variable Ejecución es acumulado (Suma), Cierre, Promedio por año</t>
        </is>
      </c>
      <c r="F9" s="111" t="inlineStr">
        <is>
          <t>Buscar en el catalogo de indicadores la columna TipoCalculo e identificar si la variable Ejecución es acumulado (Suma), Cierre, Promedio por año</t>
        </is>
      </c>
      <c r="H9" s="110" t="inlineStr">
        <is>
          <t>Consolidado Historico</t>
        </is>
      </c>
      <c r="I9" s="110" t="inlineStr">
        <is>
          <t>Ejecución</t>
        </is>
      </c>
      <c r="J9" s="110" t="inlineStr">
        <is>
          <t>Buscar en el catalogo de indicadores la columna TipoCalculo e identificar si la variable Ejecución es acumulado (Suma), Cierre, Promedio por año</t>
        </is>
      </c>
      <c r="K9" s="110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42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42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42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42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42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42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42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42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42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42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42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42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42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42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42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42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42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42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42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42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42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42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42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42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42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42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42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42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42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42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42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42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42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42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42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42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42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42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42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42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42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42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42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42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42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42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42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42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42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42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42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42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42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42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42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42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42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42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42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42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42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42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42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42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42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42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42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42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42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42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42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42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42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42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42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42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42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42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42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42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42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42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42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42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42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42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42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42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42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42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42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42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42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42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42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42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42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42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42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42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42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42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42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42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42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42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42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42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42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42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42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42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42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42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42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42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42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42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42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42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42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42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42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42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42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42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42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42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42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42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42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42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42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42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42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42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42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42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42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42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42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42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42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42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42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42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42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42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42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42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42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42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42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42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42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42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42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42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42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42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42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42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42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42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42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42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42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42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42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42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42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42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42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42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42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42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42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42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42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42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42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42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42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42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42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42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42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42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42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42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42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42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42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42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42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42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42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42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42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42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42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42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42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42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42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42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42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42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42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42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42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42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42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42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42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42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42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42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42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42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42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42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42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42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42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42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42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42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42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42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42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42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42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42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42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42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42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42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42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42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42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42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42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42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42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42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42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42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42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42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42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42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42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42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42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42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42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42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42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42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42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42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42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42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42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42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42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42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42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42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42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42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42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42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42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42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42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42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42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42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42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42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42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42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42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42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42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42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42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42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42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42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42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42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42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42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42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42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42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42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42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42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42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42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42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42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42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42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42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42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42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42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42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42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42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42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42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42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42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42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42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42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42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42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42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42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42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42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42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42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42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42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42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42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42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42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42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42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42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42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42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42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42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42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42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42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42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42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42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42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42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42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42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42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42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42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42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42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42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42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42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42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42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42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42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42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42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42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42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42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42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42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42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42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42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42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42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42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42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42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42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42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42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42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42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42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42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42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42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42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42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42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42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42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42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42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42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42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42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42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42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42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42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42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42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42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42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42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42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42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42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42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42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42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42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42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42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42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42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42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42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42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42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42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42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42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42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42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42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42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42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42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42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42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42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42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42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42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42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42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42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42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42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42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42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42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42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42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42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42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42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42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42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42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42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42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42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42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42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42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42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42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42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42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42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42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42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42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42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42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42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42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42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42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42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42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42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42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42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42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42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42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42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42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42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42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42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42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42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42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42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42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42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42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42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42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42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42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42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42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42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42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42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42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42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42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42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42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42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42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42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42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42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42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42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42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42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42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42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42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42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42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42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42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42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42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42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42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42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42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42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42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42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42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42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42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42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42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42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42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42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42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42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42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42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42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42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42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42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42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42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42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42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42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42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42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42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42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42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42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42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42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42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42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42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42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42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42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42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42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42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42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42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42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42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42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42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42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42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42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42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42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42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42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42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42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42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42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42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42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42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42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42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42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42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42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42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42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42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42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42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42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42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42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42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42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42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42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42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42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42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42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42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42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42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42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42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42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42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42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42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42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42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42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42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42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42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42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42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42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42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42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42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42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42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42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42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42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42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42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42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42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42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42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42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42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42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42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42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42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42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42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42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42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42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42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42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42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42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42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42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42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42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42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42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42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42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42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42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42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42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42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42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42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42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42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42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42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42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42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42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42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42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42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42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42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42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42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42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42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42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42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42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42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42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42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42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42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42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42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42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42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42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42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42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42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42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42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42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42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42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42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42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42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42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42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42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42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42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42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42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42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42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42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42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42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42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42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42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42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42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42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42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42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42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42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42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42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42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42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42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42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42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42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42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42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42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42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42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42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42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42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42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42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42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42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42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42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42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42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42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42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2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42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42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2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42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42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2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42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42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2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42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42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42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42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42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42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42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42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42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42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42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42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42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42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42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42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42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42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42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42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42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42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42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42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42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42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42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42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42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42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42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42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42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42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42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42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42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42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42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42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42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42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42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42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42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42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42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42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42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42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42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42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42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42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42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42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42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42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42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42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42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42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42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42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42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42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42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42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42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42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42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42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42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42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42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42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42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42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42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42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42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42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42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42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42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42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42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42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42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42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42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42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42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42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42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42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42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42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42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42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42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42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42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42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42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42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42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42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42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42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42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42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42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42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42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42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42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42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42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42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42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42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42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42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42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42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42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42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42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42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42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42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42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42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42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42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42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42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42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42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42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42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42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42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42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42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42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42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42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42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42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42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42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42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42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42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42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42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42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42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42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42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42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42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42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42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42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42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42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42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42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42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42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42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42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42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42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42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42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42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42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42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42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42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42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42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42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42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42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42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42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42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42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42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42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42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42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42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42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42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42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42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42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42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42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42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42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42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42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42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42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42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42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42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42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42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42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42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42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42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42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42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42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42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42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42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42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42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42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42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42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42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42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42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42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42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42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42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42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42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42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42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42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42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42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42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42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42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42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42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42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42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42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42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42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42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42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42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42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42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42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42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42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42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42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42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42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42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42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42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42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42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42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42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42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42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42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42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42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42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42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42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42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42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42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42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42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42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42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42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42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42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42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42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42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42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42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42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42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42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42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42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42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42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42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42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42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42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42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42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42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42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42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42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42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42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42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42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42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42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42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42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42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42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42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42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42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42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42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42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42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42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42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42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42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42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42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42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42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42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42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42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42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42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42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42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42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42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42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42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42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42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42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42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42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42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42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42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42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42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42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42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42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42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42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42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42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42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42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42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42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42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42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42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42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42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42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42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42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42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42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42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42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42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42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42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42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42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42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42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42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42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42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42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42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42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42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42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42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42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42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42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42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42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42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42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42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42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42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42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42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42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42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42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42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42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42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42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42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42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42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42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42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42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42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42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42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42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42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42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42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42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42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42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42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42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42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42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42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42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42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42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42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42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42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42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42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42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42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42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42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42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42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42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42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42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42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42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42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42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42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42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42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42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42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42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42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42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42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42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42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42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42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42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42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42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42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42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42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42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42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42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42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42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42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42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42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42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42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42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42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42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42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42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42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42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42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42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42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42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42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42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42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42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42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42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42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42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42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42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42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42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42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42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42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42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42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42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42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42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42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42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42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42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42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42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42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42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42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42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42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42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42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42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42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42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42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42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42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42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42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42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42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42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42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42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42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42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42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42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42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42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42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42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42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42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42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42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42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42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42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42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42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42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42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42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42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42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42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42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42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42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42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42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42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42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42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42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42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42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42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42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42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42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42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42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42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42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42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42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42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42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42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42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42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42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42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42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42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42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42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42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42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42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42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42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42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42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42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42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42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42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42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42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42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42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42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42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42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42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42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42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42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42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42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42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42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42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42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42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42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42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42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42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42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42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42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42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42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42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42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42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42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42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42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42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42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42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42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42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42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42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42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42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42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42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42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42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42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42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42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42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42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42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42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42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42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42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42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42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42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42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42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42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42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42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42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42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42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42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42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42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42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42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42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42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42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42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42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42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42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42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42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42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42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42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42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42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42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42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42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42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42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42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42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42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42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42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42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42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42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42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42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42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42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42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42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42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42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42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42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42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42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42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42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42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42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42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42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42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42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42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42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42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42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42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42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42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42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42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42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42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42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42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42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42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42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42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42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42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42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42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42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42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42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42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42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42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42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42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42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42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42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42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42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42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42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42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42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42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42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42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42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42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42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42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42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42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42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42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42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42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42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42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42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42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42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42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42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42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42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42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42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42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42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42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42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42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42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42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42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42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42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42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42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42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42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42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42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42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42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42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42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42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42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42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42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42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42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42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42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42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42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42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42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42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42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42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42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42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42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42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42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42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42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42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42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42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42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42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42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42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42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42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42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42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42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42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42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42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42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42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42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42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42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42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42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42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42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42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42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42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42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42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42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42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42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42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42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42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42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42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42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42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42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42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42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42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42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42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42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42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42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42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42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42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42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42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42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42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42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42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42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42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42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42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42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42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42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42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42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42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42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42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42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42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42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42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42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42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42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42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42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42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42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42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42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42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42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42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42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42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42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42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42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42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42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42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42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42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42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42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42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42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42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42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42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42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42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42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42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42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42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42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42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42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42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42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42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42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42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42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42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42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42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42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42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42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42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42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42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42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42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42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42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42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42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42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42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42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42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42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42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42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42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42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42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42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42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42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42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42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42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42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42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42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42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42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42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42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42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42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42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42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42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42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42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42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42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42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42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42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42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42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42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42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42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42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42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42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42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42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42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42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42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42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42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42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42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42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42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42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42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42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42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42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42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42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42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42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42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42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42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42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42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42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42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42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42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42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42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42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42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42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42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42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42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42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42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42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42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42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42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42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42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42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42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42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42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42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42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42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42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42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42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42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42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42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42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42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42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42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42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42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42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42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42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42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42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42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42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42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42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42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42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42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42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42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42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42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42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42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42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42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42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42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42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42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42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42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42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42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42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42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42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42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42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42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42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42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42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42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42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42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42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42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42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42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42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42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42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42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42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42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42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42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42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42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42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42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42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42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42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42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42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42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42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42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42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42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42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42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42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42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42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42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42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42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42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42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42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42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42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42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42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42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42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42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42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42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42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42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42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42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42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42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42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42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42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42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42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42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42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42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42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42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42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42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42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42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42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42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42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42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42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42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42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42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42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42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42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42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42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42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42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42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42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42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42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42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42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42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42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42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42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42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42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42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42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42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42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42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42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42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42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42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42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42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42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42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42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42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42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42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42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42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42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42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42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42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42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42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42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42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42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42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42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42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42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42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42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42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42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42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42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42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42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42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42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42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42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42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42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42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42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42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42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42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42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42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42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42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42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42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42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42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42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42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42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42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42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42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42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42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42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42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42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42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42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42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42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42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42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42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42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42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42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42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42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42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42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42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42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42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42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42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42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42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42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42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42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42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42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2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2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42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42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42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42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42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42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42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2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2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2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2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2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42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42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42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42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42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42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42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2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2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2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2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2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42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42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42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42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42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42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42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2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2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2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2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42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42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42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42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42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42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42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42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42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42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2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42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42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2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42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42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42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42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42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42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42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42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42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42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42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42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42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42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42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42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42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42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42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42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42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42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42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42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42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42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42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42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42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42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42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42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42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42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42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42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42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42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42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42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42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42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42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42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42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42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42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42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42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42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42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42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42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42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42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42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42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42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42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42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42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42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42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42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42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42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42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42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42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42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42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42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42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42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42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42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42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42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42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42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42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42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42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2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2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2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2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2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2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2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2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2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2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2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2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42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42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42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42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42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42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2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2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2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2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2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2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42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42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42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42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42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42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42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42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42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42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42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42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2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2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42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42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42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42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42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42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42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42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42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42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42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42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42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42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42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42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42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42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42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42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42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42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42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42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42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42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42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42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42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42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42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42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42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42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42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42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42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42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42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42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42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42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42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42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42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42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42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42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42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42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42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42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42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42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42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42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42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42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42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42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42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42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42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42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42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42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42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42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42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42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42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42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42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42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42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42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42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42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42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42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42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42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42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42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42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42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42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42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42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42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42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42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42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42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42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42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42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42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42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42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42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42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42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42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42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42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42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42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42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42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42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42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42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42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42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42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42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42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42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42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42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42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42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42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42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42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42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42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42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42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42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42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42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42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42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42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42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42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42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42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42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42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42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42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42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42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42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42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42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42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42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42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42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42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42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42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42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42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42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42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42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42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42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42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42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42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42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42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42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42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42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42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42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42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42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42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42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42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42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42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42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42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42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42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42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42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42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42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42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42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42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42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42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42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42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42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42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42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42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42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42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42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42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42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42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42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42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42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42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42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42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42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42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42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42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42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42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42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42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42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42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42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42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42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42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42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42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42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42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42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42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42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42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42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42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42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42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42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42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42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42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42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42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42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42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42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42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42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42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42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42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42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42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42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42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42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42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42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42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42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42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42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42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42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42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42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42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42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42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42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42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42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42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42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42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42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42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42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42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42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42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42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42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42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42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42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42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42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42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42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42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42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42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42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42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42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42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42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42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42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42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42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42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42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42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42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42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42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42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42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42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42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42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42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42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42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42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42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42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42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42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42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42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42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42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42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42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42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42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42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42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42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42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42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42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42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42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42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42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42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42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42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42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42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42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42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42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42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42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42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42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42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42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42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42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42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42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42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42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42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42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42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42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42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42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42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42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42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42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42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42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42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42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42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42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42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42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42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42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42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42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42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42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42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42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42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42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42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42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42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42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42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42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42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42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42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42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42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42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42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42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42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42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42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42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42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42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42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42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42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42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42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42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42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42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42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42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42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42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42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42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42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42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42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42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42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42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42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42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42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42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42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42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42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42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42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42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42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42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42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42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42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42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42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42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42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42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42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42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42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42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42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42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42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42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42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42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42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42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42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42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42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42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42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42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42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42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42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42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42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42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42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42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42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42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42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42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42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42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42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42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42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42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42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42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42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42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42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42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42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42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42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42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42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42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42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42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42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42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42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42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42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42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42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42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42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42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42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42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42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42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42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42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42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42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42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42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42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42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42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42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42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42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42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42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42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42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42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42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42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42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42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42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42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42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42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42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42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42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42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42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42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42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42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42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42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42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42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42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42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42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42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42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42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42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42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42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42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42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42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42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42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42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42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42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42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42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42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42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42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42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42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42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42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42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42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42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42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42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42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42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42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42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42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42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42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42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42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42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42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42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42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42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42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42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42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42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42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42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42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42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42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42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42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42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42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42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42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42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42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42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42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42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42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42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42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42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42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42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42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42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42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42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42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42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42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42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42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42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42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42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42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42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42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42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42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42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42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42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42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42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42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42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42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42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42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42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42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42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42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42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42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42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42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42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42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42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42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42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42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42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42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42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42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42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42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42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42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42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42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42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42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42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42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42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42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42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42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42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42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42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42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42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42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42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42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42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42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42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42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42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42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42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42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42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42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42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42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42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42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42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42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42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42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42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42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42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42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42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42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42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42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42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42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42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42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42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42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42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42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42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42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42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42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42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42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42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42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42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42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42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42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42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42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42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42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42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42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42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42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42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42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42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42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42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42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42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42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42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42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42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42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42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42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42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42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42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42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42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42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42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42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42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42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42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42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42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42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42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42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42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42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42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42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42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42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42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42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42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42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42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42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42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42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42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42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42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42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42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42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42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42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42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42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42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42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42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42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42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42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42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42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42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42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42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42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42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42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42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42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42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42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42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42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42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42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42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42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42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42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42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42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42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42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42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42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42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42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42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42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42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42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42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42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42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42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42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42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42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42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42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42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42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42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42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42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42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42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42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42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42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42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42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42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42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42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42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42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42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42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42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42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42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42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42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42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42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42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42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42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42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42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42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42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42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42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42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42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42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42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42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42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42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42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42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42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42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42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42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42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42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42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42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42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42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42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42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42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42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42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42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42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42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42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42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42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42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42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42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42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42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42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42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42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42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42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42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42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42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42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42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42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42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42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42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42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42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42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42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42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42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42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42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42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42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42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42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42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42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42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42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42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42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42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42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42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42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42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42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42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42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42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42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42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42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42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42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42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42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42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42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42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42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42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42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42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42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42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42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42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42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42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42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42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42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42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42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42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42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42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42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42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42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42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42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42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42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42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42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42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42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42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42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42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42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42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42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42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42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42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42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42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42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42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42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42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42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42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42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42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42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42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42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42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42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42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42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42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42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42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42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42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42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42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42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42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42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42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42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42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42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42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42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42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42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42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42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42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42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42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42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42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42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42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42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42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42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42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42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42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42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42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42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42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42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42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42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42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42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42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42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42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42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42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42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42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42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42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42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42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42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42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42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42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42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42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42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42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42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42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42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42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42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42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42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42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42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42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42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42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42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42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42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42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42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42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42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42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42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42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42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42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42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42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42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42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42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42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42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42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42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42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42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42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42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42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42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42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42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42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42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42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42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42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42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42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42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42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42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42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42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42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42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42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42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42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42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42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42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42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42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42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42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42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42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42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42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42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42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42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42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42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42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42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42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42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42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42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42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42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42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42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42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42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42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42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42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42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42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42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42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42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42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42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42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42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42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42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42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42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42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42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42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42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42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42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42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42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42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42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42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42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42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42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42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42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42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42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42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42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42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42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42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42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42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42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42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42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42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42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42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42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42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42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42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42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42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42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42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42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42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42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42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42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42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42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42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42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42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42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42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42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42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42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42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42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42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42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42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42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42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42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42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42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42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42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42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42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42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42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42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42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42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42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42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42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42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42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42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42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42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42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42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42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42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42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42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42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42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42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42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42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42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42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42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42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42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42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42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42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42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42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42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42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42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42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42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42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42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42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42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42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42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42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42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42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42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42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42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42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42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42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42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42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42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42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42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42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42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42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42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42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42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42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42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42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42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42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42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42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42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42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42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42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42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42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42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42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42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42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42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42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42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42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42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42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42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42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42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42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42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42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42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42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42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42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42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42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42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42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42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42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42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42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42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42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42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42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42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42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42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42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42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42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42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42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42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42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42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42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42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42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42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42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42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42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42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42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42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42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42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42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42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42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42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42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42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42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42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42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42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42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42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42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42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42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42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42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42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42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42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42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42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42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42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42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42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42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42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42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42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42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42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42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42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42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42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42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42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42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42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42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42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42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42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42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42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42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42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42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42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42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42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42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42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42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42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42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42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42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42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42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42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42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42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42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42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42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42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42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42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42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42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42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42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42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42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42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42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42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42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42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42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42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42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42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42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42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42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42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42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42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42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42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42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42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42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42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42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42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42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42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42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42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42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42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42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42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42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42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42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42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42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42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42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42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42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42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42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42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42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42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42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42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42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42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42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42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42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42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42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42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42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42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42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42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42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42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42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42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42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42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42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42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42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42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42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42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42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42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42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42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42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42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42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42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42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42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42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42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42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42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42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42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42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42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42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42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42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42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42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42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42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42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42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42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42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42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42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42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42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42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42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42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42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42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42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42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42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42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42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42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42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42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42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42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42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42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42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42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42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42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42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42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42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42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42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42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42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42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42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42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42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42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42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42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42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42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42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42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42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42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42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42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42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42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42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42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42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42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42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42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42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42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42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42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42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42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42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42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42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42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42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42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42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42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42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42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42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42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42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42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42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42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42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42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42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42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42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42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42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42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42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42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42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K2" t="inlineStr"/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K3" t="inlineStr"/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K4" t="inlineStr"/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K5" t="inlineStr"/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K6" t="inlineStr"/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K7" t="inlineStr"/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K8" t="inlineStr"/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K9" t="inlineStr"/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K10" t="inlineStr"/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K11" t="inlineStr"/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K12" t="inlineStr"/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K13" t="inlineStr"/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K14" t="inlineStr"/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K17" t="inlineStr"/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K19" t="inlineStr"/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K20" t="inlineStr"/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K21" t="inlineStr"/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G25" t="inlineStr"/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K25" t="inlineStr"/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K27" t="inlineStr"/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K28" t="inlineStr"/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K32" t="inlineStr"/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K35" t="inlineStr"/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K36" t="inlineStr"/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K37" t="inlineStr"/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K41" t="inlineStr"/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K42" t="inlineStr"/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K43" t="inlineStr"/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K44" t="inlineStr"/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K45" t="inlineStr"/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K47" t="inlineStr"/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K48" t="inlineStr"/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K49" t="inlineStr"/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K50" t="inlineStr"/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K54" t="inlineStr"/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K55" t="inlineStr"/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K56" t="inlineStr"/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K58" t="inlineStr"/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K59" t="inlineStr"/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K61" t="inlineStr"/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G62" t="inlineStr"/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K63" t="inlineStr"/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K72" t="inlineStr"/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K73" t="inlineStr"/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K74" t="inlineStr"/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K76" t="inlineStr"/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K77" t="inlineStr"/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K78" t="inlineStr"/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K79" t="inlineStr"/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K82" t="inlineStr"/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K83" t="inlineStr"/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K84" t="inlineStr"/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K86" t="inlineStr"/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K87" t="inlineStr"/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K88" t="inlineStr"/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K89" t="inlineStr"/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K90" t="inlineStr"/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K91" t="inlineStr"/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K94" t="inlineStr"/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K96" t="inlineStr"/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K97" t="inlineStr"/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K99" t="inlineStr"/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K100" t="inlineStr"/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K101" t="inlineStr"/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K102" t="inlineStr"/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K103" t="inlineStr"/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G105" t="inlineStr"/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K105" t="inlineStr"/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G106" t="inlineStr"/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K106" t="inlineStr"/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G107" t="inlineStr"/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K107" t="inlineStr"/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G110" t="inlineStr"/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K110" t="inlineStr"/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K111" t="inlineStr"/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/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K114" t="inlineStr"/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G115" t="inlineStr"/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K115" t="inlineStr"/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K116" t="inlineStr"/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K117" t="inlineStr"/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K118" t="inlineStr"/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G120" t="inlineStr"/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K121" t="inlineStr"/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K122" t="inlineStr"/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K123" t="inlineStr"/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K126" t="inlineStr"/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K128" t="inlineStr"/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K130" t="inlineStr"/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K131" t="inlineStr"/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K132" t="inlineStr"/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K133" t="inlineStr"/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/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K134" t="inlineStr"/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G135" t="inlineStr"/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K135" t="inlineStr"/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G136" t="inlineStr"/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K136" t="inlineStr"/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K137" t="inlineStr"/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K138" t="inlineStr"/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K139" t="inlineStr"/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K140" t="inlineStr"/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K141" t="inlineStr"/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G143" t="inlineStr"/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K144" t="inlineStr"/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K145" t="inlineStr"/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K146" t="inlineStr"/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/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K147" t="inlineStr"/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K148" t="inlineStr"/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G150" t="inlineStr"/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K150" t="inlineStr"/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G151" t="inlineStr"/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K151" t="inlineStr"/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G152" t="inlineStr"/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K153" t="inlineStr"/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K154" t="inlineStr"/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K155" t="inlineStr"/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G158" t="inlineStr"/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K158" t="inlineStr"/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G160" t="inlineStr"/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K160" t="inlineStr"/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K161" t="inlineStr"/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G162" t="inlineStr"/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K162" t="inlineStr"/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G163" t="inlineStr"/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K163" t="inlineStr"/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G164" t="inlineStr"/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K164" t="inlineStr"/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G165" t="inlineStr"/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K165" t="inlineStr"/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G169" t="inlineStr"/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K169" t="inlineStr"/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G170" t="inlineStr"/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G172" t="inlineStr"/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K172" t="inlineStr"/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K177" t="inlineStr"/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K178" t="inlineStr"/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K179" t="inlineStr"/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G180" t="inlineStr"/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K180" t="inlineStr"/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G181" t="inlineStr"/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K183" t="inlineStr"/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K184" t="inlineStr"/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/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K185" t="inlineStr"/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K186" t="inlineStr"/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K189" t="inlineStr"/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K190" t="inlineStr"/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K191" t="inlineStr"/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G193" t="inlineStr"/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K193" t="inlineStr"/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K194" t="inlineStr"/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K195" t="inlineStr"/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K196" t="inlineStr"/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K197" t="inlineStr"/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K199" t="inlineStr"/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K200" t="inlineStr"/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K201" t="inlineStr"/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K202" t="inlineStr"/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K203" t="inlineStr"/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K204" t="inlineStr"/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K205" t="inlineStr"/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K206" t="inlineStr"/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K207" t="inlineStr"/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K208" t="inlineStr"/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K209" t="inlineStr"/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K210" t="inlineStr"/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K211" t="inlineStr"/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K212" t="inlineStr"/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K214" t="inlineStr"/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/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K216" t="inlineStr"/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K217" t="inlineStr"/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K218" t="inlineStr"/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K219" t="inlineStr"/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G220" t="inlineStr"/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K220" t="inlineStr"/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K221" t="inlineStr"/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K222" t="inlineStr"/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K223" t="inlineStr"/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G224" t="inlineStr"/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K224" t="inlineStr"/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K225" t="inlineStr"/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K226" t="inlineStr"/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K227" t="inlineStr"/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K230" t="inlineStr"/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K231" t="inlineStr"/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G233" t="inlineStr"/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K233" t="inlineStr"/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K234" t="inlineStr"/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K235" t="inlineStr"/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G237" t="inlineStr"/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K238" t="inlineStr"/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K239" t="inlineStr"/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K240" t="inlineStr"/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G242" t="inlineStr"/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K242" t="inlineStr"/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K244" t="inlineStr"/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K246" t="inlineStr"/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G250" t="inlineStr"/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G251" t="inlineStr"/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K251" t="inlineStr"/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K252" t="inlineStr"/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K253" t="inlineStr"/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K254" t="inlineStr"/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K255" t="inlineStr"/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/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K256" t="inlineStr"/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K257" t="inlineStr"/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K258" t="inlineStr"/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K259" t="inlineStr"/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K268" t="inlineStr"/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K269" t="inlineStr"/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K270" t="inlineStr"/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G271" t="inlineStr"/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K272" t="inlineStr"/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K273" t="inlineStr"/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K274" t="inlineStr"/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K275" t="inlineStr"/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K276" t="inlineStr"/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K277" t="inlineStr"/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K278" t="inlineStr"/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K280" t="inlineStr"/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K281" t="inlineStr"/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/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K284" t="inlineStr"/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K285" t="inlineStr"/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K286" t="inlineStr"/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/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K288" t="inlineStr"/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K289" t="inlineStr"/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K290" t="inlineStr"/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K291" t="inlineStr"/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K292" t="inlineStr"/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K293" t="inlineStr"/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G294" t="inlineStr"/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K294" t="inlineStr"/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K295" t="inlineStr"/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K297" t="inlineStr"/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K298" t="inlineStr"/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K301" t="inlineStr"/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/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K302" t="inlineStr"/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K303" t="inlineStr"/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G304" t="inlineStr"/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K304" t="inlineStr"/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G305" t="inlineStr"/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K305" t="inlineStr"/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K306" t="inlineStr"/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K307" t="inlineStr"/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K308" t="inlineStr"/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K309" t="inlineStr"/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K313" t="inlineStr"/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K314" t="inlineStr"/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K315" t="inlineStr"/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K316" t="inlineStr"/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K317" t="inlineStr"/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K318" t="inlineStr"/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K319" t="inlineStr"/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K320" t="inlineStr"/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K321" t="inlineStr"/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K322" t="inlineStr"/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/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K324" t="inlineStr"/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K325" t="inlineStr"/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K326" t="inlineStr"/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K327" t="inlineStr"/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K328" t="inlineStr"/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K329" t="inlineStr"/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K330" t="inlineStr"/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K331" t="inlineStr"/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K332" t="inlineStr"/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K333" t="inlineStr"/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K334" t="inlineStr"/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K335" t="inlineStr"/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K336" t="inlineStr"/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K337" t="inlineStr"/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K338" t="inlineStr"/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K339" t="inlineStr"/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K340" t="inlineStr"/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/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K342" t="inlineStr"/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K343" t="inlineStr"/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/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K345" t="inlineStr"/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K346" t="inlineStr"/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K347" t="inlineStr"/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K348" t="inlineStr"/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K349" t="inlineStr"/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K350" t="inlineStr"/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K351" t="inlineStr"/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K352" t="inlineStr"/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K353" t="inlineStr"/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K354" t="inlineStr"/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K355" t="inlineStr"/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K356" t="inlineStr"/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K357" t="inlineStr"/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K358" t="inlineStr"/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K359" t="inlineStr"/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K360" t="inlineStr"/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K361" t="inlineStr"/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/>
      <c r="K362" t="inlineStr"/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K363" t="inlineStr"/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K364" t="inlineStr"/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K365" t="inlineStr"/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K366" t="inlineStr"/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K367" t="inlineStr"/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K368" t="inlineStr"/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K369" t="inlineStr"/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K370" t="inlineStr"/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K371" t="inlineStr"/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K372" t="inlineStr"/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K373" t="inlineStr"/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K374" t="inlineStr"/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K375" t="inlineStr"/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K377" t="inlineStr"/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K378" t="inlineStr"/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K379" t="inlineStr"/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K381" t="inlineStr"/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K382" t="inlineStr"/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K385" t="inlineStr"/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K386" t="inlineStr"/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K388" t="inlineStr"/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2026-04-11T06:50:13Z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