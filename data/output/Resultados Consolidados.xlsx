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18" documentId="11_0EFA1A3A6E3B2F26C3603EB9680E5446AAE7FEE4" xr6:coauthVersionLast="47" xr6:coauthVersionMax="47" xr10:uidLastSave="{1FE7D953-E750-4D2B-A9A8-05DC56B8C2FB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Cierres'!$A$1:$S$985</definedName>
    <definedName name="_xlnm._FilterDatabase" localSheetId="0" hidden="1">'Consolidado Historico'!$A$1:$S$2638</definedName>
    <definedName name="_xlnm._FilterDatabase" localSheetId="1" hidden="1">'Consolidado Semestral'!$A$1:$S$1673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3" i="2" l="1"/>
  <c r="L1673" i="2"/>
  <c r="M1672" i="2"/>
  <c r="L1672" i="2"/>
  <c r="M1671" i="2"/>
  <c r="L1671" i="2"/>
  <c r="M1670" i="2"/>
  <c r="L1670" i="2"/>
  <c r="M1669" i="2"/>
  <c r="L1669" i="2"/>
  <c r="M1668" i="2"/>
  <c r="L1668" i="2"/>
  <c r="M1667" i="2"/>
  <c r="L1667" i="2"/>
  <c r="M1666" i="2"/>
  <c r="L1666" i="2"/>
  <c r="M1665" i="2"/>
  <c r="L1665" i="2"/>
  <c r="M1664" i="2"/>
  <c r="L1664" i="2"/>
  <c r="M1663" i="2"/>
  <c r="L1663" i="2"/>
  <c r="M1661" i="2"/>
  <c r="L1661" i="2"/>
  <c r="M1660" i="2"/>
  <c r="L1660" i="2"/>
  <c r="M1659" i="2"/>
  <c r="L1659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0" i="2"/>
  <c r="L1620" i="2"/>
  <c r="M1619" i="2"/>
  <c r="L1619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0" i="2"/>
  <c r="L1570" i="2"/>
  <c r="M1569" i="2"/>
  <c r="L1569" i="2"/>
  <c r="M1568" i="2"/>
  <c r="L1568" i="2"/>
  <c r="M1566" i="2"/>
  <c r="L1566" i="2"/>
  <c r="M1565" i="2"/>
  <c r="L1565" i="2"/>
  <c r="M1562" i="2"/>
  <c r="L1562" i="2"/>
  <c r="M1561" i="2"/>
  <c r="L1561" i="2"/>
  <c r="M1560" i="2"/>
  <c r="L1560" i="2"/>
  <c r="M1559" i="2"/>
  <c r="L1559" i="2"/>
  <c r="M1558" i="2"/>
  <c r="L1558" i="2"/>
  <c r="M1556" i="2"/>
  <c r="L1556" i="2"/>
  <c r="M1555" i="2"/>
  <c r="L1555" i="2"/>
  <c r="M1554" i="2"/>
  <c r="L1554" i="2"/>
  <c r="M1553" i="2"/>
  <c r="L1553" i="2"/>
  <c r="M1552" i="2"/>
  <c r="L1552" i="2"/>
  <c r="M1551" i="2"/>
  <c r="L1551" i="2"/>
  <c r="M1549" i="2"/>
  <c r="L1549" i="2"/>
  <c r="M1548" i="2"/>
  <c r="L1548" i="2"/>
  <c r="M1547" i="2"/>
  <c r="L1547" i="2"/>
  <c r="M1546" i="2"/>
  <c r="L1546" i="2"/>
  <c r="M1545" i="2"/>
  <c r="L1545" i="2"/>
  <c r="M1543" i="2"/>
  <c r="L1543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79" i="2"/>
  <c r="L1479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8" i="2"/>
  <c r="L1288" i="2"/>
  <c r="M1287" i="2"/>
  <c r="L1287" i="2"/>
  <c r="M1286" i="2"/>
  <c r="L1286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1" i="2"/>
  <c r="L1271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1" i="2"/>
  <c r="L1261" i="2"/>
  <c r="M1260" i="2"/>
  <c r="L1260" i="2"/>
  <c r="M1252" i="2"/>
  <c r="L1252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8" i="2"/>
  <c r="L1048" i="2"/>
  <c r="M1047" i="2"/>
  <c r="L1047" i="2"/>
  <c r="M1046" i="2"/>
  <c r="L1046" i="2"/>
  <c r="M1045" i="2"/>
  <c r="L1045" i="2"/>
  <c r="M1044" i="2"/>
  <c r="L1044" i="2"/>
  <c r="M1043" i="2"/>
  <c r="L1043" i="2"/>
  <c r="M1042" i="2"/>
  <c r="L1042" i="2"/>
  <c r="M1040" i="2"/>
  <c r="L1040" i="2"/>
  <c r="M1039" i="2"/>
  <c r="L1039" i="2"/>
  <c r="M1038" i="2"/>
  <c r="L1038" i="2"/>
  <c r="M1037" i="2"/>
  <c r="L1037" i="2"/>
  <c r="M1036" i="2"/>
  <c r="L1036" i="2"/>
  <c r="M1035" i="2"/>
  <c r="L1035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2" i="2"/>
  <c r="L932" i="2"/>
  <c r="M931" i="2"/>
  <c r="L931" i="2"/>
  <c r="M930" i="2"/>
  <c r="L930" i="2"/>
  <c r="M929" i="2"/>
  <c r="L929" i="2"/>
  <c r="M928" i="2"/>
  <c r="L928" i="2"/>
  <c r="M925" i="2"/>
  <c r="L925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7" i="2"/>
  <c r="L767" i="2"/>
  <c r="M766" i="2"/>
  <c r="L766" i="2"/>
  <c r="M765" i="2"/>
  <c r="L765" i="2"/>
  <c r="M762" i="2"/>
  <c r="L762" i="2"/>
  <c r="M761" i="2"/>
  <c r="L761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6" i="1"/>
  <c r="L2626" i="1"/>
  <c r="M2625" i="1"/>
  <c r="L2625" i="1"/>
  <c r="M2624" i="1"/>
  <c r="L2624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2" i="1"/>
  <c r="L2502" i="1"/>
  <c r="M2501" i="1"/>
  <c r="L2501" i="1"/>
  <c r="M2500" i="1"/>
  <c r="L2500" i="1"/>
  <c r="M2499" i="1"/>
  <c r="L2499" i="1"/>
  <c r="M2498" i="1"/>
  <c r="L2498" i="1"/>
  <c r="M2488" i="1"/>
  <c r="L2488" i="1"/>
  <c r="M2487" i="1"/>
  <c r="L2487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0" i="1"/>
  <c r="L2450" i="1"/>
  <c r="M2448" i="1"/>
  <c r="L2448" i="1"/>
  <c r="M2446" i="1"/>
  <c r="L2446" i="1"/>
  <c r="M2445" i="1"/>
  <c r="L2445" i="1"/>
  <c r="M2443" i="1"/>
  <c r="L2443" i="1"/>
  <c r="M2442" i="1"/>
  <c r="L2442" i="1"/>
  <c r="M2439" i="1"/>
  <c r="L2439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4" i="1"/>
  <c r="L2294" i="1"/>
  <c r="M2293" i="1"/>
  <c r="L2293" i="1"/>
  <c r="M2292" i="1"/>
  <c r="L2292" i="1"/>
  <c r="M2291" i="1"/>
  <c r="L2291" i="1"/>
  <c r="M2290" i="1"/>
  <c r="L2290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46" i="1"/>
  <c r="L2246" i="1"/>
  <c r="M2245" i="1"/>
  <c r="L2245" i="1"/>
  <c r="M2244" i="1"/>
  <c r="L2244" i="1"/>
  <c r="M2243" i="1"/>
  <c r="L2243" i="1"/>
  <c r="M2242" i="1"/>
  <c r="L2242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3" i="1"/>
  <c r="L2053" i="1"/>
  <c r="M2052" i="1"/>
  <c r="L2052" i="1"/>
  <c r="M2051" i="1"/>
  <c r="L2051" i="1"/>
  <c r="M2050" i="1"/>
  <c r="L2050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0" i="1"/>
  <c r="L2040" i="1"/>
  <c r="M2039" i="1"/>
  <c r="L2039" i="1"/>
  <c r="M2038" i="1"/>
  <c r="L2038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16" i="1"/>
  <c r="L2016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K1888" i="1"/>
  <c r="J1888" i="1"/>
  <c r="K1887" i="1"/>
  <c r="J1887" i="1"/>
  <c r="K1886" i="1"/>
  <c r="J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6" i="1"/>
  <c r="L1766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1" i="1"/>
  <c r="L1681" i="1"/>
  <c r="M1680" i="1"/>
  <c r="L1680" i="1"/>
  <c r="M1679" i="1"/>
  <c r="L1679" i="1"/>
  <c r="M1678" i="1"/>
  <c r="L1678" i="1"/>
  <c r="M1677" i="1"/>
  <c r="L1677" i="1"/>
  <c r="M1676" i="1"/>
  <c r="L1676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7" i="1"/>
  <c r="L1657" i="1"/>
  <c r="M1655" i="1"/>
  <c r="L1655" i="1"/>
  <c r="M1653" i="1"/>
  <c r="L1653" i="1"/>
  <c r="M1649" i="1"/>
  <c r="L1649" i="1"/>
  <c r="M1648" i="1"/>
  <c r="L1648" i="1"/>
  <c r="M1646" i="1"/>
  <c r="L1646" i="1"/>
  <c r="M1645" i="1"/>
  <c r="L1645" i="1"/>
  <c r="M1644" i="1"/>
  <c r="L1644" i="1"/>
  <c r="M1643" i="1"/>
  <c r="L1643" i="1"/>
  <c r="M1642" i="1"/>
  <c r="L1642" i="1"/>
  <c r="M1641" i="1"/>
  <c r="L1641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0" i="1"/>
  <c r="L1630" i="1"/>
  <c r="M1629" i="1"/>
  <c r="L1629" i="1"/>
  <c r="M1628" i="1"/>
  <c r="L1628" i="1"/>
  <c r="M1627" i="1"/>
  <c r="L1627" i="1"/>
  <c r="M1625" i="1"/>
  <c r="L1625" i="1"/>
  <c r="M1624" i="1"/>
  <c r="L1624" i="1"/>
  <c r="M1623" i="1"/>
  <c r="L1623" i="1"/>
  <c r="M1622" i="1"/>
  <c r="L1622" i="1"/>
  <c r="M1621" i="1"/>
  <c r="L1621" i="1"/>
  <c r="M1618" i="1"/>
  <c r="L1618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6" i="1"/>
  <c r="L1436" i="1"/>
  <c r="M1435" i="1"/>
  <c r="L1435" i="1"/>
  <c r="M1432" i="1"/>
  <c r="L1432" i="1"/>
  <c r="M1431" i="1"/>
  <c r="L1431" i="1"/>
  <c r="M1430" i="1"/>
  <c r="L1430" i="1"/>
  <c r="M1429" i="1"/>
  <c r="L1429" i="1"/>
  <c r="M1428" i="1"/>
  <c r="L1428" i="1"/>
  <c r="M1427" i="1"/>
  <c r="L1427" i="1"/>
  <c r="M1424" i="1"/>
  <c r="L1424" i="1"/>
  <c r="M1423" i="1"/>
  <c r="L1423" i="1"/>
  <c r="M1422" i="1"/>
  <c r="L1422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0" i="1"/>
  <c r="L1410" i="1"/>
  <c r="M1405" i="1"/>
  <c r="L1405" i="1"/>
  <c r="M1404" i="1"/>
  <c r="L1404" i="1"/>
  <c r="M1403" i="1"/>
  <c r="L1403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1" i="1"/>
  <c r="L1381" i="1"/>
  <c r="M1380" i="1"/>
  <c r="L1380" i="1"/>
  <c r="M1379" i="1"/>
  <c r="L1379" i="1"/>
  <c r="M1378" i="1"/>
  <c r="L1378" i="1"/>
  <c r="M1377" i="1"/>
  <c r="L1377" i="1"/>
  <c r="M1376" i="1"/>
  <c r="L1376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0" i="3"/>
  <c r="L950" i="3"/>
  <c r="M946" i="3"/>
  <c r="L946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6" i="3"/>
  <c r="L906" i="3"/>
  <c r="M905" i="3"/>
  <c r="L905" i="3"/>
  <c r="M904" i="3"/>
  <c r="L904" i="3"/>
  <c r="M903" i="3"/>
  <c r="L903" i="3"/>
  <c r="M901" i="3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36" i="3"/>
  <c r="L736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0" i="3"/>
  <c r="L650" i="3"/>
  <c r="M649" i="3"/>
  <c r="L649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1" i="3"/>
  <c r="L561" i="3"/>
  <c r="M560" i="3"/>
  <c r="L560" i="3"/>
  <c r="M559" i="3"/>
  <c r="L559" i="3"/>
  <c r="M558" i="3"/>
  <c r="L558" i="3"/>
  <c r="M556" i="3"/>
  <c r="L556" i="3"/>
  <c r="M555" i="3"/>
  <c r="L555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0" i="3"/>
  <c r="L500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6" i="3"/>
  <c r="L466" i="3"/>
  <c r="M465" i="3"/>
  <c r="L465" i="3"/>
  <c r="M464" i="3"/>
  <c r="L464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88" i="1" l="1"/>
  <c r="M1888" i="1"/>
  <c r="M1887" i="1"/>
  <c r="L1887" i="1"/>
  <c r="M1886" i="1"/>
  <c r="L1886" i="1"/>
</calcChain>
</file>

<file path=xl/sharedStrings.xml><?xml version="1.0" encoding="utf-8"?>
<sst xmlns="http://schemas.openxmlformats.org/spreadsheetml/2006/main" count="76213" uniqueCount="4381">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</sst>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38"/>
  <sheetViews>
    <sheetView showGridLines="0" tabSelected="1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8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8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8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8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8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8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8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8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8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8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8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8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>
        <v>100</v>
      </c>
      <c r="K1248" s="9">
        <v>0</v>
      </c>
      <c r="L1248" s="14">
        <f t="shared" si="71"/>
        <v>0</v>
      </c>
      <c r="M1248" s="14">
        <f t="shared" si="72"/>
        <v>0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</row>
    <row r="1249" spans="1:18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8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8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>
        <v>100</v>
      </c>
      <c r="K1252" s="9">
        <v>0</v>
      </c>
      <c r="L1252" s="14">
        <f t="shared" si="71"/>
        <v>0</v>
      </c>
      <c r="M1252" s="14">
        <f t="shared" si="72"/>
        <v>0</v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</row>
    <row r="1253" spans="1:18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8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8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8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8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8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8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8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8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81" si="78">IFERROR(IF(OR(J1367=0,K1367=""),"",IF(E1367="Positivo",MIN(MAX(K1367/J1367,0),1.3),MIN(MAX(J1367/K1367,0),1.3))),"")</f>
        <v/>
      </c>
      <c r="M1367" s="14" t="str">
        <f t="shared" ref="M1367:M1381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x14ac:dyDescent="0.3">
      <c r="A1376" s="5">
        <v>274</v>
      </c>
      <c r="B1376" s="5" t="s">
        <v>648</v>
      </c>
      <c r="C1376" s="5" t="s">
        <v>586</v>
      </c>
      <c r="D1376" s="5" t="s">
        <v>27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100</v>
      </c>
      <c r="K1376" s="5">
        <v>97.855020351087006</v>
      </c>
      <c r="L1376" s="14">
        <f t="shared" si="78"/>
        <v>0.97855020351087008</v>
      </c>
      <c r="M1376" s="14">
        <f t="shared" si="79"/>
        <v>0.97855020351087008</v>
      </c>
      <c r="N1376" s="5" t="s">
        <v>128</v>
      </c>
      <c r="O1376" s="5" t="s">
        <v>128</v>
      </c>
      <c r="P1376" s="5">
        <v>0</v>
      </c>
      <c r="Q1376" s="5">
        <v>0</v>
      </c>
      <c r="R1376" s="5" t="s">
        <v>2492</v>
      </c>
    </row>
    <row r="1377" spans="1:19" x14ac:dyDescent="0.3">
      <c r="A1377" s="21">
        <v>274</v>
      </c>
      <c r="B1377" s="5" t="s">
        <v>648</v>
      </c>
      <c r="C1377" s="5" t="s">
        <v>586</v>
      </c>
      <c r="D1377" s="5" t="s">
        <v>27</v>
      </c>
      <c r="E1377" s="5" t="s">
        <v>22</v>
      </c>
      <c r="F1377" s="71">
        <v>45291</v>
      </c>
      <c r="G1377" s="5">
        <v>2023</v>
      </c>
      <c r="H1377" s="5" t="s">
        <v>23</v>
      </c>
      <c r="I1377" s="6" t="s">
        <v>28</v>
      </c>
      <c r="J1377" s="5">
        <v>100</v>
      </c>
      <c r="K1377" s="10">
        <v>97.505500813164005</v>
      </c>
      <c r="L1377" s="14">
        <f t="shared" si="78"/>
        <v>0.97505500813164003</v>
      </c>
      <c r="M1377" s="14">
        <f t="shared" si="79"/>
        <v>0.97505500813164003</v>
      </c>
      <c r="N1377" s="5" t="s">
        <v>128</v>
      </c>
      <c r="O1377" s="5" t="s">
        <v>128</v>
      </c>
      <c r="P1377" s="15">
        <v>0</v>
      </c>
      <c r="Q1377" s="15">
        <v>0</v>
      </c>
      <c r="R1377" s="5" t="s">
        <v>649</v>
      </c>
    </row>
    <row r="1378" spans="1:19" x14ac:dyDescent="0.3">
      <c r="A1378" s="21">
        <v>274</v>
      </c>
      <c r="B1378" s="5" t="s">
        <v>648</v>
      </c>
      <c r="C1378" s="5" t="s">
        <v>586</v>
      </c>
      <c r="D1378" s="5" t="s">
        <v>27</v>
      </c>
      <c r="E1378" s="5" t="s">
        <v>22</v>
      </c>
      <c r="F1378" s="71">
        <v>45473</v>
      </c>
      <c r="G1378" s="5">
        <v>2024</v>
      </c>
      <c r="H1378" s="5" t="s">
        <v>699</v>
      </c>
      <c r="I1378" s="6" t="s">
        <v>729</v>
      </c>
      <c r="J1378" s="5">
        <v>100</v>
      </c>
      <c r="K1378" s="10">
        <v>102.33930181631</v>
      </c>
      <c r="L1378" s="14">
        <f t="shared" si="78"/>
        <v>1.0233930181630999</v>
      </c>
      <c r="M1378" s="14">
        <f t="shared" si="79"/>
        <v>1.0233930181630999</v>
      </c>
      <c r="N1378" s="5" t="s">
        <v>128</v>
      </c>
      <c r="O1378" s="5" t="s">
        <v>128</v>
      </c>
      <c r="P1378" s="15">
        <v>0</v>
      </c>
      <c r="Q1378" s="15">
        <v>0</v>
      </c>
      <c r="R1378" s="5" t="s">
        <v>2493</v>
      </c>
    </row>
    <row r="1379" spans="1:19" x14ac:dyDescent="0.3">
      <c r="A1379" s="28">
        <v>274</v>
      </c>
      <c r="B1379" s="5" t="s">
        <v>648</v>
      </c>
      <c r="C1379" s="5" t="s">
        <v>586</v>
      </c>
      <c r="D1379" s="5" t="s">
        <v>27</v>
      </c>
      <c r="E1379" s="5" t="s">
        <v>22</v>
      </c>
      <c r="F1379" s="71">
        <v>45657</v>
      </c>
      <c r="G1379" s="5">
        <v>2024</v>
      </c>
      <c r="H1379" s="5" t="s">
        <v>23</v>
      </c>
      <c r="I1379" s="6" t="s">
        <v>30</v>
      </c>
      <c r="J1379" s="5">
        <v>100</v>
      </c>
      <c r="K1379" s="9">
        <v>101.60875003065451</v>
      </c>
      <c r="L1379" s="14">
        <f t="shared" si="78"/>
        <v>1.016087500306545</v>
      </c>
      <c r="M1379" s="14">
        <f t="shared" si="79"/>
        <v>1.016087500306545</v>
      </c>
      <c r="N1379" s="5" t="s">
        <v>128</v>
      </c>
      <c r="O1379" s="5" t="s">
        <v>128</v>
      </c>
      <c r="P1379" s="15">
        <v>0</v>
      </c>
      <c r="Q1379" s="15">
        <v>0</v>
      </c>
      <c r="R1379" s="5" t="s">
        <v>650</v>
      </c>
    </row>
    <row r="1380" spans="1:19" x14ac:dyDescent="0.3">
      <c r="A1380" s="26">
        <v>274</v>
      </c>
      <c r="B1380" s="5" t="s">
        <v>648</v>
      </c>
      <c r="C1380" s="5" t="s">
        <v>586</v>
      </c>
      <c r="D1380" s="5" t="s">
        <v>27</v>
      </c>
      <c r="E1380" s="5" t="s">
        <v>22</v>
      </c>
      <c r="F1380" s="71">
        <v>45838</v>
      </c>
      <c r="G1380" s="5">
        <v>2025</v>
      </c>
      <c r="H1380" s="5" t="s">
        <v>699</v>
      </c>
      <c r="I1380" s="6" t="s">
        <v>700</v>
      </c>
      <c r="J1380" s="5">
        <v>100</v>
      </c>
      <c r="K1380" s="9">
        <v>105.8</v>
      </c>
      <c r="L1380" s="14">
        <f t="shared" si="78"/>
        <v>1.0580000000000001</v>
      </c>
      <c r="M1380" s="14">
        <f t="shared" si="79"/>
        <v>1.0580000000000001</v>
      </c>
      <c r="N1380" s="5" t="s">
        <v>128</v>
      </c>
      <c r="O1380" s="5" t="s">
        <v>128</v>
      </c>
      <c r="P1380" s="15">
        <v>0</v>
      </c>
      <c r="Q1380" s="15">
        <v>0</v>
      </c>
      <c r="R1380" s="5" t="s">
        <v>2494</v>
      </c>
    </row>
    <row r="1381" spans="1:19" x14ac:dyDescent="0.3">
      <c r="A1381" s="21">
        <v>274</v>
      </c>
      <c r="B1381" s="5" t="s">
        <v>648</v>
      </c>
      <c r="C1381" s="5" t="s">
        <v>586</v>
      </c>
      <c r="D1381" s="5" t="s">
        <v>21</v>
      </c>
      <c r="E1381" s="5" t="s">
        <v>22</v>
      </c>
      <c r="F1381" s="71">
        <v>46022</v>
      </c>
      <c r="G1381" s="5">
        <v>2025</v>
      </c>
      <c r="H1381" s="5" t="s">
        <v>23</v>
      </c>
      <c r="I1381" s="6" t="s">
        <v>32</v>
      </c>
      <c r="J1381" s="5">
        <v>100</v>
      </c>
      <c r="K1381" s="10">
        <v>102.03</v>
      </c>
      <c r="L1381" s="14">
        <f t="shared" si="78"/>
        <v>1.0203</v>
      </c>
      <c r="M1381" s="14">
        <f t="shared" si="79"/>
        <v>1.0203</v>
      </c>
      <c r="N1381" s="5" t="s">
        <v>128</v>
      </c>
      <c r="O1381" s="5" t="s">
        <v>128</v>
      </c>
      <c r="P1381" s="15">
        <v>0</v>
      </c>
      <c r="Q1381" s="15">
        <v>0</v>
      </c>
      <c r="R1381" s="5" t="s">
        <v>651</v>
      </c>
    </row>
    <row r="1382" spans="1:19" x14ac:dyDescent="0.3">
      <c r="A1382" s="5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45016</v>
      </c>
      <c r="G1382" s="5">
        <v>2023</v>
      </c>
      <c r="H1382" s="5" t="s">
        <v>1516</v>
      </c>
      <c r="I1382" s="6" t="s">
        <v>1512</v>
      </c>
      <c r="J1382" s="5">
        <v>80</v>
      </c>
      <c r="K1382" s="5"/>
      <c r="L1382" s="14"/>
      <c r="M1382" s="14"/>
      <c r="N1382" s="5" t="s">
        <v>25</v>
      </c>
      <c r="O1382" s="5" t="s">
        <v>302</v>
      </c>
      <c r="P1382" s="5">
        <v>0</v>
      </c>
      <c r="Q1382" s="5">
        <v>0</v>
      </c>
      <c r="R1382" s="5" t="s">
        <v>2495</v>
      </c>
      <c r="S1382" t="s">
        <v>302</v>
      </c>
    </row>
    <row r="1383" spans="1:19" x14ac:dyDescent="0.3">
      <c r="A1383" s="21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80</v>
      </c>
      <c r="K1383" s="10"/>
      <c r="L1383" s="14"/>
      <c r="M1383" s="14"/>
      <c r="N1383" s="5" t="s">
        <v>25</v>
      </c>
      <c r="O1383" s="5" t="s">
        <v>302</v>
      </c>
      <c r="P1383" s="15">
        <v>0</v>
      </c>
      <c r="Q1383" s="15">
        <v>0</v>
      </c>
      <c r="R1383" s="5" t="s">
        <v>2496</v>
      </c>
      <c r="S1383" t="s">
        <v>302</v>
      </c>
    </row>
    <row r="1384" spans="1:19" x14ac:dyDescent="0.3">
      <c r="A1384" s="21">
        <v>275</v>
      </c>
      <c r="B1384" s="5" t="s">
        <v>652</v>
      </c>
      <c r="C1384" s="5" t="s">
        <v>653</v>
      </c>
      <c r="D1384" s="5" t="s">
        <v>21</v>
      </c>
      <c r="E1384" s="5" t="s">
        <v>22</v>
      </c>
      <c r="F1384" s="71">
        <v>45199</v>
      </c>
      <c r="G1384" s="5">
        <v>2023</v>
      </c>
      <c r="H1384" s="5" t="s">
        <v>162</v>
      </c>
      <c r="I1384" s="6" t="s">
        <v>28</v>
      </c>
      <c r="J1384" s="5">
        <v>80</v>
      </c>
      <c r="K1384" s="10"/>
      <c r="L1384" s="14"/>
      <c r="M1384" s="14"/>
      <c r="N1384" s="5" t="s">
        <v>25</v>
      </c>
      <c r="O1384" s="5" t="s">
        <v>302</v>
      </c>
      <c r="P1384" s="15">
        <v>0</v>
      </c>
      <c r="Q1384" s="15">
        <v>0</v>
      </c>
      <c r="R1384" s="5" t="s">
        <v>2497</v>
      </c>
      <c r="S1384" t="s">
        <v>302</v>
      </c>
    </row>
    <row r="1385" spans="1:19" x14ac:dyDescent="0.3">
      <c r="A1385" s="21">
        <v>275</v>
      </c>
      <c r="B1385" s="5" t="s">
        <v>652</v>
      </c>
      <c r="C1385" s="5" t="s">
        <v>653</v>
      </c>
      <c r="D1385" s="5" t="s">
        <v>21</v>
      </c>
      <c r="E1385" s="5" t="s">
        <v>22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80</v>
      </c>
      <c r="K1385" s="12">
        <v>0</v>
      </c>
      <c r="L1385" s="14">
        <f t="shared" ref="L1385:L1401" si="80">IFERROR(IF(OR(J1385=0,K1385=""),"",IF(E1385="Positivo",MIN(MAX(K1385/J1385,0),1.3),MIN(MAX(J1385/K1385,0),1.3))),"")</f>
        <v>0</v>
      </c>
      <c r="M1385" s="14">
        <f t="shared" ref="M1385:M1401" si="81">IFERROR(IF(OR(J1385=0,K1385=""),"",IF(E1385="Positivo",MAX(K1385/J1385,0),MAX(J1385/K1385,0))),"")</f>
        <v>0</v>
      </c>
      <c r="N1385" s="5" t="s">
        <v>25</v>
      </c>
      <c r="O1385" s="5" t="s">
        <v>25</v>
      </c>
      <c r="P1385" s="15">
        <v>0</v>
      </c>
      <c r="Q1385" s="15">
        <v>0</v>
      </c>
      <c r="R1385" s="5" t="s">
        <v>654</v>
      </c>
    </row>
    <row r="1386" spans="1:19" x14ac:dyDescent="0.3">
      <c r="A1386" s="26">
        <v>275</v>
      </c>
      <c r="B1386" s="5" t="s">
        <v>652</v>
      </c>
      <c r="C1386" s="5" t="s">
        <v>653</v>
      </c>
      <c r="D1386" s="5" t="s">
        <v>27</v>
      </c>
      <c r="E1386" s="5" t="s">
        <v>22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80</v>
      </c>
      <c r="K1386" s="12">
        <v>103.75</v>
      </c>
      <c r="L1386" s="14">
        <f t="shared" si="80"/>
        <v>1.296875</v>
      </c>
      <c r="M1386" s="14">
        <f t="shared" si="81"/>
        <v>1.296875</v>
      </c>
      <c r="N1386" s="5" t="s">
        <v>25</v>
      </c>
      <c r="O1386" s="5" t="s">
        <v>25</v>
      </c>
      <c r="P1386" s="15">
        <v>0</v>
      </c>
      <c r="Q1386" s="15">
        <v>0</v>
      </c>
      <c r="R1386" s="5" t="s">
        <v>2498</v>
      </c>
    </row>
    <row r="1387" spans="1:19" x14ac:dyDescent="0.3">
      <c r="A1387" s="5">
        <v>275</v>
      </c>
      <c r="B1387" s="5" t="s">
        <v>652</v>
      </c>
      <c r="C1387" s="5" t="s">
        <v>653</v>
      </c>
      <c r="D1387" s="5" t="s">
        <v>27</v>
      </c>
      <c r="E1387" s="5" t="s">
        <v>22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80</v>
      </c>
      <c r="K1387" s="5">
        <v>109.58</v>
      </c>
      <c r="L1387" s="14">
        <f t="shared" si="80"/>
        <v>1.3</v>
      </c>
      <c r="M1387" s="14">
        <f t="shared" si="81"/>
        <v>1.36975</v>
      </c>
      <c r="N1387" s="5" t="s">
        <v>25</v>
      </c>
      <c r="O1387" s="5" t="s">
        <v>25</v>
      </c>
      <c r="P1387" s="5">
        <v>0</v>
      </c>
      <c r="Q1387" s="5">
        <v>0</v>
      </c>
      <c r="R1387" s="5" t="s">
        <v>655</v>
      </c>
    </row>
    <row r="1388" spans="1:19" x14ac:dyDescent="0.3">
      <c r="A1388" s="21">
        <v>275</v>
      </c>
      <c r="B1388" s="5" t="s">
        <v>652</v>
      </c>
      <c r="C1388" s="5" t="s">
        <v>653</v>
      </c>
      <c r="D1388" s="5" t="s">
        <v>27</v>
      </c>
      <c r="E1388" s="5" t="s">
        <v>22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80</v>
      </c>
      <c r="K1388" s="10">
        <v>90</v>
      </c>
      <c r="L1388" s="14">
        <f t="shared" si="80"/>
        <v>1.125</v>
      </c>
      <c r="M1388" s="14">
        <f t="shared" si="81"/>
        <v>1.125</v>
      </c>
      <c r="N1388" s="5" t="s">
        <v>25</v>
      </c>
      <c r="O1388" s="5" t="s">
        <v>25</v>
      </c>
      <c r="P1388" s="15">
        <v>0</v>
      </c>
      <c r="Q1388" s="15">
        <v>0</v>
      </c>
      <c r="R1388" s="5" t="s">
        <v>2499</v>
      </c>
    </row>
    <row r="1389" spans="1:19" x14ac:dyDescent="0.3">
      <c r="A1389" s="26">
        <v>275</v>
      </c>
      <c r="B1389" s="5" t="s">
        <v>652</v>
      </c>
      <c r="C1389" s="5" t="s">
        <v>653</v>
      </c>
      <c r="D1389" s="5" t="s">
        <v>21</v>
      </c>
      <c r="E1389" s="5" t="s">
        <v>22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80</v>
      </c>
      <c r="K1389" s="9">
        <v>91.67</v>
      </c>
      <c r="L1389" s="14">
        <f t="shared" si="80"/>
        <v>1.145875</v>
      </c>
      <c r="M1389" s="14">
        <f t="shared" si="81"/>
        <v>1.145875</v>
      </c>
      <c r="N1389" s="5" t="s">
        <v>25</v>
      </c>
      <c r="O1389" s="5" t="s">
        <v>25</v>
      </c>
      <c r="P1389" s="15">
        <v>0</v>
      </c>
      <c r="Q1389" s="15">
        <v>0</v>
      </c>
      <c r="R1389" s="5" t="s">
        <v>656</v>
      </c>
    </row>
    <row r="1390" spans="1:19" x14ac:dyDescent="0.3">
      <c r="A1390" s="26">
        <v>276</v>
      </c>
      <c r="B1390" s="5" t="s">
        <v>657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9">
        <v>89.99</v>
      </c>
      <c r="L1390" s="14">
        <f t="shared" si="80"/>
        <v>0.94454939437715302</v>
      </c>
      <c r="M1390" s="14">
        <f t="shared" si="81"/>
        <v>0.94454939437715302</v>
      </c>
      <c r="N1390" s="5"/>
      <c r="O1390" s="5"/>
      <c r="P1390" s="15">
        <v>0</v>
      </c>
      <c r="Q1390" s="15">
        <v>0</v>
      </c>
      <c r="R1390" s="5" t="s">
        <v>2500</v>
      </c>
    </row>
    <row r="1391" spans="1:19" x14ac:dyDescent="0.3">
      <c r="A1391" s="26">
        <v>276</v>
      </c>
      <c r="B1391" s="5" t="s">
        <v>657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9">
        <v>84.5</v>
      </c>
      <c r="L1391" s="14">
        <f t="shared" si="80"/>
        <v>1.0059171597633136</v>
      </c>
      <c r="M1391" s="14">
        <f t="shared" si="81"/>
        <v>1.0059171597633136</v>
      </c>
      <c r="N1391" s="5"/>
      <c r="O1391" s="5"/>
      <c r="P1391" s="15">
        <v>1</v>
      </c>
      <c r="Q1391" s="15">
        <v>1</v>
      </c>
      <c r="R1391" s="5" t="s">
        <v>659</v>
      </c>
    </row>
    <row r="1392" spans="1:19" x14ac:dyDescent="0.3">
      <c r="A1392" s="26">
        <v>276</v>
      </c>
      <c r="B1392" s="5" t="s">
        <v>657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75</v>
      </c>
      <c r="K1392" s="9">
        <v>83.65</v>
      </c>
      <c r="L1392" s="14">
        <f t="shared" si="80"/>
        <v>0.89659294680215174</v>
      </c>
      <c r="M1392" s="14">
        <f t="shared" si="81"/>
        <v>0.89659294680215174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2501</v>
      </c>
    </row>
    <row r="1393" spans="1:19" x14ac:dyDescent="0.3">
      <c r="A1393" s="21">
        <v>276</v>
      </c>
      <c r="B1393" s="5" t="s">
        <v>657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75</v>
      </c>
      <c r="K1393" s="10">
        <v>82.68</v>
      </c>
      <c r="L1393" s="14">
        <f t="shared" si="80"/>
        <v>0.90711175616835982</v>
      </c>
      <c r="M1393" s="14">
        <f t="shared" si="81"/>
        <v>0.90711175616835982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660</v>
      </c>
    </row>
    <row r="1394" spans="1:19" x14ac:dyDescent="0.3">
      <c r="A1394" s="21">
        <v>276</v>
      </c>
      <c r="B1394" s="5" t="s">
        <v>657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81</v>
      </c>
      <c r="K1394" s="10">
        <v>84.18</v>
      </c>
      <c r="L1394" s="14">
        <f t="shared" si="80"/>
        <v>0.96222380612972191</v>
      </c>
      <c r="M1394" s="14">
        <f t="shared" si="81"/>
        <v>0.96222380612972191</v>
      </c>
      <c r="N1394" s="5" t="s">
        <v>128</v>
      </c>
      <c r="O1394" s="5" t="s">
        <v>136</v>
      </c>
      <c r="P1394" s="15">
        <v>0</v>
      </c>
      <c r="Q1394" s="15">
        <v>1</v>
      </c>
      <c r="R1394" s="5" t="s">
        <v>2502</v>
      </c>
    </row>
    <row r="1395" spans="1:19" x14ac:dyDescent="0.3">
      <c r="A1395" s="21">
        <v>276</v>
      </c>
      <c r="B1395" s="5" t="s">
        <v>657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81</v>
      </c>
      <c r="K1395" s="10">
        <v>82.81</v>
      </c>
      <c r="L1395" s="14">
        <f t="shared" si="80"/>
        <v>0.97814273638449456</v>
      </c>
      <c r="M1395" s="14">
        <f t="shared" si="81"/>
        <v>0.97814273638449456</v>
      </c>
      <c r="N1395" s="5" t="s">
        <v>128</v>
      </c>
      <c r="O1395" s="5" t="s">
        <v>136</v>
      </c>
      <c r="P1395" s="15">
        <v>0</v>
      </c>
      <c r="Q1395" s="15">
        <v>1</v>
      </c>
      <c r="R1395" s="5" t="s">
        <v>661</v>
      </c>
    </row>
    <row r="1396" spans="1:19" x14ac:dyDescent="0.3">
      <c r="A1396" s="21">
        <v>277</v>
      </c>
      <c r="B1396" s="5" t="s">
        <v>662</v>
      </c>
      <c r="C1396" s="5" t="s">
        <v>658</v>
      </c>
      <c r="D1396" s="5" t="s">
        <v>27</v>
      </c>
      <c r="E1396" s="5" t="s">
        <v>41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>
        <v>85</v>
      </c>
      <c r="K1396" s="10">
        <v>76.48</v>
      </c>
      <c r="L1396" s="14">
        <f t="shared" si="80"/>
        <v>1.1114016736401673</v>
      </c>
      <c r="M1396" s="14">
        <f t="shared" si="81"/>
        <v>1.1114016736401673</v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2503</v>
      </c>
    </row>
    <row r="1397" spans="1:19" x14ac:dyDescent="0.3">
      <c r="A1397" s="21">
        <v>277</v>
      </c>
      <c r="B1397" s="5" t="s">
        <v>662</v>
      </c>
      <c r="C1397" s="5" t="s">
        <v>658</v>
      </c>
      <c r="D1397" s="5" t="s">
        <v>27</v>
      </c>
      <c r="E1397" s="5" t="s">
        <v>41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85</v>
      </c>
      <c r="K1397" s="10">
        <v>73.290000000000006</v>
      </c>
      <c r="L1397" s="14">
        <f t="shared" si="80"/>
        <v>1.1597762314094691</v>
      </c>
      <c r="M1397" s="14">
        <f t="shared" si="81"/>
        <v>1.1597762314094691</v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663</v>
      </c>
    </row>
    <row r="1398" spans="1:19" x14ac:dyDescent="0.3">
      <c r="A1398" s="5">
        <v>277</v>
      </c>
      <c r="B1398" s="5" t="s">
        <v>662</v>
      </c>
      <c r="C1398" s="5" t="s">
        <v>658</v>
      </c>
      <c r="D1398" s="5" t="s">
        <v>27</v>
      </c>
      <c r="E1398" s="5" t="s">
        <v>41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73</v>
      </c>
      <c r="K1398" s="5">
        <v>71.180000000000007</v>
      </c>
      <c r="L1398" s="14">
        <f t="shared" si="80"/>
        <v>1.0255689800505758</v>
      </c>
      <c r="M1398" s="14">
        <f t="shared" si="81"/>
        <v>1.0255689800505758</v>
      </c>
      <c r="N1398" s="5" t="s">
        <v>136</v>
      </c>
      <c r="O1398" s="5" t="s">
        <v>136</v>
      </c>
      <c r="P1398" s="15">
        <v>0</v>
      </c>
      <c r="Q1398" s="15">
        <v>0</v>
      </c>
      <c r="R1398" s="5" t="s">
        <v>2504</v>
      </c>
    </row>
    <row r="1399" spans="1:19" x14ac:dyDescent="0.3">
      <c r="A1399" s="21">
        <v>277</v>
      </c>
      <c r="B1399" s="5" t="s">
        <v>662</v>
      </c>
      <c r="C1399" s="5" t="s">
        <v>658</v>
      </c>
      <c r="D1399" s="5" t="s">
        <v>27</v>
      </c>
      <c r="E1399" s="5" t="s">
        <v>41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73</v>
      </c>
      <c r="K1399" s="10">
        <v>71.239999999999995</v>
      </c>
      <c r="L1399" s="14">
        <f t="shared" si="80"/>
        <v>1.0247052217855139</v>
      </c>
      <c r="M1399" s="14">
        <f t="shared" si="81"/>
        <v>1.0247052217855139</v>
      </c>
      <c r="N1399" s="5" t="s">
        <v>136</v>
      </c>
      <c r="O1399" s="5" t="s">
        <v>136</v>
      </c>
      <c r="P1399" s="15">
        <v>0</v>
      </c>
      <c r="Q1399" s="15">
        <v>0</v>
      </c>
      <c r="R1399" s="5" t="s">
        <v>664</v>
      </c>
    </row>
    <row r="1400" spans="1:19" x14ac:dyDescent="0.3">
      <c r="A1400" s="21">
        <v>277</v>
      </c>
      <c r="B1400" s="5" t="s">
        <v>662</v>
      </c>
      <c r="C1400" s="5" t="s">
        <v>658</v>
      </c>
      <c r="D1400" s="5" t="s">
        <v>27</v>
      </c>
      <c r="E1400" s="5" t="s">
        <v>41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>
        <v>71</v>
      </c>
      <c r="K1400" s="10">
        <v>69.39</v>
      </c>
      <c r="L1400" s="14">
        <f t="shared" si="80"/>
        <v>1.0232021905173656</v>
      </c>
      <c r="M1400" s="14">
        <f t="shared" si="81"/>
        <v>1.0232021905173656</v>
      </c>
      <c r="N1400" s="5" t="s">
        <v>136</v>
      </c>
      <c r="O1400" s="5" t="s">
        <v>136</v>
      </c>
      <c r="P1400" s="15">
        <v>0</v>
      </c>
      <c r="Q1400" s="15">
        <v>0</v>
      </c>
      <c r="R1400" s="5" t="s">
        <v>2505</v>
      </c>
    </row>
    <row r="1401" spans="1:19" x14ac:dyDescent="0.3">
      <c r="A1401" s="21">
        <v>277</v>
      </c>
      <c r="B1401" s="5" t="s">
        <v>2506</v>
      </c>
      <c r="C1401" s="5" t="s">
        <v>658</v>
      </c>
      <c r="D1401" s="5" t="s">
        <v>21</v>
      </c>
      <c r="E1401" s="5" t="s">
        <v>41</v>
      </c>
      <c r="F1401" s="71">
        <v>46022</v>
      </c>
      <c r="G1401" s="5">
        <v>2025</v>
      </c>
      <c r="H1401" s="5" t="s">
        <v>23</v>
      </c>
      <c r="I1401" s="6" t="s">
        <v>32</v>
      </c>
      <c r="J1401" s="5">
        <v>71</v>
      </c>
      <c r="K1401" s="10">
        <v>68.400000000000006</v>
      </c>
      <c r="L1401" s="14">
        <f t="shared" si="80"/>
        <v>1.0380116959064327</v>
      </c>
      <c r="M1401" s="14">
        <f t="shared" si="81"/>
        <v>1.0380116959064327</v>
      </c>
      <c r="N1401" s="5" t="s">
        <v>128</v>
      </c>
      <c r="O1401" s="5" t="s">
        <v>136</v>
      </c>
      <c r="P1401" s="15">
        <v>1</v>
      </c>
      <c r="Q1401" s="15">
        <v>1</v>
      </c>
      <c r="R1401" s="5" t="s">
        <v>665</v>
      </c>
    </row>
    <row r="1402" spans="1:19" x14ac:dyDescent="0.3">
      <c r="A1402" s="21">
        <v>278</v>
      </c>
      <c r="B1402" s="5" t="s">
        <v>666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0">
        <v>1015</v>
      </c>
      <c r="L1402" s="14"/>
      <c r="M1402" s="8"/>
      <c r="N1402" s="5" t="s">
        <v>136</v>
      </c>
      <c r="O1402" s="5" t="s">
        <v>136</v>
      </c>
      <c r="P1402" s="15">
        <v>0</v>
      </c>
      <c r="Q1402" s="15">
        <v>0</v>
      </c>
      <c r="R1402" s="5" t="s">
        <v>2507</v>
      </c>
    </row>
    <row r="1403" spans="1:19" x14ac:dyDescent="0.3">
      <c r="A1403" s="21">
        <v>278</v>
      </c>
      <c r="B1403" s="5" t="s">
        <v>666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0">
        <v>1017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 t="s">
        <v>136</v>
      </c>
      <c r="O1403" s="5" t="s">
        <v>136</v>
      </c>
      <c r="P1403" s="15">
        <v>0</v>
      </c>
      <c r="Q1403" s="15">
        <v>0</v>
      </c>
      <c r="R1403" s="5" t="s">
        <v>667</v>
      </c>
    </row>
    <row r="1404" spans="1:19" x14ac:dyDescent="0.3">
      <c r="A1404" s="21">
        <v>278</v>
      </c>
      <c r="B1404" s="5" t="s">
        <v>666</v>
      </c>
      <c r="C1404" s="5" t="s">
        <v>658</v>
      </c>
      <c r="D1404" s="5" t="s">
        <v>27</v>
      </c>
      <c r="E1404" s="5" t="s">
        <v>22</v>
      </c>
      <c r="F1404" s="71">
        <v>45473</v>
      </c>
      <c r="G1404" s="5">
        <v>2024</v>
      </c>
      <c r="H1404" s="5" t="s">
        <v>699</v>
      </c>
      <c r="I1404" s="6" t="s">
        <v>729</v>
      </c>
      <c r="J1404" s="5">
        <v>0</v>
      </c>
      <c r="K1404" s="10">
        <v>1080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>
        <v>0</v>
      </c>
      <c r="O1404" s="5" t="s">
        <v>128</v>
      </c>
      <c r="P1404" s="15">
        <v>0</v>
      </c>
      <c r="Q1404" s="15">
        <v>0</v>
      </c>
      <c r="R1404" s="5" t="s">
        <v>2508</v>
      </c>
    </row>
    <row r="1405" spans="1:19" x14ac:dyDescent="0.3">
      <c r="A1405" s="5">
        <v>278</v>
      </c>
      <c r="B1405" s="5" t="s">
        <v>666</v>
      </c>
      <c r="C1405" s="5" t="s">
        <v>658</v>
      </c>
      <c r="D1405" s="5" t="s">
        <v>27</v>
      </c>
      <c r="E1405" s="5" t="s">
        <v>22</v>
      </c>
      <c r="F1405" s="71">
        <v>45657</v>
      </c>
      <c r="G1405" s="5">
        <v>2024</v>
      </c>
      <c r="H1405" s="5" t="s">
        <v>23</v>
      </c>
      <c r="I1405" s="6" t="s">
        <v>30</v>
      </c>
      <c r="J1405" s="5">
        <v>0</v>
      </c>
      <c r="K1405" s="5">
        <v>1018</v>
      </c>
      <c r="L1405" s="14" t="str">
        <f>IFERROR(IF(OR(J1405=0,K1405=""),"",IF(E1405="Positivo",MIN(MAX(K1405/J1405,0),1.3),MIN(MAX(J1405/K1405,0),1.3))),"")</f>
        <v/>
      </c>
      <c r="M1405" s="14" t="str">
        <f>IFERROR(IF(OR(J1405=0,K1405=""),"",IF(E1405="Positivo",MAX(K1405/J1405,0),MAX(J1405/K1405,0))),"")</f>
        <v/>
      </c>
      <c r="N1405" s="5">
        <v>0</v>
      </c>
      <c r="O1405" s="5" t="s">
        <v>128</v>
      </c>
      <c r="P1405" s="5">
        <v>0</v>
      </c>
      <c r="Q1405" s="5">
        <v>0</v>
      </c>
      <c r="R1405" s="5" t="s">
        <v>668</v>
      </c>
    </row>
    <row r="1406" spans="1:19" x14ac:dyDescent="0.3">
      <c r="A1406" s="21">
        <v>278</v>
      </c>
      <c r="B1406" s="5" t="s">
        <v>669</v>
      </c>
      <c r="C1406" s="5" t="s">
        <v>658</v>
      </c>
      <c r="D1406" s="5" t="s">
        <v>21</v>
      </c>
      <c r="E1406" s="5" t="s">
        <v>22</v>
      </c>
      <c r="F1406" s="71">
        <v>45838</v>
      </c>
      <c r="G1406" s="5">
        <v>2025</v>
      </c>
      <c r="H1406" s="5" t="s">
        <v>699</v>
      </c>
      <c r="I1406" s="6" t="s">
        <v>700</v>
      </c>
      <c r="J1406" s="5"/>
      <c r="K1406" s="10">
        <v>1099</v>
      </c>
      <c r="L1406" s="14"/>
      <c r="M1406" s="14"/>
      <c r="N1406" s="5" t="s">
        <v>263</v>
      </c>
      <c r="O1406" s="5" t="s">
        <v>263</v>
      </c>
      <c r="P1406" s="15">
        <v>0</v>
      </c>
      <c r="Q1406" s="15">
        <v>0</v>
      </c>
      <c r="R1406" s="5" t="s">
        <v>2509</v>
      </c>
      <c r="S1406" t="s">
        <v>263</v>
      </c>
    </row>
    <row r="1407" spans="1:19" x14ac:dyDescent="0.3">
      <c r="A1407" s="26">
        <v>278</v>
      </c>
      <c r="B1407" s="5" t="s">
        <v>669</v>
      </c>
      <c r="C1407" s="5" t="s">
        <v>658</v>
      </c>
      <c r="D1407" s="5" t="s">
        <v>21</v>
      </c>
      <c r="E1407" s="5" t="s">
        <v>22</v>
      </c>
      <c r="F1407" s="71">
        <v>46022</v>
      </c>
      <c r="G1407" s="5">
        <v>2025</v>
      </c>
      <c r="H1407" s="5" t="s">
        <v>23</v>
      </c>
      <c r="I1407" s="6" t="s">
        <v>32</v>
      </c>
      <c r="J1407" s="5"/>
      <c r="K1407" s="12">
        <v>1071</v>
      </c>
      <c r="L1407" s="14"/>
      <c r="M1407" s="8"/>
      <c r="N1407" s="5" t="s">
        <v>263</v>
      </c>
      <c r="O1407" s="5" t="s">
        <v>263</v>
      </c>
      <c r="P1407" s="15">
        <v>0</v>
      </c>
      <c r="Q1407" s="15">
        <v>0</v>
      </c>
      <c r="R1407" s="5" t="s">
        <v>670</v>
      </c>
      <c r="S1407" t="s">
        <v>263</v>
      </c>
    </row>
    <row r="1408" spans="1:19" x14ac:dyDescent="0.3">
      <c r="A1408" s="26">
        <v>279</v>
      </c>
      <c r="B1408" s="5" t="s">
        <v>671</v>
      </c>
      <c r="C1408" s="5" t="s">
        <v>658</v>
      </c>
      <c r="D1408" s="5" t="s">
        <v>27</v>
      </c>
      <c r="E1408" s="5" t="s">
        <v>22</v>
      </c>
      <c r="F1408" s="71">
        <v>45107</v>
      </c>
      <c r="G1408" s="5">
        <v>2023</v>
      </c>
      <c r="H1408" s="5" t="s">
        <v>699</v>
      </c>
      <c r="I1408" s="6" t="s">
        <v>1512</v>
      </c>
      <c r="J1408" s="5"/>
      <c r="K1408" s="12">
        <v>572</v>
      </c>
      <c r="L1408" s="14"/>
      <c r="M1408" s="8"/>
      <c r="N1408" s="5"/>
      <c r="O1408" s="5"/>
      <c r="P1408" s="15">
        <v>0</v>
      </c>
      <c r="Q1408" s="15">
        <v>0</v>
      </c>
      <c r="R1408" s="5" t="s">
        <v>2510</v>
      </c>
    </row>
    <row r="1409" spans="1:18" x14ac:dyDescent="0.3">
      <c r="A1409" s="26">
        <v>280</v>
      </c>
      <c r="B1409" s="5" t="s">
        <v>673</v>
      </c>
      <c r="C1409" s="5" t="s">
        <v>658</v>
      </c>
      <c r="D1409" s="5" t="s">
        <v>27</v>
      </c>
      <c r="E1409" s="5" t="s">
        <v>22</v>
      </c>
      <c r="F1409" s="71">
        <v>45107</v>
      </c>
      <c r="G1409" s="5">
        <v>2023</v>
      </c>
      <c r="H1409" s="5" t="s">
        <v>699</v>
      </c>
      <c r="I1409" s="6" t="s">
        <v>1512</v>
      </c>
      <c r="J1409" s="5"/>
      <c r="K1409" s="12">
        <v>203</v>
      </c>
      <c r="L1409" s="14"/>
      <c r="M1409" s="8"/>
      <c r="N1409" s="5"/>
      <c r="O1409" s="5"/>
      <c r="P1409" s="15">
        <v>0</v>
      </c>
      <c r="Q1409" s="15">
        <v>0</v>
      </c>
      <c r="R1409" s="5" t="s">
        <v>2511</v>
      </c>
    </row>
    <row r="1410" spans="1:18" x14ac:dyDescent="0.3">
      <c r="A1410" s="26">
        <v>280</v>
      </c>
      <c r="B1410" s="5" t="s">
        <v>673</v>
      </c>
      <c r="C1410" s="5" t="s">
        <v>658</v>
      </c>
      <c r="D1410" s="5" t="s">
        <v>27</v>
      </c>
      <c r="E1410" s="5" t="s">
        <v>22</v>
      </c>
      <c r="F1410" s="71">
        <v>45291</v>
      </c>
      <c r="G1410" s="5">
        <v>2023</v>
      </c>
      <c r="H1410" s="5" t="s">
        <v>23</v>
      </c>
      <c r="I1410" s="6" t="s">
        <v>28</v>
      </c>
      <c r="J1410" s="5">
        <v>0</v>
      </c>
      <c r="K1410" s="12">
        <v>186</v>
      </c>
      <c r="L1410" s="14" t="str">
        <f>IFERROR(IF(OR(J1410=0,K1410=""),"",IF(E1410="Positivo",MIN(MAX(K1410/J1410,0),1.3),MIN(MAX(J1410/K1410,0),1.3))),"")</f>
        <v/>
      </c>
      <c r="M1410" s="14" t="str">
        <f>IFERROR(IF(OR(J1410=0,K1410=""),"",IF(E1410="Positivo",MAX(K1410/J1410,0),MAX(J1410/K1410,0))),"")</f>
        <v/>
      </c>
      <c r="N1410" s="5"/>
      <c r="O1410" s="5"/>
      <c r="P1410" s="15">
        <v>0</v>
      </c>
      <c r="Q1410" s="15">
        <v>0</v>
      </c>
      <c r="R1410" s="5" t="s">
        <v>674</v>
      </c>
    </row>
    <row r="1411" spans="1:18" x14ac:dyDescent="0.3">
      <c r="A1411" s="26">
        <v>281</v>
      </c>
      <c r="B1411" s="5" t="s">
        <v>675</v>
      </c>
      <c r="C1411" s="5" t="s">
        <v>658</v>
      </c>
      <c r="D1411" s="5" t="s">
        <v>27</v>
      </c>
      <c r="E1411" s="5" t="s">
        <v>22</v>
      </c>
      <c r="F1411" s="71">
        <v>45107</v>
      </c>
      <c r="G1411" s="5">
        <v>2023</v>
      </c>
      <c r="H1411" s="5" t="s">
        <v>699</v>
      </c>
      <c r="I1411" s="6" t="s">
        <v>1512</v>
      </c>
      <c r="J1411" s="5"/>
      <c r="K1411" s="12">
        <v>240</v>
      </c>
      <c r="L1411" s="14"/>
      <c r="M1411" s="8"/>
      <c r="N1411" s="5"/>
      <c r="O1411" s="5"/>
      <c r="P1411" s="15">
        <v>0</v>
      </c>
      <c r="Q1411" s="15">
        <v>0</v>
      </c>
      <c r="R1411" s="5" t="s">
        <v>2512</v>
      </c>
    </row>
    <row r="1412" spans="1:18" x14ac:dyDescent="0.3">
      <c r="A1412" s="26">
        <v>281</v>
      </c>
      <c r="B1412" s="5" t="s">
        <v>675</v>
      </c>
      <c r="C1412" s="5" t="s">
        <v>658</v>
      </c>
      <c r="D1412" s="5" t="s">
        <v>27</v>
      </c>
      <c r="E1412" s="5" t="s">
        <v>22</v>
      </c>
      <c r="F1412" s="71">
        <v>45291</v>
      </c>
      <c r="G1412" s="5">
        <v>2023</v>
      </c>
      <c r="H1412" s="5" t="s">
        <v>23</v>
      </c>
      <c r="I1412" s="6" t="s">
        <v>28</v>
      </c>
      <c r="J1412" s="5"/>
      <c r="K1412" s="12">
        <v>223</v>
      </c>
      <c r="L1412" s="14"/>
      <c r="M1412" s="8"/>
      <c r="N1412" s="5"/>
      <c r="O1412" s="5"/>
      <c r="P1412" s="15">
        <v>0</v>
      </c>
      <c r="Q1412" s="15">
        <v>0</v>
      </c>
      <c r="R1412" s="5" t="s">
        <v>676</v>
      </c>
    </row>
    <row r="1413" spans="1:18" x14ac:dyDescent="0.3">
      <c r="A1413" s="21">
        <v>282</v>
      </c>
      <c r="B1413" s="5" t="s">
        <v>677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96</v>
      </c>
      <c r="K1413" s="10">
        <v>97.02</v>
      </c>
      <c r="L1413" s="14">
        <f t="shared" ref="L1413:L1424" si="82">IFERROR(IF(OR(J1413=0,K1413=""),"",IF(E1413="Positivo",MIN(MAX(K1413/J1413,0),1.3),MIN(MAX(J1413/K1413,0),1.3))),"")</f>
        <v>1.0106249999999999</v>
      </c>
      <c r="M1413" s="14">
        <f t="shared" ref="M1413:M1424" si="83">IFERROR(IF(OR(J1413=0,K1413=""),"",IF(E1413="Positivo",MAX(K1413/J1413,0),MAX(J1413/K1413,0))),"")</f>
        <v>1.0106249999999999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2513</v>
      </c>
    </row>
    <row r="1414" spans="1:18" x14ac:dyDescent="0.3">
      <c r="A1414" s="21">
        <v>282</v>
      </c>
      <c r="B1414" s="5" t="s">
        <v>677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96</v>
      </c>
      <c r="K1414" s="10">
        <v>97.34</v>
      </c>
      <c r="L1414" s="14">
        <f t="shared" si="82"/>
        <v>1.0139583333333333</v>
      </c>
      <c r="M1414" s="14">
        <f t="shared" si="83"/>
        <v>1.0139583333333333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678</v>
      </c>
    </row>
    <row r="1415" spans="1:18" x14ac:dyDescent="0.3">
      <c r="A1415" s="21">
        <v>282</v>
      </c>
      <c r="B1415" s="5" t="s">
        <v>677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97</v>
      </c>
      <c r="K1415" s="10">
        <v>97.02</v>
      </c>
      <c r="L1415" s="14">
        <f t="shared" si="82"/>
        <v>1.0002061855670104</v>
      </c>
      <c r="M1415" s="14">
        <f t="shared" si="83"/>
        <v>1.0002061855670104</v>
      </c>
      <c r="N1415" s="5" t="s">
        <v>25</v>
      </c>
      <c r="O1415" s="5" t="s">
        <v>25</v>
      </c>
      <c r="P1415" s="15">
        <v>0</v>
      </c>
      <c r="Q1415" s="15">
        <v>0</v>
      </c>
      <c r="R1415" s="5" t="s">
        <v>2514</v>
      </c>
    </row>
    <row r="1416" spans="1:18" x14ac:dyDescent="0.3">
      <c r="A1416" s="21">
        <v>282</v>
      </c>
      <c r="B1416" s="5" t="s">
        <v>677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97</v>
      </c>
      <c r="K1416" s="10">
        <v>96.84</v>
      </c>
      <c r="L1416" s="14">
        <f t="shared" si="82"/>
        <v>0.99835051546391751</v>
      </c>
      <c r="M1416" s="14">
        <f t="shared" si="83"/>
        <v>0.99835051546391751</v>
      </c>
      <c r="N1416" s="5" t="s">
        <v>25</v>
      </c>
      <c r="O1416" s="5" t="s">
        <v>25</v>
      </c>
      <c r="P1416" s="15">
        <v>0</v>
      </c>
      <c r="Q1416" s="15">
        <v>0</v>
      </c>
      <c r="R1416" s="5" t="s">
        <v>679</v>
      </c>
    </row>
    <row r="1417" spans="1:18" x14ac:dyDescent="0.3">
      <c r="A1417" s="21">
        <v>282</v>
      </c>
      <c r="B1417" s="5" t="s">
        <v>677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97</v>
      </c>
      <c r="K1417" s="10">
        <v>97.41</v>
      </c>
      <c r="L1417" s="14">
        <f t="shared" si="82"/>
        <v>1.0042268041237112</v>
      </c>
      <c r="M1417" s="14">
        <f t="shared" si="83"/>
        <v>1.0042268041237112</v>
      </c>
      <c r="N1417" s="5" t="s">
        <v>25</v>
      </c>
      <c r="O1417" s="5" t="s">
        <v>25</v>
      </c>
      <c r="P1417" s="15">
        <v>0</v>
      </c>
      <c r="Q1417" s="15">
        <v>0</v>
      </c>
      <c r="R1417" s="5" t="s">
        <v>2515</v>
      </c>
    </row>
    <row r="1418" spans="1:18" x14ac:dyDescent="0.3">
      <c r="A1418" s="5">
        <v>282</v>
      </c>
      <c r="B1418" s="5" t="s">
        <v>677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97</v>
      </c>
      <c r="K1418" s="5">
        <v>97.56</v>
      </c>
      <c r="L1418" s="14">
        <f t="shared" si="82"/>
        <v>1.0057731958762888</v>
      </c>
      <c r="M1418" s="14">
        <f t="shared" si="83"/>
        <v>1.0057731958762888</v>
      </c>
      <c r="N1418" s="5" t="s">
        <v>25</v>
      </c>
      <c r="O1418" s="5" t="s">
        <v>25</v>
      </c>
      <c r="P1418" s="15">
        <v>0</v>
      </c>
      <c r="Q1418" s="15">
        <v>0</v>
      </c>
      <c r="R1418" s="5" t="s">
        <v>680</v>
      </c>
    </row>
    <row r="1419" spans="1:18" x14ac:dyDescent="0.3">
      <c r="A1419" s="21">
        <v>283</v>
      </c>
      <c r="B1419" s="5" t="s">
        <v>681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>
        <v>4.5</v>
      </c>
      <c r="K1419" s="10">
        <v>4.5999999999999996</v>
      </c>
      <c r="L1419" s="14">
        <f t="shared" si="82"/>
        <v>1.0222222222222221</v>
      </c>
      <c r="M1419" s="14">
        <f t="shared" si="83"/>
        <v>1.0222222222222221</v>
      </c>
      <c r="N1419" s="5" t="s">
        <v>25</v>
      </c>
      <c r="O1419" s="5" t="s">
        <v>25</v>
      </c>
      <c r="P1419" s="15">
        <v>2</v>
      </c>
      <c r="Q1419" s="15">
        <v>2</v>
      </c>
      <c r="R1419" s="5" t="s">
        <v>2516</v>
      </c>
    </row>
    <row r="1420" spans="1:18" x14ac:dyDescent="0.3">
      <c r="A1420" s="21">
        <v>283</v>
      </c>
      <c r="B1420" s="5" t="s">
        <v>681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>
        <v>4.5</v>
      </c>
      <c r="K1420" s="10">
        <v>4.55</v>
      </c>
      <c r="L1420" s="14">
        <f t="shared" si="82"/>
        <v>1.0111111111111111</v>
      </c>
      <c r="M1420" s="14">
        <f t="shared" si="83"/>
        <v>1.0111111111111111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682</v>
      </c>
    </row>
    <row r="1421" spans="1:18" x14ac:dyDescent="0.3">
      <c r="A1421" s="21">
        <v>283</v>
      </c>
      <c r="B1421" s="5" t="s">
        <v>681</v>
      </c>
      <c r="C1421" s="5" t="s">
        <v>658</v>
      </c>
      <c r="D1421" s="5" t="s">
        <v>27</v>
      </c>
      <c r="E1421" s="5" t="s">
        <v>22</v>
      </c>
      <c r="F1421" s="71">
        <v>45473</v>
      </c>
      <c r="G1421" s="5">
        <v>2024</v>
      </c>
      <c r="H1421" s="5" t="s">
        <v>699</v>
      </c>
      <c r="I1421" s="6" t="s">
        <v>729</v>
      </c>
      <c r="J1421" s="5">
        <v>4.5</v>
      </c>
      <c r="K1421" s="10">
        <v>4.57</v>
      </c>
      <c r="L1421" s="14">
        <f t="shared" si="82"/>
        <v>1.0155555555555555</v>
      </c>
      <c r="M1421" s="14">
        <f t="shared" si="83"/>
        <v>1.0155555555555555</v>
      </c>
      <c r="N1421" s="5" t="s">
        <v>136</v>
      </c>
      <c r="O1421" s="5" t="s">
        <v>136</v>
      </c>
      <c r="P1421" s="15">
        <v>2</v>
      </c>
      <c r="Q1421" s="15">
        <v>2</v>
      </c>
      <c r="R1421" s="5" t="s">
        <v>2517</v>
      </c>
    </row>
    <row r="1422" spans="1:18" x14ac:dyDescent="0.3">
      <c r="A1422" s="21">
        <v>283</v>
      </c>
      <c r="B1422" s="5" t="s">
        <v>681</v>
      </c>
      <c r="C1422" s="5" t="s">
        <v>658</v>
      </c>
      <c r="D1422" s="5" t="s">
        <v>27</v>
      </c>
      <c r="E1422" s="5" t="s">
        <v>22</v>
      </c>
      <c r="F1422" s="71">
        <v>45657</v>
      </c>
      <c r="G1422" s="5">
        <v>2024</v>
      </c>
      <c r="H1422" s="5" t="s">
        <v>23</v>
      </c>
      <c r="I1422" s="6" t="s">
        <v>30</v>
      </c>
      <c r="J1422" s="5">
        <v>4.5</v>
      </c>
      <c r="K1422" s="10">
        <v>4.6399999999999997</v>
      </c>
      <c r="L1422" s="14">
        <f t="shared" si="82"/>
        <v>1.0311111111111111</v>
      </c>
      <c r="M1422" s="14">
        <f t="shared" si="83"/>
        <v>1.0311111111111111</v>
      </c>
      <c r="N1422" s="5" t="s">
        <v>136</v>
      </c>
      <c r="O1422" s="5" t="s">
        <v>136</v>
      </c>
      <c r="P1422" s="15">
        <v>2</v>
      </c>
      <c r="Q1422" s="15">
        <v>2</v>
      </c>
      <c r="R1422" s="5" t="s">
        <v>683</v>
      </c>
    </row>
    <row r="1423" spans="1:18" x14ac:dyDescent="0.3">
      <c r="A1423" s="21">
        <v>283</v>
      </c>
      <c r="B1423" s="5" t="s">
        <v>681</v>
      </c>
      <c r="C1423" s="5" t="s">
        <v>658</v>
      </c>
      <c r="D1423" s="5" t="s">
        <v>27</v>
      </c>
      <c r="E1423" s="5" t="s">
        <v>22</v>
      </c>
      <c r="F1423" s="71">
        <v>45838</v>
      </c>
      <c r="G1423" s="5">
        <v>2025</v>
      </c>
      <c r="H1423" s="5" t="s">
        <v>699</v>
      </c>
      <c r="I1423" s="6" t="s">
        <v>700</v>
      </c>
      <c r="J1423" s="5">
        <v>4.5999999999999996</v>
      </c>
      <c r="K1423" s="10">
        <v>4.66</v>
      </c>
      <c r="L1423" s="14">
        <f t="shared" si="82"/>
        <v>1.0130434782608697</v>
      </c>
      <c r="M1423" s="14">
        <f t="shared" si="83"/>
        <v>1.0130434782608697</v>
      </c>
      <c r="N1423" s="5" t="s">
        <v>136</v>
      </c>
      <c r="O1423" s="5" t="s">
        <v>136</v>
      </c>
      <c r="P1423" s="15">
        <v>1</v>
      </c>
      <c r="Q1423" s="15">
        <v>2</v>
      </c>
      <c r="R1423" s="5" t="s">
        <v>2518</v>
      </c>
    </row>
    <row r="1424" spans="1:18" x14ac:dyDescent="0.3">
      <c r="A1424" s="21">
        <v>283</v>
      </c>
      <c r="B1424" s="5" t="s">
        <v>681</v>
      </c>
      <c r="C1424" s="5" t="s">
        <v>658</v>
      </c>
      <c r="D1424" s="5" t="s">
        <v>21</v>
      </c>
      <c r="E1424" s="5" t="s">
        <v>22</v>
      </c>
      <c r="F1424" s="71">
        <v>46022</v>
      </c>
      <c r="G1424" s="5">
        <v>2025</v>
      </c>
      <c r="H1424" s="5" t="s">
        <v>23</v>
      </c>
      <c r="I1424" s="6" t="s">
        <v>32</v>
      </c>
      <c r="J1424" s="5">
        <v>4.5999999999999996</v>
      </c>
      <c r="K1424" s="10">
        <v>4.67</v>
      </c>
      <c r="L1424" s="14">
        <f t="shared" si="82"/>
        <v>1.0152173913043478</v>
      </c>
      <c r="M1424" s="14">
        <f t="shared" si="83"/>
        <v>1.0152173913043478</v>
      </c>
      <c r="N1424" s="5" t="s">
        <v>136</v>
      </c>
      <c r="O1424" s="5" t="s">
        <v>136</v>
      </c>
      <c r="P1424" s="15">
        <v>1</v>
      </c>
      <c r="Q1424" s="15">
        <v>2</v>
      </c>
      <c r="R1424" s="5" t="s">
        <v>684</v>
      </c>
    </row>
    <row r="1425" spans="1:19" x14ac:dyDescent="0.3">
      <c r="A1425" s="21">
        <v>284</v>
      </c>
      <c r="B1425" s="5" t="s">
        <v>685</v>
      </c>
      <c r="C1425" s="5" t="s">
        <v>658</v>
      </c>
      <c r="D1425" s="5" t="s">
        <v>27</v>
      </c>
      <c r="E1425" s="5" t="s">
        <v>22</v>
      </c>
      <c r="F1425" s="71">
        <v>45107</v>
      </c>
      <c r="G1425" s="5">
        <v>2023</v>
      </c>
      <c r="H1425" s="5" t="s">
        <v>699</v>
      </c>
      <c r="I1425" s="6" t="s">
        <v>1512</v>
      </c>
      <c r="J1425" s="5"/>
      <c r="K1425" s="9">
        <v>15047</v>
      </c>
      <c r="L1425" s="14"/>
      <c r="M1425" s="14"/>
      <c r="N1425" s="5" t="s">
        <v>136</v>
      </c>
      <c r="O1425" s="5" t="s">
        <v>136</v>
      </c>
      <c r="P1425" s="15">
        <v>0</v>
      </c>
      <c r="Q1425" s="15">
        <v>0</v>
      </c>
      <c r="R1425" s="5" t="s">
        <v>2519</v>
      </c>
    </row>
    <row r="1426" spans="1:19" x14ac:dyDescent="0.3">
      <c r="A1426" s="5">
        <v>284</v>
      </c>
      <c r="B1426" s="5" t="s">
        <v>685</v>
      </c>
      <c r="C1426" s="5" t="s">
        <v>658</v>
      </c>
      <c r="D1426" s="5" t="s">
        <v>27</v>
      </c>
      <c r="E1426" s="5" t="s">
        <v>22</v>
      </c>
      <c r="F1426" s="71">
        <v>45291</v>
      </c>
      <c r="G1426" s="5">
        <v>2023</v>
      </c>
      <c r="H1426" s="5" t="s">
        <v>23</v>
      </c>
      <c r="I1426" s="6" t="s">
        <v>28</v>
      </c>
      <c r="J1426" s="5"/>
      <c r="K1426" s="5">
        <v>16281</v>
      </c>
      <c r="L1426" s="14"/>
      <c r="M1426" s="14"/>
      <c r="N1426" s="5" t="s">
        <v>136</v>
      </c>
      <c r="O1426" s="5" t="s">
        <v>136</v>
      </c>
      <c r="P1426" s="5">
        <v>0</v>
      </c>
      <c r="Q1426" s="5">
        <v>0</v>
      </c>
      <c r="R1426" s="5" t="s">
        <v>686</v>
      </c>
    </row>
    <row r="1427" spans="1:19" x14ac:dyDescent="0.3">
      <c r="A1427" s="21">
        <v>285</v>
      </c>
      <c r="B1427" s="5" t="s">
        <v>687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>
        <v>100</v>
      </c>
      <c r="K1427" s="10">
        <v>100</v>
      </c>
      <c r="L1427" s="14">
        <f t="shared" ref="L1427:L1432" si="84">IFERROR(IF(OR(J1427=0,K1427=""),"",IF(E1427="Positivo",MIN(MAX(K1427/J1427,0),1.3),MIN(MAX(J1427/K1427,0),1.3))),"")</f>
        <v>1</v>
      </c>
      <c r="M1427" s="14">
        <f t="shared" ref="M1427:M1432" si="85">IFERROR(IF(OR(J1427=0,K1427=""),"",IF(E1427="Positivo",MAX(K1427/J1427,0),MAX(J1427/K1427,0))),"")</f>
        <v>1</v>
      </c>
      <c r="N1427" s="5" t="s">
        <v>25</v>
      </c>
      <c r="O1427" s="5" t="s">
        <v>25</v>
      </c>
      <c r="P1427" s="15">
        <v>0</v>
      </c>
      <c r="Q1427" s="15">
        <v>0</v>
      </c>
      <c r="R1427" s="5" t="s">
        <v>2520</v>
      </c>
    </row>
    <row r="1428" spans="1:19" x14ac:dyDescent="0.3">
      <c r="A1428" s="26">
        <v>285</v>
      </c>
      <c r="B1428" s="5" t="s">
        <v>687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>
        <v>100</v>
      </c>
      <c r="K1428" s="9">
        <v>100</v>
      </c>
      <c r="L1428" s="14">
        <f t="shared" si="84"/>
        <v>1</v>
      </c>
      <c r="M1428" s="14">
        <f t="shared" si="85"/>
        <v>1</v>
      </c>
      <c r="N1428" s="5" t="s">
        <v>25</v>
      </c>
      <c r="O1428" s="5" t="s">
        <v>25</v>
      </c>
      <c r="P1428" s="15">
        <v>0</v>
      </c>
      <c r="Q1428" s="15">
        <v>0</v>
      </c>
      <c r="R1428" s="5" t="s">
        <v>688</v>
      </c>
    </row>
    <row r="1429" spans="1:19" x14ac:dyDescent="0.3">
      <c r="A1429" s="26">
        <v>285</v>
      </c>
      <c r="B1429" s="5" t="s">
        <v>687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100</v>
      </c>
      <c r="K1429" s="9">
        <v>100</v>
      </c>
      <c r="L1429" s="14">
        <f t="shared" si="84"/>
        <v>1</v>
      </c>
      <c r="M1429" s="14">
        <f t="shared" si="85"/>
        <v>1</v>
      </c>
      <c r="N1429" s="5" t="s">
        <v>25</v>
      </c>
      <c r="O1429" s="5" t="s">
        <v>25</v>
      </c>
      <c r="P1429" s="15">
        <v>0</v>
      </c>
      <c r="Q1429" s="15">
        <v>0</v>
      </c>
      <c r="R1429" s="5" t="s">
        <v>2521</v>
      </c>
    </row>
    <row r="1430" spans="1:19" x14ac:dyDescent="0.3">
      <c r="A1430" s="5">
        <v>285</v>
      </c>
      <c r="B1430" s="5" t="s">
        <v>687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100</v>
      </c>
      <c r="K1430" s="5">
        <v>100</v>
      </c>
      <c r="L1430" s="14">
        <f t="shared" si="84"/>
        <v>1</v>
      </c>
      <c r="M1430" s="14">
        <f t="shared" si="85"/>
        <v>1</v>
      </c>
      <c r="N1430" s="5" t="s">
        <v>25</v>
      </c>
      <c r="O1430" s="5" t="s">
        <v>25</v>
      </c>
      <c r="P1430" s="15">
        <v>0</v>
      </c>
      <c r="Q1430" s="5">
        <v>0</v>
      </c>
      <c r="R1430" s="5" t="s">
        <v>689</v>
      </c>
    </row>
    <row r="1431" spans="1:19" x14ac:dyDescent="0.3">
      <c r="A1431" s="21">
        <v>285</v>
      </c>
      <c r="B1431" s="5" t="s">
        <v>687</v>
      </c>
      <c r="C1431" s="5" t="s">
        <v>658</v>
      </c>
      <c r="D1431" s="5" t="s">
        <v>27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>
        <v>100</v>
      </c>
      <c r="K1431" s="10">
        <v>100</v>
      </c>
      <c r="L1431" s="14">
        <f t="shared" si="84"/>
        <v>1</v>
      </c>
      <c r="M1431" s="14">
        <f t="shared" si="85"/>
        <v>1</v>
      </c>
      <c r="N1431" s="5" t="s">
        <v>25</v>
      </c>
      <c r="O1431" s="5" t="s">
        <v>25</v>
      </c>
      <c r="P1431" s="15">
        <v>0</v>
      </c>
      <c r="Q1431" s="15">
        <v>0</v>
      </c>
      <c r="R1431" s="5" t="s">
        <v>2522</v>
      </c>
    </row>
    <row r="1432" spans="1:19" x14ac:dyDescent="0.3">
      <c r="A1432" s="26">
        <v>285</v>
      </c>
      <c r="B1432" s="5" t="s">
        <v>687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>
        <v>100</v>
      </c>
      <c r="K1432" s="9">
        <v>100</v>
      </c>
      <c r="L1432" s="14">
        <f t="shared" si="84"/>
        <v>1</v>
      </c>
      <c r="M1432" s="14">
        <f t="shared" si="85"/>
        <v>1</v>
      </c>
      <c r="N1432" s="5" t="s">
        <v>25</v>
      </c>
      <c r="O1432" s="5" t="s">
        <v>25</v>
      </c>
      <c r="P1432" s="15">
        <v>0</v>
      </c>
      <c r="Q1432" s="15">
        <v>0</v>
      </c>
      <c r="R1432" s="5" t="s">
        <v>690</v>
      </c>
    </row>
    <row r="1433" spans="1:19" x14ac:dyDescent="0.3">
      <c r="A1433" s="5">
        <v>286</v>
      </c>
      <c r="B1433" s="5" t="s">
        <v>691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/>
      <c r="K1433" s="5">
        <v>1015</v>
      </c>
      <c r="L1433" s="14"/>
      <c r="M1433" s="14"/>
      <c r="N1433" s="5" t="s">
        <v>25</v>
      </c>
      <c r="O1433" s="5" t="s">
        <v>25</v>
      </c>
      <c r="P1433" s="15">
        <v>0</v>
      </c>
      <c r="Q1433" s="5">
        <v>0</v>
      </c>
      <c r="R1433" s="5" t="s">
        <v>2523</v>
      </c>
    </row>
    <row r="1434" spans="1:19" x14ac:dyDescent="0.3">
      <c r="A1434" s="21">
        <v>286</v>
      </c>
      <c r="B1434" s="5" t="s">
        <v>691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/>
      <c r="K1434" s="10">
        <v>1017</v>
      </c>
      <c r="L1434" s="14"/>
      <c r="M1434" s="14"/>
      <c r="N1434" s="5" t="s">
        <v>25</v>
      </c>
      <c r="O1434" s="5" t="s">
        <v>25</v>
      </c>
      <c r="P1434" s="15">
        <v>0</v>
      </c>
      <c r="Q1434" s="15">
        <v>0</v>
      </c>
      <c r="R1434" s="5" t="s">
        <v>692</v>
      </c>
    </row>
    <row r="1435" spans="1:19" x14ac:dyDescent="0.3">
      <c r="A1435" s="21">
        <v>286</v>
      </c>
      <c r="B1435" s="5" t="s">
        <v>691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0</v>
      </c>
      <c r="K1435" s="10">
        <v>1080</v>
      </c>
      <c r="L1435" s="14" t="str">
        <f>IFERROR(IF(OR(J1435=0,K1435=""),"",IF(E1435="Positivo",MIN(MAX(K1435/J1435,0),1.3),MIN(MAX(J1435/K1435,0),1.3))),"")</f>
        <v/>
      </c>
      <c r="M1435" s="14" t="str">
        <f>IFERROR(IF(OR(J1435=0,K1435=""),"",IF(E1435="Positivo",MAX(K1435/J1435,0),MAX(J1435/K1435,0))),"")</f>
        <v/>
      </c>
      <c r="N1435" s="5">
        <v>0</v>
      </c>
      <c r="O1435" s="11" t="s">
        <v>128</v>
      </c>
      <c r="P1435" s="15">
        <v>0</v>
      </c>
      <c r="Q1435" s="15">
        <v>0</v>
      </c>
      <c r="R1435" s="5" t="s">
        <v>2524</v>
      </c>
    </row>
    <row r="1436" spans="1:19" x14ac:dyDescent="0.3">
      <c r="A1436" s="21">
        <v>286</v>
      </c>
      <c r="B1436" s="5" t="s">
        <v>691</v>
      </c>
      <c r="C1436" s="5" t="s">
        <v>658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0</v>
      </c>
      <c r="K1436" s="10">
        <v>1018</v>
      </c>
      <c r="L1436" s="14" t="str">
        <f>IFERROR(IF(OR(J1436=0,K1436=""),"",IF(E1436="Positivo",MIN(MAX(K1436/J1436,0),1.3),MIN(MAX(J1436/K1436,0),1.3))),"")</f>
        <v/>
      </c>
      <c r="M1436" s="14" t="str">
        <f>IFERROR(IF(OR(J1436=0,K1436=""),"",IF(E1436="Positivo",MAX(K1436/J1436,0),MAX(J1436/K1436,0))),"")</f>
        <v/>
      </c>
      <c r="N1436" s="5">
        <v>0</v>
      </c>
      <c r="O1436" s="11" t="s">
        <v>128</v>
      </c>
      <c r="P1436" s="15">
        <v>0</v>
      </c>
      <c r="Q1436" s="15">
        <v>0</v>
      </c>
      <c r="R1436" s="5" t="s">
        <v>693</v>
      </c>
    </row>
    <row r="1437" spans="1:19" x14ac:dyDescent="0.3">
      <c r="A1437" s="21">
        <v>286</v>
      </c>
      <c r="B1437" s="5" t="s">
        <v>694</v>
      </c>
      <c r="C1437" s="5" t="s">
        <v>658</v>
      </c>
      <c r="D1437" s="5" t="s">
        <v>21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/>
      <c r="K1437" s="10">
        <v>1099</v>
      </c>
      <c r="L1437" s="14"/>
      <c r="M1437" s="14"/>
      <c r="N1437" s="5" t="s">
        <v>263</v>
      </c>
      <c r="O1437" s="11" t="s">
        <v>263</v>
      </c>
      <c r="P1437" s="15">
        <v>0</v>
      </c>
      <c r="Q1437" s="15">
        <v>0</v>
      </c>
      <c r="R1437" s="5" t="s">
        <v>2525</v>
      </c>
      <c r="S1437" t="s">
        <v>263</v>
      </c>
    </row>
    <row r="1438" spans="1:19" x14ac:dyDescent="0.3">
      <c r="A1438" s="21">
        <v>286</v>
      </c>
      <c r="B1438" s="5" t="s">
        <v>694</v>
      </c>
      <c r="C1438" s="5" t="s">
        <v>658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32</v>
      </c>
      <c r="J1438" s="5"/>
      <c r="K1438" s="10">
        <v>1071</v>
      </c>
      <c r="L1438" s="14"/>
      <c r="M1438" s="14"/>
      <c r="N1438" s="5" t="s">
        <v>263</v>
      </c>
      <c r="O1438" s="11" t="s">
        <v>263</v>
      </c>
      <c r="P1438" s="15">
        <v>0</v>
      </c>
      <c r="Q1438" s="15">
        <v>0</v>
      </c>
      <c r="R1438" s="5" t="s">
        <v>695</v>
      </c>
      <c r="S1438" t="s">
        <v>263</v>
      </c>
    </row>
    <row r="1439" spans="1:19" x14ac:dyDescent="0.3">
      <c r="A1439" s="21">
        <v>288</v>
      </c>
      <c r="B1439" s="5" t="s">
        <v>696</v>
      </c>
      <c r="C1439" s="5" t="s">
        <v>658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699</v>
      </c>
      <c r="I1439" s="6" t="s">
        <v>1512</v>
      </c>
      <c r="J1439" s="5">
        <v>85</v>
      </c>
      <c r="K1439" s="10">
        <v>112.5</v>
      </c>
      <c r="L1439" s="14">
        <f t="shared" ref="L1439:L1470" si="86">IFERROR(IF(OR(J1439=0,K1439=""),"",IF(E1439="Positivo",MIN(MAX(K1439/J1439,0),1.3),MIN(MAX(J1439/K1439,0),1.3))),"")</f>
        <v>1.3</v>
      </c>
      <c r="M1439" s="14">
        <f t="shared" ref="M1439:M1470" si="87">IFERROR(IF(OR(J1439=0,K1439=""),"",IF(E1439="Positivo",MAX(K1439/J1439,0),MAX(J1439/K1439,0))),"")</f>
        <v>1.3235294117647058</v>
      </c>
      <c r="N1439" s="5">
        <v>0</v>
      </c>
      <c r="O1439" s="11" t="s">
        <v>128</v>
      </c>
      <c r="P1439" s="15">
        <v>0</v>
      </c>
      <c r="Q1439" s="15">
        <v>0</v>
      </c>
      <c r="R1439" s="5" t="s">
        <v>2526</v>
      </c>
    </row>
    <row r="1440" spans="1:19" x14ac:dyDescent="0.3">
      <c r="A1440" s="5">
        <v>288</v>
      </c>
      <c r="B1440" s="5" t="s">
        <v>696</v>
      </c>
      <c r="C1440" s="5" t="s">
        <v>658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85</v>
      </c>
      <c r="K1440" s="5">
        <v>112.5</v>
      </c>
      <c r="L1440" s="14">
        <f t="shared" si="86"/>
        <v>1.3</v>
      </c>
      <c r="M1440" s="14">
        <f t="shared" si="87"/>
        <v>1.3235294117647058</v>
      </c>
      <c r="N1440" s="5">
        <v>0</v>
      </c>
      <c r="O1440" s="11" t="s">
        <v>128</v>
      </c>
      <c r="P1440" s="5">
        <v>0</v>
      </c>
      <c r="Q1440" s="5">
        <v>0</v>
      </c>
      <c r="R1440" s="5" t="s">
        <v>697</v>
      </c>
    </row>
    <row r="1441" spans="1:18" x14ac:dyDescent="0.3">
      <c r="A1441" s="21">
        <v>288</v>
      </c>
      <c r="B1441" s="5" t="s">
        <v>696</v>
      </c>
      <c r="C1441" s="5" t="s">
        <v>658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699</v>
      </c>
      <c r="I1441" s="6" t="s">
        <v>729</v>
      </c>
      <c r="J1441" s="5">
        <v>85</v>
      </c>
      <c r="K1441" s="10">
        <v>185.71428571429001</v>
      </c>
      <c r="L1441" s="14">
        <f t="shared" si="86"/>
        <v>1.3</v>
      </c>
      <c r="M1441" s="14">
        <f t="shared" si="87"/>
        <v>2.1848739495798823</v>
      </c>
      <c r="N1441" s="5" t="s">
        <v>128</v>
      </c>
      <c r="O1441" s="11" t="s">
        <v>128</v>
      </c>
      <c r="P1441" s="15">
        <v>0</v>
      </c>
      <c r="Q1441" s="15">
        <v>0</v>
      </c>
      <c r="R1441" s="5" t="s">
        <v>2527</v>
      </c>
    </row>
    <row r="1442" spans="1:18" x14ac:dyDescent="0.3">
      <c r="A1442" s="21">
        <v>288</v>
      </c>
      <c r="B1442" s="5" t="s">
        <v>696</v>
      </c>
      <c r="C1442" s="5" t="s">
        <v>658</v>
      </c>
      <c r="D1442" s="5" t="s">
        <v>71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85</v>
      </c>
      <c r="K1442" s="10">
        <v>0</v>
      </c>
      <c r="L1442" s="14">
        <f t="shared" si="86"/>
        <v>0</v>
      </c>
      <c r="M1442" s="14">
        <f t="shared" si="87"/>
        <v>0</v>
      </c>
      <c r="N1442" s="5" t="s">
        <v>128</v>
      </c>
      <c r="O1442" s="11" t="s">
        <v>128</v>
      </c>
      <c r="P1442" s="15">
        <v>0</v>
      </c>
      <c r="Q1442" s="15">
        <v>0</v>
      </c>
      <c r="R1442" s="5" t="s">
        <v>698</v>
      </c>
    </row>
    <row r="1443" spans="1:18" x14ac:dyDescent="0.3">
      <c r="A1443" s="21">
        <v>288</v>
      </c>
      <c r="B1443" s="5" t="s">
        <v>696</v>
      </c>
      <c r="C1443" s="5" t="s">
        <v>658</v>
      </c>
      <c r="D1443" s="5" t="s">
        <v>71</v>
      </c>
      <c r="E1443" s="5" t="s">
        <v>22</v>
      </c>
      <c r="F1443" s="71">
        <v>45838</v>
      </c>
      <c r="G1443" s="5">
        <v>2025</v>
      </c>
      <c r="H1443" s="5" t="s">
        <v>699</v>
      </c>
      <c r="I1443" s="6" t="s">
        <v>700</v>
      </c>
      <c r="J1443" s="5">
        <v>100</v>
      </c>
      <c r="K1443" s="10">
        <v>100</v>
      </c>
      <c r="L1443" s="14">
        <f t="shared" si="86"/>
        <v>1</v>
      </c>
      <c r="M1443" s="14">
        <f t="shared" si="87"/>
        <v>1</v>
      </c>
      <c r="N1443" s="5" t="s">
        <v>128</v>
      </c>
      <c r="O1443" s="11" t="s">
        <v>128</v>
      </c>
      <c r="P1443" s="15">
        <v>0</v>
      </c>
      <c r="Q1443" s="15">
        <v>0</v>
      </c>
      <c r="R1443" s="5" t="s">
        <v>701</v>
      </c>
    </row>
    <row r="1444" spans="1:18" x14ac:dyDescent="0.3">
      <c r="A1444" s="21">
        <v>289</v>
      </c>
      <c r="B1444" s="5" t="s">
        <v>702</v>
      </c>
      <c r="C1444" s="5" t="s">
        <v>198</v>
      </c>
      <c r="D1444" s="5" t="s">
        <v>21</v>
      </c>
      <c r="E1444" s="5" t="s">
        <v>22</v>
      </c>
      <c r="F1444" s="71">
        <v>45107</v>
      </c>
      <c r="G1444" s="5">
        <v>2023</v>
      </c>
      <c r="H1444" s="5" t="s">
        <v>699</v>
      </c>
      <c r="I1444" s="6" t="s">
        <v>1512</v>
      </c>
      <c r="J1444" s="5">
        <v>95</v>
      </c>
      <c r="K1444" s="10">
        <v>85.714285714286007</v>
      </c>
      <c r="L1444" s="14">
        <f t="shared" si="86"/>
        <v>0.90225563909774742</v>
      </c>
      <c r="M1444" s="14">
        <f t="shared" si="87"/>
        <v>0.90225563909774742</v>
      </c>
      <c r="N1444" s="5" t="s">
        <v>25</v>
      </c>
      <c r="O1444" s="11" t="s">
        <v>25</v>
      </c>
      <c r="P1444" s="15">
        <v>1</v>
      </c>
      <c r="Q1444" s="15">
        <v>1</v>
      </c>
      <c r="R1444" s="5" t="s">
        <v>2528</v>
      </c>
    </row>
    <row r="1445" spans="1:18" x14ac:dyDescent="0.3">
      <c r="A1445" s="21">
        <v>289</v>
      </c>
      <c r="B1445" s="5" t="s">
        <v>702</v>
      </c>
      <c r="C1445" s="5" t="s">
        <v>198</v>
      </c>
      <c r="D1445" s="5" t="s">
        <v>21</v>
      </c>
      <c r="E1445" s="5" t="s">
        <v>22</v>
      </c>
      <c r="F1445" s="71">
        <v>45199</v>
      </c>
      <c r="G1445" s="5">
        <v>2023</v>
      </c>
      <c r="H1445" s="5" t="s">
        <v>162</v>
      </c>
      <c r="I1445" s="6" t="s">
        <v>28</v>
      </c>
      <c r="J1445" s="5">
        <v>95</v>
      </c>
      <c r="K1445" s="10">
        <v>87.5</v>
      </c>
      <c r="L1445" s="14">
        <f t="shared" si="86"/>
        <v>0.92105263157894735</v>
      </c>
      <c r="M1445" s="14">
        <f t="shared" si="87"/>
        <v>0.92105263157894735</v>
      </c>
      <c r="N1445" s="5" t="s">
        <v>25</v>
      </c>
      <c r="O1445" s="11" t="s">
        <v>25</v>
      </c>
      <c r="P1445" s="15">
        <v>1</v>
      </c>
      <c r="Q1445" s="15">
        <v>1</v>
      </c>
      <c r="R1445" s="5" t="s">
        <v>2529</v>
      </c>
    </row>
    <row r="1446" spans="1:18" x14ac:dyDescent="0.3">
      <c r="A1446" s="21">
        <v>289</v>
      </c>
      <c r="B1446" s="5" t="s">
        <v>702</v>
      </c>
      <c r="C1446" s="5" t="s">
        <v>198</v>
      </c>
      <c r="D1446" s="5" t="s">
        <v>21</v>
      </c>
      <c r="E1446" s="5" t="s">
        <v>22</v>
      </c>
      <c r="F1446" s="71">
        <v>45473</v>
      </c>
      <c r="G1446" s="5">
        <v>2024</v>
      </c>
      <c r="H1446" s="5" t="s">
        <v>699</v>
      </c>
      <c r="I1446" s="6" t="s">
        <v>729</v>
      </c>
      <c r="J1446" s="5">
        <v>95</v>
      </c>
      <c r="K1446" s="10">
        <v>100</v>
      </c>
      <c r="L1446" s="14">
        <f t="shared" si="86"/>
        <v>1.0526315789473684</v>
      </c>
      <c r="M1446" s="14">
        <f t="shared" si="87"/>
        <v>1.0526315789473684</v>
      </c>
      <c r="N1446" s="5" t="s">
        <v>25</v>
      </c>
      <c r="O1446" s="11" t="s">
        <v>25</v>
      </c>
      <c r="P1446" s="15">
        <v>0</v>
      </c>
      <c r="Q1446" s="15">
        <v>0</v>
      </c>
      <c r="R1446" s="5" t="s">
        <v>2530</v>
      </c>
    </row>
    <row r="1447" spans="1:18" x14ac:dyDescent="0.3">
      <c r="A1447" s="5">
        <v>289</v>
      </c>
      <c r="B1447" s="5" t="s">
        <v>702</v>
      </c>
      <c r="C1447" s="5" t="s">
        <v>198</v>
      </c>
      <c r="D1447" s="5" t="s">
        <v>21</v>
      </c>
      <c r="E1447" s="5" t="s">
        <v>22</v>
      </c>
      <c r="F1447" s="71">
        <v>45565</v>
      </c>
      <c r="G1447" s="5">
        <v>2024</v>
      </c>
      <c r="H1447" s="5" t="s">
        <v>162</v>
      </c>
      <c r="I1447" s="6" t="s">
        <v>30</v>
      </c>
      <c r="J1447" s="5">
        <v>95</v>
      </c>
      <c r="K1447" s="5">
        <v>80</v>
      </c>
      <c r="L1447" s="14">
        <f t="shared" si="86"/>
        <v>0.84210526315789469</v>
      </c>
      <c r="M1447" s="14">
        <f t="shared" si="87"/>
        <v>0.84210526315789469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2531</v>
      </c>
    </row>
    <row r="1448" spans="1:18" x14ac:dyDescent="0.3">
      <c r="A1448" s="21">
        <v>289</v>
      </c>
      <c r="B1448" s="5" t="s">
        <v>702</v>
      </c>
      <c r="C1448" s="5" t="s">
        <v>198</v>
      </c>
      <c r="D1448" s="5" t="s">
        <v>21</v>
      </c>
      <c r="E1448" s="5" t="s">
        <v>22</v>
      </c>
      <c r="F1448" s="71">
        <v>45657</v>
      </c>
      <c r="G1448" s="5">
        <v>2024</v>
      </c>
      <c r="H1448" s="5" t="s">
        <v>23</v>
      </c>
      <c r="I1448" s="6" t="s">
        <v>30</v>
      </c>
      <c r="J1448" s="5">
        <v>95</v>
      </c>
      <c r="K1448" s="10">
        <v>100</v>
      </c>
      <c r="L1448" s="14">
        <f t="shared" si="86"/>
        <v>1.0526315789473684</v>
      </c>
      <c r="M1448" s="14">
        <f t="shared" si="87"/>
        <v>1.0526315789473684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704</v>
      </c>
    </row>
    <row r="1449" spans="1:18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45107</v>
      </c>
      <c r="G1449" s="5">
        <v>2023</v>
      </c>
      <c r="H1449" s="5" t="s">
        <v>699</v>
      </c>
      <c r="I1449" s="6" t="s">
        <v>1512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2532</v>
      </c>
    </row>
    <row r="1450" spans="1:18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45168</v>
      </c>
      <c r="G1450" s="5">
        <v>2023</v>
      </c>
      <c r="H1450" s="5" t="s">
        <v>1546</v>
      </c>
      <c r="I1450" s="6" t="s">
        <v>28</v>
      </c>
      <c r="J1450" s="5">
        <v>90</v>
      </c>
      <c r="K1450" s="10">
        <v>81.819999999999993</v>
      </c>
      <c r="L1450" s="14">
        <f t="shared" si="86"/>
        <v>0.90911111111111098</v>
      </c>
      <c r="M1450" s="14">
        <f t="shared" si="87"/>
        <v>0.90911111111111098</v>
      </c>
      <c r="N1450" s="5" t="s">
        <v>25</v>
      </c>
      <c r="O1450" s="5" t="s">
        <v>25</v>
      </c>
      <c r="P1450" s="15">
        <v>0</v>
      </c>
      <c r="Q1450" s="15">
        <v>0</v>
      </c>
      <c r="R1450" s="5" t="s">
        <v>2533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45230</v>
      </c>
      <c r="G1451" s="5">
        <v>2023</v>
      </c>
      <c r="H1451" s="5" t="s">
        <v>150</v>
      </c>
      <c r="I1451" s="6" t="s">
        <v>28</v>
      </c>
      <c r="J1451" s="5">
        <v>90</v>
      </c>
      <c r="K1451" s="10">
        <v>90.91</v>
      </c>
      <c r="L1451" s="14">
        <f t="shared" si="86"/>
        <v>1.0101111111111112</v>
      </c>
      <c r="M1451" s="14">
        <f t="shared" si="87"/>
        <v>1.0101111111111112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2534</v>
      </c>
    </row>
    <row r="1452" spans="1:18" x14ac:dyDescent="0.3">
      <c r="A1452" s="5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45291</v>
      </c>
      <c r="G1452" s="5">
        <v>2023</v>
      </c>
      <c r="H1452" s="5" t="s">
        <v>23</v>
      </c>
      <c r="I1452" s="6" t="s">
        <v>28</v>
      </c>
      <c r="J1452" s="5">
        <v>90</v>
      </c>
      <c r="K1452" s="5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5">
        <v>0</v>
      </c>
      <c r="Q1452" s="5">
        <v>0</v>
      </c>
      <c r="R1452" s="5" t="s">
        <v>707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45351</v>
      </c>
      <c r="G1453" s="5">
        <v>2024</v>
      </c>
      <c r="H1453" s="5" t="s">
        <v>210</v>
      </c>
      <c r="I1453" s="6" t="s">
        <v>729</v>
      </c>
      <c r="J1453" s="5">
        <v>90</v>
      </c>
      <c r="K1453" s="10">
        <v>91.666666666666998</v>
      </c>
      <c r="L1453" s="14">
        <f t="shared" si="86"/>
        <v>1.0185185185185222</v>
      </c>
      <c r="M1453" s="14">
        <f t="shared" si="87"/>
        <v>1.0185185185185222</v>
      </c>
      <c r="N1453" s="5"/>
      <c r="O1453" s="5"/>
      <c r="P1453" s="15">
        <v>0</v>
      </c>
      <c r="Q1453" s="15">
        <v>0</v>
      </c>
      <c r="R1453" s="5" t="s">
        <v>2535</v>
      </c>
    </row>
    <row r="1454" spans="1:18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45412</v>
      </c>
      <c r="G1454" s="5">
        <v>2024</v>
      </c>
      <c r="H1454" s="5" t="s">
        <v>1540</v>
      </c>
      <c r="I1454" s="6" t="s">
        <v>729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/>
      <c r="O1454" s="5"/>
      <c r="P1454" s="5">
        <v>0</v>
      </c>
      <c r="Q1454" s="5">
        <v>0</v>
      </c>
      <c r="R1454" s="5" t="s">
        <v>2536</v>
      </c>
    </row>
    <row r="1455" spans="1:18" x14ac:dyDescent="0.3">
      <c r="A1455" s="21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45473</v>
      </c>
      <c r="G1455" s="5">
        <v>2024</v>
      </c>
      <c r="H1455" s="5" t="s">
        <v>699</v>
      </c>
      <c r="I1455" s="6" t="s">
        <v>729</v>
      </c>
      <c r="J1455" s="5">
        <v>90</v>
      </c>
      <c r="K1455" s="10">
        <v>100</v>
      </c>
      <c r="L1455" s="14">
        <f t="shared" si="86"/>
        <v>1.1111111111111112</v>
      </c>
      <c r="M1455" s="14">
        <f t="shared" si="87"/>
        <v>1.1111111111111112</v>
      </c>
      <c r="N1455" s="5"/>
      <c r="O1455" s="5"/>
      <c r="P1455" s="15">
        <v>0</v>
      </c>
      <c r="Q1455" s="15">
        <v>0</v>
      </c>
      <c r="R1455" s="5" t="s">
        <v>2537</v>
      </c>
    </row>
    <row r="1456" spans="1:18" x14ac:dyDescent="0.3">
      <c r="A1456" s="5">
        <v>290</v>
      </c>
      <c r="B1456" s="5" t="s">
        <v>705</v>
      </c>
      <c r="C1456" s="5" t="s">
        <v>706</v>
      </c>
      <c r="D1456" s="5" t="s">
        <v>64</v>
      </c>
      <c r="E1456" s="5" t="s">
        <v>22</v>
      </c>
      <c r="F1456" s="71">
        <v>45535</v>
      </c>
      <c r="G1456" s="5">
        <v>2024</v>
      </c>
      <c r="H1456" s="5" t="s">
        <v>1546</v>
      </c>
      <c r="I1456" s="6" t="s">
        <v>30</v>
      </c>
      <c r="J1456" s="5">
        <v>90</v>
      </c>
      <c r="K1456" s="5">
        <v>100</v>
      </c>
      <c r="L1456" s="14">
        <f t="shared" si="86"/>
        <v>1.1111111111111112</v>
      </c>
      <c r="M1456" s="14">
        <f t="shared" si="87"/>
        <v>1.1111111111111112</v>
      </c>
      <c r="N1456" s="5"/>
      <c r="O1456" s="5"/>
      <c r="P1456" s="5">
        <v>0</v>
      </c>
      <c r="Q1456" s="5">
        <v>0</v>
      </c>
      <c r="R1456" s="5" t="s">
        <v>2538</v>
      </c>
    </row>
    <row r="1457" spans="1:18" x14ac:dyDescent="0.3">
      <c r="A1457" s="21">
        <v>290</v>
      </c>
      <c r="B1457" s="5" t="s">
        <v>705</v>
      </c>
      <c r="C1457" s="5" t="s">
        <v>706</v>
      </c>
      <c r="D1457" s="5" t="s">
        <v>64</v>
      </c>
      <c r="E1457" s="5" t="s">
        <v>22</v>
      </c>
      <c r="F1457" s="71">
        <v>45596</v>
      </c>
      <c r="G1457" s="5">
        <v>2024</v>
      </c>
      <c r="H1457" s="5" t="s">
        <v>150</v>
      </c>
      <c r="I1457" s="6" t="s">
        <v>30</v>
      </c>
      <c r="J1457" s="5">
        <v>90</v>
      </c>
      <c r="K1457" s="10">
        <v>100</v>
      </c>
      <c r="L1457" s="14">
        <f t="shared" si="86"/>
        <v>1.1111111111111112</v>
      </c>
      <c r="M1457" s="14">
        <f t="shared" si="87"/>
        <v>1.1111111111111112</v>
      </c>
      <c r="N1457" s="5"/>
      <c r="O1457" s="5"/>
      <c r="P1457" s="15">
        <v>0</v>
      </c>
      <c r="Q1457" s="15">
        <v>0</v>
      </c>
      <c r="R1457" s="5" t="s">
        <v>2539</v>
      </c>
    </row>
    <row r="1458" spans="1:18" x14ac:dyDescent="0.3">
      <c r="A1458" s="21">
        <v>290</v>
      </c>
      <c r="B1458" s="5" t="s">
        <v>705</v>
      </c>
      <c r="C1458" s="5" t="s">
        <v>706</v>
      </c>
      <c r="D1458" s="5" t="s">
        <v>64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90</v>
      </c>
      <c r="K1458" s="10">
        <v>100</v>
      </c>
      <c r="L1458" s="14">
        <f t="shared" si="86"/>
        <v>1.1111111111111112</v>
      </c>
      <c r="M1458" s="14">
        <f t="shared" si="87"/>
        <v>1.1111111111111112</v>
      </c>
      <c r="N1458" s="5"/>
      <c r="O1458" s="5"/>
      <c r="P1458" s="15">
        <v>0</v>
      </c>
      <c r="Q1458" s="15">
        <v>0</v>
      </c>
      <c r="R1458" s="5" t="s">
        <v>708</v>
      </c>
    </row>
    <row r="1459" spans="1:18" x14ac:dyDescent="0.3">
      <c r="A1459" s="21">
        <v>290</v>
      </c>
      <c r="B1459" s="5" t="s">
        <v>705</v>
      </c>
      <c r="C1459" s="5" t="s">
        <v>706</v>
      </c>
      <c r="D1459" s="5" t="s">
        <v>64</v>
      </c>
      <c r="E1459" s="5" t="s">
        <v>22</v>
      </c>
      <c r="F1459" s="71">
        <v>45716</v>
      </c>
      <c r="G1459" s="5">
        <v>2025</v>
      </c>
      <c r="H1459" s="5" t="s">
        <v>210</v>
      </c>
      <c r="I1459" s="6" t="s">
        <v>700</v>
      </c>
      <c r="J1459" s="5">
        <v>90</v>
      </c>
      <c r="K1459" s="10">
        <v>80</v>
      </c>
      <c r="L1459" s="14">
        <f t="shared" si="86"/>
        <v>0.88888888888888884</v>
      </c>
      <c r="M1459" s="14">
        <f t="shared" si="87"/>
        <v>0.88888888888888884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2540</v>
      </c>
    </row>
    <row r="1460" spans="1:18" x14ac:dyDescent="0.3">
      <c r="A1460" s="21">
        <v>290</v>
      </c>
      <c r="B1460" s="5" t="s">
        <v>705</v>
      </c>
      <c r="C1460" s="5" t="s">
        <v>706</v>
      </c>
      <c r="D1460" s="5" t="s">
        <v>64</v>
      </c>
      <c r="E1460" s="5" t="s">
        <v>22</v>
      </c>
      <c r="F1460" s="71">
        <v>45777</v>
      </c>
      <c r="G1460" s="5">
        <v>2025</v>
      </c>
      <c r="H1460" s="5" t="s">
        <v>1540</v>
      </c>
      <c r="I1460" s="6" t="s">
        <v>700</v>
      </c>
      <c r="J1460" s="5">
        <v>90</v>
      </c>
      <c r="K1460" s="10">
        <v>100</v>
      </c>
      <c r="L1460" s="14">
        <f t="shared" si="86"/>
        <v>1.1111111111111112</v>
      </c>
      <c r="M1460" s="14">
        <f t="shared" si="87"/>
        <v>1.1111111111111112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2541</v>
      </c>
    </row>
    <row r="1461" spans="1:18" x14ac:dyDescent="0.3">
      <c r="A1461" s="5">
        <v>290</v>
      </c>
      <c r="B1461" s="5" t="s">
        <v>705</v>
      </c>
      <c r="C1461" s="5" t="s">
        <v>706</v>
      </c>
      <c r="D1461" s="5" t="s">
        <v>64</v>
      </c>
      <c r="E1461" s="5" t="s">
        <v>22</v>
      </c>
      <c r="F1461" s="71">
        <v>45838</v>
      </c>
      <c r="G1461" s="5">
        <v>2025</v>
      </c>
      <c r="H1461" s="5" t="s">
        <v>699</v>
      </c>
      <c r="I1461" s="6" t="s">
        <v>700</v>
      </c>
      <c r="J1461" s="5">
        <v>90</v>
      </c>
      <c r="K1461" s="5">
        <v>100</v>
      </c>
      <c r="L1461" s="14">
        <f t="shared" si="86"/>
        <v>1.1111111111111112</v>
      </c>
      <c r="M1461" s="14">
        <f t="shared" si="87"/>
        <v>1.1111111111111112</v>
      </c>
      <c r="N1461" s="5" t="s">
        <v>25</v>
      </c>
      <c r="O1461" s="5" t="s">
        <v>25</v>
      </c>
      <c r="P1461" s="5">
        <v>0</v>
      </c>
      <c r="Q1461" s="5">
        <v>0</v>
      </c>
      <c r="R1461" s="5" t="s">
        <v>709</v>
      </c>
    </row>
    <row r="1462" spans="1:18" x14ac:dyDescent="0.3">
      <c r="A1462" s="21">
        <v>291</v>
      </c>
      <c r="B1462" s="5" t="s">
        <v>710</v>
      </c>
      <c r="C1462" s="5" t="s">
        <v>711</v>
      </c>
      <c r="D1462" s="5" t="s">
        <v>27</v>
      </c>
      <c r="E1462" s="5" t="s">
        <v>22</v>
      </c>
      <c r="F1462" s="71">
        <v>45107</v>
      </c>
      <c r="G1462" s="5">
        <v>2023</v>
      </c>
      <c r="H1462" s="5" t="s">
        <v>699</v>
      </c>
      <c r="I1462" s="6" t="s">
        <v>1512</v>
      </c>
      <c r="J1462" s="5">
        <v>100</v>
      </c>
      <c r="K1462" s="10">
        <v>100</v>
      </c>
      <c r="L1462" s="14">
        <f t="shared" si="86"/>
        <v>1</v>
      </c>
      <c r="M1462" s="14">
        <f t="shared" si="87"/>
        <v>1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2542</v>
      </c>
    </row>
    <row r="1463" spans="1:18" x14ac:dyDescent="0.3">
      <c r="A1463" s="21">
        <v>291</v>
      </c>
      <c r="B1463" s="5" t="s">
        <v>710</v>
      </c>
      <c r="C1463" s="5" t="s">
        <v>711</v>
      </c>
      <c r="D1463" s="5" t="s">
        <v>27</v>
      </c>
      <c r="E1463" s="5" t="s">
        <v>22</v>
      </c>
      <c r="F1463" s="71">
        <v>45291</v>
      </c>
      <c r="G1463" s="5">
        <v>2023</v>
      </c>
      <c r="H1463" s="5" t="s">
        <v>23</v>
      </c>
      <c r="I1463" s="6" t="s">
        <v>28</v>
      </c>
      <c r="J1463" s="5">
        <v>100</v>
      </c>
      <c r="K1463" s="10">
        <v>100</v>
      </c>
      <c r="L1463" s="14">
        <f t="shared" si="86"/>
        <v>1</v>
      </c>
      <c r="M1463" s="14">
        <f t="shared" si="87"/>
        <v>1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712</v>
      </c>
    </row>
    <row r="1464" spans="1:18" x14ac:dyDescent="0.3">
      <c r="A1464" s="21">
        <v>291</v>
      </c>
      <c r="B1464" s="5" t="s">
        <v>710</v>
      </c>
      <c r="C1464" s="5" t="s">
        <v>711</v>
      </c>
      <c r="D1464" s="5" t="s">
        <v>27</v>
      </c>
      <c r="E1464" s="5" t="s">
        <v>22</v>
      </c>
      <c r="F1464" s="71">
        <v>45473</v>
      </c>
      <c r="G1464" s="5">
        <v>2024</v>
      </c>
      <c r="H1464" s="5" t="s">
        <v>699</v>
      </c>
      <c r="I1464" s="6" t="s">
        <v>729</v>
      </c>
      <c r="J1464" s="5">
        <v>100</v>
      </c>
      <c r="K1464" s="10">
        <v>100</v>
      </c>
      <c r="L1464" s="14">
        <f t="shared" si="86"/>
        <v>1</v>
      </c>
      <c r="M1464" s="14">
        <f t="shared" si="87"/>
        <v>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2543</v>
      </c>
    </row>
    <row r="1465" spans="1:18" x14ac:dyDescent="0.3">
      <c r="A1465" s="5">
        <v>291</v>
      </c>
      <c r="B1465" s="5" t="s">
        <v>710</v>
      </c>
      <c r="C1465" s="5" t="s">
        <v>711</v>
      </c>
      <c r="D1465" s="5" t="s">
        <v>27</v>
      </c>
      <c r="E1465" s="5" t="s">
        <v>22</v>
      </c>
      <c r="F1465" s="71">
        <v>45657</v>
      </c>
      <c r="G1465" s="5">
        <v>2024</v>
      </c>
      <c r="H1465" s="5" t="s">
        <v>23</v>
      </c>
      <c r="I1465" s="6" t="s">
        <v>30</v>
      </c>
      <c r="J1465" s="5">
        <v>100</v>
      </c>
      <c r="K1465" s="5">
        <v>100</v>
      </c>
      <c r="L1465" s="14">
        <f t="shared" si="86"/>
        <v>1</v>
      </c>
      <c r="M1465" s="14">
        <f t="shared" si="87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713</v>
      </c>
    </row>
    <row r="1466" spans="1:18" x14ac:dyDescent="0.3">
      <c r="A1466" s="21">
        <v>292</v>
      </c>
      <c r="B1466" s="5" t="s">
        <v>716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3</v>
      </c>
      <c r="K1466" s="10">
        <v>10.990099009901</v>
      </c>
      <c r="L1466" s="14">
        <f t="shared" si="86"/>
        <v>1.3</v>
      </c>
      <c r="M1466" s="14">
        <f t="shared" si="87"/>
        <v>3.6633663366336666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2544</v>
      </c>
    </row>
    <row r="1467" spans="1:18" x14ac:dyDescent="0.3">
      <c r="A1467" s="21">
        <v>292</v>
      </c>
      <c r="B1467" s="5" t="s">
        <v>716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3</v>
      </c>
      <c r="K1467" s="10">
        <v>27.659574468085001</v>
      </c>
      <c r="L1467" s="14">
        <f t="shared" si="86"/>
        <v>1.3</v>
      </c>
      <c r="M1467" s="14">
        <f t="shared" si="87"/>
        <v>9.2198581560283337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715</v>
      </c>
    </row>
    <row r="1468" spans="1:18" x14ac:dyDescent="0.3">
      <c r="A1468" s="21">
        <v>292</v>
      </c>
      <c r="B1468" s="5" t="s">
        <v>716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3</v>
      </c>
      <c r="K1468" s="10">
        <v>23.313905079100739</v>
      </c>
      <c r="L1468" s="14">
        <f t="shared" si="86"/>
        <v>1.3</v>
      </c>
      <c r="M1468" s="14">
        <f t="shared" si="87"/>
        <v>7.7713016930335792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2545</v>
      </c>
    </row>
    <row r="1469" spans="1:18" x14ac:dyDescent="0.3">
      <c r="A1469" s="21">
        <v>292</v>
      </c>
      <c r="B1469" s="5" t="s">
        <v>716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3</v>
      </c>
      <c r="K1469" s="10">
        <v>14.263862332695989</v>
      </c>
      <c r="L1469" s="14">
        <f t="shared" si="86"/>
        <v>1.3</v>
      </c>
      <c r="M1469" s="14">
        <f t="shared" si="87"/>
        <v>4.7546207775653295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717</v>
      </c>
    </row>
    <row r="1470" spans="1:18" x14ac:dyDescent="0.3">
      <c r="A1470" s="21">
        <v>292</v>
      </c>
      <c r="B1470" s="5" t="s">
        <v>716</v>
      </c>
      <c r="C1470" s="5" t="s">
        <v>711</v>
      </c>
      <c r="D1470" s="5" t="s">
        <v>27</v>
      </c>
      <c r="E1470" s="5" t="s">
        <v>22</v>
      </c>
      <c r="F1470" s="71">
        <v>45838</v>
      </c>
      <c r="G1470" s="5">
        <v>2025</v>
      </c>
      <c r="H1470" s="5" t="s">
        <v>699</v>
      </c>
      <c r="I1470" s="6" t="s">
        <v>700</v>
      </c>
      <c r="J1470" s="5">
        <v>8</v>
      </c>
      <c r="K1470" s="10">
        <v>9.7899999999999991</v>
      </c>
      <c r="L1470" s="14">
        <f t="shared" si="86"/>
        <v>1.2237499999999999</v>
      </c>
      <c r="M1470" s="14">
        <f t="shared" si="87"/>
        <v>1.2237499999999999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2546</v>
      </c>
    </row>
    <row r="1471" spans="1:18" x14ac:dyDescent="0.3">
      <c r="A1471" s="21">
        <v>292</v>
      </c>
      <c r="B1471" s="5" t="s">
        <v>716</v>
      </c>
      <c r="C1471" s="5" t="s">
        <v>711</v>
      </c>
      <c r="D1471" s="5" t="s">
        <v>21</v>
      </c>
      <c r="E1471" s="5" t="s">
        <v>22</v>
      </c>
      <c r="F1471" s="71">
        <v>46022</v>
      </c>
      <c r="G1471" s="5">
        <v>2025</v>
      </c>
      <c r="H1471" s="5" t="s">
        <v>23</v>
      </c>
      <c r="I1471" s="6" t="s">
        <v>32</v>
      </c>
      <c r="J1471" s="5">
        <v>8</v>
      </c>
      <c r="K1471" s="10">
        <v>11.21</v>
      </c>
      <c r="L1471" s="14">
        <f t="shared" ref="L1471:L1490" si="88">IFERROR(IF(OR(J1471=0,K1471=""),"",IF(E1471="Positivo",MIN(MAX(K1471/J1471,0),1.3),MIN(MAX(J1471/K1471,0),1.3))),"")</f>
        <v>1.3</v>
      </c>
      <c r="M1471" s="14">
        <f t="shared" ref="M1471:M1490" si="89">IFERROR(IF(OR(J1471=0,K1471=""),"",IF(E1471="Positivo",MAX(K1471/J1471,0),MAX(J1471/K1471,0))),"")</f>
        <v>1.4012500000000001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718</v>
      </c>
    </row>
    <row r="1472" spans="1:18" x14ac:dyDescent="0.3">
      <c r="A1472" s="5">
        <v>293</v>
      </c>
      <c r="B1472" s="5" t="s">
        <v>719</v>
      </c>
      <c r="C1472" s="5" t="s">
        <v>711</v>
      </c>
      <c r="D1472" s="5" t="s">
        <v>27</v>
      </c>
      <c r="E1472" s="5" t="s">
        <v>22</v>
      </c>
      <c r="F1472" s="71">
        <v>45107</v>
      </c>
      <c r="G1472" s="5">
        <v>2023</v>
      </c>
      <c r="H1472" s="5" t="s">
        <v>699</v>
      </c>
      <c r="I1472" s="6" t="s">
        <v>1512</v>
      </c>
      <c r="J1472" s="5">
        <v>100</v>
      </c>
      <c r="K1472" s="5">
        <v>100</v>
      </c>
      <c r="L1472" s="14">
        <f t="shared" si="88"/>
        <v>1</v>
      </c>
      <c r="M1472" s="14">
        <f t="shared" si="89"/>
        <v>1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2547</v>
      </c>
    </row>
    <row r="1473" spans="1:18" x14ac:dyDescent="0.3">
      <c r="A1473" s="21">
        <v>293</v>
      </c>
      <c r="B1473" s="5" t="s">
        <v>719</v>
      </c>
      <c r="C1473" s="5" t="s">
        <v>711</v>
      </c>
      <c r="D1473" s="5" t="s">
        <v>27</v>
      </c>
      <c r="E1473" s="5" t="s">
        <v>22</v>
      </c>
      <c r="F1473" s="71">
        <v>45291</v>
      </c>
      <c r="G1473" s="5">
        <v>2023</v>
      </c>
      <c r="H1473" s="5" t="s">
        <v>23</v>
      </c>
      <c r="I1473" s="6" t="s">
        <v>28</v>
      </c>
      <c r="J1473" s="5">
        <v>100</v>
      </c>
      <c r="K1473" s="10">
        <v>100</v>
      </c>
      <c r="L1473" s="14">
        <f t="shared" si="88"/>
        <v>1</v>
      </c>
      <c r="M1473" s="14">
        <f t="shared" si="89"/>
        <v>1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720</v>
      </c>
    </row>
    <row r="1474" spans="1:18" x14ac:dyDescent="0.3">
      <c r="A1474" s="5">
        <v>293</v>
      </c>
      <c r="B1474" s="5" t="s">
        <v>719</v>
      </c>
      <c r="C1474" s="5" t="s">
        <v>711</v>
      </c>
      <c r="D1474" s="5" t="s">
        <v>27</v>
      </c>
      <c r="E1474" s="5" t="s">
        <v>22</v>
      </c>
      <c r="F1474" s="71">
        <v>45473</v>
      </c>
      <c r="G1474" s="5">
        <v>2024</v>
      </c>
      <c r="H1474" s="5" t="s">
        <v>699</v>
      </c>
      <c r="I1474" s="6" t="s">
        <v>729</v>
      </c>
      <c r="J1474" s="5">
        <v>100</v>
      </c>
      <c r="K1474" s="5">
        <v>100</v>
      </c>
      <c r="L1474" s="14">
        <f t="shared" si="88"/>
        <v>1</v>
      </c>
      <c r="M1474" s="14">
        <f t="shared" si="89"/>
        <v>1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2548</v>
      </c>
    </row>
    <row r="1475" spans="1:18" x14ac:dyDescent="0.3">
      <c r="A1475" s="21">
        <v>293</v>
      </c>
      <c r="B1475" s="5" t="s">
        <v>719</v>
      </c>
      <c r="C1475" s="5" t="s">
        <v>711</v>
      </c>
      <c r="D1475" s="5" t="s">
        <v>27</v>
      </c>
      <c r="E1475" s="5" t="s">
        <v>22</v>
      </c>
      <c r="F1475" s="71">
        <v>45657</v>
      </c>
      <c r="G1475" s="5">
        <v>2024</v>
      </c>
      <c r="H1475" s="5" t="s">
        <v>23</v>
      </c>
      <c r="I1475" s="6" t="s">
        <v>30</v>
      </c>
      <c r="J1475" s="5">
        <v>100</v>
      </c>
      <c r="K1475" s="10">
        <v>100</v>
      </c>
      <c r="L1475" s="14">
        <f t="shared" si="88"/>
        <v>1</v>
      </c>
      <c r="M1475" s="14">
        <f t="shared" si="89"/>
        <v>1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721</v>
      </c>
    </row>
    <row r="1476" spans="1:18" x14ac:dyDescent="0.3">
      <c r="A1476" s="5">
        <v>294</v>
      </c>
      <c r="B1476" s="5" t="s">
        <v>722</v>
      </c>
      <c r="C1476" s="5" t="s">
        <v>711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3</v>
      </c>
      <c r="K1476" s="5">
        <v>30.158730158729998</v>
      </c>
      <c r="L1476" s="14">
        <f t="shared" si="88"/>
        <v>1.3</v>
      </c>
      <c r="M1476" s="14">
        <f t="shared" si="89"/>
        <v>10.052910052909999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2549</v>
      </c>
    </row>
    <row r="1477" spans="1:18" x14ac:dyDescent="0.3">
      <c r="A1477" s="21">
        <v>294</v>
      </c>
      <c r="B1477" s="5" t="s">
        <v>722</v>
      </c>
      <c r="C1477" s="5" t="s">
        <v>711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3</v>
      </c>
      <c r="K1477" s="10">
        <v>41.986754966886998</v>
      </c>
      <c r="L1477" s="14">
        <f t="shared" si="88"/>
        <v>1.3</v>
      </c>
      <c r="M1477" s="14">
        <f t="shared" si="89"/>
        <v>13.995584988962333</v>
      </c>
      <c r="N1477" s="5" t="s">
        <v>25</v>
      </c>
      <c r="O1477" s="5" t="s">
        <v>25</v>
      </c>
      <c r="P1477" s="15">
        <v>0</v>
      </c>
      <c r="Q1477" s="15">
        <v>0</v>
      </c>
      <c r="R1477" s="5" t="s">
        <v>723</v>
      </c>
    </row>
    <row r="1478" spans="1:18" x14ac:dyDescent="0.3">
      <c r="A1478" s="21">
        <v>294</v>
      </c>
      <c r="B1478" s="5" t="s">
        <v>722</v>
      </c>
      <c r="C1478" s="5" t="s">
        <v>711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3</v>
      </c>
      <c r="K1478" s="10">
        <v>26.27669452181987</v>
      </c>
      <c r="L1478" s="14">
        <f t="shared" si="88"/>
        <v>1.3</v>
      </c>
      <c r="M1478" s="14">
        <f t="shared" si="89"/>
        <v>8.7588981739399561</v>
      </c>
      <c r="N1478" s="5" t="s">
        <v>25</v>
      </c>
      <c r="O1478" s="5" t="s">
        <v>25</v>
      </c>
      <c r="P1478" s="15">
        <v>0</v>
      </c>
      <c r="Q1478" s="15">
        <v>0</v>
      </c>
      <c r="R1478" s="5" t="s">
        <v>2550</v>
      </c>
    </row>
    <row r="1479" spans="1:18" x14ac:dyDescent="0.3">
      <c r="A1479" s="5">
        <v>294</v>
      </c>
      <c r="B1479" s="5" t="s">
        <v>724</v>
      </c>
      <c r="C1479" s="5" t="s">
        <v>711</v>
      </c>
      <c r="D1479" s="5" t="s">
        <v>27</v>
      </c>
      <c r="E1479" s="5" t="s">
        <v>22</v>
      </c>
      <c r="F1479" s="71">
        <v>45657</v>
      </c>
      <c r="G1479" s="5">
        <v>2024</v>
      </c>
      <c r="H1479" s="5" t="s">
        <v>23</v>
      </c>
      <c r="I1479" s="6" t="s">
        <v>30</v>
      </c>
      <c r="J1479" s="5">
        <v>3</v>
      </c>
      <c r="K1479" s="5">
        <v>5.5</v>
      </c>
      <c r="L1479" s="14">
        <f t="shared" si="88"/>
        <v>1.3</v>
      </c>
      <c r="M1479" s="14">
        <f t="shared" si="89"/>
        <v>1.8333333333333333</v>
      </c>
      <c r="N1479" s="5" t="s">
        <v>25</v>
      </c>
      <c r="O1479" s="5" t="s">
        <v>25</v>
      </c>
      <c r="P1479" s="5">
        <v>0</v>
      </c>
      <c r="Q1479" s="5">
        <v>0</v>
      </c>
      <c r="R1479" s="5" t="s">
        <v>725</v>
      </c>
    </row>
    <row r="1480" spans="1:18" x14ac:dyDescent="0.3">
      <c r="A1480" s="21">
        <v>294</v>
      </c>
      <c r="B1480" s="5" t="s">
        <v>724</v>
      </c>
      <c r="C1480" s="5" t="s">
        <v>711</v>
      </c>
      <c r="D1480" s="5" t="s">
        <v>27</v>
      </c>
      <c r="E1480" s="5" t="s">
        <v>22</v>
      </c>
      <c r="F1480" s="71">
        <v>45838</v>
      </c>
      <c r="G1480" s="5">
        <v>2025</v>
      </c>
      <c r="H1480" s="5" t="s">
        <v>699</v>
      </c>
      <c r="I1480" s="6" t="s">
        <v>700</v>
      </c>
      <c r="J1480" s="5">
        <v>8</v>
      </c>
      <c r="K1480" s="10">
        <v>-9.19</v>
      </c>
      <c r="L1480" s="14">
        <f t="shared" si="88"/>
        <v>0</v>
      </c>
      <c r="M1480" s="14">
        <f t="shared" si="89"/>
        <v>0</v>
      </c>
      <c r="N1480" s="5" t="s">
        <v>25</v>
      </c>
      <c r="O1480" s="5" t="s">
        <v>25</v>
      </c>
      <c r="P1480" s="15">
        <v>0</v>
      </c>
      <c r="Q1480" s="15">
        <v>0</v>
      </c>
      <c r="R1480" s="5" t="s">
        <v>2551</v>
      </c>
    </row>
    <row r="1481" spans="1:18" x14ac:dyDescent="0.3">
      <c r="A1481" s="5">
        <v>294</v>
      </c>
      <c r="B1481" s="5" t="s">
        <v>724</v>
      </c>
      <c r="C1481" s="5" t="s">
        <v>711</v>
      </c>
      <c r="D1481" s="5" t="s">
        <v>21</v>
      </c>
      <c r="E1481" s="5" t="s">
        <v>22</v>
      </c>
      <c r="F1481" s="71">
        <v>46022</v>
      </c>
      <c r="G1481" s="5">
        <v>2025</v>
      </c>
      <c r="H1481" s="5" t="s">
        <v>23</v>
      </c>
      <c r="I1481" s="6" t="s">
        <v>32</v>
      </c>
      <c r="J1481" s="5">
        <v>8</v>
      </c>
      <c r="K1481" s="5">
        <v>54.02</v>
      </c>
      <c r="L1481" s="14">
        <f t="shared" si="88"/>
        <v>1.3</v>
      </c>
      <c r="M1481" s="14">
        <f t="shared" si="89"/>
        <v>6.7525000000000004</v>
      </c>
      <c r="N1481" s="5" t="s">
        <v>25</v>
      </c>
      <c r="O1481" s="5" t="s">
        <v>25</v>
      </c>
      <c r="P1481" s="5">
        <v>0</v>
      </c>
      <c r="Q1481" s="5">
        <v>0</v>
      </c>
      <c r="R1481" s="5" t="s">
        <v>726</v>
      </c>
    </row>
    <row r="1482" spans="1:18" x14ac:dyDescent="0.3">
      <c r="A1482" s="21">
        <v>295</v>
      </c>
      <c r="B1482" s="5" t="s">
        <v>727</v>
      </c>
      <c r="C1482" s="5" t="s">
        <v>63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699</v>
      </c>
      <c r="I1482" s="6" t="s">
        <v>1512</v>
      </c>
      <c r="J1482" s="5">
        <v>11</v>
      </c>
      <c r="K1482" s="10">
        <v>5</v>
      </c>
      <c r="L1482" s="14">
        <f t="shared" si="88"/>
        <v>0.45454545454545453</v>
      </c>
      <c r="M1482" s="14">
        <f t="shared" si="89"/>
        <v>0.45454545454545453</v>
      </c>
      <c r="N1482" s="5" t="s">
        <v>25</v>
      </c>
      <c r="O1482" s="5" t="s">
        <v>25</v>
      </c>
      <c r="P1482" s="15">
        <v>0</v>
      </c>
      <c r="Q1482" s="15">
        <v>0</v>
      </c>
      <c r="R1482" s="5" t="s">
        <v>2552</v>
      </c>
    </row>
    <row r="1483" spans="1:18" x14ac:dyDescent="0.3">
      <c r="A1483" s="5">
        <v>295</v>
      </c>
      <c r="B1483" s="5" t="s">
        <v>727</v>
      </c>
      <c r="C1483" s="5" t="s">
        <v>63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21</v>
      </c>
      <c r="K1483" s="5">
        <v>9</v>
      </c>
      <c r="L1483" s="14">
        <f t="shared" si="88"/>
        <v>0.42857142857142855</v>
      </c>
      <c r="M1483" s="14">
        <f t="shared" si="89"/>
        <v>0.42857142857142855</v>
      </c>
      <c r="N1483" s="5" t="s">
        <v>25</v>
      </c>
      <c r="O1483" s="5" t="s">
        <v>25</v>
      </c>
      <c r="P1483" s="5">
        <v>0</v>
      </c>
      <c r="Q1483" s="5">
        <v>0</v>
      </c>
      <c r="R1483" s="5" t="s">
        <v>728</v>
      </c>
    </row>
    <row r="1484" spans="1:18" x14ac:dyDescent="0.3">
      <c r="A1484" s="21">
        <v>295</v>
      </c>
      <c r="B1484" s="5" t="s">
        <v>727</v>
      </c>
      <c r="C1484" s="5" t="s">
        <v>63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699</v>
      </c>
      <c r="I1484" s="6" t="s">
        <v>729</v>
      </c>
      <c r="J1484" s="5">
        <v>60</v>
      </c>
      <c r="K1484" s="10">
        <v>52.38</v>
      </c>
      <c r="L1484" s="14">
        <f t="shared" si="88"/>
        <v>0.873</v>
      </c>
      <c r="M1484" s="14">
        <f t="shared" si="89"/>
        <v>0.873</v>
      </c>
      <c r="N1484" s="5" t="s">
        <v>128</v>
      </c>
      <c r="O1484" s="5" t="s">
        <v>128</v>
      </c>
      <c r="P1484" s="15">
        <v>0</v>
      </c>
      <c r="Q1484" s="15">
        <v>0</v>
      </c>
      <c r="R1484" s="5" t="s">
        <v>730</v>
      </c>
    </row>
    <row r="1485" spans="1:18" x14ac:dyDescent="0.3">
      <c r="A1485" s="5">
        <v>296</v>
      </c>
      <c r="B1485" s="5" t="s">
        <v>731</v>
      </c>
      <c r="C1485" s="5" t="s">
        <v>732</v>
      </c>
      <c r="D1485" s="5" t="s">
        <v>64</v>
      </c>
      <c r="E1485" s="5" t="s">
        <v>22</v>
      </c>
      <c r="F1485" s="71">
        <v>45169</v>
      </c>
      <c r="G1485" s="5">
        <v>2023</v>
      </c>
      <c r="H1485" s="5" t="s">
        <v>1546</v>
      </c>
      <c r="I1485" s="6" t="s">
        <v>28</v>
      </c>
      <c r="J1485" s="5">
        <v>70</v>
      </c>
      <c r="K1485" s="5">
        <v>70.91</v>
      </c>
      <c r="L1485" s="14">
        <f t="shared" si="88"/>
        <v>1.0129999999999999</v>
      </c>
      <c r="M1485" s="14">
        <f t="shared" si="89"/>
        <v>1.0129999999999999</v>
      </c>
      <c r="N1485" s="5" t="s">
        <v>128</v>
      </c>
      <c r="O1485" s="5" t="s">
        <v>128</v>
      </c>
      <c r="P1485" s="5">
        <v>0</v>
      </c>
      <c r="Q1485" s="5">
        <v>0</v>
      </c>
      <c r="R1485" s="5" t="s">
        <v>2553</v>
      </c>
    </row>
    <row r="1486" spans="1:18" x14ac:dyDescent="0.3">
      <c r="A1486" s="21">
        <v>296</v>
      </c>
      <c r="B1486" s="5" t="s">
        <v>731</v>
      </c>
      <c r="C1486" s="5" t="s">
        <v>732</v>
      </c>
      <c r="D1486" s="5" t="s">
        <v>64</v>
      </c>
      <c r="E1486" s="5" t="s">
        <v>22</v>
      </c>
      <c r="F1486" s="71">
        <v>45230</v>
      </c>
      <c r="G1486" s="5">
        <v>2023</v>
      </c>
      <c r="H1486" s="5" t="s">
        <v>150</v>
      </c>
      <c r="I1486" s="6" t="s">
        <v>28</v>
      </c>
      <c r="J1486" s="5">
        <v>80</v>
      </c>
      <c r="K1486" s="10">
        <v>80</v>
      </c>
      <c r="L1486" s="14">
        <f t="shared" si="88"/>
        <v>1</v>
      </c>
      <c r="M1486" s="14">
        <f t="shared" si="89"/>
        <v>1</v>
      </c>
      <c r="N1486" s="5" t="s">
        <v>128</v>
      </c>
      <c r="O1486" s="5" t="s">
        <v>128</v>
      </c>
      <c r="P1486" s="15">
        <v>0</v>
      </c>
      <c r="Q1486" s="15">
        <v>0</v>
      </c>
      <c r="R1486" s="5" t="s">
        <v>2554</v>
      </c>
    </row>
    <row r="1487" spans="1:18" x14ac:dyDescent="0.3">
      <c r="A1487" s="5">
        <v>296</v>
      </c>
      <c r="B1487" s="5" t="s">
        <v>731</v>
      </c>
      <c r="C1487" s="5" t="s">
        <v>732</v>
      </c>
      <c r="D1487" s="5" t="s">
        <v>64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100</v>
      </c>
      <c r="K1487" s="5">
        <v>85.45</v>
      </c>
      <c r="L1487" s="14">
        <f t="shared" si="88"/>
        <v>0.85450000000000004</v>
      </c>
      <c r="M1487" s="14">
        <f t="shared" si="89"/>
        <v>0.85450000000000004</v>
      </c>
      <c r="N1487" s="5" t="s">
        <v>128</v>
      </c>
      <c r="O1487" s="5" t="s">
        <v>128</v>
      </c>
      <c r="P1487" s="5">
        <v>0</v>
      </c>
      <c r="Q1487" s="5">
        <v>0</v>
      </c>
      <c r="R1487" s="5" t="s">
        <v>733</v>
      </c>
    </row>
    <row r="1488" spans="1:18" x14ac:dyDescent="0.3">
      <c r="A1488" s="21">
        <v>297</v>
      </c>
      <c r="B1488" s="5" t="s">
        <v>734</v>
      </c>
      <c r="C1488" s="5" t="s">
        <v>732</v>
      </c>
      <c r="D1488" s="5" t="s">
        <v>64</v>
      </c>
      <c r="E1488" s="5" t="s">
        <v>41</v>
      </c>
      <c r="F1488" s="71">
        <v>45169</v>
      </c>
      <c r="G1488" s="5">
        <v>2023</v>
      </c>
      <c r="H1488" s="5" t="s">
        <v>1546</v>
      </c>
      <c r="I1488" s="6" t="s">
        <v>28</v>
      </c>
      <c r="J1488" s="5">
        <v>20</v>
      </c>
      <c r="K1488" s="10">
        <v>0</v>
      </c>
      <c r="L1488" s="14" t="str">
        <f t="shared" si="88"/>
        <v/>
      </c>
      <c r="M1488" s="14" t="str">
        <f t="shared" si="89"/>
        <v/>
      </c>
      <c r="N1488" s="5" t="s">
        <v>128</v>
      </c>
      <c r="O1488" s="5" t="s">
        <v>128</v>
      </c>
      <c r="P1488" s="15">
        <v>0</v>
      </c>
      <c r="Q1488" s="15">
        <v>0</v>
      </c>
      <c r="R1488" s="5" t="s">
        <v>2555</v>
      </c>
    </row>
    <row r="1489" spans="1:18" x14ac:dyDescent="0.3">
      <c r="A1489" s="5">
        <v>297</v>
      </c>
      <c r="B1489" s="5" t="s">
        <v>734</v>
      </c>
      <c r="C1489" s="5" t="s">
        <v>732</v>
      </c>
      <c r="D1489" s="5" t="s">
        <v>64</v>
      </c>
      <c r="E1489" s="5" t="s">
        <v>41</v>
      </c>
      <c r="F1489" s="71">
        <v>45230</v>
      </c>
      <c r="G1489" s="5">
        <v>2023</v>
      </c>
      <c r="H1489" s="5" t="s">
        <v>150</v>
      </c>
      <c r="I1489" s="6" t="s">
        <v>28</v>
      </c>
      <c r="J1489" s="5">
        <v>20</v>
      </c>
      <c r="K1489" s="5">
        <v>1.19</v>
      </c>
      <c r="L1489" s="14">
        <f t="shared" si="88"/>
        <v>1.3</v>
      </c>
      <c r="M1489" s="14">
        <f t="shared" si="89"/>
        <v>16.806722689075631</v>
      </c>
      <c r="N1489" s="5" t="s">
        <v>128</v>
      </c>
      <c r="O1489" s="5" t="s">
        <v>136</v>
      </c>
      <c r="P1489" s="5">
        <v>2</v>
      </c>
      <c r="Q1489" s="5">
        <v>2</v>
      </c>
      <c r="R1489" s="5" t="s">
        <v>2556</v>
      </c>
    </row>
    <row r="1490" spans="1:18" x14ac:dyDescent="0.3">
      <c r="A1490" s="21">
        <v>297</v>
      </c>
      <c r="B1490" s="5" t="s">
        <v>734</v>
      </c>
      <c r="C1490" s="5" t="s">
        <v>732</v>
      </c>
      <c r="D1490" s="5" t="s">
        <v>64</v>
      </c>
      <c r="E1490" s="5" t="s">
        <v>41</v>
      </c>
      <c r="F1490" s="71">
        <v>45291</v>
      </c>
      <c r="G1490" s="5">
        <v>2023</v>
      </c>
      <c r="H1490" s="5" t="s">
        <v>23</v>
      </c>
      <c r="I1490" s="6" t="s">
        <v>28</v>
      </c>
      <c r="J1490" s="5">
        <v>20</v>
      </c>
      <c r="K1490" s="10">
        <v>0.93</v>
      </c>
      <c r="L1490" s="14">
        <f t="shared" si="88"/>
        <v>1.3</v>
      </c>
      <c r="M1490" s="14">
        <f t="shared" si="89"/>
        <v>21.50537634408602</v>
      </c>
      <c r="N1490" s="5" t="s">
        <v>128</v>
      </c>
      <c r="O1490" s="5" t="s">
        <v>136</v>
      </c>
      <c r="P1490" s="15">
        <v>0</v>
      </c>
      <c r="Q1490" s="15">
        <v>0</v>
      </c>
      <c r="R1490" s="5" t="s">
        <v>735</v>
      </c>
    </row>
    <row r="1491" spans="1:18" x14ac:dyDescent="0.3">
      <c r="A1491" s="21">
        <v>298</v>
      </c>
      <c r="B1491" s="5" t="s">
        <v>736</v>
      </c>
      <c r="C1491" s="5" t="s">
        <v>732</v>
      </c>
      <c r="D1491" s="5" t="s">
        <v>27</v>
      </c>
      <c r="E1491" s="5" t="s">
        <v>41</v>
      </c>
      <c r="F1491" s="71">
        <v>45291</v>
      </c>
      <c r="G1491" s="5">
        <v>2023</v>
      </c>
      <c r="H1491" s="5" t="s">
        <v>23</v>
      </c>
      <c r="I1491" s="6" t="s">
        <v>28</v>
      </c>
      <c r="J1491" s="5"/>
      <c r="K1491" s="10">
        <v>1</v>
      </c>
      <c r="L1491" s="14"/>
      <c r="M1491" s="14"/>
      <c r="N1491" s="5" t="s">
        <v>355</v>
      </c>
      <c r="O1491" s="5" t="s">
        <v>136</v>
      </c>
      <c r="P1491" s="15">
        <v>0</v>
      </c>
      <c r="Q1491" s="15">
        <v>0</v>
      </c>
      <c r="R1491" s="5" t="s">
        <v>737</v>
      </c>
    </row>
    <row r="1492" spans="1:18" x14ac:dyDescent="0.3">
      <c r="A1492" s="5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45016</v>
      </c>
      <c r="G1492" s="5">
        <v>2023</v>
      </c>
      <c r="H1492" s="5" t="s">
        <v>1516</v>
      </c>
      <c r="I1492" s="6" t="s">
        <v>1512</v>
      </c>
      <c r="J1492" s="5">
        <v>100</v>
      </c>
      <c r="K1492" s="5">
        <v>100</v>
      </c>
      <c r="L1492" s="14">
        <f t="shared" ref="L1492:L1519" si="90">IFERROR(IF(OR(J1492=0,K1492=""),"",IF(E1492="Positivo",MIN(MAX(K1492/J1492,0),1.3),MIN(MAX(J1492/K1492,0),1.3))),"")</f>
        <v>1</v>
      </c>
      <c r="M1492" s="14">
        <f t="shared" ref="M1492:M1519" si="91">IFERROR(IF(OR(J1492=0,K1492=""),"",IF(E1492="Positivo",MAX(K1492/J1492,0),MAX(J1492/K1492,0))),"")</f>
        <v>1</v>
      </c>
      <c r="N1492" s="5" t="s">
        <v>25</v>
      </c>
      <c r="O1492" s="5" t="s">
        <v>25</v>
      </c>
      <c r="P1492" s="5">
        <v>0</v>
      </c>
      <c r="Q1492" s="5">
        <v>0</v>
      </c>
      <c r="R1492" s="5" t="s">
        <v>2557</v>
      </c>
    </row>
    <row r="1493" spans="1:18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45107</v>
      </c>
      <c r="G1493" s="5">
        <v>2023</v>
      </c>
      <c r="H1493" s="5" t="s">
        <v>699</v>
      </c>
      <c r="I1493" s="6" t="s">
        <v>1512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2558</v>
      </c>
    </row>
    <row r="1494" spans="1:18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45199</v>
      </c>
      <c r="G1494" s="5">
        <v>2023</v>
      </c>
      <c r="H1494" s="5" t="s">
        <v>162</v>
      </c>
      <c r="I1494" s="6" t="s">
        <v>28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2559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45291</v>
      </c>
      <c r="G1495" s="5">
        <v>2023</v>
      </c>
      <c r="H1495" s="5" t="s">
        <v>23</v>
      </c>
      <c r="I1495" s="6" t="s">
        <v>28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740</v>
      </c>
    </row>
    <row r="1496" spans="1:18" x14ac:dyDescent="0.3">
      <c r="A1496" s="5">
        <v>300</v>
      </c>
      <c r="B1496" s="5" t="s">
        <v>738</v>
      </c>
      <c r="C1496" s="5" t="s">
        <v>739</v>
      </c>
      <c r="D1496" s="5" t="s">
        <v>21</v>
      </c>
      <c r="E1496" s="5" t="s">
        <v>22</v>
      </c>
      <c r="F1496" s="71">
        <v>45382</v>
      </c>
      <c r="G1496" s="5">
        <v>2024</v>
      </c>
      <c r="H1496" s="5" t="s">
        <v>1516</v>
      </c>
      <c r="I1496" s="6" t="s">
        <v>729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2560</v>
      </c>
    </row>
    <row r="1497" spans="1:18" x14ac:dyDescent="0.3">
      <c r="A1497" s="21">
        <v>300</v>
      </c>
      <c r="B1497" s="5" t="s">
        <v>738</v>
      </c>
      <c r="C1497" s="5" t="s">
        <v>739</v>
      </c>
      <c r="D1497" s="5" t="s">
        <v>21</v>
      </c>
      <c r="E1497" s="5" t="s">
        <v>22</v>
      </c>
      <c r="F1497" s="71">
        <v>45473</v>
      </c>
      <c r="G1497" s="5">
        <v>2024</v>
      </c>
      <c r="H1497" s="5" t="s">
        <v>699</v>
      </c>
      <c r="I1497" s="6" t="s">
        <v>729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2561</v>
      </c>
    </row>
    <row r="1498" spans="1:18" x14ac:dyDescent="0.3">
      <c r="A1498" s="21">
        <v>300</v>
      </c>
      <c r="B1498" s="5" t="s">
        <v>738</v>
      </c>
      <c r="C1498" s="5" t="s">
        <v>739</v>
      </c>
      <c r="D1498" s="5" t="s">
        <v>21</v>
      </c>
      <c r="E1498" s="5" t="s">
        <v>22</v>
      </c>
      <c r="F1498" s="71">
        <v>45565</v>
      </c>
      <c r="G1498" s="5">
        <v>2024</v>
      </c>
      <c r="H1498" s="5" t="s">
        <v>162</v>
      </c>
      <c r="I1498" s="6" t="s">
        <v>30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2562</v>
      </c>
    </row>
    <row r="1499" spans="1:18" x14ac:dyDescent="0.3">
      <c r="A1499" s="21">
        <v>300</v>
      </c>
      <c r="B1499" s="5" t="s">
        <v>738</v>
      </c>
      <c r="C1499" s="5" t="s">
        <v>739</v>
      </c>
      <c r="D1499" s="5" t="s">
        <v>21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100</v>
      </c>
      <c r="K1499" s="10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741</v>
      </c>
    </row>
    <row r="1500" spans="1:18" x14ac:dyDescent="0.3">
      <c r="A1500" s="5">
        <v>300</v>
      </c>
      <c r="B1500" s="5" t="s">
        <v>738</v>
      </c>
      <c r="C1500" s="5" t="s">
        <v>739</v>
      </c>
      <c r="D1500" s="5" t="s">
        <v>21</v>
      </c>
      <c r="E1500" s="5" t="s">
        <v>22</v>
      </c>
      <c r="F1500" s="71">
        <v>45747</v>
      </c>
      <c r="G1500" s="5">
        <v>2025</v>
      </c>
      <c r="H1500" s="5" t="s">
        <v>1516</v>
      </c>
      <c r="I1500" s="6" t="s">
        <v>700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2563</v>
      </c>
    </row>
    <row r="1501" spans="1:18" x14ac:dyDescent="0.3">
      <c r="A1501" s="21">
        <v>300</v>
      </c>
      <c r="B1501" s="5" t="s">
        <v>738</v>
      </c>
      <c r="C1501" s="5" t="s">
        <v>739</v>
      </c>
      <c r="D1501" s="5" t="s">
        <v>21</v>
      </c>
      <c r="E1501" s="5" t="s">
        <v>22</v>
      </c>
      <c r="F1501" s="71">
        <v>45838</v>
      </c>
      <c r="G1501" s="5">
        <v>2025</v>
      </c>
      <c r="H1501" s="5" t="s">
        <v>699</v>
      </c>
      <c r="I1501" s="6" t="s">
        <v>700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2564</v>
      </c>
    </row>
    <row r="1502" spans="1:18" x14ac:dyDescent="0.3">
      <c r="A1502" s="21">
        <v>300</v>
      </c>
      <c r="B1502" s="5" t="s">
        <v>738</v>
      </c>
      <c r="C1502" s="5" t="s">
        <v>739</v>
      </c>
      <c r="D1502" s="5" t="s">
        <v>27</v>
      </c>
      <c r="E1502" s="5" t="s">
        <v>22</v>
      </c>
      <c r="F1502" s="71">
        <v>45930</v>
      </c>
      <c r="G1502" s="5">
        <v>2025</v>
      </c>
      <c r="H1502" s="5" t="s">
        <v>162</v>
      </c>
      <c r="I1502" s="6" t="s">
        <v>32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2565</v>
      </c>
    </row>
    <row r="1503" spans="1:18" x14ac:dyDescent="0.3">
      <c r="A1503" s="5">
        <v>300</v>
      </c>
      <c r="B1503" s="5" t="s">
        <v>738</v>
      </c>
      <c r="C1503" s="5" t="s">
        <v>739</v>
      </c>
      <c r="D1503" s="5" t="s">
        <v>27</v>
      </c>
      <c r="E1503" s="5" t="s">
        <v>22</v>
      </c>
      <c r="F1503" s="71">
        <v>46022</v>
      </c>
      <c r="G1503" s="5">
        <v>2025</v>
      </c>
      <c r="H1503" s="5" t="s">
        <v>23</v>
      </c>
      <c r="I1503" s="6" t="s">
        <v>32</v>
      </c>
      <c r="J1503" s="5">
        <v>100</v>
      </c>
      <c r="K1503" s="5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5">
        <v>0</v>
      </c>
      <c r="Q1503" s="5">
        <v>0</v>
      </c>
      <c r="R1503" s="5" t="s">
        <v>742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45016</v>
      </c>
      <c r="G1504" s="5">
        <v>2023</v>
      </c>
      <c r="H1504" s="5" t="s">
        <v>1516</v>
      </c>
      <c r="I1504" s="6" t="s">
        <v>1512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2566</v>
      </c>
    </row>
    <row r="1505" spans="1:19" x14ac:dyDescent="0.3">
      <c r="A1505" s="21">
        <v>301</v>
      </c>
      <c r="B1505" s="20" t="s">
        <v>743</v>
      </c>
      <c r="C1505" s="5" t="s">
        <v>739</v>
      </c>
      <c r="D1505" s="5" t="s">
        <v>21</v>
      </c>
      <c r="E1505" s="5" t="s">
        <v>22</v>
      </c>
      <c r="F1505" s="71">
        <v>45107</v>
      </c>
      <c r="G1505" s="5">
        <v>2023</v>
      </c>
      <c r="H1505" s="5" t="s">
        <v>699</v>
      </c>
      <c r="I1505" s="6" t="s">
        <v>1512</v>
      </c>
      <c r="J1505" s="5">
        <v>100</v>
      </c>
      <c r="K1505" s="52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2567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45199</v>
      </c>
      <c r="G1506" s="5">
        <v>2023</v>
      </c>
      <c r="H1506" s="5" t="s">
        <v>162</v>
      </c>
      <c r="I1506" s="6" t="s">
        <v>28</v>
      </c>
      <c r="J1506" s="5">
        <v>100</v>
      </c>
      <c r="K1506" s="15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2568</v>
      </c>
    </row>
    <row r="1507" spans="1:19" x14ac:dyDescent="0.3">
      <c r="A1507" s="21">
        <v>301</v>
      </c>
      <c r="B1507" s="20" t="s">
        <v>743</v>
      </c>
      <c r="C1507" s="5" t="s">
        <v>739</v>
      </c>
      <c r="D1507" s="5" t="s">
        <v>21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5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5">
        <v>0</v>
      </c>
      <c r="Q1507" s="5">
        <v>0</v>
      </c>
      <c r="R1507" s="5" t="s">
        <v>744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21</v>
      </c>
      <c r="E1508" s="5" t="s">
        <v>22</v>
      </c>
      <c r="F1508" s="71">
        <v>45382</v>
      </c>
      <c r="G1508" s="5">
        <v>2024</v>
      </c>
      <c r="H1508" s="5" t="s">
        <v>1516</v>
      </c>
      <c r="I1508" s="6" t="s">
        <v>729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2569</v>
      </c>
    </row>
    <row r="1509" spans="1:19" x14ac:dyDescent="0.3">
      <c r="A1509" s="21">
        <v>301</v>
      </c>
      <c r="B1509" s="5" t="s">
        <v>743</v>
      </c>
      <c r="C1509" s="5" t="s">
        <v>739</v>
      </c>
      <c r="D1509" s="5" t="s">
        <v>21</v>
      </c>
      <c r="E1509" s="5" t="s">
        <v>22</v>
      </c>
      <c r="F1509" s="71">
        <v>45473</v>
      </c>
      <c r="G1509" s="5">
        <v>2024</v>
      </c>
      <c r="H1509" s="5" t="s">
        <v>699</v>
      </c>
      <c r="I1509" s="6" t="s">
        <v>729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2570</v>
      </c>
    </row>
    <row r="1510" spans="1:19" x14ac:dyDescent="0.3">
      <c r="A1510" s="21">
        <v>301</v>
      </c>
      <c r="B1510" s="5" t="s">
        <v>743</v>
      </c>
      <c r="C1510" s="5" t="s">
        <v>739</v>
      </c>
      <c r="D1510" s="5" t="s">
        <v>21</v>
      </c>
      <c r="E1510" s="5" t="s">
        <v>22</v>
      </c>
      <c r="F1510" s="71">
        <v>45565</v>
      </c>
      <c r="G1510" s="5">
        <v>2024</v>
      </c>
      <c r="H1510" s="5" t="s">
        <v>162</v>
      </c>
      <c r="I1510" s="6" t="s">
        <v>30</v>
      </c>
      <c r="J1510" s="5">
        <v>100</v>
      </c>
      <c r="K1510" s="10">
        <v>100</v>
      </c>
      <c r="L1510" s="14">
        <f t="shared" si="90"/>
        <v>1</v>
      </c>
      <c r="M1510" s="14">
        <f t="shared" si="91"/>
        <v>1</v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2571</v>
      </c>
    </row>
    <row r="1511" spans="1:19" x14ac:dyDescent="0.3">
      <c r="A1511" s="21">
        <v>301</v>
      </c>
      <c r="B1511" s="5" t="s">
        <v>743</v>
      </c>
      <c r="C1511" s="5" t="s">
        <v>739</v>
      </c>
      <c r="D1511" s="5" t="s">
        <v>21</v>
      </c>
      <c r="E1511" s="5" t="s">
        <v>22</v>
      </c>
      <c r="F1511" s="71">
        <v>45657</v>
      </c>
      <c r="G1511" s="5">
        <v>2024</v>
      </c>
      <c r="H1511" s="5" t="s">
        <v>23</v>
      </c>
      <c r="I1511" s="6" t="s">
        <v>30</v>
      </c>
      <c r="J1511" s="5">
        <v>100</v>
      </c>
      <c r="K1511" s="10">
        <v>100</v>
      </c>
      <c r="L1511" s="14">
        <f t="shared" si="90"/>
        <v>1</v>
      </c>
      <c r="M1511" s="14">
        <f t="shared" si="91"/>
        <v>1</v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745</v>
      </c>
    </row>
    <row r="1512" spans="1:19" x14ac:dyDescent="0.3">
      <c r="A1512" s="21">
        <v>301</v>
      </c>
      <c r="B1512" s="5" t="s">
        <v>743</v>
      </c>
      <c r="C1512" s="5" t="s">
        <v>739</v>
      </c>
      <c r="D1512" s="5" t="s">
        <v>21</v>
      </c>
      <c r="E1512" s="5" t="s">
        <v>22</v>
      </c>
      <c r="F1512" s="71">
        <v>45747</v>
      </c>
      <c r="G1512" s="5">
        <v>2025</v>
      </c>
      <c r="H1512" s="5" t="s">
        <v>1516</v>
      </c>
      <c r="I1512" s="6" t="s">
        <v>700</v>
      </c>
      <c r="J1512" s="5">
        <v>100</v>
      </c>
      <c r="K1512" s="10">
        <v>100</v>
      </c>
      <c r="L1512" s="14">
        <f t="shared" si="90"/>
        <v>1</v>
      </c>
      <c r="M1512" s="14">
        <f t="shared" si="91"/>
        <v>1</v>
      </c>
      <c r="N1512" s="5" t="s">
        <v>25</v>
      </c>
      <c r="O1512" s="5" t="s">
        <v>25</v>
      </c>
      <c r="P1512" s="15">
        <v>0</v>
      </c>
      <c r="Q1512" s="15">
        <v>0</v>
      </c>
      <c r="R1512" s="5" t="s">
        <v>2572</v>
      </c>
    </row>
    <row r="1513" spans="1:19" x14ac:dyDescent="0.3">
      <c r="A1513" s="21">
        <v>301</v>
      </c>
      <c r="B1513" s="5" t="s">
        <v>743</v>
      </c>
      <c r="C1513" s="5" t="s">
        <v>739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>
        <v>100</v>
      </c>
      <c r="K1513" s="10">
        <v>100</v>
      </c>
      <c r="L1513" s="14">
        <f t="shared" si="90"/>
        <v>1</v>
      </c>
      <c r="M1513" s="14">
        <f t="shared" si="91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2573</v>
      </c>
    </row>
    <row r="1514" spans="1:19" x14ac:dyDescent="0.3">
      <c r="A1514" s="21">
        <v>301</v>
      </c>
      <c r="B1514" s="5" t="s">
        <v>743</v>
      </c>
      <c r="C1514" s="5" t="s">
        <v>739</v>
      </c>
      <c r="D1514" s="5" t="s">
        <v>27</v>
      </c>
      <c r="E1514" s="5" t="s">
        <v>22</v>
      </c>
      <c r="F1514" s="71">
        <v>45930</v>
      </c>
      <c r="G1514" s="5">
        <v>2025</v>
      </c>
      <c r="H1514" s="5" t="s">
        <v>162</v>
      </c>
      <c r="I1514" s="6" t="s">
        <v>32</v>
      </c>
      <c r="J1514" s="5">
        <v>100</v>
      </c>
      <c r="K1514" s="10">
        <v>100</v>
      </c>
      <c r="L1514" s="14">
        <f t="shared" si="90"/>
        <v>1</v>
      </c>
      <c r="M1514" s="14">
        <f t="shared" si="91"/>
        <v>1</v>
      </c>
      <c r="N1514" s="5" t="s">
        <v>25</v>
      </c>
      <c r="O1514" s="5" t="s">
        <v>25</v>
      </c>
      <c r="P1514" s="15">
        <v>0</v>
      </c>
      <c r="Q1514" s="15">
        <v>0</v>
      </c>
      <c r="R1514" s="5" t="s">
        <v>2574</v>
      </c>
    </row>
    <row r="1515" spans="1:19" x14ac:dyDescent="0.3">
      <c r="A1515" s="21">
        <v>301</v>
      </c>
      <c r="B1515" s="5" t="s">
        <v>743</v>
      </c>
      <c r="C1515" s="5" t="s">
        <v>739</v>
      </c>
      <c r="D1515" s="5" t="s">
        <v>27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>
        <v>100</v>
      </c>
      <c r="K1515" s="10">
        <v>100</v>
      </c>
      <c r="L1515" s="14">
        <f t="shared" si="90"/>
        <v>1</v>
      </c>
      <c r="M1515" s="14">
        <f t="shared" si="91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746</v>
      </c>
    </row>
    <row r="1516" spans="1:19" x14ac:dyDescent="0.3">
      <c r="A1516" s="21">
        <v>302</v>
      </c>
      <c r="B1516" s="5" t="s">
        <v>747</v>
      </c>
      <c r="C1516" s="5" t="s">
        <v>619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0</v>
      </c>
      <c r="K1516" s="10">
        <v>0</v>
      </c>
      <c r="L1516" s="14" t="str">
        <f t="shared" si="90"/>
        <v/>
      </c>
      <c r="M1516" s="14" t="str">
        <f t="shared" si="91"/>
        <v/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2575</v>
      </c>
    </row>
    <row r="1517" spans="1:19" x14ac:dyDescent="0.3">
      <c r="A1517" s="21">
        <v>302</v>
      </c>
      <c r="B1517" s="5" t="s">
        <v>747</v>
      </c>
      <c r="C1517" s="5" t="s">
        <v>619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0</v>
      </c>
      <c r="K1517" s="10">
        <v>0</v>
      </c>
      <c r="L1517" s="14" t="str">
        <f t="shared" si="90"/>
        <v/>
      </c>
      <c r="M1517" s="14" t="str">
        <f t="shared" si="91"/>
        <v/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748</v>
      </c>
    </row>
    <row r="1518" spans="1:19" x14ac:dyDescent="0.3">
      <c r="A1518" s="21">
        <v>302</v>
      </c>
      <c r="B1518" s="5" t="s">
        <v>747</v>
      </c>
      <c r="C1518" s="5" t="s">
        <v>619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0</v>
      </c>
      <c r="K1518" s="10">
        <v>17878</v>
      </c>
      <c r="L1518" s="14" t="str">
        <f t="shared" si="90"/>
        <v/>
      </c>
      <c r="M1518" s="14" t="str">
        <f t="shared" si="91"/>
        <v/>
      </c>
      <c r="N1518" s="5">
        <v>0</v>
      </c>
      <c r="O1518" s="5" t="s">
        <v>128</v>
      </c>
      <c r="P1518" s="15">
        <v>0</v>
      </c>
      <c r="Q1518" s="15">
        <v>0</v>
      </c>
      <c r="R1518" s="5" t="s">
        <v>2576</v>
      </c>
    </row>
    <row r="1519" spans="1:19" x14ac:dyDescent="0.3">
      <c r="A1519" s="21">
        <v>302</v>
      </c>
      <c r="B1519" s="5" t="s">
        <v>747</v>
      </c>
      <c r="C1519" s="5" t="s">
        <v>619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0</v>
      </c>
      <c r="K1519" s="10">
        <v>19142</v>
      </c>
      <c r="L1519" s="14" t="str">
        <f t="shared" si="90"/>
        <v/>
      </c>
      <c r="M1519" s="14" t="str">
        <f t="shared" si="91"/>
        <v/>
      </c>
      <c r="N1519" s="5">
        <v>0</v>
      </c>
      <c r="O1519" s="5" t="s">
        <v>128</v>
      </c>
      <c r="P1519" s="15">
        <v>0</v>
      </c>
      <c r="Q1519" s="15">
        <v>0</v>
      </c>
      <c r="R1519" s="5" t="s">
        <v>749</v>
      </c>
    </row>
    <row r="1520" spans="1:19" x14ac:dyDescent="0.3">
      <c r="A1520" s="21">
        <v>302</v>
      </c>
      <c r="B1520" s="5" t="s">
        <v>750</v>
      </c>
      <c r="C1520" s="5" t="s">
        <v>619</v>
      </c>
      <c r="D1520" s="5" t="s">
        <v>21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/>
      <c r="K1520" s="10">
        <v>21712</v>
      </c>
      <c r="L1520" s="14"/>
      <c r="M1520" s="14"/>
      <c r="N1520" s="5" t="s">
        <v>25</v>
      </c>
      <c r="O1520" s="5" t="s">
        <v>128</v>
      </c>
      <c r="P1520" s="15">
        <v>0</v>
      </c>
      <c r="Q1520" s="15">
        <v>0</v>
      </c>
      <c r="R1520" s="5" t="s">
        <v>2577</v>
      </c>
      <c r="S1520" t="s">
        <v>263</v>
      </c>
    </row>
    <row r="1521" spans="1:19" x14ac:dyDescent="0.3">
      <c r="A1521" s="5">
        <v>302</v>
      </c>
      <c r="B1521" s="5" t="s">
        <v>750</v>
      </c>
      <c r="C1521" s="5" t="s">
        <v>619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/>
      <c r="K1521" s="5">
        <v>31371</v>
      </c>
      <c r="L1521" s="14"/>
      <c r="M1521" s="14"/>
      <c r="N1521" s="5" t="s">
        <v>25</v>
      </c>
      <c r="O1521" s="5" t="s">
        <v>128</v>
      </c>
      <c r="P1521" s="5">
        <v>0</v>
      </c>
      <c r="Q1521" s="5">
        <v>0</v>
      </c>
      <c r="R1521" s="5" t="s">
        <v>751</v>
      </c>
      <c r="S1521" t="s">
        <v>263</v>
      </c>
    </row>
    <row r="1522" spans="1:19" x14ac:dyDescent="0.3">
      <c r="A1522" s="21">
        <v>303</v>
      </c>
      <c r="B1522" s="5" t="s">
        <v>752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75.757575757576006</v>
      </c>
      <c r="L1522" s="14">
        <f t="shared" ref="L1522:L1553" si="92">IFERROR(IF(OR(J1522=0,K1522=""),"",IF(E1522="Positivo",MIN(MAX(K1522/J1522,0),1.3),MIN(MAX(J1522/K1522,0),1.3))),"")</f>
        <v>0.75757575757576001</v>
      </c>
      <c r="M1522" s="14">
        <f t="shared" ref="M1522:M1553" si="93">IFERROR(IF(OR(J1522=0,K1522=""),"",IF(E1522="Positivo",MAX(K1522/J1522,0),MAX(J1522/K1522,0))),"")</f>
        <v>0.75757575757576001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2578</v>
      </c>
    </row>
    <row r="1523" spans="1:19" x14ac:dyDescent="0.3">
      <c r="A1523" s="21">
        <v>303</v>
      </c>
      <c r="B1523" s="5" t="s">
        <v>752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79.545454545454547</v>
      </c>
      <c r="L1523" s="14">
        <f t="shared" si="92"/>
        <v>0.79545454545454541</v>
      </c>
      <c r="M1523" s="14">
        <f t="shared" si="93"/>
        <v>0.79545454545454541</v>
      </c>
      <c r="N1523" s="5" t="s">
        <v>25</v>
      </c>
      <c r="O1523" s="5" t="s">
        <v>25</v>
      </c>
      <c r="P1523" s="15">
        <v>0</v>
      </c>
      <c r="Q1523" s="15">
        <v>0</v>
      </c>
      <c r="R1523" s="5" t="s">
        <v>754</v>
      </c>
    </row>
    <row r="1524" spans="1:19" x14ac:dyDescent="0.3">
      <c r="A1524" s="21">
        <v>303</v>
      </c>
      <c r="B1524" s="5" t="s">
        <v>752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95</v>
      </c>
      <c r="K1524" s="10">
        <v>100</v>
      </c>
      <c r="L1524" s="14">
        <f t="shared" si="92"/>
        <v>1.0526315789473684</v>
      </c>
      <c r="M1524" s="14">
        <f t="shared" si="93"/>
        <v>1.0526315789473684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2579</v>
      </c>
    </row>
    <row r="1525" spans="1:19" x14ac:dyDescent="0.3">
      <c r="A1525" s="21">
        <v>303</v>
      </c>
      <c r="B1525" s="5" t="s">
        <v>752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95</v>
      </c>
      <c r="K1525" s="10">
        <v>95.652173913043484</v>
      </c>
      <c r="L1525" s="14">
        <f t="shared" si="92"/>
        <v>1.0068649885583525</v>
      </c>
      <c r="M1525" s="14">
        <f t="shared" si="93"/>
        <v>1.0068649885583525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755</v>
      </c>
    </row>
    <row r="1526" spans="1:19" x14ac:dyDescent="0.3">
      <c r="A1526" s="21">
        <v>303</v>
      </c>
      <c r="B1526" s="5" t="s">
        <v>752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95</v>
      </c>
      <c r="K1526" s="10">
        <v>90.32</v>
      </c>
      <c r="L1526" s="14">
        <f t="shared" si="92"/>
        <v>0.9507368421052631</v>
      </c>
      <c r="M1526" s="14">
        <f t="shared" si="93"/>
        <v>0.9507368421052631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2580</v>
      </c>
    </row>
    <row r="1527" spans="1:19" x14ac:dyDescent="0.3">
      <c r="A1527" s="21">
        <v>303</v>
      </c>
      <c r="B1527" s="5" t="s">
        <v>752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95</v>
      </c>
      <c r="K1527" s="10">
        <v>100</v>
      </c>
      <c r="L1527" s="14">
        <f t="shared" si="92"/>
        <v>1.0526315789473684</v>
      </c>
      <c r="M1527" s="14">
        <f t="shared" si="93"/>
        <v>1.0526315789473684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756</v>
      </c>
    </row>
    <row r="1528" spans="1:19" x14ac:dyDescent="0.3">
      <c r="A1528" s="21">
        <v>304</v>
      </c>
      <c r="B1528" s="5" t="s">
        <v>757</v>
      </c>
      <c r="C1528" s="5" t="s">
        <v>753</v>
      </c>
      <c r="D1528" s="5" t="s">
        <v>27</v>
      </c>
      <c r="E1528" s="5" t="s">
        <v>22</v>
      </c>
      <c r="F1528" s="71">
        <v>45107</v>
      </c>
      <c r="G1528" s="5">
        <v>2023</v>
      </c>
      <c r="H1528" s="5" t="s">
        <v>699</v>
      </c>
      <c r="I1528" s="6" t="s">
        <v>1512</v>
      </c>
      <c r="J1528" s="5">
        <v>100</v>
      </c>
      <c r="K1528" s="10">
        <v>189.86</v>
      </c>
      <c r="L1528" s="14">
        <f t="shared" si="92"/>
        <v>1.3</v>
      </c>
      <c r="M1528" s="14">
        <f t="shared" si="93"/>
        <v>1.8986000000000001</v>
      </c>
      <c r="N1528" s="5" t="s">
        <v>128</v>
      </c>
      <c r="O1528" s="5" t="s">
        <v>128</v>
      </c>
      <c r="P1528" s="15">
        <v>0</v>
      </c>
      <c r="Q1528" s="15">
        <v>0</v>
      </c>
      <c r="R1528" s="5" t="s">
        <v>2581</v>
      </c>
    </row>
    <row r="1529" spans="1:19" x14ac:dyDescent="0.3">
      <c r="A1529" s="21">
        <v>304</v>
      </c>
      <c r="B1529" s="5" t="s">
        <v>757</v>
      </c>
      <c r="C1529" s="5" t="s">
        <v>753</v>
      </c>
      <c r="D1529" s="5" t="s">
        <v>27</v>
      </c>
      <c r="E1529" s="5" t="s">
        <v>22</v>
      </c>
      <c r="F1529" s="71">
        <v>45291</v>
      </c>
      <c r="G1529" s="5">
        <v>2023</v>
      </c>
      <c r="H1529" s="5" t="s">
        <v>23</v>
      </c>
      <c r="I1529" s="6" t="s">
        <v>28</v>
      </c>
      <c r="J1529" s="5">
        <v>100</v>
      </c>
      <c r="K1529" s="10">
        <v>176.33</v>
      </c>
      <c r="L1529" s="14">
        <f t="shared" si="92"/>
        <v>1.3</v>
      </c>
      <c r="M1529" s="14">
        <f t="shared" si="93"/>
        <v>1.7633000000000001</v>
      </c>
      <c r="N1529" s="5" t="s">
        <v>128</v>
      </c>
      <c r="O1529" s="5" t="s">
        <v>128</v>
      </c>
      <c r="P1529" s="15">
        <v>0</v>
      </c>
      <c r="Q1529" s="15">
        <v>0</v>
      </c>
      <c r="R1529" s="5" t="s">
        <v>758</v>
      </c>
    </row>
    <row r="1530" spans="1:19" x14ac:dyDescent="0.3">
      <c r="A1530" s="21">
        <v>304</v>
      </c>
      <c r="B1530" s="5" t="s">
        <v>757</v>
      </c>
      <c r="C1530" s="5" t="s">
        <v>753</v>
      </c>
      <c r="D1530" s="5" t="s">
        <v>27</v>
      </c>
      <c r="E1530" s="5" t="s">
        <v>22</v>
      </c>
      <c r="F1530" s="71">
        <v>45473</v>
      </c>
      <c r="G1530" s="5">
        <v>2024</v>
      </c>
      <c r="H1530" s="5" t="s">
        <v>699</v>
      </c>
      <c r="I1530" s="6" t="s">
        <v>729</v>
      </c>
      <c r="J1530" s="5">
        <v>100</v>
      </c>
      <c r="K1530" s="10">
        <v>100.12</v>
      </c>
      <c r="L1530" s="14">
        <f t="shared" si="92"/>
        <v>1.0012000000000001</v>
      </c>
      <c r="M1530" s="14">
        <f t="shared" si="93"/>
        <v>1.0012000000000001</v>
      </c>
      <c r="N1530" s="5" t="s">
        <v>128</v>
      </c>
      <c r="O1530" s="5" t="s">
        <v>128</v>
      </c>
      <c r="P1530" s="15">
        <v>0</v>
      </c>
      <c r="Q1530" s="15">
        <v>0</v>
      </c>
      <c r="R1530" s="5" t="s">
        <v>2582</v>
      </c>
    </row>
    <row r="1531" spans="1:19" x14ac:dyDescent="0.3">
      <c r="A1531" s="21">
        <v>304</v>
      </c>
      <c r="B1531" s="5" t="s">
        <v>757</v>
      </c>
      <c r="C1531" s="5" t="s">
        <v>753</v>
      </c>
      <c r="D1531" s="5" t="s">
        <v>27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83.56</v>
      </c>
      <c r="L1531" s="14">
        <f t="shared" si="92"/>
        <v>0.83560000000000001</v>
      </c>
      <c r="M1531" s="14">
        <f t="shared" si="93"/>
        <v>0.83560000000000001</v>
      </c>
      <c r="N1531" s="5" t="s">
        <v>128</v>
      </c>
      <c r="O1531" s="5" t="s">
        <v>128</v>
      </c>
      <c r="P1531" s="15">
        <v>0</v>
      </c>
      <c r="Q1531" s="15">
        <v>0</v>
      </c>
      <c r="R1531" s="5" t="s">
        <v>759</v>
      </c>
    </row>
    <row r="1532" spans="1:19" x14ac:dyDescent="0.3">
      <c r="A1532" s="21">
        <v>304</v>
      </c>
      <c r="B1532" s="5" t="s">
        <v>757</v>
      </c>
      <c r="C1532" s="5" t="s">
        <v>753</v>
      </c>
      <c r="D1532" s="5" t="s">
        <v>27</v>
      </c>
      <c r="E1532" s="5" t="s">
        <v>22</v>
      </c>
      <c r="F1532" s="71">
        <v>45838</v>
      </c>
      <c r="G1532" s="5">
        <v>2025</v>
      </c>
      <c r="H1532" s="5" t="s">
        <v>699</v>
      </c>
      <c r="I1532" s="6" t="s">
        <v>700</v>
      </c>
      <c r="J1532" s="5">
        <v>100</v>
      </c>
      <c r="K1532" s="10">
        <v>98.47</v>
      </c>
      <c r="L1532" s="14">
        <f t="shared" si="92"/>
        <v>0.98470000000000002</v>
      </c>
      <c r="M1532" s="14">
        <f t="shared" si="93"/>
        <v>0.98470000000000002</v>
      </c>
      <c r="N1532" s="5" t="s">
        <v>128</v>
      </c>
      <c r="O1532" s="5" t="s">
        <v>128</v>
      </c>
      <c r="P1532" s="15">
        <v>0</v>
      </c>
      <c r="Q1532" s="15">
        <v>0</v>
      </c>
      <c r="R1532" s="5" t="s">
        <v>2583</v>
      </c>
    </row>
    <row r="1533" spans="1:19" x14ac:dyDescent="0.3">
      <c r="A1533" s="21">
        <v>304</v>
      </c>
      <c r="B1533" s="5" t="s">
        <v>757</v>
      </c>
      <c r="C1533" s="5" t="s">
        <v>753</v>
      </c>
      <c r="D1533" s="5" t="s">
        <v>21</v>
      </c>
      <c r="E1533" s="5" t="s">
        <v>22</v>
      </c>
      <c r="F1533" s="71">
        <v>46022</v>
      </c>
      <c r="G1533" s="5">
        <v>2025</v>
      </c>
      <c r="H1533" s="5" t="s">
        <v>23</v>
      </c>
      <c r="I1533" s="6" t="s">
        <v>32</v>
      </c>
      <c r="J1533" s="5">
        <v>100</v>
      </c>
      <c r="K1533" s="10">
        <v>116.09</v>
      </c>
      <c r="L1533" s="14">
        <f t="shared" si="92"/>
        <v>1.1609</v>
      </c>
      <c r="M1533" s="14">
        <f t="shared" si="93"/>
        <v>1.1609</v>
      </c>
      <c r="N1533" s="5" t="s">
        <v>128</v>
      </c>
      <c r="O1533" s="5" t="s">
        <v>128</v>
      </c>
      <c r="P1533" s="15">
        <v>0</v>
      </c>
      <c r="Q1533" s="15">
        <v>0</v>
      </c>
      <c r="R1533" s="5" t="s">
        <v>760</v>
      </c>
    </row>
    <row r="1534" spans="1:19" x14ac:dyDescent="0.3">
      <c r="A1534" s="21">
        <v>305</v>
      </c>
      <c r="B1534" s="5" t="s">
        <v>761</v>
      </c>
      <c r="C1534" s="5" t="s">
        <v>753</v>
      </c>
      <c r="D1534" s="5" t="s">
        <v>71</v>
      </c>
      <c r="E1534" s="5" t="s">
        <v>22</v>
      </c>
      <c r="F1534" s="71">
        <v>45291</v>
      </c>
      <c r="G1534" s="5">
        <v>2023</v>
      </c>
      <c r="H1534" s="5" t="s">
        <v>23</v>
      </c>
      <c r="I1534" s="6" t="s">
        <v>28</v>
      </c>
      <c r="J1534" s="5">
        <v>100</v>
      </c>
      <c r="K1534" s="10">
        <v>100</v>
      </c>
      <c r="L1534" s="14">
        <f t="shared" si="92"/>
        <v>1</v>
      </c>
      <c r="M1534" s="14">
        <f t="shared" si="93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762</v>
      </c>
    </row>
    <row r="1535" spans="1:19" x14ac:dyDescent="0.3">
      <c r="A1535" s="21">
        <v>305</v>
      </c>
      <c r="B1535" s="5" t="s">
        <v>761</v>
      </c>
      <c r="C1535" s="5" t="s">
        <v>753</v>
      </c>
      <c r="D1535" s="5" t="s">
        <v>71</v>
      </c>
      <c r="E1535" s="5" t="s">
        <v>22</v>
      </c>
      <c r="F1535" s="71">
        <v>45657</v>
      </c>
      <c r="G1535" s="5">
        <v>2024</v>
      </c>
      <c r="H1535" s="5" t="s">
        <v>23</v>
      </c>
      <c r="I1535" s="6" t="s">
        <v>30</v>
      </c>
      <c r="J1535" s="5">
        <v>100</v>
      </c>
      <c r="K1535" s="10">
        <v>100</v>
      </c>
      <c r="L1535" s="14">
        <f t="shared" si="92"/>
        <v>1</v>
      </c>
      <c r="M1535" s="14">
        <f t="shared" si="93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763</v>
      </c>
    </row>
    <row r="1536" spans="1:19" x14ac:dyDescent="0.3">
      <c r="A1536" s="21">
        <v>306</v>
      </c>
      <c r="B1536" s="5" t="s">
        <v>764</v>
      </c>
      <c r="C1536" s="5" t="s">
        <v>554</v>
      </c>
      <c r="D1536" s="5" t="s">
        <v>27</v>
      </c>
      <c r="E1536" s="5" t="s">
        <v>22</v>
      </c>
      <c r="F1536" s="71">
        <v>45016</v>
      </c>
      <c r="G1536" s="5">
        <v>2023</v>
      </c>
      <c r="H1536" s="5" t="s">
        <v>1516</v>
      </c>
      <c r="I1536" s="6" t="s">
        <v>1512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2584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45107</v>
      </c>
      <c r="G1537" s="5">
        <v>2023</v>
      </c>
      <c r="H1537" s="5" t="s">
        <v>699</v>
      </c>
      <c r="I1537" s="6" t="s">
        <v>1512</v>
      </c>
      <c r="J1537" s="5">
        <v>100</v>
      </c>
      <c r="K1537" s="10">
        <v>723</v>
      </c>
      <c r="L1537" s="14">
        <f t="shared" si="92"/>
        <v>1.3</v>
      </c>
      <c r="M1537" s="14">
        <f t="shared" si="93"/>
        <v>7.23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2585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21</v>
      </c>
      <c r="E1538" s="5" t="s">
        <v>22</v>
      </c>
      <c r="F1538" s="71">
        <v>45199</v>
      </c>
      <c r="G1538" s="5">
        <v>2023</v>
      </c>
      <c r="H1538" s="5" t="s">
        <v>162</v>
      </c>
      <c r="I1538" s="6" t="s">
        <v>28</v>
      </c>
      <c r="J1538" s="5">
        <v>100</v>
      </c>
      <c r="K1538" s="10">
        <v>98</v>
      </c>
      <c r="L1538" s="14">
        <f t="shared" si="92"/>
        <v>0.98</v>
      </c>
      <c r="M1538" s="14">
        <f t="shared" si="93"/>
        <v>0.98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2586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21</v>
      </c>
      <c r="E1539" s="5" t="s">
        <v>22</v>
      </c>
      <c r="F1539" s="71">
        <v>45291</v>
      </c>
      <c r="G1539" s="5">
        <v>2023</v>
      </c>
      <c r="H1539" s="5" t="s">
        <v>23</v>
      </c>
      <c r="I1539" s="6" t="s">
        <v>28</v>
      </c>
      <c r="J1539" s="5">
        <v>100</v>
      </c>
      <c r="K1539" s="10">
        <v>626</v>
      </c>
      <c r="L1539" s="14">
        <f t="shared" si="92"/>
        <v>1.3</v>
      </c>
      <c r="M1539" s="14">
        <f t="shared" si="93"/>
        <v>6.26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765</v>
      </c>
    </row>
    <row r="1540" spans="1:18" x14ac:dyDescent="0.3">
      <c r="A1540" s="21">
        <v>306</v>
      </c>
      <c r="B1540" s="5" t="s">
        <v>764</v>
      </c>
      <c r="C1540" s="5" t="s">
        <v>554</v>
      </c>
      <c r="D1540" s="5" t="s">
        <v>21</v>
      </c>
      <c r="E1540" s="5" t="s">
        <v>22</v>
      </c>
      <c r="F1540" s="71">
        <v>45382</v>
      </c>
      <c r="G1540" s="5">
        <v>2024</v>
      </c>
      <c r="H1540" s="5" t="s">
        <v>1516</v>
      </c>
      <c r="I1540" s="6" t="s">
        <v>729</v>
      </c>
      <c r="J1540" s="5">
        <v>100</v>
      </c>
      <c r="K1540" s="10">
        <v>0</v>
      </c>
      <c r="L1540" s="14">
        <f t="shared" si="92"/>
        <v>0</v>
      </c>
      <c r="M1540" s="14">
        <f t="shared" si="93"/>
        <v>0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2587</v>
      </c>
    </row>
    <row r="1541" spans="1:18" x14ac:dyDescent="0.3">
      <c r="A1541" s="21">
        <v>306</v>
      </c>
      <c r="B1541" s="5" t="s">
        <v>764</v>
      </c>
      <c r="C1541" s="5" t="s">
        <v>554</v>
      </c>
      <c r="D1541" s="5" t="s">
        <v>21</v>
      </c>
      <c r="E1541" s="5" t="s">
        <v>22</v>
      </c>
      <c r="F1541" s="71">
        <v>45473</v>
      </c>
      <c r="G1541" s="5">
        <v>2024</v>
      </c>
      <c r="H1541" s="5" t="s">
        <v>699</v>
      </c>
      <c r="I1541" s="6" t="s">
        <v>729</v>
      </c>
      <c r="J1541" s="5">
        <v>100</v>
      </c>
      <c r="K1541" s="10">
        <v>601</v>
      </c>
      <c r="L1541" s="14">
        <f t="shared" si="92"/>
        <v>1.3</v>
      </c>
      <c r="M1541" s="14">
        <f t="shared" si="93"/>
        <v>6.01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2588</v>
      </c>
    </row>
    <row r="1542" spans="1:18" x14ac:dyDescent="0.3">
      <c r="A1542" s="21">
        <v>306</v>
      </c>
      <c r="B1542" s="5" t="s">
        <v>764</v>
      </c>
      <c r="C1542" s="5" t="s">
        <v>554</v>
      </c>
      <c r="D1542" s="5" t="s">
        <v>21</v>
      </c>
      <c r="E1542" s="5" t="s">
        <v>22</v>
      </c>
      <c r="F1542" s="71">
        <v>45565</v>
      </c>
      <c r="G1542" s="5">
        <v>2024</v>
      </c>
      <c r="H1542" s="5" t="s">
        <v>162</v>
      </c>
      <c r="I1542" s="6" t="s">
        <v>30</v>
      </c>
      <c r="J1542" s="5">
        <v>100</v>
      </c>
      <c r="K1542" s="10">
        <v>0</v>
      </c>
      <c r="L1542" s="14">
        <f t="shared" si="92"/>
        <v>0</v>
      </c>
      <c r="M1542" s="14">
        <f t="shared" si="93"/>
        <v>0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2589</v>
      </c>
    </row>
    <row r="1543" spans="1:18" x14ac:dyDescent="0.3">
      <c r="A1543" s="21">
        <v>306</v>
      </c>
      <c r="B1543" s="5" t="s">
        <v>764</v>
      </c>
      <c r="C1543" s="5" t="s">
        <v>554</v>
      </c>
      <c r="D1543" s="5" t="s">
        <v>21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101</v>
      </c>
      <c r="L1543" s="14">
        <f t="shared" si="92"/>
        <v>1.01</v>
      </c>
      <c r="M1543" s="14">
        <f t="shared" si="93"/>
        <v>1.01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766</v>
      </c>
    </row>
    <row r="1544" spans="1:18" x14ac:dyDescent="0.3">
      <c r="A1544" s="21">
        <v>306</v>
      </c>
      <c r="B1544" s="5" t="s">
        <v>764</v>
      </c>
      <c r="C1544" s="5" t="s">
        <v>554</v>
      </c>
      <c r="D1544" s="5" t="s">
        <v>27</v>
      </c>
      <c r="E1544" s="5" t="s">
        <v>22</v>
      </c>
      <c r="F1544" s="71">
        <v>45838</v>
      </c>
      <c r="G1544" s="5">
        <v>2025</v>
      </c>
      <c r="H1544" s="5" t="s">
        <v>699</v>
      </c>
      <c r="I1544" s="6" t="s">
        <v>700</v>
      </c>
      <c r="J1544" s="5">
        <v>100</v>
      </c>
      <c r="K1544" s="10">
        <v>108.67</v>
      </c>
      <c r="L1544" s="14">
        <f t="shared" si="92"/>
        <v>1.0867</v>
      </c>
      <c r="M1544" s="14">
        <f t="shared" si="93"/>
        <v>1.0867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2590</v>
      </c>
    </row>
    <row r="1545" spans="1:18" x14ac:dyDescent="0.3">
      <c r="A1545" s="21">
        <v>306</v>
      </c>
      <c r="B1545" s="5" t="s">
        <v>764</v>
      </c>
      <c r="C1545" s="5" t="s">
        <v>554</v>
      </c>
      <c r="D1545" s="5" t="s">
        <v>27</v>
      </c>
      <c r="E1545" s="5" t="s">
        <v>22</v>
      </c>
      <c r="F1545" s="71">
        <v>45930</v>
      </c>
      <c r="G1545" s="5">
        <v>2025</v>
      </c>
      <c r="H1545" s="5" t="s">
        <v>162</v>
      </c>
      <c r="I1545" s="6" t="s">
        <v>32</v>
      </c>
      <c r="J1545" s="5">
        <v>100</v>
      </c>
      <c r="K1545" s="10">
        <v>105.83</v>
      </c>
      <c r="L1545" s="14">
        <f t="shared" si="92"/>
        <v>1.0583</v>
      </c>
      <c r="M1545" s="14">
        <f t="shared" si="93"/>
        <v>1.0583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2591</v>
      </c>
    </row>
    <row r="1546" spans="1:18" x14ac:dyDescent="0.3">
      <c r="A1546" s="21">
        <v>306</v>
      </c>
      <c r="B1546" s="5" t="s">
        <v>764</v>
      </c>
      <c r="C1546" s="5" t="s">
        <v>554</v>
      </c>
      <c r="D1546" s="5" t="s">
        <v>27</v>
      </c>
      <c r="E1546" s="5" t="s">
        <v>22</v>
      </c>
      <c r="F1546" s="71">
        <v>46022</v>
      </c>
      <c r="G1546" s="5">
        <v>2025</v>
      </c>
      <c r="H1546" s="5" t="s">
        <v>23</v>
      </c>
      <c r="I1546" s="6" t="s">
        <v>32</v>
      </c>
      <c r="J1546" s="5">
        <v>100</v>
      </c>
      <c r="K1546" s="10">
        <v>107.62</v>
      </c>
      <c r="L1546" s="14">
        <f t="shared" si="92"/>
        <v>1.0762</v>
      </c>
      <c r="M1546" s="14">
        <f t="shared" si="93"/>
        <v>1.0762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767</v>
      </c>
    </row>
    <row r="1547" spans="1:18" x14ac:dyDescent="0.3">
      <c r="A1547" s="21">
        <v>307</v>
      </c>
      <c r="B1547" s="5" t="s">
        <v>768</v>
      </c>
      <c r="C1547" s="5" t="s">
        <v>246</v>
      </c>
      <c r="D1547" s="5" t="s">
        <v>27</v>
      </c>
      <c r="E1547" s="5" t="s">
        <v>22</v>
      </c>
      <c r="F1547" s="71">
        <v>45107</v>
      </c>
      <c r="G1547" s="5">
        <v>2023</v>
      </c>
      <c r="H1547" s="5" t="s">
        <v>699</v>
      </c>
      <c r="I1547" s="6" t="s">
        <v>1512</v>
      </c>
      <c r="J1547" s="5">
        <v>20</v>
      </c>
      <c r="K1547" s="10">
        <v>25</v>
      </c>
      <c r="L1547" s="14">
        <f t="shared" si="92"/>
        <v>1.25</v>
      </c>
      <c r="M1547" s="14">
        <f t="shared" si="93"/>
        <v>1.25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2592</v>
      </c>
    </row>
    <row r="1548" spans="1:18" x14ac:dyDescent="0.3">
      <c r="A1548" s="21">
        <v>307</v>
      </c>
      <c r="B1548" s="5" t="s">
        <v>768</v>
      </c>
      <c r="C1548" s="5" t="s">
        <v>246</v>
      </c>
      <c r="D1548" s="5" t="s">
        <v>27</v>
      </c>
      <c r="E1548" s="5" t="s">
        <v>22</v>
      </c>
      <c r="F1548" s="71">
        <v>45291</v>
      </c>
      <c r="G1548" s="5">
        <v>2023</v>
      </c>
      <c r="H1548" s="5" t="s">
        <v>23</v>
      </c>
      <c r="I1548" s="6" t="s">
        <v>28</v>
      </c>
      <c r="J1548" s="5">
        <v>26</v>
      </c>
      <c r="K1548" s="10">
        <v>82</v>
      </c>
      <c r="L1548" s="14">
        <f t="shared" si="92"/>
        <v>1.3</v>
      </c>
      <c r="M1548" s="14">
        <f t="shared" si="93"/>
        <v>3.1538461538461537</v>
      </c>
      <c r="N1548" s="5" t="s">
        <v>25</v>
      </c>
      <c r="O1548" s="5" t="s">
        <v>25</v>
      </c>
      <c r="P1548" s="15">
        <v>0</v>
      </c>
      <c r="Q1548" s="15">
        <v>0</v>
      </c>
      <c r="R1548" s="5" t="s">
        <v>769</v>
      </c>
    </row>
    <row r="1549" spans="1:18" x14ac:dyDescent="0.3">
      <c r="A1549" s="21">
        <v>307</v>
      </c>
      <c r="B1549" s="5" t="s">
        <v>768</v>
      </c>
      <c r="C1549" s="5" t="s">
        <v>246</v>
      </c>
      <c r="D1549" s="5" t="s">
        <v>27</v>
      </c>
      <c r="E1549" s="5" t="s">
        <v>22</v>
      </c>
      <c r="F1549" s="71">
        <v>45473</v>
      </c>
      <c r="G1549" s="5">
        <v>2024</v>
      </c>
      <c r="H1549" s="5" t="s">
        <v>699</v>
      </c>
      <c r="I1549" s="6" t="s">
        <v>729</v>
      </c>
      <c r="J1549" s="5">
        <v>100</v>
      </c>
      <c r="K1549" s="10">
        <v>112</v>
      </c>
      <c r="L1549" s="14">
        <f t="shared" si="92"/>
        <v>1.1200000000000001</v>
      </c>
      <c r="M1549" s="14">
        <f t="shared" si="93"/>
        <v>1.1200000000000001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2593</v>
      </c>
    </row>
    <row r="1550" spans="1:18" x14ac:dyDescent="0.3">
      <c r="A1550" s="21">
        <v>307</v>
      </c>
      <c r="B1550" s="5" t="s">
        <v>768</v>
      </c>
      <c r="C1550" s="5" t="s">
        <v>246</v>
      </c>
      <c r="D1550" s="5" t="s">
        <v>27</v>
      </c>
      <c r="E1550" s="5" t="s">
        <v>22</v>
      </c>
      <c r="F1550" s="71">
        <v>45657</v>
      </c>
      <c r="G1550" s="5">
        <v>2024</v>
      </c>
      <c r="H1550" s="5" t="s">
        <v>23</v>
      </c>
      <c r="I1550" s="6" t="s">
        <v>30</v>
      </c>
      <c r="J1550" s="5">
        <v>100</v>
      </c>
      <c r="K1550" s="10">
        <v>413.33</v>
      </c>
      <c r="L1550" s="14">
        <f t="shared" si="92"/>
        <v>1.3</v>
      </c>
      <c r="M1550" s="14">
        <f t="shared" si="93"/>
        <v>4.1333000000000002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770</v>
      </c>
    </row>
    <row r="1551" spans="1:18" x14ac:dyDescent="0.3">
      <c r="A1551" s="21">
        <v>308</v>
      </c>
      <c r="B1551" s="5" t="s">
        <v>771</v>
      </c>
      <c r="C1551" s="5" t="s">
        <v>246</v>
      </c>
      <c r="D1551" s="5" t="s">
        <v>27</v>
      </c>
      <c r="E1551" s="5" t="s">
        <v>22</v>
      </c>
      <c r="F1551" s="71">
        <v>45107</v>
      </c>
      <c r="G1551" s="5">
        <v>2023</v>
      </c>
      <c r="H1551" s="5" t="s">
        <v>699</v>
      </c>
      <c r="I1551" s="6" t="s">
        <v>1512</v>
      </c>
      <c r="J1551" s="5">
        <v>12</v>
      </c>
      <c r="K1551" s="10">
        <v>27</v>
      </c>
      <c r="L1551" s="14">
        <f t="shared" si="92"/>
        <v>1.3</v>
      </c>
      <c r="M1551" s="14">
        <f t="shared" si="93"/>
        <v>2.25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2594</v>
      </c>
    </row>
    <row r="1552" spans="1:18" x14ac:dyDescent="0.3">
      <c r="A1552" s="21">
        <v>308</v>
      </c>
      <c r="B1552" s="5" t="s">
        <v>771</v>
      </c>
      <c r="C1552" s="5" t="s">
        <v>246</v>
      </c>
      <c r="D1552" s="5" t="s">
        <v>27</v>
      </c>
      <c r="E1552" s="5" t="s">
        <v>22</v>
      </c>
      <c r="F1552" s="71">
        <v>45291</v>
      </c>
      <c r="G1552" s="5">
        <v>2023</v>
      </c>
      <c r="H1552" s="5" t="s">
        <v>23</v>
      </c>
      <c r="I1552" s="6" t="s">
        <v>28</v>
      </c>
      <c r="J1552" s="5">
        <v>20</v>
      </c>
      <c r="K1552" s="10">
        <v>54</v>
      </c>
      <c r="L1552" s="14">
        <f t="shared" si="92"/>
        <v>1.3</v>
      </c>
      <c r="M1552" s="14">
        <f t="shared" si="93"/>
        <v>2.7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772</v>
      </c>
    </row>
    <row r="1553" spans="1:18" x14ac:dyDescent="0.3">
      <c r="A1553" s="21">
        <v>308</v>
      </c>
      <c r="B1553" s="5" t="s">
        <v>771</v>
      </c>
      <c r="C1553" s="5" t="s">
        <v>246</v>
      </c>
      <c r="D1553" s="5" t="s">
        <v>27</v>
      </c>
      <c r="E1553" s="5" t="s">
        <v>22</v>
      </c>
      <c r="F1553" s="71">
        <v>45473</v>
      </c>
      <c r="G1553" s="5">
        <v>2024</v>
      </c>
      <c r="H1553" s="5" t="s">
        <v>699</v>
      </c>
      <c r="I1553" s="6" t="s">
        <v>729</v>
      </c>
      <c r="J1553" s="5">
        <v>100</v>
      </c>
      <c r="K1553" s="10">
        <v>100</v>
      </c>
      <c r="L1553" s="14">
        <f t="shared" si="92"/>
        <v>1</v>
      </c>
      <c r="M1553" s="14">
        <f t="shared" si="93"/>
        <v>1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2595</v>
      </c>
    </row>
    <row r="1554" spans="1:18" x14ac:dyDescent="0.3">
      <c r="A1554" s="21">
        <v>308</v>
      </c>
      <c r="B1554" s="5" t="s">
        <v>771</v>
      </c>
      <c r="C1554" s="5" t="s">
        <v>246</v>
      </c>
      <c r="D1554" s="5" t="s">
        <v>27</v>
      </c>
      <c r="E1554" s="5" t="s">
        <v>22</v>
      </c>
      <c r="F1554" s="71">
        <v>45657</v>
      </c>
      <c r="G1554" s="5">
        <v>2024</v>
      </c>
      <c r="H1554" s="5" t="s">
        <v>23</v>
      </c>
      <c r="I1554" s="6" t="s">
        <v>30</v>
      </c>
      <c r="J1554" s="5">
        <v>100</v>
      </c>
      <c r="K1554" s="10">
        <v>100</v>
      </c>
      <c r="L1554" s="14">
        <f t="shared" ref="L1554:L1585" si="94">IFERROR(IF(OR(J1554=0,K1554=""),"",IF(E1554="Positivo",MIN(MAX(K1554/J1554,0),1.3),MIN(MAX(J1554/K1554,0),1.3))),"")</f>
        <v>1</v>
      </c>
      <c r="M1554" s="14">
        <f t="shared" ref="M1554:M1585" si="95">IFERROR(IF(OR(J1554=0,K1554=""),"",IF(E1554="Positivo",MAX(K1554/J1554,0),MAX(J1554/K1554,0))),"")</f>
        <v>1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773</v>
      </c>
    </row>
    <row r="1555" spans="1:18" x14ac:dyDescent="0.3">
      <c r="A1555" s="21">
        <v>309</v>
      </c>
      <c r="B1555" s="5" t="s">
        <v>774</v>
      </c>
      <c r="C1555" s="5" t="s">
        <v>246</v>
      </c>
      <c r="D1555" s="5" t="s">
        <v>27</v>
      </c>
      <c r="E1555" s="5" t="s">
        <v>22</v>
      </c>
      <c r="F1555" s="71">
        <v>45107</v>
      </c>
      <c r="G1555" s="5">
        <v>2023</v>
      </c>
      <c r="H1555" s="5" t="s">
        <v>699</v>
      </c>
      <c r="I1555" s="6" t="s">
        <v>1512</v>
      </c>
      <c r="J1555" s="5">
        <v>19</v>
      </c>
      <c r="K1555" s="10">
        <v>27</v>
      </c>
      <c r="L1555" s="14">
        <f t="shared" si="94"/>
        <v>1.3</v>
      </c>
      <c r="M1555" s="14">
        <f t="shared" si="95"/>
        <v>1.4210526315789473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2596</v>
      </c>
    </row>
    <row r="1556" spans="1:18" x14ac:dyDescent="0.3">
      <c r="A1556" s="21">
        <v>309</v>
      </c>
      <c r="B1556" s="5" t="s">
        <v>774</v>
      </c>
      <c r="C1556" s="5" t="s">
        <v>246</v>
      </c>
      <c r="D1556" s="5" t="s">
        <v>27</v>
      </c>
      <c r="E1556" s="5" t="s">
        <v>22</v>
      </c>
      <c r="F1556" s="71">
        <v>45291</v>
      </c>
      <c r="G1556" s="5">
        <v>2023</v>
      </c>
      <c r="H1556" s="5" t="s">
        <v>23</v>
      </c>
      <c r="I1556" s="6" t="s">
        <v>28</v>
      </c>
      <c r="J1556" s="5">
        <v>45</v>
      </c>
      <c r="K1556" s="9">
        <v>76</v>
      </c>
      <c r="L1556" s="14">
        <f t="shared" si="94"/>
        <v>1.3</v>
      </c>
      <c r="M1556" s="14">
        <f t="shared" si="95"/>
        <v>1.6888888888888889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775</v>
      </c>
    </row>
    <row r="1557" spans="1:18" x14ac:dyDescent="0.3">
      <c r="A1557" s="21">
        <v>309</v>
      </c>
      <c r="B1557" s="5" t="s">
        <v>774</v>
      </c>
      <c r="C1557" s="5" t="s">
        <v>246</v>
      </c>
      <c r="D1557" s="5" t="s">
        <v>27</v>
      </c>
      <c r="E1557" s="5" t="s">
        <v>22</v>
      </c>
      <c r="F1557" s="71">
        <v>45473</v>
      </c>
      <c r="G1557" s="5">
        <v>2024</v>
      </c>
      <c r="H1557" s="5" t="s">
        <v>699</v>
      </c>
      <c r="I1557" s="6" t="s">
        <v>729</v>
      </c>
      <c r="J1557" s="5">
        <v>100</v>
      </c>
      <c r="K1557" s="53">
        <v>216</v>
      </c>
      <c r="L1557" s="14">
        <f t="shared" si="94"/>
        <v>1.3</v>
      </c>
      <c r="M1557" s="14">
        <f t="shared" si="95"/>
        <v>2.16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2597</v>
      </c>
    </row>
    <row r="1558" spans="1:18" x14ac:dyDescent="0.3">
      <c r="A1558" s="21">
        <v>309</v>
      </c>
      <c r="B1558" s="5" t="s">
        <v>776</v>
      </c>
      <c r="C1558" s="5" t="s">
        <v>246</v>
      </c>
      <c r="D1558" s="5" t="s">
        <v>27</v>
      </c>
      <c r="E1558" s="5" t="s">
        <v>22</v>
      </c>
      <c r="F1558" s="71">
        <v>45657</v>
      </c>
      <c r="G1558" s="5">
        <v>2024</v>
      </c>
      <c r="H1558" s="5" t="s">
        <v>23</v>
      </c>
      <c r="I1558" s="6" t="s">
        <v>30</v>
      </c>
      <c r="J1558" s="5">
        <v>100</v>
      </c>
      <c r="K1558" s="54">
        <v>154.66999999999999</v>
      </c>
      <c r="L1558" s="14">
        <f t="shared" si="94"/>
        <v>1.3</v>
      </c>
      <c r="M1558" s="14">
        <f t="shared" si="95"/>
        <v>1.5467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777</v>
      </c>
    </row>
    <row r="1559" spans="1:18" x14ac:dyDescent="0.3">
      <c r="A1559" s="21">
        <v>310</v>
      </c>
      <c r="B1559" s="5" t="s">
        <v>778</v>
      </c>
      <c r="C1559" s="5" t="s">
        <v>246</v>
      </c>
      <c r="D1559" s="5" t="s">
        <v>27</v>
      </c>
      <c r="E1559" s="5" t="s">
        <v>22</v>
      </c>
      <c r="F1559" s="71">
        <v>45107</v>
      </c>
      <c r="G1559" s="5">
        <v>2023</v>
      </c>
      <c r="H1559" s="5" t="s">
        <v>699</v>
      </c>
      <c r="I1559" s="6" t="s">
        <v>1512</v>
      </c>
      <c r="J1559" s="5">
        <v>14</v>
      </c>
      <c r="K1559" s="53">
        <v>48</v>
      </c>
      <c r="L1559" s="14">
        <f t="shared" si="94"/>
        <v>1.3</v>
      </c>
      <c r="M1559" s="14">
        <f t="shared" si="95"/>
        <v>3.4285714285714284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2598</v>
      </c>
    </row>
    <row r="1560" spans="1:18" x14ac:dyDescent="0.3">
      <c r="A1560" s="21">
        <v>310</v>
      </c>
      <c r="B1560" s="5" t="s">
        <v>778</v>
      </c>
      <c r="C1560" s="5" t="s">
        <v>246</v>
      </c>
      <c r="D1560" s="5" t="s">
        <v>27</v>
      </c>
      <c r="E1560" s="5" t="s">
        <v>22</v>
      </c>
      <c r="F1560" s="71">
        <v>45291</v>
      </c>
      <c r="G1560" s="5">
        <v>2023</v>
      </c>
      <c r="H1560" s="5" t="s">
        <v>23</v>
      </c>
      <c r="I1560" s="6" t="s">
        <v>28</v>
      </c>
      <c r="J1560" s="5">
        <v>70</v>
      </c>
      <c r="K1560" s="53">
        <v>118</v>
      </c>
      <c r="L1560" s="14">
        <f t="shared" si="94"/>
        <v>1.3</v>
      </c>
      <c r="M1560" s="14">
        <f t="shared" si="95"/>
        <v>1.6857142857142857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779</v>
      </c>
    </row>
    <row r="1561" spans="1:18" x14ac:dyDescent="0.3">
      <c r="A1561" s="21">
        <v>310</v>
      </c>
      <c r="B1561" s="5" t="s">
        <v>778</v>
      </c>
      <c r="C1561" s="5" t="s">
        <v>246</v>
      </c>
      <c r="D1561" s="5" t="s">
        <v>27</v>
      </c>
      <c r="E1561" s="5" t="s">
        <v>22</v>
      </c>
      <c r="F1561" s="71">
        <v>45473</v>
      </c>
      <c r="G1561" s="5">
        <v>2024</v>
      </c>
      <c r="H1561" s="5" t="s">
        <v>699</v>
      </c>
      <c r="I1561" s="6" t="s">
        <v>729</v>
      </c>
      <c r="J1561" s="5">
        <v>100</v>
      </c>
      <c r="K1561" s="53">
        <v>95.56</v>
      </c>
      <c r="L1561" s="14">
        <f t="shared" si="94"/>
        <v>0.9556</v>
      </c>
      <c r="M1561" s="14">
        <f t="shared" si="95"/>
        <v>0.9556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2599</v>
      </c>
    </row>
    <row r="1562" spans="1:18" x14ac:dyDescent="0.3">
      <c r="A1562" s="21">
        <v>310</v>
      </c>
      <c r="B1562" s="5" t="s">
        <v>778</v>
      </c>
      <c r="C1562" s="5" t="s">
        <v>246</v>
      </c>
      <c r="D1562" s="5" t="s">
        <v>27</v>
      </c>
      <c r="E1562" s="5" t="s">
        <v>22</v>
      </c>
      <c r="F1562" s="71">
        <v>45657</v>
      </c>
      <c r="G1562" s="5">
        <v>2024</v>
      </c>
      <c r="H1562" s="5" t="s">
        <v>23</v>
      </c>
      <c r="I1562" s="6" t="s">
        <v>30</v>
      </c>
      <c r="J1562" s="5">
        <v>100</v>
      </c>
      <c r="K1562" s="53">
        <v>79.13</v>
      </c>
      <c r="L1562" s="14">
        <f t="shared" si="94"/>
        <v>0.7913</v>
      </c>
      <c r="M1562" s="14">
        <f t="shared" si="95"/>
        <v>0.7913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780</v>
      </c>
    </row>
    <row r="1563" spans="1:18" x14ac:dyDescent="0.3">
      <c r="A1563" s="21">
        <v>311</v>
      </c>
      <c r="B1563" s="5" t="s">
        <v>781</v>
      </c>
      <c r="C1563" s="5" t="s">
        <v>246</v>
      </c>
      <c r="D1563" s="5" t="s">
        <v>27</v>
      </c>
      <c r="E1563" s="5" t="s">
        <v>22</v>
      </c>
      <c r="F1563" s="71">
        <v>45107</v>
      </c>
      <c r="G1563" s="5">
        <v>2023</v>
      </c>
      <c r="H1563" s="5" t="s">
        <v>699</v>
      </c>
      <c r="I1563" s="6" t="s">
        <v>1512</v>
      </c>
      <c r="J1563" s="5">
        <v>22</v>
      </c>
      <c r="K1563" s="10">
        <v>85</v>
      </c>
      <c r="L1563" s="14">
        <f t="shared" si="94"/>
        <v>1.3</v>
      </c>
      <c r="M1563" s="14">
        <f t="shared" si="95"/>
        <v>3.8636363636363638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2600</v>
      </c>
    </row>
    <row r="1564" spans="1:18" x14ac:dyDescent="0.3">
      <c r="A1564" s="21">
        <v>311</v>
      </c>
      <c r="B1564" s="5" t="s">
        <v>781</v>
      </c>
      <c r="C1564" s="5" t="s">
        <v>246</v>
      </c>
      <c r="D1564" s="5" t="s">
        <v>27</v>
      </c>
      <c r="E1564" s="5" t="s">
        <v>22</v>
      </c>
      <c r="F1564" s="71">
        <v>45291</v>
      </c>
      <c r="G1564" s="5">
        <v>2023</v>
      </c>
      <c r="H1564" s="5" t="s">
        <v>23</v>
      </c>
      <c r="I1564" s="6" t="s">
        <v>28</v>
      </c>
      <c r="J1564" s="5">
        <v>245</v>
      </c>
      <c r="K1564" s="10">
        <v>247</v>
      </c>
      <c r="L1564" s="14">
        <f t="shared" si="94"/>
        <v>1.0081632653061225</v>
      </c>
      <c r="M1564" s="14">
        <f t="shared" si="95"/>
        <v>1.0081632653061225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782</v>
      </c>
    </row>
    <row r="1565" spans="1:18" x14ac:dyDescent="0.3">
      <c r="A1565" s="21">
        <v>311</v>
      </c>
      <c r="B1565" s="5" t="s">
        <v>781</v>
      </c>
      <c r="C1565" s="5" t="s">
        <v>246</v>
      </c>
      <c r="D1565" s="5" t="s">
        <v>27</v>
      </c>
      <c r="E1565" s="5" t="s">
        <v>22</v>
      </c>
      <c r="F1565" s="71">
        <v>45473</v>
      </c>
      <c r="G1565" s="5">
        <v>2024</v>
      </c>
      <c r="H1565" s="5" t="s">
        <v>699</v>
      </c>
      <c r="I1565" s="6" t="s">
        <v>729</v>
      </c>
      <c r="J1565" s="5">
        <v>100</v>
      </c>
      <c r="K1565" s="10">
        <v>117.65</v>
      </c>
      <c r="L1565" s="14">
        <f t="shared" si="94"/>
        <v>1.1765000000000001</v>
      </c>
      <c r="M1565" s="14">
        <f t="shared" si="95"/>
        <v>1.1765000000000001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2601</v>
      </c>
    </row>
    <row r="1566" spans="1:18" x14ac:dyDescent="0.3">
      <c r="A1566" s="21">
        <v>311</v>
      </c>
      <c r="B1566" s="5" t="s">
        <v>781</v>
      </c>
      <c r="C1566" s="5" t="s">
        <v>246</v>
      </c>
      <c r="D1566" s="5" t="s">
        <v>27</v>
      </c>
      <c r="E1566" s="5" t="s">
        <v>22</v>
      </c>
      <c r="F1566" s="71">
        <v>45657</v>
      </c>
      <c r="G1566" s="5">
        <v>2024</v>
      </c>
      <c r="H1566" s="5" t="s">
        <v>23</v>
      </c>
      <c r="I1566" s="6" t="s">
        <v>30</v>
      </c>
      <c r="J1566" s="5">
        <v>100</v>
      </c>
      <c r="K1566" s="9">
        <v>67.760000000000005</v>
      </c>
      <c r="L1566" s="14">
        <f t="shared" si="94"/>
        <v>0.67760000000000009</v>
      </c>
      <c r="M1566" s="14">
        <f t="shared" si="95"/>
        <v>0.67760000000000009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783</v>
      </c>
    </row>
    <row r="1567" spans="1:18" x14ac:dyDescent="0.3">
      <c r="A1567" s="21">
        <v>312</v>
      </c>
      <c r="B1567" s="5" t="s">
        <v>784</v>
      </c>
      <c r="C1567" s="5" t="s">
        <v>246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699</v>
      </c>
      <c r="I1567" s="6" t="s">
        <v>1512</v>
      </c>
      <c r="J1567" s="5">
        <v>113</v>
      </c>
      <c r="K1567" s="9">
        <v>125</v>
      </c>
      <c r="L1567" s="14">
        <f t="shared" si="94"/>
        <v>1.1061946902654867</v>
      </c>
      <c r="M1567" s="14">
        <f t="shared" si="95"/>
        <v>1.1061946902654867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2602</v>
      </c>
    </row>
    <row r="1568" spans="1:18" x14ac:dyDescent="0.3">
      <c r="A1568" s="21">
        <v>312</v>
      </c>
      <c r="B1568" s="5" t="s">
        <v>784</v>
      </c>
      <c r="C1568" s="5" t="s">
        <v>246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108</v>
      </c>
      <c r="K1568" s="9">
        <v>118</v>
      </c>
      <c r="L1568" s="14">
        <f t="shared" si="94"/>
        <v>1.0925925925925926</v>
      </c>
      <c r="M1568" s="14">
        <f t="shared" si="95"/>
        <v>1.0925925925925926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785</v>
      </c>
    </row>
    <row r="1569" spans="1:18" x14ac:dyDescent="0.3">
      <c r="A1569" s="21">
        <v>312</v>
      </c>
      <c r="B1569" s="5" t="s">
        <v>784</v>
      </c>
      <c r="C1569" s="5" t="s">
        <v>246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699</v>
      </c>
      <c r="I1569" s="6" t="s">
        <v>729</v>
      </c>
      <c r="J1569" s="5">
        <v>100</v>
      </c>
      <c r="K1569" s="9">
        <v>126</v>
      </c>
      <c r="L1569" s="14">
        <f t="shared" si="94"/>
        <v>1.26</v>
      </c>
      <c r="M1569" s="14">
        <f t="shared" si="95"/>
        <v>1.26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2603</v>
      </c>
    </row>
    <row r="1570" spans="1:18" x14ac:dyDescent="0.3">
      <c r="A1570" s="21">
        <v>312</v>
      </c>
      <c r="B1570" s="5" t="s">
        <v>784</v>
      </c>
      <c r="C1570" s="5" t="s">
        <v>246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9">
        <v>137</v>
      </c>
      <c r="L1570" s="14">
        <f t="shared" si="94"/>
        <v>1.3</v>
      </c>
      <c r="M1570" s="14">
        <f t="shared" si="95"/>
        <v>1.37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786</v>
      </c>
    </row>
    <row r="1571" spans="1:18" x14ac:dyDescent="0.3">
      <c r="A1571" s="21">
        <v>313</v>
      </c>
      <c r="B1571" s="5" t="s">
        <v>787</v>
      </c>
      <c r="C1571" s="5" t="s">
        <v>246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699</v>
      </c>
      <c r="I1571" s="6" t="s">
        <v>1512</v>
      </c>
      <c r="J1571" s="5">
        <v>13</v>
      </c>
      <c r="K1571" s="10">
        <v>13</v>
      </c>
      <c r="L1571" s="14">
        <f t="shared" si="94"/>
        <v>1</v>
      </c>
      <c r="M1571" s="14">
        <f t="shared" si="95"/>
        <v>1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2604</v>
      </c>
    </row>
    <row r="1572" spans="1:18" x14ac:dyDescent="0.3">
      <c r="A1572" s="21">
        <v>313</v>
      </c>
      <c r="B1572" s="5" t="s">
        <v>787</v>
      </c>
      <c r="C1572" s="5" t="s">
        <v>246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15</v>
      </c>
      <c r="K1572" s="9">
        <v>12</v>
      </c>
      <c r="L1572" s="14">
        <f t="shared" si="94"/>
        <v>0.8</v>
      </c>
      <c r="M1572" s="14">
        <f t="shared" si="95"/>
        <v>0.8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788</v>
      </c>
    </row>
    <row r="1573" spans="1:18" x14ac:dyDescent="0.3">
      <c r="A1573" s="21">
        <v>313</v>
      </c>
      <c r="B1573" s="5" t="s">
        <v>787</v>
      </c>
      <c r="C1573" s="5" t="s">
        <v>246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699</v>
      </c>
      <c r="I1573" s="6" t="s">
        <v>729</v>
      </c>
      <c r="J1573" s="5">
        <v>100</v>
      </c>
      <c r="K1573" s="9">
        <v>100</v>
      </c>
      <c r="L1573" s="14">
        <f t="shared" si="94"/>
        <v>1</v>
      </c>
      <c r="M1573" s="14">
        <f t="shared" si="95"/>
        <v>1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2605</v>
      </c>
    </row>
    <row r="1574" spans="1:18" x14ac:dyDescent="0.3">
      <c r="A1574" s="21">
        <v>313</v>
      </c>
      <c r="B1574" s="5" t="s">
        <v>787</v>
      </c>
      <c r="C1574" s="5" t="s">
        <v>246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9">
        <v>100</v>
      </c>
      <c r="L1574" s="14">
        <f t="shared" si="94"/>
        <v>1</v>
      </c>
      <c r="M1574" s="14">
        <f t="shared" si="95"/>
        <v>1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789</v>
      </c>
    </row>
    <row r="1575" spans="1:18" x14ac:dyDescent="0.3">
      <c r="A1575" s="21">
        <v>314</v>
      </c>
      <c r="B1575" s="5" t="s">
        <v>790</v>
      </c>
      <c r="C1575" s="5" t="s">
        <v>246</v>
      </c>
      <c r="D1575" s="5" t="s">
        <v>27</v>
      </c>
      <c r="E1575" s="5" t="s">
        <v>22</v>
      </c>
      <c r="F1575" s="71">
        <v>45107</v>
      </c>
      <c r="G1575" s="5">
        <v>2023</v>
      </c>
      <c r="H1575" s="5" t="s">
        <v>699</v>
      </c>
      <c r="I1575" s="6" t="s">
        <v>1512</v>
      </c>
      <c r="J1575" s="5">
        <v>9</v>
      </c>
      <c r="K1575" s="9">
        <v>13</v>
      </c>
      <c r="L1575" s="14">
        <f t="shared" si="94"/>
        <v>1.3</v>
      </c>
      <c r="M1575" s="14">
        <f t="shared" si="95"/>
        <v>1.4444444444444444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2606</v>
      </c>
    </row>
    <row r="1576" spans="1:18" x14ac:dyDescent="0.3">
      <c r="A1576" s="21">
        <v>314</v>
      </c>
      <c r="B1576" s="5" t="s">
        <v>790</v>
      </c>
      <c r="C1576" s="5" t="s">
        <v>246</v>
      </c>
      <c r="D1576" s="5" t="s">
        <v>27</v>
      </c>
      <c r="E1576" s="5" t="s">
        <v>22</v>
      </c>
      <c r="F1576" s="71">
        <v>45291</v>
      </c>
      <c r="G1576" s="5">
        <v>2023</v>
      </c>
      <c r="H1576" s="5" t="s">
        <v>23</v>
      </c>
      <c r="I1576" s="6" t="s">
        <v>28</v>
      </c>
      <c r="J1576" s="5">
        <v>14</v>
      </c>
      <c r="K1576" s="9">
        <v>16</v>
      </c>
      <c r="L1576" s="14">
        <f t="shared" si="94"/>
        <v>1.1428571428571428</v>
      </c>
      <c r="M1576" s="14">
        <f t="shared" si="95"/>
        <v>1.1428571428571428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791</v>
      </c>
    </row>
    <row r="1577" spans="1:18" x14ac:dyDescent="0.3">
      <c r="A1577" s="21">
        <v>314</v>
      </c>
      <c r="B1577" s="5" t="s">
        <v>790</v>
      </c>
      <c r="C1577" s="5" t="s">
        <v>246</v>
      </c>
      <c r="D1577" s="5" t="s">
        <v>27</v>
      </c>
      <c r="E1577" s="5" t="s">
        <v>22</v>
      </c>
      <c r="F1577" s="71">
        <v>45473</v>
      </c>
      <c r="G1577" s="5">
        <v>2024</v>
      </c>
      <c r="H1577" s="5" t="s">
        <v>699</v>
      </c>
      <c r="I1577" s="6" t="s">
        <v>729</v>
      </c>
      <c r="J1577" s="5">
        <v>100</v>
      </c>
      <c r="K1577" s="10">
        <v>140</v>
      </c>
      <c r="L1577" s="14">
        <f t="shared" si="94"/>
        <v>1.3</v>
      </c>
      <c r="M1577" s="14">
        <f t="shared" si="95"/>
        <v>1.4</v>
      </c>
      <c r="N1577" s="5" t="s">
        <v>128</v>
      </c>
      <c r="O1577" s="5" t="s">
        <v>128</v>
      </c>
      <c r="P1577" s="15">
        <v>0</v>
      </c>
      <c r="Q1577" s="15">
        <v>0</v>
      </c>
      <c r="R1577" s="5" t="s">
        <v>2607</v>
      </c>
    </row>
    <row r="1578" spans="1:18" x14ac:dyDescent="0.3">
      <c r="A1578" s="21">
        <v>314</v>
      </c>
      <c r="B1578" s="5" t="s">
        <v>790</v>
      </c>
      <c r="C1578" s="5" t="s">
        <v>246</v>
      </c>
      <c r="D1578" s="5" t="s">
        <v>27</v>
      </c>
      <c r="E1578" s="5" t="s">
        <v>22</v>
      </c>
      <c r="F1578" s="71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9">
        <v>145</v>
      </c>
      <c r="L1578" s="14">
        <f t="shared" si="94"/>
        <v>1.3</v>
      </c>
      <c r="M1578" s="14">
        <f t="shared" si="95"/>
        <v>1.45</v>
      </c>
      <c r="N1578" s="5" t="s">
        <v>128</v>
      </c>
      <c r="O1578" s="5" t="s">
        <v>128</v>
      </c>
      <c r="P1578" s="15">
        <v>0</v>
      </c>
      <c r="Q1578" s="15">
        <v>0</v>
      </c>
      <c r="R1578" s="5" t="s">
        <v>792</v>
      </c>
    </row>
    <row r="1579" spans="1:18" x14ac:dyDescent="0.3">
      <c r="A1579" s="21">
        <v>315</v>
      </c>
      <c r="B1579" s="5" t="s">
        <v>793</v>
      </c>
      <c r="C1579" s="5" t="s">
        <v>246</v>
      </c>
      <c r="D1579" s="5" t="s">
        <v>27</v>
      </c>
      <c r="E1579" s="5" t="s">
        <v>22</v>
      </c>
      <c r="F1579" s="71">
        <v>45107</v>
      </c>
      <c r="G1579" s="5">
        <v>2023</v>
      </c>
      <c r="H1579" s="5" t="s">
        <v>699</v>
      </c>
      <c r="I1579" s="6" t="s">
        <v>1512</v>
      </c>
      <c r="J1579" s="5">
        <v>5</v>
      </c>
      <c r="K1579" s="9">
        <v>7</v>
      </c>
      <c r="L1579" s="14">
        <f t="shared" si="94"/>
        <v>1.3</v>
      </c>
      <c r="M1579" s="14">
        <f t="shared" si="95"/>
        <v>1.4</v>
      </c>
      <c r="N1579" s="5" t="s">
        <v>128</v>
      </c>
      <c r="O1579" s="5" t="s">
        <v>128</v>
      </c>
      <c r="P1579" s="15">
        <v>0</v>
      </c>
      <c r="Q1579" s="15">
        <v>0</v>
      </c>
      <c r="R1579" s="5" t="s">
        <v>2608</v>
      </c>
    </row>
    <row r="1580" spans="1:18" x14ac:dyDescent="0.3">
      <c r="A1580" s="21">
        <v>316</v>
      </c>
      <c r="B1580" s="5" t="s">
        <v>797</v>
      </c>
      <c r="C1580" s="5" t="s">
        <v>246</v>
      </c>
      <c r="D1580" s="5" t="s">
        <v>27</v>
      </c>
      <c r="E1580" s="5" t="s">
        <v>22</v>
      </c>
      <c r="F1580" s="71">
        <v>45107</v>
      </c>
      <c r="G1580" s="5">
        <v>2023</v>
      </c>
      <c r="H1580" s="5" t="s">
        <v>699</v>
      </c>
      <c r="I1580" s="6" t="s">
        <v>1512</v>
      </c>
      <c r="J1580" s="5">
        <v>9</v>
      </c>
      <c r="K1580" s="9">
        <v>11</v>
      </c>
      <c r="L1580" s="14">
        <f t="shared" si="94"/>
        <v>1.2222222222222223</v>
      </c>
      <c r="M1580" s="14">
        <f t="shared" si="95"/>
        <v>1.2222222222222223</v>
      </c>
      <c r="N1580" s="5" t="s">
        <v>128</v>
      </c>
      <c r="O1580" s="5" t="s">
        <v>128</v>
      </c>
      <c r="P1580" s="15">
        <v>0</v>
      </c>
      <c r="Q1580" s="15">
        <v>0</v>
      </c>
      <c r="R1580" s="5" t="s">
        <v>2609</v>
      </c>
    </row>
    <row r="1581" spans="1:18" x14ac:dyDescent="0.3">
      <c r="A1581" s="21">
        <v>316</v>
      </c>
      <c r="B1581" s="5" t="s">
        <v>797</v>
      </c>
      <c r="C1581" s="5" t="s">
        <v>246</v>
      </c>
      <c r="D1581" s="5" t="s">
        <v>27</v>
      </c>
      <c r="E1581" s="5" t="s">
        <v>22</v>
      </c>
      <c r="F1581" s="71">
        <v>45291</v>
      </c>
      <c r="G1581" s="5">
        <v>2023</v>
      </c>
      <c r="H1581" s="5" t="s">
        <v>23</v>
      </c>
      <c r="I1581" s="6" t="s">
        <v>28</v>
      </c>
      <c r="J1581" s="5">
        <v>12</v>
      </c>
      <c r="K1581" s="9">
        <v>11</v>
      </c>
      <c r="L1581" s="14">
        <f t="shared" si="94"/>
        <v>0.91666666666666663</v>
      </c>
      <c r="M1581" s="14">
        <f t="shared" si="95"/>
        <v>0.91666666666666663</v>
      </c>
      <c r="N1581" s="5" t="s">
        <v>128</v>
      </c>
      <c r="O1581" s="5" t="s">
        <v>128</v>
      </c>
      <c r="P1581" s="15">
        <v>0</v>
      </c>
      <c r="Q1581" s="15">
        <v>0</v>
      </c>
      <c r="R1581" s="5" t="s">
        <v>798</v>
      </c>
    </row>
    <row r="1582" spans="1:18" x14ac:dyDescent="0.3">
      <c r="A1582" s="21">
        <v>317</v>
      </c>
      <c r="B1582" s="5" t="s">
        <v>799</v>
      </c>
      <c r="C1582" s="5" t="s">
        <v>246</v>
      </c>
      <c r="D1582" s="5" t="s">
        <v>71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12</v>
      </c>
      <c r="K1582" s="12">
        <v>12</v>
      </c>
      <c r="L1582" s="14">
        <f t="shared" si="94"/>
        <v>1</v>
      </c>
      <c r="M1582" s="14">
        <f t="shared" si="95"/>
        <v>1</v>
      </c>
      <c r="N1582" s="5" t="s">
        <v>128</v>
      </c>
      <c r="O1582" s="5" t="s">
        <v>128</v>
      </c>
      <c r="P1582" s="15">
        <v>0</v>
      </c>
      <c r="Q1582" s="15">
        <v>0</v>
      </c>
      <c r="R1582" s="5" t="s">
        <v>800</v>
      </c>
    </row>
    <row r="1583" spans="1:18" x14ac:dyDescent="0.3">
      <c r="A1583" s="21">
        <v>317</v>
      </c>
      <c r="B1583" s="5" t="s">
        <v>799</v>
      </c>
      <c r="C1583" s="5" t="s">
        <v>246</v>
      </c>
      <c r="D1583" s="5" t="s">
        <v>71</v>
      </c>
      <c r="E1583" s="5" t="s">
        <v>22</v>
      </c>
      <c r="F1583" s="79">
        <v>45657</v>
      </c>
      <c r="G1583" s="5">
        <v>2024</v>
      </c>
      <c r="H1583" s="5" t="s">
        <v>23</v>
      </c>
      <c r="I1583" s="6" t="s">
        <v>30</v>
      </c>
      <c r="J1583" s="5">
        <v>100</v>
      </c>
      <c r="K1583" s="12">
        <v>100</v>
      </c>
      <c r="L1583" s="14">
        <f t="shared" si="94"/>
        <v>1</v>
      </c>
      <c r="M1583" s="14">
        <f t="shared" si="95"/>
        <v>1</v>
      </c>
      <c r="N1583" s="5"/>
      <c r="O1583" s="5"/>
      <c r="P1583" s="15">
        <v>0</v>
      </c>
      <c r="Q1583" s="15">
        <v>0</v>
      </c>
      <c r="R1583" s="5" t="s">
        <v>801</v>
      </c>
    </row>
    <row r="1584" spans="1:18" x14ac:dyDescent="0.3">
      <c r="A1584" s="21">
        <v>318</v>
      </c>
      <c r="B1584" s="5" t="s">
        <v>802</v>
      </c>
      <c r="C1584" s="5" t="s">
        <v>246</v>
      </c>
      <c r="D1584" s="5" t="s">
        <v>27</v>
      </c>
      <c r="E1584" s="5" t="s">
        <v>22</v>
      </c>
      <c r="F1584" s="79">
        <v>45107</v>
      </c>
      <c r="G1584" s="5">
        <v>2023</v>
      </c>
      <c r="H1584" s="5" t="s">
        <v>699</v>
      </c>
      <c r="I1584" s="6" t="s">
        <v>1512</v>
      </c>
      <c r="J1584" s="5">
        <v>80</v>
      </c>
      <c r="K1584" s="12">
        <v>85.981308411214997</v>
      </c>
      <c r="L1584" s="14">
        <f t="shared" si="94"/>
        <v>1.0747663551401874</v>
      </c>
      <c r="M1584" s="14">
        <f t="shared" si="95"/>
        <v>1.0747663551401874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2610</v>
      </c>
    </row>
    <row r="1585" spans="1:18" x14ac:dyDescent="0.3">
      <c r="A1585" s="21">
        <v>318</v>
      </c>
      <c r="B1585" s="5" t="s">
        <v>802</v>
      </c>
      <c r="C1585" s="5" t="s">
        <v>246</v>
      </c>
      <c r="D1585" s="5" t="s">
        <v>27</v>
      </c>
      <c r="E1585" s="5" t="s">
        <v>22</v>
      </c>
      <c r="F1585" s="79">
        <v>45291</v>
      </c>
      <c r="G1585" s="5">
        <v>2023</v>
      </c>
      <c r="H1585" s="5" t="s">
        <v>23</v>
      </c>
      <c r="I1585" s="6" t="s">
        <v>28</v>
      </c>
      <c r="J1585" s="5">
        <v>80</v>
      </c>
      <c r="K1585" s="12">
        <v>90.909090909090907</v>
      </c>
      <c r="L1585" s="14">
        <f t="shared" si="94"/>
        <v>1.1363636363636362</v>
      </c>
      <c r="M1585" s="14">
        <f t="shared" si="95"/>
        <v>1.1363636363636362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803</v>
      </c>
    </row>
    <row r="1586" spans="1:18" x14ac:dyDescent="0.3">
      <c r="A1586" s="21">
        <v>318</v>
      </c>
      <c r="B1586" s="5" t="s">
        <v>804</v>
      </c>
      <c r="C1586" s="5" t="s">
        <v>246</v>
      </c>
      <c r="D1586" s="5" t="s">
        <v>71</v>
      </c>
      <c r="E1586" s="5" t="s">
        <v>22</v>
      </c>
      <c r="F1586" s="79">
        <v>45657</v>
      </c>
      <c r="G1586" s="5">
        <v>2024</v>
      </c>
      <c r="H1586" s="5" t="s">
        <v>23</v>
      </c>
      <c r="I1586" s="6" t="s">
        <v>30</v>
      </c>
      <c r="J1586" s="5">
        <v>80</v>
      </c>
      <c r="K1586" s="12">
        <v>90.28</v>
      </c>
      <c r="L1586" s="14">
        <f t="shared" ref="L1586:L1616" si="96">IFERROR(IF(OR(J1586=0,K1586=""),"",IF(E1586="Positivo",MIN(MAX(K1586/J1586,0),1.3),MIN(MAX(J1586/K1586,0),1.3))),"")</f>
        <v>1.1285000000000001</v>
      </c>
      <c r="M1586" s="14">
        <f t="shared" ref="M1586:M1616" si="97">IFERROR(IF(OR(J1586=0,K1586=""),"",IF(E1586="Positivo",MAX(K1586/J1586,0),MAX(J1586/K1586,0))),"")</f>
        <v>1.1285000000000001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805</v>
      </c>
    </row>
    <row r="1587" spans="1:18" x14ac:dyDescent="0.3">
      <c r="A1587" s="21">
        <v>318</v>
      </c>
      <c r="B1587" s="5" t="s">
        <v>804</v>
      </c>
      <c r="C1587" s="5" t="s">
        <v>246</v>
      </c>
      <c r="D1587" s="5" t="s">
        <v>71</v>
      </c>
      <c r="E1587" s="5" t="s">
        <v>22</v>
      </c>
      <c r="F1587" s="79">
        <v>46022</v>
      </c>
      <c r="G1587" s="5">
        <v>2025</v>
      </c>
      <c r="H1587" s="5" t="s">
        <v>23</v>
      </c>
      <c r="I1587" s="6" t="s">
        <v>32</v>
      </c>
      <c r="J1587" s="5">
        <v>85</v>
      </c>
      <c r="K1587" s="5">
        <v>86.16</v>
      </c>
      <c r="L1587" s="14">
        <f t="shared" si="96"/>
        <v>1.0136470588235293</v>
      </c>
      <c r="M1587" s="14">
        <f t="shared" si="97"/>
        <v>1.0136470588235293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806</v>
      </c>
    </row>
    <row r="1588" spans="1:18" x14ac:dyDescent="0.3">
      <c r="A1588" s="21">
        <v>319</v>
      </c>
      <c r="B1588" s="5" t="s">
        <v>807</v>
      </c>
      <c r="C1588" s="5" t="s">
        <v>246</v>
      </c>
      <c r="D1588" s="5" t="s">
        <v>27</v>
      </c>
      <c r="E1588" s="5" t="s">
        <v>22</v>
      </c>
      <c r="F1588" s="79">
        <v>45107</v>
      </c>
      <c r="G1588" s="5">
        <v>2023</v>
      </c>
      <c r="H1588" s="5" t="s">
        <v>699</v>
      </c>
      <c r="I1588" s="6" t="s">
        <v>1512</v>
      </c>
      <c r="J1588" s="5">
        <v>100</v>
      </c>
      <c r="K1588" s="9">
        <v>80</v>
      </c>
      <c r="L1588" s="14">
        <f t="shared" si="96"/>
        <v>0.8</v>
      </c>
      <c r="M1588" s="14">
        <f t="shared" si="97"/>
        <v>0.8</v>
      </c>
      <c r="N1588" s="5" t="s">
        <v>25</v>
      </c>
      <c r="O1588" s="5" t="s">
        <v>25</v>
      </c>
      <c r="P1588" s="15">
        <v>0</v>
      </c>
      <c r="Q1588" s="15">
        <v>0</v>
      </c>
      <c r="R1588" s="5" t="s">
        <v>2611</v>
      </c>
    </row>
    <row r="1589" spans="1:18" x14ac:dyDescent="0.3">
      <c r="A1589" s="21">
        <v>319</v>
      </c>
      <c r="B1589" s="5" t="s">
        <v>807</v>
      </c>
      <c r="C1589" s="5" t="s">
        <v>246</v>
      </c>
      <c r="D1589" s="5" t="s">
        <v>27</v>
      </c>
      <c r="E1589" s="5" t="s">
        <v>22</v>
      </c>
      <c r="F1589" s="79">
        <v>45291</v>
      </c>
      <c r="G1589" s="5">
        <v>2023</v>
      </c>
      <c r="H1589" s="5" t="s">
        <v>23</v>
      </c>
      <c r="I1589" s="6" t="s">
        <v>28</v>
      </c>
      <c r="J1589" s="5">
        <v>100</v>
      </c>
      <c r="K1589" s="9">
        <v>100</v>
      </c>
      <c r="L1589" s="14">
        <f t="shared" si="96"/>
        <v>1</v>
      </c>
      <c r="M1589" s="14">
        <f t="shared" si="97"/>
        <v>1</v>
      </c>
      <c r="N1589" s="5" t="s">
        <v>25</v>
      </c>
      <c r="O1589" s="5" t="s">
        <v>25</v>
      </c>
      <c r="P1589" s="15">
        <v>0</v>
      </c>
      <c r="Q1589" s="15">
        <v>0</v>
      </c>
      <c r="R1589" s="5" t="s">
        <v>808</v>
      </c>
    </row>
    <row r="1590" spans="1:18" x14ac:dyDescent="0.3">
      <c r="A1590" s="21">
        <v>319</v>
      </c>
      <c r="B1590" s="5" t="s">
        <v>807</v>
      </c>
      <c r="C1590" s="5" t="s">
        <v>246</v>
      </c>
      <c r="D1590" s="5" t="s">
        <v>27</v>
      </c>
      <c r="E1590" s="5" t="s">
        <v>22</v>
      </c>
      <c r="F1590" s="79">
        <v>45473</v>
      </c>
      <c r="G1590" s="5">
        <v>2024</v>
      </c>
      <c r="H1590" s="5" t="s">
        <v>699</v>
      </c>
      <c r="I1590" s="6" t="s">
        <v>729</v>
      </c>
      <c r="J1590" s="5">
        <v>100</v>
      </c>
      <c r="K1590" s="9">
        <v>100</v>
      </c>
      <c r="L1590" s="14">
        <f t="shared" si="96"/>
        <v>1</v>
      </c>
      <c r="M1590" s="14">
        <f t="shared" si="97"/>
        <v>1</v>
      </c>
      <c r="N1590" s="5" t="s">
        <v>25</v>
      </c>
      <c r="O1590" s="5" t="s">
        <v>25</v>
      </c>
      <c r="P1590" s="15">
        <v>0</v>
      </c>
      <c r="Q1590" s="15">
        <v>0</v>
      </c>
      <c r="R1590" s="5" t="s">
        <v>2612</v>
      </c>
    </row>
    <row r="1591" spans="1:18" x14ac:dyDescent="0.3">
      <c r="A1591" s="21">
        <v>319</v>
      </c>
      <c r="B1591" s="5" t="s">
        <v>807</v>
      </c>
      <c r="C1591" s="5" t="s">
        <v>246</v>
      </c>
      <c r="D1591" s="5" t="s">
        <v>27</v>
      </c>
      <c r="E1591" s="5" t="s">
        <v>22</v>
      </c>
      <c r="F1591" s="79">
        <v>45657</v>
      </c>
      <c r="G1591" s="5">
        <v>2024</v>
      </c>
      <c r="H1591" s="5" t="s">
        <v>23</v>
      </c>
      <c r="I1591" s="6" t="s">
        <v>30</v>
      </c>
      <c r="J1591" s="5">
        <v>100</v>
      </c>
      <c r="K1591" s="9">
        <v>100</v>
      </c>
      <c r="L1591" s="14">
        <f t="shared" si="96"/>
        <v>1</v>
      </c>
      <c r="M1591" s="14">
        <f t="shared" si="97"/>
        <v>1</v>
      </c>
      <c r="N1591" s="5" t="s">
        <v>25</v>
      </c>
      <c r="O1591" s="5" t="s">
        <v>25</v>
      </c>
      <c r="P1591" s="15">
        <v>0</v>
      </c>
      <c r="Q1591" s="15">
        <v>0</v>
      </c>
      <c r="R1591" s="5" t="s">
        <v>809</v>
      </c>
    </row>
    <row r="1592" spans="1:18" x14ac:dyDescent="0.3">
      <c r="A1592" s="21">
        <v>320</v>
      </c>
      <c r="B1592" s="5" t="s">
        <v>810</v>
      </c>
      <c r="C1592" s="5" t="s">
        <v>246</v>
      </c>
      <c r="D1592" s="5" t="s">
        <v>27</v>
      </c>
      <c r="E1592" s="5" t="s">
        <v>22</v>
      </c>
      <c r="F1592" s="71">
        <v>45107</v>
      </c>
      <c r="G1592" s="5">
        <v>2023</v>
      </c>
      <c r="H1592" s="5" t="s">
        <v>699</v>
      </c>
      <c r="I1592" s="6" t="s">
        <v>1512</v>
      </c>
      <c r="J1592" s="5">
        <v>26</v>
      </c>
      <c r="K1592" s="5">
        <v>12</v>
      </c>
      <c r="L1592" s="14">
        <f t="shared" si="96"/>
        <v>0.46153846153846156</v>
      </c>
      <c r="M1592" s="14">
        <f t="shared" si="97"/>
        <v>0.46153846153846156</v>
      </c>
      <c r="N1592" s="5" t="s">
        <v>25</v>
      </c>
      <c r="O1592" s="5" t="s">
        <v>25</v>
      </c>
      <c r="P1592" s="15">
        <v>0</v>
      </c>
      <c r="Q1592" s="15">
        <v>0</v>
      </c>
      <c r="R1592" s="5" t="s">
        <v>2613</v>
      </c>
    </row>
    <row r="1593" spans="1:18" x14ac:dyDescent="0.3">
      <c r="A1593" s="21">
        <v>320</v>
      </c>
      <c r="B1593" s="5" t="s">
        <v>810</v>
      </c>
      <c r="C1593" s="5" t="s">
        <v>246</v>
      </c>
      <c r="D1593" s="5" t="s">
        <v>27</v>
      </c>
      <c r="E1593" s="5" t="s">
        <v>22</v>
      </c>
      <c r="F1593" s="71">
        <v>45291</v>
      </c>
      <c r="G1593" s="5">
        <v>2023</v>
      </c>
      <c r="H1593" s="5" t="s">
        <v>23</v>
      </c>
      <c r="I1593" s="6" t="s">
        <v>28</v>
      </c>
      <c r="J1593" s="5">
        <v>15</v>
      </c>
      <c r="K1593" s="5">
        <v>17</v>
      </c>
      <c r="L1593" s="14">
        <f t="shared" si="96"/>
        <v>1.1333333333333333</v>
      </c>
      <c r="M1593" s="14">
        <f t="shared" si="97"/>
        <v>1.1333333333333333</v>
      </c>
      <c r="N1593" s="5" t="s">
        <v>25</v>
      </c>
      <c r="O1593" s="5" t="s">
        <v>25</v>
      </c>
      <c r="P1593" s="15">
        <v>0</v>
      </c>
      <c r="Q1593" s="15">
        <v>0</v>
      </c>
      <c r="R1593" s="5" t="s">
        <v>811</v>
      </c>
    </row>
    <row r="1594" spans="1:18" x14ac:dyDescent="0.3">
      <c r="A1594" s="21">
        <v>320</v>
      </c>
      <c r="B1594" s="5" t="s">
        <v>812</v>
      </c>
      <c r="C1594" s="5" t="s">
        <v>246</v>
      </c>
      <c r="D1594" s="5" t="s">
        <v>27</v>
      </c>
      <c r="E1594" s="5" t="s">
        <v>22</v>
      </c>
      <c r="F1594" s="71">
        <v>45473</v>
      </c>
      <c r="G1594" s="5">
        <v>2024</v>
      </c>
      <c r="H1594" s="5" t="s">
        <v>699</v>
      </c>
      <c r="I1594" s="6" t="s">
        <v>729</v>
      </c>
      <c r="J1594" s="5">
        <v>100</v>
      </c>
      <c r="K1594" s="5">
        <v>140</v>
      </c>
      <c r="L1594" s="14">
        <f t="shared" si="96"/>
        <v>1.3</v>
      </c>
      <c r="M1594" s="14">
        <f t="shared" si="97"/>
        <v>1.4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2614</v>
      </c>
    </row>
    <row r="1595" spans="1:18" x14ac:dyDescent="0.3">
      <c r="A1595" s="21">
        <v>320</v>
      </c>
      <c r="B1595" s="5" t="s">
        <v>812</v>
      </c>
      <c r="C1595" s="5" t="s">
        <v>246</v>
      </c>
      <c r="D1595" s="5" t="s">
        <v>27</v>
      </c>
      <c r="E1595" s="5" t="s">
        <v>22</v>
      </c>
      <c r="F1595" s="71">
        <v>45657</v>
      </c>
      <c r="G1595" s="5">
        <v>2024</v>
      </c>
      <c r="H1595" s="5" t="s">
        <v>23</v>
      </c>
      <c r="I1595" s="6" t="s">
        <v>30</v>
      </c>
      <c r="J1595" s="5">
        <v>100</v>
      </c>
      <c r="K1595" s="5">
        <v>115</v>
      </c>
      <c r="L1595" s="14">
        <f t="shared" si="96"/>
        <v>1.1499999999999999</v>
      </c>
      <c r="M1595" s="14">
        <f t="shared" si="97"/>
        <v>1.1499999999999999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813</v>
      </c>
    </row>
    <row r="1596" spans="1:18" x14ac:dyDescent="0.3">
      <c r="A1596" s="21">
        <v>321</v>
      </c>
      <c r="B1596" s="5" t="s">
        <v>814</v>
      </c>
      <c r="C1596" s="5" t="s">
        <v>246</v>
      </c>
      <c r="D1596" s="5" t="s">
        <v>27</v>
      </c>
      <c r="E1596" s="5" t="s">
        <v>22</v>
      </c>
      <c r="F1596" s="71">
        <v>45107</v>
      </c>
      <c r="G1596" s="5">
        <v>2023</v>
      </c>
      <c r="H1596" s="5" t="s">
        <v>699</v>
      </c>
      <c r="I1596" s="6" t="s">
        <v>1512</v>
      </c>
      <c r="J1596" s="5">
        <v>180</v>
      </c>
      <c r="K1596" s="5">
        <v>236</v>
      </c>
      <c r="L1596" s="14">
        <f t="shared" si="96"/>
        <v>1.3</v>
      </c>
      <c r="M1596" s="14">
        <f t="shared" si="97"/>
        <v>1.3111111111111111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2615</v>
      </c>
    </row>
    <row r="1597" spans="1:18" x14ac:dyDescent="0.3">
      <c r="A1597" s="21">
        <v>321</v>
      </c>
      <c r="B1597" s="5" t="s">
        <v>814</v>
      </c>
      <c r="C1597" s="5" t="s">
        <v>246</v>
      </c>
      <c r="D1597" s="5" t="s">
        <v>27</v>
      </c>
      <c r="E1597" s="5" t="s">
        <v>22</v>
      </c>
      <c r="F1597" s="71">
        <v>45291</v>
      </c>
      <c r="G1597" s="5">
        <v>2023</v>
      </c>
      <c r="H1597" s="5" t="s">
        <v>23</v>
      </c>
      <c r="I1597" s="6" t="s">
        <v>28</v>
      </c>
      <c r="J1597" s="5">
        <v>180</v>
      </c>
      <c r="K1597" s="5">
        <v>231</v>
      </c>
      <c r="L1597" s="14">
        <f t="shared" si="96"/>
        <v>1.2833333333333334</v>
      </c>
      <c r="M1597" s="14">
        <f t="shared" si="97"/>
        <v>1.2833333333333334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815</v>
      </c>
    </row>
    <row r="1598" spans="1:18" x14ac:dyDescent="0.3">
      <c r="A1598" s="21">
        <v>321</v>
      </c>
      <c r="B1598" s="5" t="s">
        <v>816</v>
      </c>
      <c r="C1598" s="5" t="s">
        <v>246</v>
      </c>
      <c r="D1598" s="5" t="s">
        <v>27</v>
      </c>
      <c r="E1598" s="5" t="s">
        <v>22</v>
      </c>
      <c r="F1598" s="71">
        <v>45473</v>
      </c>
      <c r="G1598" s="5">
        <v>2024</v>
      </c>
      <c r="H1598" s="5" t="s">
        <v>699</v>
      </c>
      <c r="I1598" s="6" t="s">
        <v>729</v>
      </c>
      <c r="J1598" s="5">
        <v>100</v>
      </c>
      <c r="K1598" s="10">
        <v>106.52</v>
      </c>
      <c r="L1598" s="14">
        <f t="shared" si="96"/>
        <v>1.0651999999999999</v>
      </c>
      <c r="M1598" s="14">
        <f t="shared" si="97"/>
        <v>1.0651999999999999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2616</v>
      </c>
    </row>
    <row r="1599" spans="1:18" x14ac:dyDescent="0.3">
      <c r="A1599" s="21">
        <v>321</v>
      </c>
      <c r="B1599" s="5" t="s">
        <v>816</v>
      </c>
      <c r="C1599" s="5" t="s">
        <v>246</v>
      </c>
      <c r="D1599" s="5" t="s">
        <v>27</v>
      </c>
      <c r="E1599" s="5" t="s">
        <v>22</v>
      </c>
      <c r="F1599" s="71">
        <v>45657</v>
      </c>
      <c r="G1599" s="5">
        <v>2024</v>
      </c>
      <c r="H1599" s="5" t="s">
        <v>23</v>
      </c>
      <c r="I1599" s="6" t="s">
        <v>30</v>
      </c>
      <c r="J1599" s="5">
        <v>100</v>
      </c>
      <c r="K1599" s="10">
        <v>502.17</v>
      </c>
      <c r="L1599" s="14">
        <f t="shared" si="96"/>
        <v>1.3</v>
      </c>
      <c r="M1599" s="14">
        <f t="shared" si="97"/>
        <v>5.0217000000000001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817</v>
      </c>
    </row>
    <row r="1600" spans="1:18" x14ac:dyDescent="0.3">
      <c r="A1600" s="21">
        <v>323</v>
      </c>
      <c r="B1600" s="5" t="s">
        <v>818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5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2617</v>
      </c>
    </row>
    <row r="1601" spans="1:18" x14ac:dyDescent="0.3">
      <c r="A1601" s="5">
        <v>323</v>
      </c>
      <c r="B1601" s="5" t="s">
        <v>818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5">
        <v>0</v>
      </c>
      <c r="Q1601" s="5">
        <v>0</v>
      </c>
      <c r="R1601" s="5" t="s">
        <v>820</v>
      </c>
    </row>
    <row r="1602" spans="1:18" x14ac:dyDescent="0.3">
      <c r="A1602" s="21">
        <v>323</v>
      </c>
      <c r="B1602" s="5" t="s">
        <v>818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2618</v>
      </c>
    </row>
    <row r="1603" spans="1:18" x14ac:dyDescent="0.3">
      <c r="A1603" s="21">
        <v>323</v>
      </c>
      <c r="B1603" s="5" t="s">
        <v>818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0</v>
      </c>
      <c r="L1603" s="14">
        <f t="shared" si="96"/>
        <v>0</v>
      </c>
      <c r="M1603" s="14">
        <f t="shared" si="97"/>
        <v>0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821</v>
      </c>
    </row>
    <row r="1604" spans="1:18" x14ac:dyDescent="0.3">
      <c r="A1604" s="26">
        <v>323</v>
      </c>
      <c r="B1604" s="5" t="s">
        <v>818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9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2619</v>
      </c>
    </row>
    <row r="1605" spans="1:18" x14ac:dyDescent="0.3">
      <c r="A1605" s="21">
        <v>323</v>
      </c>
      <c r="B1605" s="5" t="s">
        <v>818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822</v>
      </c>
    </row>
    <row r="1606" spans="1:18" x14ac:dyDescent="0.3">
      <c r="A1606" s="28">
        <v>324</v>
      </c>
      <c r="B1606" s="5" t="s">
        <v>823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9">
        <v>0</v>
      </c>
      <c r="L1606" s="14">
        <f t="shared" si="96"/>
        <v>0</v>
      </c>
      <c r="M1606" s="14">
        <f t="shared" si="97"/>
        <v>0</v>
      </c>
      <c r="N1606" s="5" t="s">
        <v>128</v>
      </c>
      <c r="O1606" s="5" t="s">
        <v>128</v>
      </c>
      <c r="P1606" s="15">
        <v>0</v>
      </c>
      <c r="Q1606" s="15">
        <v>0</v>
      </c>
      <c r="R1606" s="5" t="s">
        <v>2620</v>
      </c>
    </row>
    <row r="1607" spans="1:18" x14ac:dyDescent="0.3">
      <c r="A1607" s="21">
        <v>324</v>
      </c>
      <c r="B1607" s="5" t="s">
        <v>823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2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824</v>
      </c>
    </row>
    <row r="1608" spans="1:18" x14ac:dyDescent="0.3">
      <c r="A1608" s="21">
        <v>324</v>
      </c>
      <c r="B1608" s="5" t="s">
        <v>823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0</v>
      </c>
      <c r="L1608" s="14">
        <f t="shared" si="96"/>
        <v>0</v>
      </c>
      <c r="M1608" s="14">
        <f t="shared" si="97"/>
        <v>0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2621</v>
      </c>
    </row>
    <row r="1609" spans="1:18" x14ac:dyDescent="0.3">
      <c r="A1609" s="21">
        <v>324</v>
      </c>
      <c r="B1609" s="5" t="s">
        <v>823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10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825</v>
      </c>
    </row>
    <row r="1610" spans="1:18" x14ac:dyDescent="0.3">
      <c r="A1610" s="21">
        <v>324</v>
      </c>
      <c r="B1610" s="5" t="s">
        <v>823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100</v>
      </c>
      <c r="K1610" s="10">
        <v>100</v>
      </c>
      <c r="L1610" s="14">
        <f t="shared" si="96"/>
        <v>1</v>
      </c>
      <c r="M1610" s="14">
        <f t="shared" si="97"/>
        <v>1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2622</v>
      </c>
    </row>
    <row r="1611" spans="1:18" x14ac:dyDescent="0.3">
      <c r="A1611" s="21">
        <v>324</v>
      </c>
      <c r="B1611" s="5" t="s">
        <v>823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100</v>
      </c>
      <c r="K1611" s="10">
        <v>200</v>
      </c>
      <c r="L1611" s="14">
        <f t="shared" si="96"/>
        <v>1.3</v>
      </c>
      <c r="M1611" s="14">
        <f t="shared" si="97"/>
        <v>2</v>
      </c>
      <c r="N1611" s="5" t="s">
        <v>128</v>
      </c>
      <c r="O1611" s="5" t="s">
        <v>128</v>
      </c>
      <c r="P1611" s="15">
        <v>0</v>
      </c>
      <c r="Q1611" s="15">
        <v>0</v>
      </c>
      <c r="R1611" s="5" t="s">
        <v>826</v>
      </c>
    </row>
    <row r="1612" spans="1:18" x14ac:dyDescent="0.3">
      <c r="A1612" s="5">
        <v>325</v>
      </c>
      <c r="B1612" s="5" t="s">
        <v>827</v>
      </c>
      <c r="C1612" s="5" t="s">
        <v>819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699</v>
      </c>
      <c r="I1612" s="6" t="s">
        <v>1512</v>
      </c>
      <c r="J1612" s="5">
        <v>100</v>
      </c>
      <c r="K1612" s="5">
        <v>100</v>
      </c>
      <c r="L1612" s="14">
        <f t="shared" si="96"/>
        <v>1</v>
      </c>
      <c r="M1612" s="14">
        <f t="shared" si="97"/>
        <v>1</v>
      </c>
      <c r="N1612" s="5" t="s">
        <v>128</v>
      </c>
      <c r="O1612" s="5" t="s">
        <v>128</v>
      </c>
      <c r="P1612" s="5">
        <v>0</v>
      </c>
      <c r="Q1612" s="5">
        <v>0</v>
      </c>
      <c r="R1612" s="5" t="s">
        <v>2623</v>
      </c>
    </row>
    <row r="1613" spans="1:18" x14ac:dyDescent="0.3">
      <c r="A1613" s="21">
        <v>325</v>
      </c>
      <c r="B1613" s="5" t="s">
        <v>827</v>
      </c>
      <c r="C1613" s="5" t="s">
        <v>819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100</v>
      </c>
      <c r="K1613" s="53">
        <v>0</v>
      </c>
      <c r="L1613" s="14">
        <f t="shared" si="96"/>
        <v>0</v>
      </c>
      <c r="M1613" s="14">
        <f t="shared" si="97"/>
        <v>0</v>
      </c>
      <c r="N1613" s="5"/>
      <c r="O1613" s="5"/>
      <c r="P1613" s="15">
        <v>0</v>
      </c>
      <c r="Q1613" s="15">
        <v>0</v>
      </c>
      <c r="R1613" s="5" t="s">
        <v>828</v>
      </c>
    </row>
    <row r="1614" spans="1:18" x14ac:dyDescent="0.3">
      <c r="A1614" s="21">
        <v>325</v>
      </c>
      <c r="B1614" s="5" t="s">
        <v>827</v>
      </c>
      <c r="C1614" s="5" t="s">
        <v>819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699</v>
      </c>
      <c r="I1614" s="6" t="s">
        <v>729</v>
      </c>
      <c r="J1614" s="5">
        <v>100</v>
      </c>
      <c r="K1614" s="10">
        <v>100</v>
      </c>
      <c r="L1614" s="14">
        <f t="shared" si="96"/>
        <v>1</v>
      </c>
      <c r="M1614" s="14">
        <f t="shared" si="97"/>
        <v>1</v>
      </c>
      <c r="N1614" s="5" t="s">
        <v>128</v>
      </c>
      <c r="O1614" s="5" t="s">
        <v>128</v>
      </c>
      <c r="P1614" s="15">
        <v>0</v>
      </c>
      <c r="Q1614" s="15">
        <v>0</v>
      </c>
      <c r="R1614" s="5" t="s">
        <v>2624</v>
      </c>
    </row>
    <row r="1615" spans="1:18" x14ac:dyDescent="0.3">
      <c r="A1615" s="5">
        <v>325</v>
      </c>
      <c r="B1615" s="5" t="s">
        <v>827</v>
      </c>
      <c r="C1615" s="5" t="s">
        <v>819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5">
        <v>100</v>
      </c>
      <c r="L1615" s="14">
        <f t="shared" si="96"/>
        <v>1</v>
      </c>
      <c r="M1615" s="14">
        <f t="shared" si="97"/>
        <v>1</v>
      </c>
      <c r="N1615" s="5" t="s">
        <v>128</v>
      </c>
      <c r="O1615" s="5" t="s">
        <v>128</v>
      </c>
      <c r="P1615" s="5">
        <v>0</v>
      </c>
      <c r="Q1615" s="5">
        <v>0</v>
      </c>
      <c r="R1615" s="5" t="s">
        <v>829</v>
      </c>
    </row>
    <row r="1616" spans="1:18" x14ac:dyDescent="0.3">
      <c r="A1616" s="21">
        <v>325</v>
      </c>
      <c r="B1616" s="5" t="s">
        <v>827</v>
      </c>
      <c r="C1616" s="5" t="s">
        <v>819</v>
      </c>
      <c r="D1616" s="5" t="s">
        <v>27</v>
      </c>
      <c r="E1616" s="5" t="s">
        <v>22</v>
      </c>
      <c r="F1616" s="71">
        <v>45838</v>
      </c>
      <c r="G1616" s="5">
        <v>2025</v>
      </c>
      <c r="H1616" s="5" t="s">
        <v>699</v>
      </c>
      <c r="I1616" s="6" t="s">
        <v>700</v>
      </c>
      <c r="J1616" s="5">
        <v>8</v>
      </c>
      <c r="K1616" s="10">
        <v>100</v>
      </c>
      <c r="L1616" s="14">
        <f t="shared" si="96"/>
        <v>1.3</v>
      </c>
      <c r="M1616" s="14">
        <f t="shared" si="97"/>
        <v>12.5</v>
      </c>
      <c r="N1616" s="5" t="s">
        <v>128</v>
      </c>
      <c r="O1616" s="5" t="s">
        <v>128</v>
      </c>
      <c r="P1616" s="15">
        <v>0</v>
      </c>
      <c r="Q1616" s="15">
        <v>0</v>
      </c>
      <c r="R1616" s="5" t="s">
        <v>2625</v>
      </c>
    </row>
    <row r="1617" spans="1:19" x14ac:dyDescent="0.3">
      <c r="A1617" s="5">
        <v>325</v>
      </c>
      <c r="B1617" s="5" t="s">
        <v>2626</v>
      </c>
      <c r="C1617" s="5" t="s">
        <v>819</v>
      </c>
      <c r="D1617" s="5" t="s">
        <v>21</v>
      </c>
      <c r="E1617" s="5" t="s">
        <v>22</v>
      </c>
      <c r="F1617" s="71">
        <v>46022</v>
      </c>
      <c r="G1617" s="5">
        <v>2025</v>
      </c>
      <c r="H1617" s="5" t="s">
        <v>23</v>
      </c>
      <c r="I1617" s="6" t="s">
        <v>32</v>
      </c>
      <c r="J1617" s="5">
        <v>4</v>
      </c>
      <c r="K1617" s="5">
        <v>100</v>
      </c>
      <c r="L1617" s="14"/>
      <c r="M1617" s="14"/>
      <c r="N1617" s="5" t="s">
        <v>128</v>
      </c>
      <c r="O1617" s="5" t="s">
        <v>128</v>
      </c>
      <c r="P1617" s="5">
        <v>0</v>
      </c>
      <c r="Q1617" s="5">
        <v>0</v>
      </c>
      <c r="R1617" s="5" t="s">
        <v>830</v>
      </c>
      <c r="S1617" t="s">
        <v>263</v>
      </c>
    </row>
    <row r="1618" spans="1:19" x14ac:dyDescent="0.3">
      <c r="A1618" s="21">
        <v>326</v>
      </c>
      <c r="B1618" s="5" t="s">
        <v>831</v>
      </c>
      <c r="C1618" s="5" t="s">
        <v>644</v>
      </c>
      <c r="D1618" s="5" t="s">
        <v>71</v>
      </c>
      <c r="E1618" s="5" t="s">
        <v>22</v>
      </c>
      <c r="F1618" s="71">
        <v>45291</v>
      </c>
      <c r="G1618" s="5">
        <v>2023</v>
      </c>
      <c r="H1618" s="5" t="s">
        <v>23</v>
      </c>
      <c r="I1618" s="6" t="s">
        <v>28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136</v>
      </c>
      <c r="O1618" s="5" t="s">
        <v>136</v>
      </c>
      <c r="P1618" s="15">
        <v>0</v>
      </c>
      <c r="Q1618" s="15">
        <v>0</v>
      </c>
      <c r="R1618" s="5" t="s">
        <v>832</v>
      </c>
    </row>
    <row r="1619" spans="1:19" x14ac:dyDescent="0.3">
      <c r="A1619" s="21">
        <v>326</v>
      </c>
      <c r="B1619" s="5" t="s">
        <v>833</v>
      </c>
      <c r="C1619" s="5" t="s">
        <v>644</v>
      </c>
      <c r="D1619" s="5" t="s">
        <v>71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0</v>
      </c>
      <c r="K1619" s="10">
        <v>0</v>
      </c>
      <c r="L1619" s="14"/>
      <c r="M1619" s="14"/>
      <c r="N1619" s="5" t="s">
        <v>128</v>
      </c>
      <c r="O1619" s="5" t="s">
        <v>128</v>
      </c>
      <c r="P1619" s="15">
        <v>0</v>
      </c>
      <c r="Q1619" s="15">
        <v>0</v>
      </c>
      <c r="R1619" s="5" t="s">
        <v>834</v>
      </c>
      <c r="S1619" t="s">
        <v>263</v>
      </c>
    </row>
    <row r="1620" spans="1:19" x14ac:dyDescent="0.3">
      <c r="A1620" s="21">
        <v>326</v>
      </c>
      <c r="B1620" s="5" t="s">
        <v>833</v>
      </c>
      <c r="C1620" s="5" t="s">
        <v>644</v>
      </c>
      <c r="D1620" s="5" t="s">
        <v>71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3</v>
      </c>
      <c r="K1620" s="10">
        <v>100</v>
      </c>
      <c r="L1620" s="14"/>
      <c r="M1620" s="14"/>
      <c r="N1620" s="5" t="s">
        <v>128</v>
      </c>
      <c r="O1620" s="5" t="s">
        <v>128</v>
      </c>
      <c r="P1620" s="15">
        <v>0</v>
      </c>
      <c r="Q1620" s="15">
        <v>0</v>
      </c>
      <c r="R1620" s="5" t="s">
        <v>835</v>
      </c>
      <c r="S1620" t="s">
        <v>263</v>
      </c>
    </row>
    <row r="1621" spans="1:19" x14ac:dyDescent="0.3">
      <c r="A1621" s="21">
        <v>327</v>
      </c>
      <c r="B1621" s="5" t="s">
        <v>836</v>
      </c>
      <c r="C1621" s="5" t="s">
        <v>644</v>
      </c>
      <c r="D1621" s="5" t="s">
        <v>27</v>
      </c>
      <c r="E1621" s="5" t="s">
        <v>22</v>
      </c>
      <c r="F1621" s="71">
        <v>45107</v>
      </c>
      <c r="G1621" s="5">
        <v>2023</v>
      </c>
      <c r="H1621" s="5" t="s">
        <v>699</v>
      </c>
      <c r="I1621" s="6" t="s">
        <v>1512</v>
      </c>
      <c r="J1621" s="5">
        <v>100</v>
      </c>
      <c r="K1621" s="10">
        <v>0</v>
      </c>
      <c r="L1621" s="14">
        <f>IFERROR(IF(OR(J1621=0,K1621=""),"",IF(E1621="Positivo",MIN(MAX(K1621/J1621,0),1.3),MIN(MAX(J1621/K1621,0),1.3))),"")</f>
        <v>0</v>
      </c>
      <c r="M1621" s="14">
        <f>IFERROR(IF(OR(J1621=0,K1621=""),"",IF(E1621="Positivo",MAX(K1621/J1621,0),MAX(J1621/K1621,0))),"")</f>
        <v>0</v>
      </c>
      <c r="N1621" s="5"/>
      <c r="O1621" s="5"/>
      <c r="P1621" s="15">
        <v>0</v>
      </c>
      <c r="Q1621" s="15">
        <v>0</v>
      </c>
      <c r="R1621" s="5" t="s">
        <v>2627</v>
      </c>
    </row>
    <row r="1622" spans="1:19" x14ac:dyDescent="0.3">
      <c r="A1622" s="21">
        <v>327</v>
      </c>
      <c r="B1622" s="5" t="s">
        <v>836</v>
      </c>
      <c r="C1622" s="5" t="s">
        <v>644</v>
      </c>
      <c r="D1622" s="5" t="s">
        <v>27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100</v>
      </c>
      <c r="K1622" s="10">
        <v>100</v>
      </c>
      <c r="L1622" s="14">
        <f>IFERROR(IF(OR(J1622=0,K1622=""),"",IF(E1622="Positivo",MIN(MAX(K1622/J1622,0),1.3),MIN(MAX(J1622/K1622,0),1.3))),"")</f>
        <v>1</v>
      </c>
      <c r="M1622" s="14">
        <f>IFERROR(IF(OR(J1622=0,K1622=""),"",IF(E1622="Positivo",MAX(K1622/J1622,0),MAX(J1622/K1622,0))),"")</f>
        <v>1</v>
      </c>
      <c r="N1622" s="5"/>
      <c r="O1622" s="5"/>
      <c r="P1622" s="15">
        <v>0</v>
      </c>
      <c r="Q1622" s="15">
        <v>0</v>
      </c>
      <c r="R1622" s="5" t="s">
        <v>837</v>
      </c>
    </row>
    <row r="1623" spans="1:19" x14ac:dyDescent="0.3">
      <c r="A1623" s="21">
        <v>327</v>
      </c>
      <c r="B1623" s="5" t="s">
        <v>836</v>
      </c>
      <c r="C1623" s="5" t="s">
        <v>644</v>
      </c>
      <c r="D1623" s="5" t="s">
        <v>27</v>
      </c>
      <c r="E1623" s="5" t="s">
        <v>22</v>
      </c>
      <c r="F1623" s="71">
        <v>45473</v>
      </c>
      <c r="G1623" s="5">
        <v>2024</v>
      </c>
      <c r="H1623" s="5" t="s">
        <v>699</v>
      </c>
      <c r="I1623" s="6" t="s">
        <v>729</v>
      </c>
      <c r="J1623" s="5">
        <v>100</v>
      </c>
      <c r="K1623" s="10">
        <v>0</v>
      </c>
      <c r="L1623" s="14">
        <f>IFERROR(IF(OR(J1623=0,K1623=""),"",IF(E1623="Positivo",MIN(MAX(K1623/J1623,0),1.3),MIN(MAX(J1623/K1623,0),1.3))),"")</f>
        <v>0</v>
      </c>
      <c r="M1623" s="14">
        <f>IFERROR(IF(OR(J1623=0,K1623=""),"",IF(E1623="Positivo",MAX(K1623/J1623,0),MAX(J1623/K1623,0))),"")</f>
        <v>0</v>
      </c>
      <c r="N1623" s="5"/>
      <c r="O1623" s="5"/>
      <c r="P1623" s="15">
        <v>0</v>
      </c>
      <c r="Q1623" s="15">
        <v>0</v>
      </c>
      <c r="R1623" s="5" t="s">
        <v>2628</v>
      </c>
    </row>
    <row r="1624" spans="1:19" x14ac:dyDescent="0.3">
      <c r="A1624" s="21">
        <v>327</v>
      </c>
      <c r="B1624" s="5" t="s">
        <v>836</v>
      </c>
      <c r="C1624" s="5" t="s">
        <v>644</v>
      </c>
      <c r="D1624" s="5" t="s">
        <v>27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5">
        <v>100</v>
      </c>
      <c r="K1624" s="10">
        <v>0</v>
      </c>
      <c r="L1624" s="14">
        <f>IFERROR(IF(OR(J1624=0,K1624=""),"",IF(E1624="Positivo",MIN(MAX(K1624/J1624,0),1.3),MIN(MAX(J1624/K1624,0),1.3))),"")</f>
        <v>0</v>
      </c>
      <c r="M1624" s="14">
        <f>IFERROR(IF(OR(J1624=0,K1624=""),"",IF(E1624="Positivo",MAX(K1624/J1624,0),MAX(J1624/K1624,0))),"")</f>
        <v>0</v>
      </c>
      <c r="N1624" s="5"/>
      <c r="O1624" s="5"/>
      <c r="P1624" s="15">
        <v>0</v>
      </c>
      <c r="Q1624" s="15">
        <v>0</v>
      </c>
      <c r="R1624" s="5" t="s">
        <v>838</v>
      </c>
    </row>
    <row r="1625" spans="1:19" x14ac:dyDescent="0.3">
      <c r="A1625" s="21">
        <v>327</v>
      </c>
      <c r="B1625" s="5" t="s">
        <v>836</v>
      </c>
      <c r="C1625" s="5" t="s">
        <v>644</v>
      </c>
      <c r="D1625" s="5" t="s">
        <v>27</v>
      </c>
      <c r="E1625" s="5" t="s">
        <v>22</v>
      </c>
      <c r="F1625" s="71">
        <v>45838</v>
      </c>
      <c r="G1625" s="5">
        <v>2025</v>
      </c>
      <c r="H1625" s="5" t="s">
        <v>699</v>
      </c>
      <c r="I1625" s="6" t="s">
        <v>700</v>
      </c>
      <c r="J1625" s="5">
        <v>100</v>
      </c>
      <c r="K1625" s="10">
        <v>100</v>
      </c>
      <c r="L1625" s="14">
        <f>IFERROR(IF(OR(J1625=0,K1625=""),"",IF(E1625="Positivo",MIN(MAX(K1625/J1625,0),1.3),MIN(MAX(J1625/K1625,0),1.3))),"")</f>
        <v>1</v>
      </c>
      <c r="M1625" s="14">
        <f>IFERROR(IF(OR(J1625=0,K1625=""),"",IF(E1625="Positivo",MAX(K1625/J1625,0),MAX(J1625/K1625,0))),"")</f>
        <v>1</v>
      </c>
      <c r="N1625" s="5" t="s">
        <v>128</v>
      </c>
      <c r="O1625" s="5" t="s">
        <v>128</v>
      </c>
      <c r="P1625" s="15">
        <v>0</v>
      </c>
      <c r="Q1625" s="15">
        <v>0</v>
      </c>
      <c r="R1625" s="5" t="s">
        <v>2629</v>
      </c>
    </row>
    <row r="1626" spans="1:19" x14ac:dyDescent="0.3">
      <c r="A1626" s="5">
        <v>327</v>
      </c>
      <c r="B1626" s="5" t="s">
        <v>839</v>
      </c>
      <c r="C1626" s="5" t="s">
        <v>644</v>
      </c>
      <c r="D1626" s="5" t="s">
        <v>21</v>
      </c>
      <c r="E1626" s="5" t="s">
        <v>22</v>
      </c>
      <c r="F1626" s="71">
        <v>46022</v>
      </c>
      <c r="G1626" s="5">
        <v>2025</v>
      </c>
      <c r="H1626" s="5" t="s">
        <v>23</v>
      </c>
      <c r="I1626" s="6" t="s">
        <v>32</v>
      </c>
      <c r="J1626" s="5">
        <v>100</v>
      </c>
      <c r="K1626" s="5">
        <v>100</v>
      </c>
      <c r="L1626" s="14"/>
      <c r="M1626" s="14"/>
      <c r="N1626" s="5" t="s">
        <v>128</v>
      </c>
      <c r="O1626" s="5" t="s">
        <v>128</v>
      </c>
      <c r="P1626" s="5">
        <v>0</v>
      </c>
      <c r="Q1626" s="5">
        <v>0</v>
      </c>
      <c r="R1626" s="5" t="s">
        <v>840</v>
      </c>
      <c r="S1626" t="s">
        <v>263</v>
      </c>
    </row>
    <row r="1627" spans="1:19" x14ac:dyDescent="0.3">
      <c r="A1627" s="5">
        <v>328</v>
      </c>
      <c r="B1627" s="5" t="s">
        <v>841</v>
      </c>
      <c r="C1627" s="5" t="s">
        <v>842</v>
      </c>
      <c r="D1627" s="5" t="s">
        <v>71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5">
        <v>800</v>
      </c>
      <c r="K1627" s="5">
        <v>1035</v>
      </c>
      <c r="L1627" s="14">
        <f>IFERROR(IF(OR(J1627=0,K1627=""),"",IF(E1627="Positivo",MIN(MAX(K1627/J1627,0),1.3),MIN(MAX(J1627/K1627,0),1.3))),"")</f>
        <v>1.29375</v>
      </c>
      <c r="M1627" s="14">
        <f>IFERROR(IF(OR(J1627=0,K1627=""),"",IF(E1627="Positivo",MAX(K1627/J1627,0),MAX(J1627/K1627,0))),"")</f>
        <v>1.29375</v>
      </c>
      <c r="N1627" s="5"/>
      <c r="O1627" s="5"/>
      <c r="P1627" s="5">
        <v>0</v>
      </c>
      <c r="Q1627" s="5">
        <v>0</v>
      </c>
      <c r="R1627" s="5" t="s">
        <v>843</v>
      </c>
    </row>
    <row r="1628" spans="1:19" x14ac:dyDescent="0.3">
      <c r="A1628" s="21">
        <v>328</v>
      </c>
      <c r="B1628" s="5" t="s">
        <v>841</v>
      </c>
      <c r="C1628" s="5" t="s">
        <v>842</v>
      </c>
      <c r="D1628" s="5" t="s">
        <v>71</v>
      </c>
      <c r="E1628" s="5" t="s">
        <v>22</v>
      </c>
      <c r="F1628" s="71">
        <v>45657</v>
      </c>
      <c r="G1628" s="5">
        <v>2024</v>
      </c>
      <c r="H1628" s="5" t="s">
        <v>23</v>
      </c>
      <c r="I1628" s="6" t="s">
        <v>30</v>
      </c>
      <c r="J1628" s="5">
        <v>100</v>
      </c>
      <c r="K1628" s="10">
        <v>157</v>
      </c>
      <c r="L1628" s="14">
        <f>IFERROR(IF(OR(J1628=0,K1628=""),"",IF(E1628="Positivo",MIN(MAX(K1628/J1628,0),1.3),MIN(MAX(J1628/K1628,0),1.3))),"")</f>
        <v>1.3</v>
      </c>
      <c r="M1628" s="14">
        <f>IFERROR(IF(OR(J1628=0,K1628=""),"",IF(E1628="Positivo",MAX(K1628/J1628,0),MAX(J1628/K1628,0))),"")</f>
        <v>1.57</v>
      </c>
      <c r="N1628" s="5"/>
      <c r="O1628" s="5"/>
      <c r="P1628" s="15">
        <v>0</v>
      </c>
      <c r="Q1628" s="15">
        <v>0</v>
      </c>
      <c r="R1628" s="5" t="s">
        <v>844</v>
      </c>
    </row>
    <row r="1629" spans="1:19" x14ac:dyDescent="0.3">
      <c r="A1629" s="5">
        <v>329</v>
      </c>
      <c r="B1629" s="5" t="s">
        <v>845</v>
      </c>
      <c r="C1629" s="5" t="s">
        <v>842</v>
      </c>
      <c r="D1629" s="5" t="s">
        <v>71</v>
      </c>
      <c r="E1629" s="5" t="s">
        <v>22</v>
      </c>
      <c r="F1629" s="71">
        <v>45291</v>
      </c>
      <c r="G1629" s="5">
        <v>2023</v>
      </c>
      <c r="H1629" s="5" t="s">
        <v>23</v>
      </c>
      <c r="I1629" s="6" t="s">
        <v>28</v>
      </c>
      <c r="J1629" s="5">
        <v>3000</v>
      </c>
      <c r="K1629" s="5">
        <v>3315</v>
      </c>
      <c r="L1629" s="14">
        <f>IFERROR(IF(OR(J1629=0,K1629=""),"",IF(E1629="Positivo",MIN(MAX(K1629/J1629,0),1.3),MIN(MAX(J1629/K1629,0),1.3))),"")</f>
        <v>1.105</v>
      </c>
      <c r="M1629" s="14">
        <f>IFERROR(IF(OR(J1629=0,K1629=""),"",IF(E1629="Positivo",MAX(K1629/J1629,0),MAX(J1629/K1629,0))),"")</f>
        <v>1.105</v>
      </c>
      <c r="N1629" s="5"/>
      <c r="O1629" s="5"/>
      <c r="P1629" s="5">
        <v>0</v>
      </c>
      <c r="Q1629" s="5">
        <v>0</v>
      </c>
      <c r="R1629" s="5" t="s">
        <v>846</v>
      </c>
    </row>
    <row r="1630" spans="1:19" x14ac:dyDescent="0.3">
      <c r="A1630" s="21">
        <v>329</v>
      </c>
      <c r="B1630" s="5" t="s">
        <v>845</v>
      </c>
      <c r="C1630" s="5" t="s">
        <v>842</v>
      </c>
      <c r="D1630" s="5" t="s">
        <v>71</v>
      </c>
      <c r="E1630" s="5" t="s">
        <v>22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100</v>
      </c>
      <c r="K1630" s="9">
        <v>106.63</v>
      </c>
      <c r="L1630" s="14">
        <f>IFERROR(IF(OR(J1630=0,K1630=""),"",IF(E1630="Positivo",MIN(MAX(K1630/J1630,0),1.3),MIN(MAX(J1630/K1630,0),1.3))),"")</f>
        <v>1.0663</v>
      </c>
      <c r="M1630" s="14">
        <f>IFERROR(IF(OR(J1630=0,K1630=""),"",IF(E1630="Positivo",MAX(K1630/J1630,0),MAX(J1630/K1630,0))),"")</f>
        <v>1.0663</v>
      </c>
      <c r="N1630" s="9"/>
      <c r="O1630" s="9"/>
      <c r="P1630" s="15">
        <v>0</v>
      </c>
      <c r="Q1630" s="15">
        <v>0</v>
      </c>
      <c r="R1630" s="5" t="s">
        <v>847</v>
      </c>
    </row>
    <row r="1631" spans="1:19" x14ac:dyDescent="0.3">
      <c r="A1631" s="21">
        <v>331</v>
      </c>
      <c r="B1631" s="5" t="s">
        <v>848</v>
      </c>
      <c r="C1631" s="5" t="s">
        <v>842</v>
      </c>
      <c r="D1631" s="5" t="s">
        <v>71</v>
      </c>
      <c r="E1631" s="5" t="s">
        <v>22</v>
      </c>
      <c r="F1631" s="71">
        <v>45291</v>
      </c>
      <c r="G1631" s="5">
        <v>2023</v>
      </c>
      <c r="H1631" s="5" t="s">
        <v>23</v>
      </c>
      <c r="I1631" s="6" t="s">
        <v>28</v>
      </c>
      <c r="J1631" s="73"/>
      <c r="K1631" s="9">
        <v>81</v>
      </c>
      <c r="L1631" s="8"/>
      <c r="M1631" s="8"/>
      <c r="N1631" s="9" t="s">
        <v>355</v>
      </c>
      <c r="O1631" s="9" t="s">
        <v>25</v>
      </c>
      <c r="P1631" s="15">
        <v>0</v>
      </c>
      <c r="Q1631" s="15">
        <v>0</v>
      </c>
      <c r="R1631" s="5" t="s">
        <v>849</v>
      </c>
    </row>
    <row r="1632" spans="1:19" x14ac:dyDescent="0.3">
      <c r="A1632" s="21">
        <v>331</v>
      </c>
      <c r="B1632" s="5" t="s">
        <v>848</v>
      </c>
      <c r="C1632" s="5" t="s">
        <v>842</v>
      </c>
      <c r="D1632" s="5" t="s">
        <v>71</v>
      </c>
      <c r="E1632" s="5" t="s">
        <v>22</v>
      </c>
      <c r="F1632" s="71">
        <v>45657</v>
      </c>
      <c r="G1632" s="5">
        <v>2024</v>
      </c>
      <c r="H1632" s="5" t="s">
        <v>23</v>
      </c>
      <c r="I1632" s="6" t="s">
        <v>30</v>
      </c>
      <c r="J1632" s="73">
        <v>0</v>
      </c>
      <c r="K1632" s="9">
        <v>82</v>
      </c>
      <c r="L1632" s="14" t="str">
        <f t="shared" ref="L1632:L1646" si="98">IFERROR(IF(OR(J1632=0,K1632=""),"",IF(E1632="Positivo",MIN(MAX(K1632/J1632,0),1.3),MIN(MAX(J1632/K1632,0),1.3))),"")</f>
        <v/>
      </c>
      <c r="M1632" s="14" t="str">
        <f t="shared" ref="M1632:M1646" si="99">IFERROR(IF(OR(J1632=0,K1632=""),"",IF(E1632="Positivo",MAX(K1632/J1632,0),MAX(J1632/K1632,0))),"")</f>
        <v/>
      </c>
      <c r="N1632" s="9" t="s">
        <v>355</v>
      </c>
      <c r="O1632" s="9" t="s">
        <v>25</v>
      </c>
      <c r="P1632" s="15">
        <v>0</v>
      </c>
      <c r="Q1632" s="15">
        <v>0</v>
      </c>
      <c r="R1632" s="5" t="s">
        <v>850</v>
      </c>
    </row>
    <row r="1633" spans="1:19" x14ac:dyDescent="0.3">
      <c r="A1633" s="21">
        <v>332</v>
      </c>
      <c r="B1633" s="5" t="s">
        <v>851</v>
      </c>
      <c r="C1633" s="5" t="s">
        <v>40</v>
      </c>
      <c r="D1633" s="5" t="s">
        <v>27</v>
      </c>
      <c r="E1633" s="5" t="s">
        <v>41</v>
      </c>
      <c r="F1633" s="71">
        <v>45107</v>
      </c>
      <c r="G1633" s="5">
        <v>2023</v>
      </c>
      <c r="H1633" s="5" t="s">
        <v>699</v>
      </c>
      <c r="I1633" s="6" t="s">
        <v>1512</v>
      </c>
      <c r="J1633" s="73">
        <v>1.8</v>
      </c>
      <c r="K1633" s="9">
        <v>1.57</v>
      </c>
      <c r="L1633" s="14">
        <f t="shared" si="98"/>
        <v>1.1464968152866242</v>
      </c>
      <c r="M1633" s="14">
        <f t="shared" si="99"/>
        <v>1.1464968152866242</v>
      </c>
      <c r="N1633" s="9" t="s">
        <v>25</v>
      </c>
      <c r="O1633" s="9" t="s">
        <v>25</v>
      </c>
      <c r="P1633" s="15">
        <v>2</v>
      </c>
      <c r="Q1633" s="15">
        <v>2</v>
      </c>
      <c r="R1633" s="5" t="s">
        <v>2630</v>
      </c>
    </row>
    <row r="1634" spans="1:19" x14ac:dyDescent="0.3">
      <c r="A1634" s="21">
        <v>332</v>
      </c>
      <c r="B1634" s="5" t="s">
        <v>851</v>
      </c>
      <c r="C1634" s="5" t="s">
        <v>40</v>
      </c>
      <c r="D1634" s="5" t="s">
        <v>27</v>
      </c>
      <c r="E1634" s="5" t="s">
        <v>41</v>
      </c>
      <c r="F1634" s="71">
        <v>45291</v>
      </c>
      <c r="G1634" s="5">
        <v>2023</v>
      </c>
      <c r="H1634" s="5" t="s">
        <v>23</v>
      </c>
      <c r="I1634" s="6" t="s">
        <v>28</v>
      </c>
      <c r="J1634" s="73">
        <v>1.8</v>
      </c>
      <c r="K1634" s="9">
        <v>1.3</v>
      </c>
      <c r="L1634" s="14">
        <f t="shared" si="98"/>
        <v>1.3</v>
      </c>
      <c r="M1634" s="14">
        <f t="shared" si="99"/>
        <v>1.3846153846153846</v>
      </c>
      <c r="N1634" s="9" t="s">
        <v>25</v>
      </c>
      <c r="O1634" s="9" t="s">
        <v>25</v>
      </c>
      <c r="P1634" s="15">
        <v>1</v>
      </c>
      <c r="Q1634" s="15">
        <v>1</v>
      </c>
      <c r="R1634" s="5" t="s">
        <v>852</v>
      </c>
    </row>
    <row r="1635" spans="1:19" x14ac:dyDescent="0.3">
      <c r="A1635" s="21">
        <v>332</v>
      </c>
      <c r="B1635" s="5" t="s">
        <v>851</v>
      </c>
      <c r="C1635" s="5" t="s">
        <v>40</v>
      </c>
      <c r="D1635" s="5" t="s">
        <v>27</v>
      </c>
      <c r="E1635" s="5" t="s">
        <v>41</v>
      </c>
      <c r="F1635" s="71">
        <v>45473</v>
      </c>
      <c r="G1635" s="5">
        <v>2024</v>
      </c>
      <c r="H1635" s="5" t="s">
        <v>699</v>
      </c>
      <c r="I1635" s="6" t="s">
        <v>729</v>
      </c>
      <c r="J1635" s="73">
        <v>1.5</v>
      </c>
      <c r="K1635" s="9">
        <v>1.48</v>
      </c>
      <c r="L1635" s="14">
        <f t="shared" si="98"/>
        <v>1.0135135135135136</v>
      </c>
      <c r="M1635" s="14">
        <f t="shared" si="99"/>
        <v>1.0135135135135136</v>
      </c>
      <c r="N1635" s="9" t="s">
        <v>25</v>
      </c>
      <c r="O1635" s="9" t="s">
        <v>25</v>
      </c>
      <c r="P1635" s="15">
        <v>2</v>
      </c>
      <c r="Q1635" s="15">
        <v>2</v>
      </c>
      <c r="R1635" s="5" t="s">
        <v>2631</v>
      </c>
    </row>
    <row r="1636" spans="1:19" x14ac:dyDescent="0.3">
      <c r="A1636" s="21">
        <v>332</v>
      </c>
      <c r="B1636" s="5" t="s">
        <v>851</v>
      </c>
      <c r="C1636" s="5" t="s">
        <v>40</v>
      </c>
      <c r="D1636" s="5" t="s">
        <v>27</v>
      </c>
      <c r="E1636" s="5" t="s">
        <v>41</v>
      </c>
      <c r="F1636" s="71">
        <v>45657</v>
      </c>
      <c r="G1636" s="5">
        <v>2024</v>
      </c>
      <c r="H1636" s="5" t="s">
        <v>23</v>
      </c>
      <c r="I1636" s="6" t="s">
        <v>30</v>
      </c>
      <c r="J1636" s="73">
        <v>1.8</v>
      </c>
      <c r="K1636" s="9">
        <v>0.82</v>
      </c>
      <c r="L1636" s="14">
        <f t="shared" si="98"/>
        <v>1.3</v>
      </c>
      <c r="M1636" s="14">
        <f t="shared" si="99"/>
        <v>2.1951219512195124</v>
      </c>
      <c r="N1636" s="9" t="s">
        <v>25</v>
      </c>
      <c r="O1636" s="9" t="s">
        <v>25</v>
      </c>
      <c r="P1636" s="15">
        <v>2</v>
      </c>
      <c r="Q1636" s="15">
        <v>2</v>
      </c>
      <c r="R1636" s="5" t="s">
        <v>853</v>
      </c>
    </row>
    <row r="1637" spans="1:19" x14ac:dyDescent="0.3">
      <c r="A1637" s="21">
        <v>332</v>
      </c>
      <c r="B1637" s="5" t="s">
        <v>851</v>
      </c>
      <c r="C1637" s="5" t="s">
        <v>40</v>
      </c>
      <c r="D1637" s="5" t="s">
        <v>27</v>
      </c>
      <c r="E1637" s="5" t="s">
        <v>41</v>
      </c>
      <c r="F1637" s="71">
        <v>45838</v>
      </c>
      <c r="G1637" s="5">
        <v>2025</v>
      </c>
      <c r="H1637" s="5" t="s">
        <v>699</v>
      </c>
      <c r="I1637" s="6" t="s">
        <v>700</v>
      </c>
      <c r="J1637" s="5">
        <v>1.18</v>
      </c>
      <c r="K1637" s="10">
        <v>0.85</v>
      </c>
      <c r="L1637" s="14">
        <f t="shared" si="98"/>
        <v>1.3</v>
      </c>
      <c r="M1637" s="14">
        <f t="shared" si="99"/>
        <v>1.388235294117647</v>
      </c>
      <c r="N1637" s="5" t="s">
        <v>25</v>
      </c>
      <c r="O1637" s="5" t="s">
        <v>25</v>
      </c>
      <c r="P1637" s="15">
        <v>2</v>
      </c>
      <c r="Q1637" s="15">
        <v>2</v>
      </c>
      <c r="R1637" s="5" t="s">
        <v>2632</v>
      </c>
    </row>
    <row r="1638" spans="1:19" x14ac:dyDescent="0.3">
      <c r="A1638" s="21">
        <v>332</v>
      </c>
      <c r="B1638" s="5" t="s">
        <v>851</v>
      </c>
      <c r="C1638" s="5" t="s">
        <v>40</v>
      </c>
      <c r="D1638" s="5" t="s">
        <v>21</v>
      </c>
      <c r="E1638" s="5" t="s">
        <v>41</v>
      </c>
      <c r="F1638" s="71">
        <v>46022</v>
      </c>
      <c r="G1638" s="5">
        <v>2025</v>
      </c>
      <c r="H1638" s="5" t="s">
        <v>23</v>
      </c>
      <c r="I1638" s="6" t="s">
        <v>32</v>
      </c>
      <c r="J1638" s="5">
        <v>1.18</v>
      </c>
      <c r="K1638" s="10">
        <v>0.93</v>
      </c>
      <c r="L1638" s="14">
        <f t="shared" si="98"/>
        <v>1.268817204301075</v>
      </c>
      <c r="M1638" s="14">
        <f t="shared" si="99"/>
        <v>1.268817204301075</v>
      </c>
      <c r="N1638" s="5" t="s">
        <v>136</v>
      </c>
      <c r="O1638" s="5" t="s">
        <v>136</v>
      </c>
      <c r="P1638" s="15">
        <v>2</v>
      </c>
      <c r="Q1638" s="15">
        <v>2</v>
      </c>
      <c r="R1638" s="5" t="s">
        <v>854</v>
      </c>
    </row>
    <row r="1639" spans="1:19" x14ac:dyDescent="0.3">
      <c r="A1639" s="5">
        <v>334</v>
      </c>
      <c r="B1639" s="5" t="s">
        <v>855</v>
      </c>
      <c r="C1639" s="5" t="s">
        <v>40</v>
      </c>
      <c r="D1639" s="5" t="s">
        <v>71</v>
      </c>
      <c r="E1639" s="5" t="s">
        <v>22</v>
      </c>
      <c r="F1639" s="71">
        <v>45291</v>
      </c>
      <c r="G1639" s="5">
        <v>2023</v>
      </c>
      <c r="H1639" s="5" t="s">
        <v>23</v>
      </c>
      <c r="I1639" s="6" t="s">
        <v>28</v>
      </c>
      <c r="J1639" s="5">
        <v>88</v>
      </c>
      <c r="K1639" s="5">
        <v>88.39</v>
      </c>
      <c r="L1639" s="14">
        <f t="shared" si="98"/>
        <v>1.0044318181818181</v>
      </c>
      <c r="M1639" s="14">
        <f t="shared" si="99"/>
        <v>1.0044318181818181</v>
      </c>
      <c r="N1639" s="5" t="s">
        <v>128</v>
      </c>
      <c r="O1639" s="5" t="s">
        <v>128</v>
      </c>
      <c r="P1639" s="5">
        <v>0</v>
      </c>
      <c r="Q1639" s="5">
        <v>0</v>
      </c>
      <c r="R1639" s="5" t="s">
        <v>856</v>
      </c>
    </row>
    <row r="1640" spans="1:19" x14ac:dyDescent="0.3">
      <c r="A1640" s="5">
        <v>334</v>
      </c>
      <c r="B1640" s="5" t="s">
        <v>855</v>
      </c>
      <c r="C1640" s="5" t="s">
        <v>40</v>
      </c>
      <c r="D1640" s="5" t="s">
        <v>71</v>
      </c>
      <c r="E1640" s="5" t="s">
        <v>22</v>
      </c>
      <c r="F1640" s="71">
        <v>45657</v>
      </c>
      <c r="G1640" s="5">
        <v>2024</v>
      </c>
      <c r="H1640" s="5" t="s">
        <v>23</v>
      </c>
      <c r="I1640" s="6" t="s">
        <v>30</v>
      </c>
      <c r="J1640" s="5">
        <v>88</v>
      </c>
      <c r="K1640" s="5">
        <v>88.84</v>
      </c>
      <c r="L1640" s="14">
        <f t="shared" si="98"/>
        <v>1.0095454545454545</v>
      </c>
      <c r="M1640" s="14">
        <f t="shared" si="99"/>
        <v>1.0095454545454545</v>
      </c>
      <c r="N1640" s="5" t="s">
        <v>128</v>
      </c>
      <c r="O1640" s="5" t="s">
        <v>128</v>
      </c>
      <c r="P1640" s="5">
        <v>0</v>
      </c>
      <c r="Q1640" s="5">
        <v>0</v>
      </c>
      <c r="R1640" s="5" t="s">
        <v>857</v>
      </c>
    </row>
    <row r="1641" spans="1:19" x14ac:dyDescent="0.3">
      <c r="A1641" s="5">
        <v>334</v>
      </c>
      <c r="B1641" s="5" t="s">
        <v>855</v>
      </c>
      <c r="C1641" s="5" t="s">
        <v>40</v>
      </c>
      <c r="D1641" s="5" t="s">
        <v>71</v>
      </c>
      <c r="E1641" s="5" t="s">
        <v>22</v>
      </c>
      <c r="F1641" s="71">
        <v>46022</v>
      </c>
      <c r="G1641" s="5">
        <v>2025</v>
      </c>
      <c r="H1641" s="5" t="s">
        <v>23</v>
      </c>
      <c r="I1641" s="6" t="s">
        <v>32</v>
      </c>
      <c r="J1641" s="5">
        <v>89</v>
      </c>
      <c r="K1641" s="5">
        <v>90.1</v>
      </c>
      <c r="L1641" s="14">
        <f t="shared" si="98"/>
        <v>1.0123595505617977</v>
      </c>
      <c r="M1641" s="14">
        <f t="shared" si="99"/>
        <v>1.0123595505617977</v>
      </c>
      <c r="N1641" s="5" t="s">
        <v>128</v>
      </c>
      <c r="O1641" s="5" t="s">
        <v>136</v>
      </c>
      <c r="P1641" s="5">
        <v>0</v>
      </c>
      <c r="Q1641" s="5">
        <v>1</v>
      </c>
      <c r="R1641" s="5" t="s">
        <v>858</v>
      </c>
    </row>
    <row r="1642" spans="1:19" x14ac:dyDescent="0.3">
      <c r="A1642" s="21">
        <v>335</v>
      </c>
      <c r="B1642" s="5" t="s">
        <v>859</v>
      </c>
      <c r="C1642" s="5" t="s">
        <v>40</v>
      </c>
      <c r="D1642" s="5" t="s">
        <v>71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80</v>
      </c>
      <c r="K1642" s="12">
        <v>93.85</v>
      </c>
      <c r="L1642" s="14">
        <f t="shared" si="98"/>
        <v>1.173125</v>
      </c>
      <c r="M1642" s="14">
        <f t="shared" si="99"/>
        <v>1.173125</v>
      </c>
      <c r="N1642" s="5" t="s">
        <v>25</v>
      </c>
      <c r="O1642" s="5" t="s">
        <v>25</v>
      </c>
      <c r="P1642" s="15">
        <v>0</v>
      </c>
      <c r="Q1642" s="15">
        <v>0</v>
      </c>
      <c r="R1642" s="5" t="s">
        <v>860</v>
      </c>
    </row>
    <row r="1643" spans="1:19" x14ac:dyDescent="0.3">
      <c r="A1643" s="21">
        <v>335</v>
      </c>
      <c r="B1643" s="5" t="s">
        <v>859</v>
      </c>
      <c r="C1643" s="5" t="s">
        <v>40</v>
      </c>
      <c r="D1643" s="5" t="s">
        <v>71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82</v>
      </c>
      <c r="K1643" s="10">
        <v>80.95</v>
      </c>
      <c r="L1643" s="14">
        <f t="shared" si="98"/>
        <v>0.9871951219512195</v>
      </c>
      <c r="M1643" s="14">
        <f t="shared" si="99"/>
        <v>0.9871951219512195</v>
      </c>
      <c r="N1643" s="5" t="s">
        <v>25</v>
      </c>
      <c r="O1643" s="5" t="s">
        <v>25</v>
      </c>
      <c r="P1643" s="15">
        <v>0</v>
      </c>
      <c r="Q1643" s="15">
        <v>0</v>
      </c>
      <c r="R1643" s="5" t="s">
        <v>861</v>
      </c>
    </row>
    <row r="1644" spans="1:19" x14ac:dyDescent="0.3">
      <c r="A1644" s="21">
        <v>336</v>
      </c>
      <c r="B1644" s="5" t="s">
        <v>862</v>
      </c>
      <c r="C1644" s="5" t="s">
        <v>254</v>
      </c>
      <c r="D1644" s="5" t="s">
        <v>71</v>
      </c>
      <c r="E1644" s="5" t="s">
        <v>41</v>
      </c>
      <c r="F1644" s="71">
        <v>45291</v>
      </c>
      <c r="G1644" s="5">
        <v>2023</v>
      </c>
      <c r="H1644" s="5" t="s">
        <v>23</v>
      </c>
      <c r="I1644" s="6" t="s">
        <v>28</v>
      </c>
      <c r="J1644" s="5">
        <v>2</v>
      </c>
      <c r="K1644" s="12">
        <v>1.742198218602321</v>
      </c>
      <c r="L1644" s="14">
        <f t="shared" si="98"/>
        <v>1.1479750000000002</v>
      </c>
      <c r="M1644" s="14">
        <f t="shared" si="99"/>
        <v>1.1479750000000002</v>
      </c>
      <c r="N1644" s="5" t="s">
        <v>25</v>
      </c>
      <c r="O1644" s="5" t="s">
        <v>25</v>
      </c>
      <c r="P1644" s="15">
        <v>0</v>
      </c>
      <c r="Q1644" s="15">
        <v>0</v>
      </c>
      <c r="R1644" s="5" t="s">
        <v>863</v>
      </c>
    </row>
    <row r="1645" spans="1:19" x14ac:dyDescent="0.3">
      <c r="A1645" s="21">
        <v>336</v>
      </c>
      <c r="B1645" s="5" t="s">
        <v>862</v>
      </c>
      <c r="C1645" s="5" t="s">
        <v>254</v>
      </c>
      <c r="D1645" s="5" t="s">
        <v>71</v>
      </c>
      <c r="E1645" s="5" t="s">
        <v>41</v>
      </c>
      <c r="F1645" s="71">
        <v>45657</v>
      </c>
      <c r="G1645" s="5">
        <v>2024</v>
      </c>
      <c r="H1645" s="5" t="s">
        <v>23</v>
      </c>
      <c r="I1645" s="6" t="s">
        <v>30</v>
      </c>
      <c r="J1645" s="5">
        <v>2</v>
      </c>
      <c r="K1645" s="12">
        <v>0.79</v>
      </c>
      <c r="L1645" s="14">
        <f t="shared" si="98"/>
        <v>1.3</v>
      </c>
      <c r="M1645" s="14">
        <f t="shared" si="99"/>
        <v>2.5316455696202529</v>
      </c>
      <c r="N1645" s="5"/>
      <c r="O1645" s="5"/>
      <c r="P1645" s="15">
        <v>0</v>
      </c>
      <c r="Q1645" s="15">
        <v>0</v>
      </c>
      <c r="R1645" s="5" t="s">
        <v>864</v>
      </c>
    </row>
    <row r="1646" spans="1:19" x14ac:dyDescent="0.3">
      <c r="A1646" s="21">
        <v>336</v>
      </c>
      <c r="B1646" s="5" t="s">
        <v>862</v>
      </c>
      <c r="C1646" s="5" t="s">
        <v>254</v>
      </c>
      <c r="D1646" s="5" t="s">
        <v>71</v>
      </c>
      <c r="E1646" s="5" t="s">
        <v>41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2</v>
      </c>
      <c r="K1646" s="12">
        <v>0.36</v>
      </c>
      <c r="L1646" s="14">
        <f t="shared" si="98"/>
        <v>1.3</v>
      </c>
      <c r="M1646" s="14">
        <f t="shared" si="99"/>
        <v>5.5555555555555554</v>
      </c>
      <c r="N1646" s="5" t="s">
        <v>25</v>
      </c>
      <c r="O1646" s="11" t="s">
        <v>25</v>
      </c>
      <c r="P1646" s="15">
        <v>0</v>
      </c>
      <c r="Q1646" s="15">
        <v>0</v>
      </c>
      <c r="R1646" s="5" t="s">
        <v>865</v>
      </c>
    </row>
    <row r="1647" spans="1:19" x14ac:dyDescent="0.3">
      <c r="A1647" s="21">
        <v>337</v>
      </c>
      <c r="B1647" s="5" t="s">
        <v>869</v>
      </c>
      <c r="C1647" s="5" t="s">
        <v>644</v>
      </c>
      <c r="D1647" s="5" t="s">
        <v>21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0</v>
      </c>
      <c r="L1647" s="8"/>
      <c r="M1647" s="8"/>
      <c r="N1647" s="5"/>
      <c r="O1647" s="11"/>
      <c r="P1647" s="15">
        <v>0</v>
      </c>
      <c r="Q1647" s="15">
        <v>0</v>
      </c>
      <c r="R1647" s="5" t="s">
        <v>2633</v>
      </c>
      <c r="S1647" t="s">
        <v>263</v>
      </c>
    </row>
    <row r="1648" spans="1:19" x14ac:dyDescent="0.3">
      <c r="A1648" s="21">
        <v>337</v>
      </c>
      <c r="B1648" s="5" t="s">
        <v>866</v>
      </c>
      <c r="C1648" s="5" t="s">
        <v>644</v>
      </c>
      <c r="D1648" s="5" t="s">
        <v>27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/>
      <c r="O1648" s="5"/>
      <c r="P1648" s="15">
        <v>0</v>
      </c>
      <c r="Q1648" s="15">
        <v>0</v>
      </c>
      <c r="R1648" s="5" t="s">
        <v>867</v>
      </c>
    </row>
    <row r="1649" spans="1:19" x14ac:dyDescent="0.3">
      <c r="A1649" s="21">
        <v>337</v>
      </c>
      <c r="B1649" s="5" t="s">
        <v>866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2634</v>
      </c>
    </row>
    <row r="1650" spans="1:19" x14ac:dyDescent="0.3">
      <c r="A1650" s="21">
        <v>337</v>
      </c>
      <c r="B1650" s="5" t="s">
        <v>869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10">
        <v>0</v>
      </c>
      <c r="L1650" s="8"/>
      <c r="M1650" s="8"/>
      <c r="N1650" s="5"/>
      <c r="O1650" s="5"/>
      <c r="P1650" s="15">
        <v>0</v>
      </c>
      <c r="Q1650" s="15">
        <v>0</v>
      </c>
      <c r="R1650" s="5" t="s">
        <v>868</v>
      </c>
      <c r="S1650" t="s">
        <v>263</v>
      </c>
    </row>
    <row r="1651" spans="1:19" x14ac:dyDescent="0.3">
      <c r="A1651" s="21">
        <v>337</v>
      </c>
      <c r="B1651" s="5" t="s">
        <v>869</v>
      </c>
      <c r="C1651" s="5" t="s">
        <v>644</v>
      </c>
      <c r="D1651" s="5" t="s">
        <v>21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12">
        <v>0</v>
      </c>
      <c r="L1651" s="8"/>
      <c r="M1651" s="8"/>
      <c r="N1651" s="5"/>
      <c r="O1651" s="5"/>
      <c r="P1651" s="15">
        <v>0</v>
      </c>
      <c r="Q1651" s="15">
        <v>0</v>
      </c>
      <c r="R1651" s="5" t="s">
        <v>870</v>
      </c>
      <c r="S1651" t="s">
        <v>263</v>
      </c>
    </row>
    <row r="1652" spans="1:19" x14ac:dyDescent="0.3">
      <c r="A1652" s="21">
        <v>337</v>
      </c>
      <c r="B1652" s="5" t="s">
        <v>869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12">
        <v>0</v>
      </c>
      <c r="L1652" s="8"/>
      <c r="M1652" s="8"/>
      <c r="N1652" s="5"/>
      <c r="O1652" s="5"/>
      <c r="P1652" s="15">
        <v>0</v>
      </c>
      <c r="Q1652" s="15">
        <v>0</v>
      </c>
      <c r="R1652" s="5" t="s">
        <v>2635</v>
      </c>
      <c r="S1652" t="s">
        <v>263</v>
      </c>
    </row>
    <row r="1653" spans="1:19" x14ac:dyDescent="0.3">
      <c r="A1653" s="21">
        <v>338</v>
      </c>
      <c r="B1653" s="5" t="s">
        <v>2636</v>
      </c>
      <c r="C1653" s="5" t="s">
        <v>644</v>
      </c>
      <c r="D1653" s="5" t="s">
        <v>27</v>
      </c>
      <c r="E1653" s="5" t="s">
        <v>22</v>
      </c>
      <c r="F1653" s="71">
        <v>45107</v>
      </c>
      <c r="G1653" s="5">
        <v>2023</v>
      </c>
      <c r="H1653" s="5" t="s">
        <v>699</v>
      </c>
      <c r="I1653" s="6" t="s">
        <v>1512</v>
      </c>
      <c r="J1653" s="5">
        <v>100</v>
      </c>
      <c r="K1653" s="12">
        <v>100</v>
      </c>
      <c r="L1653" s="14">
        <f>IFERROR(IF(OR(J1653=0,K1653=""),"",IF(E1653="Positivo",MIN(MAX(K1653/J1653,0),1.3),MIN(MAX(J1653/K1653,0),1.3))),"")</f>
        <v>1</v>
      </c>
      <c r="M1653" s="14">
        <f>IFERROR(IF(OR(J1653=0,K1653=""),"",IF(E1653="Positivo",MAX(K1653/J1653,0),MAX(J1653/K1653,0))),"")</f>
        <v>1</v>
      </c>
      <c r="N1653" s="5" t="s">
        <v>128</v>
      </c>
      <c r="O1653" s="5" t="s">
        <v>128</v>
      </c>
      <c r="P1653" s="15">
        <v>0</v>
      </c>
      <c r="Q1653" s="15">
        <v>0</v>
      </c>
      <c r="R1653" s="5" t="s">
        <v>2637</v>
      </c>
    </row>
    <row r="1654" spans="1:19" x14ac:dyDescent="0.3">
      <c r="A1654" s="21">
        <v>338</v>
      </c>
      <c r="B1654" s="5" t="s">
        <v>874</v>
      </c>
      <c r="C1654" s="5" t="s">
        <v>644</v>
      </c>
      <c r="D1654" s="5" t="s">
        <v>21</v>
      </c>
      <c r="E1654" s="5" t="s">
        <v>22</v>
      </c>
      <c r="F1654" s="71">
        <v>45291</v>
      </c>
      <c r="G1654" s="5">
        <v>2023</v>
      </c>
      <c r="H1654" s="5" t="s">
        <v>23</v>
      </c>
      <c r="I1654" s="6" t="s">
        <v>28</v>
      </c>
      <c r="J1654" s="5">
        <v>0</v>
      </c>
      <c r="K1654" s="12"/>
      <c r="L1654" s="8"/>
      <c r="M1654" s="8"/>
      <c r="N1654" s="5" t="s">
        <v>128</v>
      </c>
      <c r="O1654" s="5" t="s">
        <v>302</v>
      </c>
      <c r="P1654" s="15">
        <v>0</v>
      </c>
      <c r="Q1654" s="15">
        <v>0</v>
      </c>
      <c r="R1654" s="5" t="s">
        <v>872</v>
      </c>
      <c r="S1654" t="s">
        <v>263</v>
      </c>
    </row>
    <row r="1655" spans="1:19" x14ac:dyDescent="0.3">
      <c r="A1655" s="21">
        <v>338</v>
      </c>
      <c r="B1655" s="5" t="s">
        <v>871</v>
      </c>
      <c r="C1655" s="5" t="s">
        <v>644</v>
      </c>
      <c r="D1655" s="5" t="s">
        <v>27</v>
      </c>
      <c r="E1655" s="5" t="s">
        <v>22</v>
      </c>
      <c r="F1655" s="71">
        <v>45473</v>
      </c>
      <c r="G1655" s="5">
        <v>2024</v>
      </c>
      <c r="H1655" s="5" t="s">
        <v>699</v>
      </c>
      <c r="I1655" s="6" t="s">
        <v>729</v>
      </c>
      <c r="J1655" s="5">
        <v>100</v>
      </c>
      <c r="K1655" s="12">
        <v>100</v>
      </c>
      <c r="L1655" s="14">
        <f>IFERROR(IF(OR(J1655=0,K1655=""),"",IF(E1655="Positivo",MIN(MAX(K1655/J1655,0),1.3),MIN(MAX(J1655/K1655,0),1.3))),"")</f>
        <v>1</v>
      </c>
      <c r="M1655" s="14">
        <f>IFERROR(IF(OR(J1655=0,K1655=""),"",IF(E1655="Positivo",MAX(K1655/J1655,0),MAX(J1655/K1655,0))),"")</f>
        <v>1</v>
      </c>
      <c r="N1655" s="5" t="s">
        <v>128</v>
      </c>
      <c r="O1655" s="5" t="s">
        <v>128</v>
      </c>
      <c r="P1655" s="15">
        <v>0</v>
      </c>
      <c r="Q1655" s="15">
        <v>0</v>
      </c>
      <c r="R1655" s="5" t="s">
        <v>2638</v>
      </c>
    </row>
    <row r="1656" spans="1:19" x14ac:dyDescent="0.3">
      <c r="A1656" s="5">
        <v>338</v>
      </c>
      <c r="B1656" s="5" t="s">
        <v>874</v>
      </c>
      <c r="C1656" s="5" t="s">
        <v>644</v>
      </c>
      <c r="D1656" s="5" t="s">
        <v>21</v>
      </c>
      <c r="E1656" s="5" t="s">
        <v>22</v>
      </c>
      <c r="F1656" s="71">
        <v>45657</v>
      </c>
      <c r="G1656" s="5">
        <v>2024</v>
      </c>
      <c r="H1656" s="5" t="s">
        <v>23</v>
      </c>
      <c r="I1656" s="6" t="s">
        <v>30</v>
      </c>
      <c r="J1656" s="5">
        <v>100</v>
      </c>
      <c r="K1656" s="5">
        <v>0</v>
      </c>
      <c r="L1656" s="14"/>
      <c r="M1656" s="14"/>
      <c r="N1656" s="5" t="s">
        <v>128</v>
      </c>
      <c r="O1656" s="5" t="s">
        <v>128</v>
      </c>
      <c r="P1656" s="5">
        <v>0</v>
      </c>
      <c r="Q1656" s="5">
        <v>0</v>
      </c>
      <c r="R1656" s="5" t="s">
        <v>873</v>
      </c>
      <c r="S1656" t="s">
        <v>263</v>
      </c>
    </row>
    <row r="1657" spans="1:19" x14ac:dyDescent="0.3">
      <c r="A1657" s="5">
        <v>338</v>
      </c>
      <c r="B1657" s="5" t="s">
        <v>871</v>
      </c>
      <c r="C1657" s="5" t="s">
        <v>644</v>
      </c>
      <c r="D1657" s="5" t="s">
        <v>27</v>
      </c>
      <c r="E1657" s="5" t="s">
        <v>22</v>
      </c>
      <c r="F1657" s="71">
        <v>45838</v>
      </c>
      <c r="G1657" s="5">
        <v>2025</v>
      </c>
      <c r="H1657" s="5" t="s">
        <v>699</v>
      </c>
      <c r="I1657" s="6" t="s">
        <v>700</v>
      </c>
      <c r="J1657" s="5">
        <v>100</v>
      </c>
      <c r="K1657" s="5">
        <v>100</v>
      </c>
      <c r="L1657" s="14">
        <f>IFERROR(IF(OR(J1657=0,K1657=""),"",IF(E1657="Positivo",MIN(MAX(K1657/J1657,0),1.3),MIN(MAX(J1657/K1657,0),1.3))),"")</f>
        <v>1</v>
      </c>
      <c r="M1657" s="14">
        <f>IFERROR(IF(OR(J1657=0,K1657=""),"",IF(E1657="Positivo",MAX(K1657/J1657,0),MAX(J1657/K1657,0))),"")</f>
        <v>1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2639</v>
      </c>
    </row>
    <row r="1658" spans="1:19" x14ac:dyDescent="0.3">
      <c r="A1658" s="5">
        <v>338</v>
      </c>
      <c r="B1658" s="5" t="s">
        <v>874</v>
      </c>
      <c r="C1658" s="5" t="s">
        <v>644</v>
      </c>
      <c r="D1658" s="5" t="s">
        <v>21</v>
      </c>
      <c r="E1658" s="5" t="s">
        <v>22</v>
      </c>
      <c r="F1658" s="71">
        <v>46022</v>
      </c>
      <c r="G1658" s="5">
        <v>2025</v>
      </c>
      <c r="H1658" s="5" t="s">
        <v>23</v>
      </c>
      <c r="I1658" s="6" t="s">
        <v>32</v>
      </c>
      <c r="J1658" s="5">
        <v>100</v>
      </c>
      <c r="K1658" s="5">
        <v>100</v>
      </c>
      <c r="L1658" s="8"/>
      <c r="M1658" s="14"/>
      <c r="N1658" s="5" t="s">
        <v>128</v>
      </c>
      <c r="O1658" s="5" t="s">
        <v>128</v>
      </c>
      <c r="P1658" s="5">
        <v>0</v>
      </c>
      <c r="Q1658" s="5">
        <v>0</v>
      </c>
      <c r="R1658" s="5" t="s">
        <v>875</v>
      </c>
      <c r="S1658" t="s">
        <v>263</v>
      </c>
    </row>
    <row r="1659" spans="1:19" x14ac:dyDescent="0.3">
      <c r="A1659" s="31">
        <v>339</v>
      </c>
      <c r="B1659" s="5" t="s">
        <v>2640</v>
      </c>
      <c r="C1659" s="5" t="s">
        <v>877</v>
      </c>
      <c r="D1659" s="5" t="s">
        <v>71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30</v>
      </c>
      <c r="K1659" s="48">
        <v>28.571428571428569</v>
      </c>
      <c r="L1659" s="30">
        <f t="shared" ref="L1659:L1681" si="100">IFERROR(IF(OR(J1659=0,K1659=""),"",IF(E1659="Positivo",MIN(MAX(K1659/J1659,0),1.3),MIN(MAX(J1659/K1659,0),1.3))),"")</f>
        <v>0.95238095238095233</v>
      </c>
      <c r="M1659" s="14">
        <f t="shared" ref="M1659:M1681" si="101">IFERROR(IF(OR(J1659=0,K1659=""),"",IF(E1659="Positivo",MAX(K1659/J1659,0),MAX(J1659/K1659,0))),"")</f>
        <v>0.95238095238095233</v>
      </c>
      <c r="N1659" s="31" t="s">
        <v>25</v>
      </c>
      <c r="O1659" s="5" t="s">
        <v>25</v>
      </c>
      <c r="P1659" s="15">
        <v>2</v>
      </c>
      <c r="Q1659" s="15">
        <v>2</v>
      </c>
      <c r="R1659" s="5" t="s">
        <v>878</v>
      </c>
    </row>
    <row r="1660" spans="1:19" x14ac:dyDescent="0.3">
      <c r="A1660" s="5">
        <v>339</v>
      </c>
      <c r="B1660" s="5" t="s">
        <v>2640</v>
      </c>
      <c r="C1660" s="5" t="s">
        <v>877</v>
      </c>
      <c r="D1660" s="5" t="s">
        <v>71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30</v>
      </c>
      <c r="K1660" s="5">
        <v>30.3</v>
      </c>
      <c r="L1660" s="14">
        <f t="shared" si="100"/>
        <v>1.01</v>
      </c>
      <c r="M1660" s="14">
        <f t="shared" si="101"/>
        <v>1.01</v>
      </c>
      <c r="N1660" s="5" t="s">
        <v>25</v>
      </c>
      <c r="O1660" s="5" t="s">
        <v>25</v>
      </c>
      <c r="P1660" s="5">
        <v>2</v>
      </c>
      <c r="Q1660" s="5">
        <v>2</v>
      </c>
      <c r="R1660" s="5" t="s">
        <v>879</v>
      </c>
    </row>
    <row r="1661" spans="1:19" x14ac:dyDescent="0.3">
      <c r="A1661" s="21">
        <v>339</v>
      </c>
      <c r="B1661" s="5" t="s">
        <v>2640</v>
      </c>
      <c r="C1661" s="5" t="s">
        <v>877</v>
      </c>
      <c r="D1661" s="5" t="s">
        <v>71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5">
        <v>30</v>
      </c>
      <c r="K1661" s="10">
        <v>35.29</v>
      </c>
      <c r="L1661" s="14">
        <f t="shared" si="100"/>
        <v>1.1763333333333332</v>
      </c>
      <c r="M1661" s="14">
        <f t="shared" si="101"/>
        <v>1.1763333333333332</v>
      </c>
      <c r="N1661" s="5" t="s">
        <v>25</v>
      </c>
      <c r="O1661" s="5" t="s">
        <v>25</v>
      </c>
      <c r="P1661" s="15">
        <v>0</v>
      </c>
      <c r="Q1661" s="15">
        <v>1</v>
      </c>
      <c r="R1661" s="5" t="s">
        <v>880</v>
      </c>
    </row>
    <row r="1662" spans="1:19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45016</v>
      </c>
      <c r="G1662" s="5">
        <v>2023</v>
      </c>
      <c r="H1662" s="5" t="s">
        <v>1516</v>
      </c>
      <c r="I1662" s="6" t="s">
        <v>1512</v>
      </c>
      <c r="J1662" s="5">
        <v>90</v>
      </c>
      <c r="K1662" s="48">
        <v>100</v>
      </c>
      <c r="L1662" s="14">
        <f t="shared" si="100"/>
        <v>1.1111111111111112</v>
      </c>
      <c r="M1662" s="14">
        <f t="shared" si="101"/>
        <v>1.1111111111111112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2641</v>
      </c>
    </row>
    <row r="1663" spans="1:19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90</v>
      </c>
      <c r="K1663" s="48">
        <v>100</v>
      </c>
      <c r="L1663" s="14">
        <f t="shared" si="100"/>
        <v>1.1111111111111112</v>
      </c>
      <c r="M1663" s="14">
        <f t="shared" si="101"/>
        <v>1.1111111111111112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2642</v>
      </c>
    </row>
    <row r="1664" spans="1:19" x14ac:dyDescent="0.3">
      <c r="A1664" s="21">
        <v>340</v>
      </c>
      <c r="B1664" s="5" t="s">
        <v>881</v>
      </c>
      <c r="C1664" s="5" t="s">
        <v>167</v>
      </c>
      <c r="D1664" s="5" t="s">
        <v>21</v>
      </c>
      <c r="E1664" s="5" t="s">
        <v>22</v>
      </c>
      <c r="F1664" s="71">
        <v>45199</v>
      </c>
      <c r="G1664" s="5">
        <v>2023</v>
      </c>
      <c r="H1664" s="5" t="s">
        <v>162</v>
      </c>
      <c r="I1664" s="6" t="s">
        <v>28</v>
      </c>
      <c r="J1664" s="5">
        <v>90</v>
      </c>
      <c r="K1664" s="48">
        <v>100</v>
      </c>
      <c r="L1664" s="14">
        <f t="shared" si="100"/>
        <v>1.1111111111111112</v>
      </c>
      <c r="M1664" s="14">
        <f t="shared" si="101"/>
        <v>1.1111111111111112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2643</v>
      </c>
    </row>
    <row r="1665" spans="1:18" x14ac:dyDescent="0.3">
      <c r="A1665" s="21">
        <v>340</v>
      </c>
      <c r="B1665" s="5" t="s">
        <v>881</v>
      </c>
      <c r="C1665" s="5" t="s">
        <v>167</v>
      </c>
      <c r="D1665" s="5" t="s">
        <v>21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5">
        <v>90</v>
      </c>
      <c r="K1665" s="48">
        <v>100</v>
      </c>
      <c r="L1665" s="14">
        <f t="shared" si="100"/>
        <v>1.1111111111111112</v>
      </c>
      <c r="M1665" s="14">
        <f t="shared" si="101"/>
        <v>1.1111111111111112</v>
      </c>
      <c r="N1665" s="5" t="s">
        <v>25</v>
      </c>
      <c r="O1665" s="5" t="s">
        <v>25</v>
      </c>
      <c r="P1665" s="15">
        <v>0</v>
      </c>
      <c r="Q1665" s="15">
        <v>0</v>
      </c>
      <c r="R1665" s="5" t="s">
        <v>882</v>
      </c>
    </row>
    <row r="1666" spans="1:18" x14ac:dyDescent="0.3">
      <c r="A1666" s="26">
        <v>340</v>
      </c>
      <c r="B1666" s="5" t="s">
        <v>881</v>
      </c>
      <c r="C1666" s="5" t="s">
        <v>167</v>
      </c>
      <c r="D1666" s="5" t="s">
        <v>21</v>
      </c>
      <c r="E1666" s="5" t="s">
        <v>22</v>
      </c>
      <c r="F1666" s="71">
        <v>45382</v>
      </c>
      <c r="G1666" s="5">
        <v>2024</v>
      </c>
      <c r="H1666" s="5" t="s">
        <v>1516</v>
      </c>
      <c r="I1666" s="6" t="s">
        <v>729</v>
      </c>
      <c r="J1666" s="5">
        <v>95</v>
      </c>
      <c r="K1666" s="48">
        <v>100</v>
      </c>
      <c r="L1666" s="14">
        <f t="shared" si="100"/>
        <v>1.0526315789473684</v>
      </c>
      <c r="M1666" s="14">
        <f t="shared" si="101"/>
        <v>1.0526315789473684</v>
      </c>
      <c r="N1666" s="5" t="s">
        <v>25</v>
      </c>
      <c r="O1666" s="5" t="s">
        <v>25</v>
      </c>
      <c r="P1666" s="15">
        <v>0</v>
      </c>
      <c r="Q1666" s="15">
        <v>0</v>
      </c>
      <c r="R1666" s="5" t="s">
        <v>2644</v>
      </c>
    </row>
    <row r="1667" spans="1:18" x14ac:dyDescent="0.3">
      <c r="A1667" s="26">
        <v>340</v>
      </c>
      <c r="B1667" s="5" t="s">
        <v>881</v>
      </c>
      <c r="C1667" s="5" t="s">
        <v>167</v>
      </c>
      <c r="D1667" s="5" t="s">
        <v>21</v>
      </c>
      <c r="E1667" s="5" t="s">
        <v>22</v>
      </c>
      <c r="F1667" s="71">
        <v>45473</v>
      </c>
      <c r="G1667" s="5">
        <v>2024</v>
      </c>
      <c r="H1667" s="5" t="s">
        <v>699</v>
      </c>
      <c r="I1667" s="6" t="s">
        <v>729</v>
      </c>
      <c r="J1667" s="5">
        <v>95</v>
      </c>
      <c r="K1667" s="48">
        <v>100</v>
      </c>
      <c r="L1667" s="14">
        <f t="shared" si="100"/>
        <v>1.0526315789473684</v>
      </c>
      <c r="M1667" s="14">
        <f t="shared" si="101"/>
        <v>1.0526315789473684</v>
      </c>
      <c r="N1667" s="5" t="s">
        <v>25</v>
      </c>
      <c r="O1667" s="5" t="s">
        <v>25</v>
      </c>
      <c r="P1667" s="15">
        <v>0</v>
      </c>
      <c r="Q1667" s="15">
        <v>0</v>
      </c>
      <c r="R1667" s="5" t="s">
        <v>2645</v>
      </c>
    </row>
    <row r="1668" spans="1:18" x14ac:dyDescent="0.3">
      <c r="A1668" s="26">
        <v>340</v>
      </c>
      <c r="B1668" s="5" t="s">
        <v>881</v>
      </c>
      <c r="C1668" s="5" t="s">
        <v>167</v>
      </c>
      <c r="D1668" s="5" t="s">
        <v>21</v>
      </c>
      <c r="E1668" s="5" t="s">
        <v>22</v>
      </c>
      <c r="F1668" s="71">
        <v>45565</v>
      </c>
      <c r="G1668" s="5">
        <v>2024</v>
      </c>
      <c r="H1668" s="5" t="s">
        <v>162</v>
      </c>
      <c r="I1668" s="6" t="s">
        <v>30</v>
      </c>
      <c r="J1668" s="5">
        <v>95</v>
      </c>
      <c r="K1668" s="48">
        <v>100</v>
      </c>
      <c r="L1668" s="14">
        <f t="shared" si="100"/>
        <v>1.0526315789473684</v>
      </c>
      <c r="M1668" s="14">
        <f t="shared" si="101"/>
        <v>1.0526315789473684</v>
      </c>
      <c r="N1668" s="5" t="s">
        <v>25</v>
      </c>
      <c r="O1668" s="5" t="s">
        <v>25</v>
      </c>
      <c r="P1668" s="15">
        <v>0</v>
      </c>
      <c r="Q1668" s="15">
        <v>0</v>
      </c>
      <c r="R1668" s="5" t="s">
        <v>2646</v>
      </c>
    </row>
    <row r="1669" spans="1:18" x14ac:dyDescent="0.3">
      <c r="A1669" s="21">
        <v>340</v>
      </c>
      <c r="B1669" s="5" t="s">
        <v>881</v>
      </c>
      <c r="C1669" s="5" t="s">
        <v>167</v>
      </c>
      <c r="D1669" s="5" t="s">
        <v>21</v>
      </c>
      <c r="E1669" s="5" t="s">
        <v>22</v>
      </c>
      <c r="F1669" s="71">
        <v>45657</v>
      </c>
      <c r="G1669" s="5">
        <v>2024</v>
      </c>
      <c r="H1669" s="5" t="s">
        <v>23</v>
      </c>
      <c r="I1669" s="6" t="s">
        <v>30</v>
      </c>
      <c r="J1669" s="5">
        <v>95</v>
      </c>
      <c r="K1669" s="10">
        <v>100</v>
      </c>
      <c r="L1669" s="14">
        <f t="shared" si="100"/>
        <v>1.0526315789473684</v>
      </c>
      <c r="M1669" s="14">
        <f t="shared" si="101"/>
        <v>1.0526315789473684</v>
      </c>
      <c r="N1669" s="5" t="s">
        <v>25</v>
      </c>
      <c r="O1669" s="5" t="s">
        <v>25</v>
      </c>
      <c r="P1669" s="15">
        <v>0</v>
      </c>
      <c r="Q1669" s="15">
        <v>0</v>
      </c>
      <c r="R1669" s="5" t="s">
        <v>883</v>
      </c>
    </row>
    <row r="1670" spans="1:18" x14ac:dyDescent="0.3">
      <c r="A1670" s="21">
        <v>341</v>
      </c>
      <c r="B1670" s="5" t="s">
        <v>884</v>
      </c>
      <c r="C1670" s="5" t="s">
        <v>20</v>
      </c>
      <c r="D1670" s="5" t="s">
        <v>27</v>
      </c>
      <c r="E1670" s="5" t="s">
        <v>22</v>
      </c>
      <c r="F1670" s="71">
        <v>45107</v>
      </c>
      <c r="G1670" s="5">
        <v>2023</v>
      </c>
      <c r="H1670" s="5" t="s">
        <v>699</v>
      </c>
      <c r="I1670" s="6" t="s">
        <v>1512</v>
      </c>
      <c r="J1670" s="5">
        <v>100</v>
      </c>
      <c r="K1670" s="10">
        <v>123.86966666667</v>
      </c>
      <c r="L1670" s="14">
        <f t="shared" si="100"/>
        <v>1.2386966666667001</v>
      </c>
      <c r="M1670" s="14">
        <f t="shared" si="101"/>
        <v>1.2386966666667001</v>
      </c>
      <c r="N1670" s="5" t="s">
        <v>205</v>
      </c>
      <c r="O1670" s="5" t="s">
        <v>205</v>
      </c>
      <c r="P1670" s="15">
        <v>0</v>
      </c>
      <c r="Q1670" s="15">
        <v>0</v>
      </c>
      <c r="R1670" s="5" t="s">
        <v>2647</v>
      </c>
    </row>
    <row r="1671" spans="1:18" x14ac:dyDescent="0.3">
      <c r="A1671" s="28">
        <v>341</v>
      </c>
      <c r="B1671" s="5" t="s">
        <v>884</v>
      </c>
      <c r="C1671" s="5" t="s">
        <v>20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76">
        <v>100</v>
      </c>
      <c r="K1671" s="9">
        <v>130.57</v>
      </c>
      <c r="L1671" s="14">
        <f t="shared" si="100"/>
        <v>1.3</v>
      </c>
      <c r="M1671" s="14">
        <f t="shared" si="101"/>
        <v>1.3056999999999999</v>
      </c>
      <c r="N1671" s="5" t="s">
        <v>205</v>
      </c>
      <c r="O1671" s="5" t="s">
        <v>205</v>
      </c>
      <c r="P1671" s="15">
        <v>0</v>
      </c>
      <c r="Q1671" s="15">
        <v>0</v>
      </c>
      <c r="R1671" s="5" t="s">
        <v>885</v>
      </c>
    </row>
    <row r="1672" spans="1:18" x14ac:dyDescent="0.3">
      <c r="A1672" s="21">
        <v>341</v>
      </c>
      <c r="B1672" s="5" t="s">
        <v>886</v>
      </c>
      <c r="C1672" s="5" t="s">
        <v>20</v>
      </c>
      <c r="D1672" s="5" t="s">
        <v>27</v>
      </c>
      <c r="E1672" s="5" t="s">
        <v>22</v>
      </c>
      <c r="F1672" s="70">
        <v>45473</v>
      </c>
      <c r="G1672" s="5">
        <v>2024</v>
      </c>
      <c r="H1672" s="5" t="s">
        <v>699</v>
      </c>
      <c r="I1672" s="6" t="s">
        <v>729</v>
      </c>
      <c r="J1672" s="5">
        <v>100</v>
      </c>
      <c r="K1672" s="9">
        <v>125</v>
      </c>
      <c r="L1672" s="14">
        <f t="shared" si="100"/>
        <v>1.25</v>
      </c>
      <c r="M1672" s="14">
        <f t="shared" si="101"/>
        <v>1.25</v>
      </c>
      <c r="N1672" s="5" t="s">
        <v>205</v>
      </c>
      <c r="O1672" s="5" t="s">
        <v>205</v>
      </c>
      <c r="P1672" s="15">
        <v>0</v>
      </c>
      <c r="Q1672" s="15">
        <v>0</v>
      </c>
      <c r="R1672" s="5" t="s">
        <v>2648</v>
      </c>
    </row>
    <row r="1673" spans="1:18" x14ac:dyDescent="0.3">
      <c r="A1673" s="21">
        <v>341</v>
      </c>
      <c r="B1673" s="5" t="s">
        <v>886</v>
      </c>
      <c r="C1673" s="5" t="s">
        <v>20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100</v>
      </c>
      <c r="K1673" s="10">
        <v>102.44</v>
      </c>
      <c r="L1673" s="14">
        <f t="shared" si="100"/>
        <v>1.0244</v>
      </c>
      <c r="M1673" s="14">
        <f t="shared" si="101"/>
        <v>1.0244</v>
      </c>
      <c r="N1673" s="5" t="s">
        <v>205</v>
      </c>
      <c r="O1673" s="5" t="s">
        <v>205</v>
      </c>
      <c r="P1673" s="15">
        <v>0</v>
      </c>
      <c r="Q1673" s="15">
        <v>0</v>
      </c>
      <c r="R1673" s="5" t="s">
        <v>887</v>
      </c>
    </row>
    <row r="1674" spans="1:18" x14ac:dyDescent="0.3">
      <c r="A1674" s="21">
        <v>341</v>
      </c>
      <c r="B1674" s="5" t="s">
        <v>886</v>
      </c>
      <c r="C1674" s="5" t="s">
        <v>20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100</v>
      </c>
      <c r="K1674" s="11">
        <v>102.25</v>
      </c>
      <c r="L1674" s="14">
        <f t="shared" si="100"/>
        <v>1.0225</v>
      </c>
      <c r="M1674" s="14">
        <f t="shared" si="101"/>
        <v>1.0225</v>
      </c>
      <c r="N1674" s="5" t="s">
        <v>205</v>
      </c>
      <c r="O1674" s="5" t="s">
        <v>205</v>
      </c>
      <c r="P1674" s="15">
        <v>0</v>
      </c>
      <c r="Q1674" s="15">
        <v>0</v>
      </c>
      <c r="R1674" s="5" t="s">
        <v>2649</v>
      </c>
    </row>
    <row r="1675" spans="1:18" x14ac:dyDescent="0.3">
      <c r="A1675" s="21">
        <v>341</v>
      </c>
      <c r="B1675" s="5" t="s">
        <v>888</v>
      </c>
      <c r="C1675" s="5" t="s">
        <v>20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100</v>
      </c>
      <c r="K1675" s="9">
        <v>102.65</v>
      </c>
      <c r="L1675" s="14">
        <f t="shared" si="100"/>
        <v>1.0265</v>
      </c>
      <c r="M1675" s="14">
        <f t="shared" si="101"/>
        <v>1.0265</v>
      </c>
      <c r="N1675" s="5" t="s">
        <v>205</v>
      </c>
      <c r="O1675" s="11" t="s">
        <v>205</v>
      </c>
      <c r="P1675" s="15">
        <v>0</v>
      </c>
      <c r="Q1675" s="15">
        <v>0</v>
      </c>
      <c r="R1675" s="5" t="s">
        <v>889</v>
      </c>
    </row>
    <row r="1676" spans="1:18" x14ac:dyDescent="0.3">
      <c r="A1676" s="21">
        <v>344</v>
      </c>
      <c r="B1676" s="5" t="s">
        <v>890</v>
      </c>
      <c r="C1676" s="5" t="s">
        <v>40</v>
      </c>
      <c r="D1676" s="5" t="s">
        <v>27</v>
      </c>
      <c r="E1676" s="5" t="s">
        <v>22</v>
      </c>
      <c r="F1676" s="70">
        <v>45107</v>
      </c>
      <c r="G1676" s="5">
        <v>2023</v>
      </c>
      <c r="H1676" s="5" t="s">
        <v>699</v>
      </c>
      <c r="I1676" s="6" t="s">
        <v>1512</v>
      </c>
      <c r="J1676" s="5">
        <v>90</v>
      </c>
      <c r="K1676" s="9">
        <v>97.744360902256005</v>
      </c>
      <c r="L1676" s="14">
        <f t="shared" si="100"/>
        <v>1.0860484544695113</v>
      </c>
      <c r="M1676" s="14">
        <f t="shared" si="101"/>
        <v>1.0860484544695113</v>
      </c>
      <c r="N1676" s="5" t="s">
        <v>25</v>
      </c>
      <c r="O1676" s="11" t="s">
        <v>25</v>
      </c>
      <c r="P1676" s="15">
        <v>0</v>
      </c>
      <c r="Q1676" s="15">
        <v>0</v>
      </c>
      <c r="R1676" s="5" t="s">
        <v>2650</v>
      </c>
    </row>
    <row r="1677" spans="1:18" x14ac:dyDescent="0.3">
      <c r="A1677" s="21">
        <v>344</v>
      </c>
      <c r="B1677" s="5" t="s">
        <v>890</v>
      </c>
      <c r="C1677" s="5" t="s">
        <v>40</v>
      </c>
      <c r="D1677" s="5" t="s">
        <v>27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>
        <v>90</v>
      </c>
      <c r="K1677" s="9">
        <v>97.76</v>
      </c>
      <c r="L1677" s="14">
        <f t="shared" si="100"/>
        <v>1.0862222222222222</v>
      </c>
      <c r="M1677" s="14">
        <f t="shared" si="101"/>
        <v>1.0862222222222222</v>
      </c>
      <c r="N1677" s="5" t="s">
        <v>25</v>
      </c>
      <c r="O1677" s="11" t="s">
        <v>25</v>
      </c>
      <c r="P1677" s="15">
        <v>0</v>
      </c>
      <c r="Q1677" s="15">
        <v>0</v>
      </c>
      <c r="R1677" s="5" t="s">
        <v>891</v>
      </c>
    </row>
    <row r="1678" spans="1:18" x14ac:dyDescent="0.3">
      <c r="A1678" s="21">
        <v>344</v>
      </c>
      <c r="B1678" s="5" t="s">
        <v>890</v>
      </c>
      <c r="C1678" s="5" t="s">
        <v>40</v>
      </c>
      <c r="D1678" s="5" t="s">
        <v>27</v>
      </c>
      <c r="E1678" s="5" t="s">
        <v>22</v>
      </c>
      <c r="F1678" s="71">
        <v>45473</v>
      </c>
      <c r="G1678" s="5">
        <v>2024</v>
      </c>
      <c r="H1678" s="5" t="s">
        <v>699</v>
      </c>
      <c r="I1678" s="6" t="s">
        <v>729</v>
      </c>
      <c r="J1678" s="5">
        <v>93</v>
      </c>
      <c r="K1678" s="9">
        <v>97.34</v>
      </c>
      <c r="L1678" s="14">
        <f t="shared" si="100"/>
        <v>1.0466666666666666</v>
      </c>
      <c r="M1678" s="14">
        <f t="shared" si="101"/>
        <v>1.0466666666666666</v>
      </c>
      <c r="N1678" s="5" t="s">
        <v>25</v>
      </c>
      <c r="O1678" s="11" t="s">
        <v>25</v>
      </c>
      <c r="P1678" s="15">
        <v>0</v>
      </c>
      <c r="Q1678" s="15">
        <v>0</v>
      </c>
      <c r="R1678" s="5" t="s">
        <v>2651</v>
      </c>
    </row>
    <row r="1679" spans="1:18" x14ac:dyDescent="0.3">
      <c r="A1679" s="21">
        <v>344</v>
      </c>
      <c r="B1679" s="5" t="s">
        <v>890</v>
      </c>
      <c r="C1679" s="5" t="s">
        <v>40</v>
      </c>
      <c r="D1679" s="5" t="s">
        <v>27</v>
      </c>
      <c r="E1679" s="5" t="s">
        <v>22</v>
      </c>
      <c r="F1679" s="71">
        <v>45657</v>
      </c>
      <c r="G1679" s="5">
        <v>2024</v>
      </c>
      <c r="H1679" s="5" t="s">
        <v>23</v>
      </c>
      <c r="I1679" s="6" t="s">
        <v>30</v>
      </c>
      <c r="J1679" s="5">
        <v>93</v>
      </c>
      <c r="K1679" s="9">
        <v>99.19</v>
      </c>
      <c r="L1679" s="14">
        <f t="shared" si="100"/>
        <v>1.0665591397849463</v>
      </c>
      <c r="M1679" s="14">
        <f t="shared" si="101"/>
        <v>1.0665591397849463</v>
      </c>
      <c r="N1679" s="5" t="s">
        <v>25</v>
      </c>
      <c r="O1679" s="11" t="s">
        <v>25</v>
      </c>
      <c r="P1679" s="15">
        <v>0</v>
      </c>
      <c r="Q1679" s="15">
        <v>0</v>
      </c>
      <c r="R1679" s="5" t="s">
        <v>892</v>
      </c>
    </row>
    <row r="1680" spans="1:18" x14ac:dyDescent="0.3">
      <c r="A1680" s="21">
        <v>344</v>
      </c>
      <c r="B1680" s="5" t="s">
        <v>890</v>
      </c>
      <c r="C1680" s="5" t="s">
        <v>40</v>
      </c>
      <c r="D1680" s="5" t="s">
        <v>27</v>
      </c>
      <c r="E1680" s="5" t="s">
        <v>22</v>
      </c>
      <c r="F1680" s="71">
        <v>45838</v>
      </c>
      <c r="G1680" s="5">
        <v>2025</v>
      </c>
      <c r="H1680" s="5" t="s">
        <v>699</v>
      </c>
      <c r="I1680" s="6" t="s">
        <v>700</v>
      </c>
      <c r="J1680" s="5">
        <v>93</v>
      </c>
      <c r="K1680" s="9">
        <v>99.43</v>
      </c>
      <c r="L1680" s="14">
        <f t="shared" si="100"/>
        <v>1.0691397849462367</v>
      </c>
      <c r="M1680" s="14">
        <f t="shared" si="101"/>
        <v>1.0691397849462367</v>
      </c>
      <c r="N1680" s="5" t="s">
        <v>25</v>
      </c>
      <c r="O1680" s="11" t="s">
        <v>25</v>
      </c>
      <c r="P1680" s="15">
        <v>0</v>
      </c>
      <c r="Q1680" s="15">
        <v>0</v>
      </c>
      <c r="R1680" s="5" t="s">
        <v>2652</v>
      </c>
    </row>
    <row r="1681" spans="1:18" x14ac:dyDescent="0.3">
      <c r="A1681" s="21">
        <v>344</v>
      </c>
      <c r="B1681" s="5" t="s">
        <v>890</v>
      </c>
      <c r="C1681" s="5" t="s">
        <v>40</v>
      </c>
      <c r="D1681" s="5" t="s">
        <v>21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32</v>
      </c>
      <c r="J1681" s="5">
        <v>93</v>
      </c>
      <c r="K1681" s="9">
        <v>100</v>
      </c>
      <c r="L1681" s="14">
        <f t="shared" si="100"/>
        <v>1.075268817204301</v>
      </c>
      <c r="M1681" s="14">
        <f t="shared" si="101"/>
        <v>1.075268817204301</v>
      </c>
      <c r="N1681" s="5" t="s">
        <v>25</v>
      </c>
      <c r="O1681" s="11" t="s">
        <v>25</v>
      </c>
      <c r="P1681" s="15">
        <v>0</v>
      </c>
      <c r="Q1681" s="15">
        <v>0</v>
      </c>
      <c r="R1681" s="5" t="s">
        <v>893</v>
      </c>
    </row>
    <row r="1682" spans="1:18" x14ac:dyDescent="0.3">
      <c r="A1682" s="21">
        <v>345</v>
      </c>
      <c r="B1682" s="5" t="s">
        <v>894</v>
      </c>
      <c r="C1682" s="5" t="s">
        <v>40</v>
      </c>
      <c r="D1682" s="5" t="s">
        <v>71</v>
      </c>
      <c r="E1682" s="5" t="s">
        <v>22</v>
      </c>
      <c r="F1682" s="71">
        <v>45291</v>
      </c>
      <c r="G1682" s="5">
        <v>2023</v>
      </c>
      <c r="H1682" s="5" t="s">
        <v>23</v>
      </c>
      <c r="I1682" s="6" t="s">
        <v>28</v>
      </c>
      <c r="J1682" s="5"/>
      <c r="K1682" s="9">
        <v>94.85</v>
      </c>
      <c r="L1682" s="8"/>
      <c r="M1682" s="14"/>
      <c r="N1682" s="5" t="s">
        <v>355</v>
      </c>
      <c r="O1682" s="11" t="s">
        <v>25</v>
      </c>
      <c r="P1682" s="15">
        <v>0</v>
      </c>
      <c r="Q1682" s="15">
        <v>0</v>
      </c>
      <c r="R1682" s="5" t="s">
        <v>895</v>
      </c>
    </row>
    <row r="1683" spans="1:18" x14ac:dyDescent="0.3">
      <c r="A1683" s="21">
        <v>346</v>
      </c>
      <c r="B1683" s="5" t="s">
        <v>896</v>
      </c>
      <c r="C1683" s="5" t="s">
        <v>40</v>
      </c>
      <c r="D1683" s="5" t="s">
        <v>71</v>
      </c>
      <c r="E1683" s="5" t="s">
        <v>22</v>
      </c>
      <c r="F1683" s="71">
        <v>45291</v>
      </c>
      <c r="G1683" s="5">
        <v>2023</v>
      </c>
      <c r="H1683" s="5" t="s">
        <v>23</v>
      </c>
      <c r="I1683" s="6" t="s">
        <v>28</v>
      </c>
      <c r="J1683" s="5"/>
      <c r="K1683" s="10">
        <v>83.91608391608392</v>
      </c>
      <c r="L1683" s="14"/>
      <c r="M1683" s="14"/>
      <c r="N1683" s="5" t="s">
        <v>355</v>
      </c>
      <c r="O1683" s="5" t="s">
        <v>25</v>
      </c>
      <c r="P1683" s="15">
        <v>0</v>
      </c>
      <c r="Q1683" s="15">
        <v>0</v>
      </c>
      <c r="R1683" s="5" t="s">
        <v>897</v>
      </c>
    </row>
    <row r="1684" spans="1:18" x14ac:dyDescent="0.3">
      <c r="A1684" s="21">
        <v>346</v>
      </c>
      <c r="B1684" s="5" t="s">
        <v>896</v>
      </c>
      <c r="C1684" s="5" t="s">
        <v>40</v>
      </c>
      <c r="D1684" s="5" t="s">
        <v>71</v>
      </c>
      <c r="E1684" s="5" t="s">
        <v>22</v>
      </c>
      <c r="F1684" s="71">
        <v>45657</v>
      </c>
      <c r="G1684" s="5">
        <v>2024</v>
      </c>
      <c r="H1684" s="5" t="s">
        <v>23</v>
      </c>
      <c r="I1684" s="6" t="s">
        <v>30</v>
      </c>
      <c r="J1684" s="5">
        <v>85</v>
      </c>
      <c r="K1684" s="10">
        <v>91.88</v>
      </c>
      <c r="L1684" s="14">
        <f t="shared" ref="L1684:L1715" si="102">IFERROR(IF(OR(J1684=0,K1684=""),"",IF(E1684="Positivo",MIN(MAX(K1684/J1684,0),1.3),MIN(MAX(J1684/K1684,0),1.3))),"")</f>
        <v>1.0809411764705881</v>
      </c>
      <c r="M1684" s="14">
        <f t="shared" ref="M1684:M1715" si="103">IFERROR(IF(OR(J1684=0,K1684=""),"",IF(E1684="Positivo",MAX(K1684/J1684,0),MAX(J1684/K1684,0))),"")</f>
        <v>1.0809411764705881</v>
      </c>
      <c r="N1684" s="5" t="s">
        <v>355</v>
      </c>
      <c r="O1684" s="5" t="s">
        <v>25</v>
      </c>
      <c r="P1684" s="15">
        <v>0</v>
      </c>
      <c r="Q1684" s="15">
        <v>0</v>
      </c>
      <c r="R1684" s="5" t="s">
        <v>898</v>
      </c>
    </row>
    <row r="1685" spans="1:18" x14ac:dyDescent="0.3">
      <c r="A1685" s="21">
        <v>346</v>
      </c>
      <c r="B1685" s="5" t="s">
        <v>896</v>
      </c>
      <c r="C1685" s="5" t="s">
        <v>40</v>
      </c>
      <c r="D1685" s="5" t="s">
        <v>71</v>
      </c>
      <c r="E1685" s="5" t="s">
        <v>22</v>
      </c>
      <c r="F1685" s="71">
        <v>46022</v>
      </c>
      <c r="G1685" s="5">
        <v>2025</v>
      </c>
      <c r="H1685" s="5" t="s">
        <v>23</v>
      </c>
      <c r="I1685" s="6" t="s">
        <v>32</v>
      </c>
      <c r="J1685" s="5">
        <v>85</v>
      </c>
      <c r="K1685" s="10">
        <v>97.28</v>
      </c>
      <c r="L1685" s="14">
        <f t="shared" si="102"/>
        <v>1.1444705882352941</v>
      </c>
      <c r="M1685" s="14">
        <f t="shared" si="103"/>
        <v>1.1444705882352941</v>
      </c>
      <c r="N1685" s="5" t="s">
        <v>355</v>
      </c>
      <c r="O1685" s="5" t="s">
        <v>25</v>
      </c>
      <c r="P1685" s="15">
        <v>0</v>
      </c>
      <c r="Q1685" s="15">
        <v>0</v>
      </c>
      <c r="R1685" s="5" t="s">
        <v>899</v>
      </c>
    </row>
    <row r="1686" spans="1:18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45016</v>
      </c>
      <c r="G1686" s="5">
        <v>2023</v>
      </c>
      <c r="H1686" s="5" t="s">
        <v>1516</v>
      </c>
      <c r="I1686" s="6" t="s">
        <v>1512</v>
      </c>
      <c r="J1686" s="5">
        <v>0</v>
      </c>
      <c r="K1686" s="10">
        <v>5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2653</v>
      </c>
    </row>
    <row r="1687" spans="1:18" x14ac:dyDescent="0.3">
      <c r="A1687" s="21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45107</v>
      </c>
      <c r="G1687" s="5">
        <v>2023</v>
      </c>
      <c r="H1687" s="5" t="s">
        <v>699</v>
      </c>
      <c r="I1687" s="6" t="s">
        <v>1512</v>
      </c>
      <c r="J1687" s="5">
        <v>0</v>
      </c>
      <c r="K1687" s="10">
        <v>8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2654</v>
      </c>
    </row>
    <row r="1688" spans="1:18" x14ac:dyDescent="0.3">
      <c r="A1688" s="21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45199</v>
      </c>
      <c r="G1688" s="5">
        <v>2023</v>
      </c>
      <c r="H1688" s="5" t="s">
        <v>162</v>
      </c>
      <c r="I1688" s="6" t="s">
        <v>28</v>
      </c>
      <c r="J1688" s="5">
        <v>0</v>
      </c>
      <c r="K1688" s="10">
        <v>12</v>
      </c>
      <c r="L1688" s="14" t="str">
        <f t="shared" si="102"/>
        <v/>
      </c>
      <c r="M1688" s="14" t="str">
        <f t="shared" si="103"/>
        <v/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2655</v>
      </c>
    </row>
    <row r="1689" spans="1:18" x14ac:dyDescent="0.3">
      <c r="A1689" s="21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0">
        <v>45291</v>
      </c>
      <c r="G1689" s="5">
        <v>2023</v>
      </c>
      <c r="H1689" s="5" t="s">
        <v>23</v>
      </c>
      <c r="I1689" s="6" t="s">
        <v>28</v>
      </c>
      <c r="J1689" s="5">
        <v>0</v>
      </c>
      <c r="K1689" s="5">
        <v>2</v>
      </c>
      <c r="L1689" s="14" t="str">
        <f t="shared" si="102"/>
        <v/>
      </c>
      <c r="M1689" s="14" t="str">
        <f t="shared" si="103"/>
        <v/>
      </c>
      <c r="N1689" s="5" t="s">
        <v>128</v>
      </c>
      <c r="O1689" s="5" t="s">
        <v>128</v>
      </c>
      <c r="P1689" s="15">
        <v>0</v>
      </c>
      <c r="Q1689" s="15">
        <v>0</v>
      </c>
      <c r="R1689" s="5" t="s">
        <v>902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21</v>
      </c>
      <c r="E1690" s="5" t="s">
        <v>41</v>
      </c>
      <c r="F1690" s="71">
        <v>45382</v>
      </c>
      <c r="G1690" s="5">
        <v>2024</v>
      </c>
      <c r="H1690" s="5" t="s">
        <v>1516</v>
      </c>
      <c r="I1690" s="6" t="s">
        <v>729</v>
      </c>
      <c r="J1690" s="5">
        <v>5</v>
      </c>
      <c r="K1690" s="5">
        <v>0</v>
      </c>
      <c r="L1690" s="14" t="str">
        <f t="shared" si="102"/>
        <v/>
      </c>
      <c r="M1690" s="14" t="str">
        <f t="shared" si="103"/>
        <v/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2656</v>
      </c>
    </row>
    <row r="1691" spans="1:18" x14ac:dyDescent="0.3">
      <c r="A1691" s="26">
        <v>347</v>
      </c>
      <c r="B1691" s="5" t="s">
        <v>900</v>
      </c>
      <c r="C1691" s="5" t="s">
        <v>901</v>
      </c>
      <c r="D1691" s="5" t="s">
        <v>21</v>
      </c>
      <c r="E1691" s="5" t="s">
        <v>41</v>
      </c>
      <c r="F1691" s="71">
        <v>45473</v>
      </c>
      <c r="G1691" s="5">
        <v>2024</v>
      </c>
      <c r="H1691" s="5" t="s">
        <v>699</v>
      </c>
      <c r="I1691" s="6" t="s">
        <v>729</v>
      </c>
      <c r="J1691" s="5">
        <v>5</v>
      </c>
      <c r="K1691" s="9">
        <v>3</v>
      </c>
      <c r="L1691" s="14">
        <f t="shared" si="102"/>
        <v>1.3</v>
      </c>
      <c r="M1691" s="14">
        <f t="shared" si="103"/>
        <v>1.6666666666666667</v>
      </c>
      <c r="N1691" s="5" t="s">
        <v>128</v>
      </c>
      <c r="O1691" s="5" t="s">
        <v>128</v>
      </c>
      <c r="P1691" s="15">
        <v>0</v>
      </c>
      <c r="Q1691" s="15">
        <v>0</v>
      </c>
      <c r="R1691" s="5" t="s">
        <v>2657</v>
      </c>
    </row>
    <row r="1692" spans="1:18" x14ac:dyDescent="0.3">
      <c r="A1692" s="21">
        <v>347</v>
      </c>
      <c r="B1692" s="5" t="s">
        <v>900</v>
      </c>
      <c r="C1692" s="5" t="s">
        <v>901</v>
      </c>
      <c r="D1692" s="5" t="s">
        <v>21</v>
      </c>
      <c r="E1692" s="5" t="s">
        <v>41</v>
      </c>
      <c r="F1692" s="71">
        <v>45565</v>
      </c>
      <c r="G1692" s="5">
        <v>2024</v>
      </c>
      <c r="H1692" s="5" t="s">
        <v>162</v>
      </c>
      <c r="I1692" s="6" t="s">
        <v>30</v>
      </c>
      <c r="J1692" s="5">
        <v>5</v>
      </c>
      <c r="K1692" s="10">
        <v>0</v>
      </c>
      <c r="L1692" s="14" t="str">
        <f t="shared" si="102"/>
        <v/>
      </c>
      <c r="M1692" s="14" t="str">
        <f t="shared" si="103"/>
        <v/>
      </c>
      <c r="N1692" s="5" t="s">
        <v>128</v>
      </c>
      <c r="O1692" s="5" t="s">
        <v>128</v>
      </c>
      <c r="P1692" s="15">
        <v>0</v>
      </c>
      <c r="Q1692" s="15">
        <v>0</v>
      </c>
      <c r="R1692" s="5" t="s">
        <v>2658</v>
      </c>
    </row>
    <row r="1693" spans="1:18" x14ac:dyDescent="0.3">
      <c r="A1693" s="26">
        <v>347</v>
      </c>
      <c r="B1693" s="5" t="s">
        <v>900</v>
      </c>
      <c r="C1693" s="5" t="s">
        <v>901</v>
      </c>
      <c r="D1693" s="5" t="s">
        <v>21</v>
      </c>
      <c r="E1693" s="5" t="s">
        <v>41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5</v>
      </c>
      <c r="K1693" s="5">
        <v>0</v>
      </c>
      <c r="L1693" s="14" t="str">
        <f t="shared" si="102"/>
        <v/>
      </c>
      <c r="M1693" s="14" t="str">
        <f t="shared" si="103"/>
        <v/>
      </c>
      <c r="N1693" s="5" t="s">
        <v>128</v>
      </c>
      <c r="O1693" s="5" t="s">
        <v>128</v>
      </c>
      <c r="P1693" s="15">
        <v>0</v>
      </c>
      <c r="Q1693" s="15">
        <v>0</v>
      </c>
      <c r="R1693" s="5" t="s">
        <v>903</v>
      </c>
    </row>
    <row r="1694" spans="1:18" x14ac:dyDescent="0.3">
      <c r="A1694" s="26">
        <v>347</v>
      </c>
      <c r="B1694" s="5" t="s">
        <v>900</v>
      </c>
      <c r="C1694" s="5" t="s">
        <v>901</v>
      </c>
      <c r="D1694" s="5" t="s">
        <v>21</v>
      </c>
      <c r="E1694" s="5" t="s">
        <v>41</v>
      </c>
      <c r="F1694" s="71">
        <v>45747</v>
      </c>
      <c r="G1694" s="5">
        <v>2025</v>
      </c>
      <c r="H1694" s="5" t="s">
        <v>1516</v>
      </c>
      <c r="I1694" s="6" t="s">
        <v>700</v>
      </c>
      <c r="J1694" s="5">
        <v>5</v>
      </c>
      <c r="K1694" s="5">
        <v>1</v>
      </c>
      <c r="L1694" s="14">
        <f t="shared" si="102"/>
        <v>1.3</v>
      </c>
      <c r="M1694" s="14">
        <f t="shared" si="103"/>
        <v>5</v>
      </c>
      <c r="N1694" s="5" t="s">
        <v>128</v>
      </c>
      <c r="O1694" s="5" t="s">
        <v>128</v>
      </c>
      <c r="P1694" s="15">
        <v>0</v>
      </c>
      <c r="Q1694" s="15">
        <v>0</v>
      </c>
      <c r="R1694" s="5" t="s">
        <v>2659</v>
      </c>
    </row>
    <row r="1695" spans="1:18" x14ac:dyDescent="0.3">
      <c r="A1695" s="5">
        <v>347</v>
      </c>
      <c r="B1695" s="5" t="s">
        <v>900</v>
      </c>
      <c r="C1695" s="5" t="s">
        <v>901</v>
      </c>
      <c r="D1695" s="5" t="s">
        <v>21</v>
      </c>
      <c r="E1695" s="5" t="s">
        <v>41</v>
      </c>
      <c r="F1695" s="71">
        <v>45838</v>
      </c>
      <c r="G1695" s="5">
        <v>2025</v>
      </c>
      <c r="H1695" s="5" t="s">
        <v>699</v>
      </c>
      <c r="I1695" s="6" t="s">
        <v>700</v>
      </c>
      <c r="J1695" s="5">
        <v>5</v>
      </c>
      <c r="K1695" s="5">
        <v>1</v>
      </c>
      <c r="L1695" s="14">
        <f t="shared" si="102"/>
        <v>1.3</v>
      </c>
      <c r="M1695" s="14">
        <f t="shared" si="103"/>
        <v>5</v>
      </c>
      <c r="N1695" s="5" t="s">
        <v>128</v>
      </c>
      <c r="O1695" s="5" t="s">
        <v>128</v>
      </c>
      <c r="P1695" s="5">
        <v>0</v>
      </c>
      <c r="Q1695" s="5">
        <v>0</v>
      </c>
      <c r="R1695" s="5" t="s">
        <v>2660</v>
      </c>
    </row>
    <row r="1696" spans="1:18" x14ac:dyDescent="0.3">
      <c r="A1696" s="5">
        <v>347</v>
      </c>
      <c r="B1696" s="5" t="s">
        <v>900</v>
      </c>
      <c r="C1696" s="5" t="s">
        <v>901</v>
      </c>
      <c r="D1696" s="5" t="s">
        <v>27</v>
      </c>
      <c r="E1696" s="5" t="s">
        <v>41</v>
      </c>
      <c r="F1696" s="71">
        <v>45930</v>
      </c>
      <c r="G1696" s="5">
        <v>2025</v>
      </c>
      <c r="H1696" s="5" t="s">
        <v>162</v>
      </c>
      <c r="I1696" s="6" t="s">
        <v>32</v>
      </c>
      <c r="J1696" s="5">
        <v>5</v>
      </c>
      <c r="K1696" s="5">
        <v>6</v>
      </c>
      <c r="L1696" s="14">
        <f t="shared" si="102"/>
        <v>0.83333333333333337</v>
      </c>
      <c r="M1696" s="14">
        <f t="shared" si="103"/>
        <v>0.83333333333333337</v>
      </c>
      <c r="N1696" s="5" t="s">
        <v>128</v>
      </c>
      <c r="O1696" s="5" t="s">
        <v>128</v>
      </c>
      <c r="P1696" s="5">
        <v>0</v>
      </c>
      <c r="Q1696" s="5">
        <v>0</v>
      </c>
      <c r="R1696" s="5" t="s">
        <v>2661</v>
      </c>
    </row>
    <row r="1697" spans="1:18" x14ac:dyDescent="0.3">
      <c r="A1697" s="5">
        <v>347</v>
      </c>
      <c r="B1697" s="5" t="s">
        <v>900</v>
      </c>
      <c r="C1697" s="5" t="s">
        <v>901</v>
      </c>
      <c r="D1697" s="5" t="s">
        <v>27</v>
      </c>
      <c r="E1697" s="5" t="s">
        <v>41</v>
      </c>
      <c r="F1697" s="71">
        <v>46022</v>
      </c>
      <c r="G1697" s="5">
        <v>2025</v>
      </c>
      <c r="H1697" s="5" t="s">
        <v>23</v>
      </c>
      <c r="I1697" s="6" t="s">
        <v>32</v>
      </c>
      <c r="J1697" s="5">
        <v>5</v>
      </c>
      <c r="K1697" s="5">
        <v>1</v>
      </c>
      <c r="L1697" s="14">
        <f t="shared" si="102"/>
        <v>1.3</v>
      </c>
      <c r="M1697" s="14">
        <f t="shared" si="103"/>
        <v>5</v>
      </c>
      <c r="N1697" s="5" t="s">
        <v>128</v>
      </c>
      <c r="O1697" s="5" t="s">
        <v>128</v>
      </c>
      <c r="P1697" s="5">
        <v>0</v>
      </c>
      <c r="Q1697" s="5">
        <v>0</v>
      </c>
      <c r="R1697" s="5" t="s">
        <v>904</v>
      </c>
    </row>
    <row r="1698" spans="1:18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45016</v>
      </c>
      <c r="G1698" s="5">
        <v>2023</v>
      </c>
      <c r="H1698" s="5" t="s">
        <v>1516</v>
      </c>
      <c r="I1698" s="6" t="s">
        <v>1512</v>
      </c>
      <c r="J1698" s="5">
        <v>99</v>
      </c>
      <c r="K1698" s="5">
        <v>99.936143039591002</v>
      </c>
      <c r="L1698" s="14">
        <f t="shared" si="102"/>
        <v>1.0094559902988991</v>
      </c>
      <c r="M1698" s="14">
        <f t="shared" si="103"/>
        <v>1.0094559902988991</v>
      </c>
      <c r="N1698" s="5" t="s">
        <v>25</v>
      </c>
      <c r="O1698" s="5" t="s">
        <v>25</v>
      </c>
      <c r="P1698" s="5">
        <v>0</v>
      </c>
      <c r="Q1698" s="5">
        <v>0</v>
      </c>
      <c r="R1698" s="5" t="s">
        <v>2662</v>
      </c>
    </row>
    <row r="1699" spans="1:18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45107</v>
      </c>
      <c r="G1699" s="5">
        <v>2023</v>
      </c>
      <c r="H1699" s="5" t="s">
        <v>699</v>
      </c>
      <c r="I1699" s="6" t="s">
        <v>1512</v>
      </c>
      <c r="J1699" s="5">
        <v>99</v>
      </c>
      <c r="K1699" s="10">
        <v>99.699248120300993</v>
      </c>
      <c r="L1699" s="14">
        <f t="shared" si="102"/>
        <v>1.0070631123262725</v>
      </c>
      <c r="M1699" s="14">
        <f t="shared" si="103"/>
        <v>1.0070631123262725</v>
      </c>
      <c r="N1699" s="5" t="s">
        <v>25</v>
      </c>
      <c r="O1699" s="5" t="s">
        <v>25</v>
      </c>
      <c r="P1699" s="15">
        <v>0</v>
      </c>
      <c r="Q1699" s="15">
        <v>0</v>
      </c>
      <c r="R1699" s="5" t="s">
        <v>2663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45199</v>
      </c>
      <c r="G1700" s="5">
        <v>2023</v>
      </c>
      <c r="H1700" s="5" t="s">
        <v>162</v>
      </c>
      <c r="I1700" s="6" t="s">
        <v>28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2664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45291</v>
      </c>
      <c r="G1701" s="5">
        <v>2023</v>
      </c>
      <c r="H1701" s="5" t="s">
        <v>23</v>
      </c>
      <c r="I1701" s="6" t="s">
        <v>28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906</v>
      </c>
    </row>
    <row r="1702" spans="1:18" x14ac:dyDescent="0.3">
      <c r="A1702" s="5">
        <v>348</v>
      </c>
      <c r="B1702" s="5" t="s">
        <v>905</v>
      </c>
      <c r="C1702" s="5" t="s">
        <v>901</v>
      </c>
      <c r="D1702" s="5" t="s">
        <v>21</v>
      </c>
      <c r="E1702" s="5" t="s">
        <v>22</v>
      </c>
      <c r="F1702" s="71">
        <v>45382</v>
      </c>
      <c r="G1702" s="5">
        <v>2024</v>
      </c>
      <c r="H1702" s="5" t="s">
        <v>1516</v>
      </c>
      <c r="I1702" s="6" t="s">
        <v>729</v>
      </c>
      <c r="J1702" s="5">
        <v>99</v>
      </c>
      <c r="K1702" s="5">
        <v>99.95</v>
      </c>
      <c r="L1702" s="14">
        <f t="shared" si="102"/>
        <v>1.0095959595959596</v>
      </c>
      <c r="M1702" s="14">
        <f t="shared" si="103"/>
        <v>1.0095959595959596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2665</v>
      </c>
    </row>
    <row r="1703" spans="1:18" x14ac:dyDescent="0.3">
      <c r="A1703" s="24">
        <v>348</v>
      </c>
      <c r="B1703" s="16" t="s">
        <v>905</v>
      </c>
      <c r="C1703" s="16" t="s">
        <v>901</v>
      </c>
      <c r="D1703" s="16" t="s">
        <v>21</v>
      </c>
      <c r="E1703" s="16" t="s">
        <v>22</v>
      </c>
      <c r="F1703" s="77">
        <v>45473</v>
      </c>
      <c r="G1703" s="5">
        <v>2024</v>
      </c>
      <c r="H1703" s="5" t="s">
        <v>699</v>
      </c>
      <c r="I1703" s="6" t="s">
        <v>729</v>
      </c>
      <c r="J1703" s="5">
        <v>99</v>
      </c>
      <c r="K1703" s="5">
        <v>99.9</v>
      </c>
      <c r="L1703" s="14">
        <f t="shared" si="102"/>
        <v>1.009090909090909</v>
      </c>
      <c r="M1703" s="14">
        <f t="shared" si="103"/>
        <v>1.009090909090909</v>
      </c>
      <c r="N1703" s="16" t="s">
        <v>25</v>
      </c>
      <c r="O1703" s="16" t="s">
        <v>25</v>
      </c>
      <c r="P1703" s="15">
        <v>1</v>
      </c>
      <c r="Q1703" s="15">
        <v>1</v>
      </c>
      <c r="R1703" s="5" t="s">
        <v>2666</v>
      </c>
    </row>
    <row r="1704" spans="1:18" x14ac:dyDescent="0.3">
      <c r="A1704" s="5">
        <v>348</v>
      </c>
      <c r="B1704" s="5" t="s">
        <v>905</v>
      </c>
      <c r="C1704" s="5" t="s">
        <v>901</v>
      </c>
      <c r="D1704" s="5" t="s">
        <v>21</v>
      </c>
      <c r="E1704" s="5" t="s">
        <v>22</v>
      </c>
      <c r="F1704" s="71">
        <v>45565</v>
      </c>
      <c r="G1704" s="5">
        <v>2024</v>
      </c>
      <c r="H1704" s="5" t="s">
        <v>162</v>
      </c>
      <c r="I1704" s="6" t="s">
        <v>30</v>
      </c>
      <c r="J1704" s="5">
        <v>99</v>
      </c>
      <c r="K1704" s="5">
        <v>100</v>
      </c>
      <c r="L1704" s="14">
        <f t="shared" si="102"/>
        <v>1.0101010101010102</v>
      </c>
      <c r="M1704" s="14">
        <f t="shared" si="103"/>
        <v>1.0101010101010102</v>
      </c>
      <c r="N1704" s="5" t="s">
        <v>25</v>
      </c>
      <c r="O1704" s="5" t="s">
        <v>25</v>
      </c>
      <c r="P1704" s="5">
        <v>1</v>
      </c>
      <c r="Q1704" s="5">
        <v>1</v>
      </c>
      <c r="R1704" s="5" t="s">
        <v>2667</v>
      </c>
    </row>
    <row r="1705" spans="1:18" x14ac:dyDescent="0.3">
      <c r="A1705" s="21">
        <v>348</v>
      </c>
      <c r="B1705" s="5" t="s">
        <v>905</v>
      </c>
      <c r="C1705" s="5" t="s">
        <v>901</v>
      </c>
      <c r="D1705" s="5" t="s">
        <v>21</v>
      </c>
      <c r="E1705" s="5" t="s">
        <v>22</v>
      </c>
      <c r="F1705" s="70">
        <v>45657</v>
      </c>
      <c r="G1705" s="5">
        <v>2024</v>
      </c>
      <c r="H1705" s="5" t="s">
        <v>23</v>
      </c>
      <c r="I1705" s="6" t="s">
        <v>30</v>
      </c>
      <c r="J1705" s="5">
        <v>99</v>
      </c>
      <c r="K1705" s="5">
        <v>100</v>
      </c>
      <c r="L1705" s="14">
        <f t="shared" si="102"/>
        <v>1.0101010101010102</v>
      </c>
      <c r="M1705" s="14">
        <f t="shared" si="103"/>
        <v>1.0101010101010102</v>
      </c>
      <c r="N1705" s="5" t="s">
        <v>25</v>
      </c>
      <c r="O1705" s="5" t="s">
        <v>25</v>
      </c>
      <c r="P1705" s="15">
        <v>1</v>
      </c>
      <c r="Q1705" s="15">
        <v>1</v>
      </c>
      <c r="R1705" s="5" t="s">
        <v>907</v>
      </c>
    </row>
    <row r="1706" spans="1:18" x14ac:dyDescent="0.3">
      <c r="A1706" s="5">
        <v>348</v>
      </c>
      <c r="B1706" s="5" t="s">
        <v>905</v>
      </c>
      <c r="C1706" s="5" t="s">
        <v>901</v>
      </c>
      <c r="D1706" s="5" t="s">
        <v>21</v>
      </c>
      <c r="E1706" s="5" t="s">
        <v>22</v>
      </c>
      <c r="F1706" s="71">
        <v>45747</v>
      </c>
      <c r="G1706" s="5">
        <v>2025</v>
      </c>
      <c r="H1706" s="5" t="s">
        <v>1516</v>
      </c>
      <c r="I1706" s="6" t="s">
        <v>700</v>
      </c>
      <c r="J1706" s="5">
        <v>99</v>
      </c>
      <c r="K1706" s="5">
        <v>100</v>
      </c>
      <c r="L1706" s="14">
        <f t="shared" si="102"/>
        <v>1.0101010101010102</v>
      </c>
      <c r="M1706" s="14">
        <f t="shared" si="103"/>
        <v>1.0101010101010102</v>
      </c>
      <c r="N1706" s="5" t="s">
        <v>25</v>
      </c>
      <c r="O1706" s="5" t="s">
        <v>25</v>
      </c>
      <c r="P1706" s="5">
        <v>0</v>
      </c>
      <c r="Q1706" s="5">
        <v>0</v>
      </c>
      <c r="R1706" s="5" t="s">
        <v>2668</v>
      </c>
    </row>
    <row r="1707" spans="1:18" x14ac:dyDescent="0.3">
      <c r="A1707" s="5">
        <v>348</v>
      </c>
      <c r="B1707" s="5" t="s">
        <v>905</v>
      </c>
      <c r="C1707" s="5" t="s">
        <v>901</v>
      </c>
      <c r="D1707" s="5" t="s">
        <v>21</v>
      </c>
      <c r="E1707" s="5" t="s">
        <v>22</v>
      </c>
      <c r="F1707" s="71">
        <v>45838</v>
      </c>
      <c r="G1707" s="5">
        <v>2025</v>
      </c>
      <c r="H1707" s="5" t="s">
        <v>699</v>
      </c>
      <c r="I1707" s="6" t="s">
        <v>700</v>
      </c>
      <c r="J1707" s="5">
        <v>99</v>
      </c>
      <c r="K1707" s="5">
        <v>100</v>
      </c>
      <c r="L1707" s="14">
        <f t="shared" si="102"/>
        <v>1.0101010101010102</v>
      </c>
      <c r="M1707" s="14">
        <f t="shared" si="103"/>
        <v>1.0101010101010102</v>
      </c>
      <c r="N1707" s="5" t="s">
        <v>25</v>
      </c>
      <c r="O1707" s="5" t="s">
        <v>25</v>
      </c>
      <c r="P1707" s="5">
        <v>1</v>
      </c>
      <c r="Q1707" s="5">
        <v>1</v>
      </c>
      <c r="R1707" s="5" t="s">
        <v>2669</v>
      </c>
    </row>
    <row r="1708" spans="1:18" x14ac:dyDescent="0.3">
      <c r="A1708" s="5">
        <v>348</v>
      </c>
      <c r="B1708" s="5" t="s">
        <v>905</v>
      </c>
      <c r="C1708" s="5" t="s">
        <v>901</v>
      </c>
      <c r="D1708" s="5" t="s">
        <v>27</v>
      </c>
      <c r="E1708" s="5" t="s">
        <v>22</v>
      </c>
      <c r="F1708" s="71">
        <v>45930</v>
      </c>
      <c r="G1708" s="5">
        <v>2025</v>
      </c>
      <c r="H1708" s="5" t="s">
        <v>162</v>
      </c>
      <c r="I1708" s="6" t="s">
        <v>32</v>
      </c>
      <c r="J1708" s="5">
        <v>99</v>
      </c>
      <c r="K1708" s="5">
        <v>100</v>
      </c>
      <c r="L1708" s="14">
        <f t="shared" si="102"/>
        <v>1.0101010101010102</v>
      </c>
      <c r="M1708" s="14">
        <f t="shared" si="103"/>
        <v>1.0101010101010102</v>
      </c>
      <c r="N1708" s="5" t="s">
        <v>25</v>
      </c>
      <c r="O1708" s="5" t="s">
        <v>25</v>
      </c>
      <c r="P1708" s="5">
        <v>0</v>
      </c>
      <c r="Q1708" s="5">
        <v>0</v>
      </c>
      <c r="R1708" s="5" t="s">
        <v>2670</v>
      </c>
    </row>
    <row r="1709" spans="1:18" x14ac:dyDescent="0.3">
      <c r="A1709" s="21">
        <v>348</v>
      </c>
      <c r="B1709" s="5" t="s">
        <v>905</v>
      </c>
      <c r="C1709" s="5" t="s">
        <v>901</v>
      </c>
      <c r="D1709" s="5" t="s">
        <v>27</v>
      </c>
      <c r="E1709" s="5" t="s">
        <v>22</v>
      </c>
      <c r="F1709" s="71">
        <v>46022</v>
      </c>
      <c r="G1709" s="5">
        <v>2025</v>
      </c>
      <c r="H1709" s="5" t="s">
        <v>23</v>
      </c>
      <c r="I1709" s="6" t="s">
        <v>32</v>
      </c>
      <c r="J1709" s="5">
        <v>99</v>
      </c>
      <c r="K1709" s="10">
        <v>100</v>
      </c>
      <c r="L1709" s="14">
        <f t="shared" si="102"/>
        <v>1.0101010101010102</v>
      </c>
      <c r="M1709" s="14">
        <f t="shared" si="103"/>
        <v>1.0101010101010102</v>
      </c>
      <c r="N1709" s="5" t="s">
        <v>25</v>
      </c>
      <c r="O1709" s="5" t="s">
        <v>25</v>
      </c>
      <c r="P1709" s="15">
        <v>0</v>
      </c>
      <c r="Q1709" s="15">
        <v>0</v>
      </c>
      <c r="R1709" s="5" t="s">
        <v>908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1">
        <v>45016</v>
      </c>
      <c r="G1710" s="5">
        <v>2023</v>
      </c>
      <c r="H1710" s="5" t="s">
        <v>1516</v>
      </c>
      <c r="I1710" s="6" t="s">
        <v>1512</v>
      </c>
      <c r="J1710" s="5">
        <v>0</v>
      </c>
      <c r="K1710" s="10">
        <v>11.41868512110727</v>
      </c>
      <c r="L1710" s="14" t="str">
        <f t="shared" si="102"/>
        <v/>
      </c>
      <c r="M1710" s="14" t="str">
        <f t="shared" si="103"/>
        <v/>
      </c>
      <c r="N1710" s="5" t="s">
        <v>128</v>
      </c>
      <c r="O1710" s="5" t="s">
        <v>136</v>
      </c>
      <c r="P1710" s="15">
        <v>0</v>
      </c>
      <c r="Q1710" s="15">
        <v>0</v>
      </c>
      <c r="R1710" s="5" t="s">
        <v>2671</v>
      </c>
    </row>
    <row r="1711" spans="1:18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45107</v>
      </c>
      <c r="G1711" s="5">
        <v>2023</v>
      </c>
      <c r="H1711" s="5" t="s">
        <v>699</v>
      </c>
      <c r="I1711" s="6" t="s">
        <v>1512</v>
      </c>
      <c r="J1711" s="5">
        <v>0</v>
      </c>
      <c r="K1711" s="5">
        <v>8.2333989618757837</v>
      </c>
      <c r="L1711" s="14" t="str">
        <f t="shared" si="102"/>
        <v/>
      </c>
      <c r="M1711" s="14" t="str">
        <f t="shared" si="103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2672</v>
      </c>
    </row>
    <row r="1712" spans="1:18" x14ac:dyDescent="0.3">
      <c r="A1712" s="21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45199</v>
      </c>
      <c r="G1712" s="5">
        <v>2023</v>
      </c>
      <c r="H1712" s="5" t="s">
        <v>162</v>
      </c>
      <c r="I1712" s="6" t="s">
        <v>28</v>
      </c>
      <c r="J1712" s="5">
        <v>0</v>
      </c>
      <c r="K1712" s="10">
        <v>10.29796131730267</v>
      </c>
      <c r="L1712" s="14" t="str">
        <f t="shared" si="102"/>
        <v/>
      </c>
      <c r="M1712" s="14" t="str">
        <f t="shared" si="103"/>
        <v/>
      </c>
      <c r="N1712" s="5" t="s">
        <v>128</v>
      </c>
      <c r="O1712" s="5" t="s">
        <v>136</v>
      </c>
      <c r="P1712" s="15">
        <v>0</v>
      </c>
      <c r="Q1712" s="15">
        <v>0</v>
      </c>
      <c r="R1712" s="5" t="s">
        <v>2673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45291</v>
      </c>
      <c r="G1713" s="5">
        <v>2023</v>
      </c>
      <c r="H1713" s="5" t="s">
        <v>23</v>
      </c>
      <c r="I1713" s="6" t="s">
        <v>28</v>
      </c>
      <c r="J1713" s="5">
        <v>0</v>
      </c>
      <c r="K1713" s="5">
        <v>3.5442828816920029</v>
      </c>
      <c r="L1713" s="14" t="str">
        <f t="shared" si="102"/>
        <v/>
      </c>
      <c r="M1713" s="14" t="str">
        <f t="shared" si="103"/>
        <v/>
      </c>
      <c r="N1713" s="5" t="s">
        <v>128</v>
      </c>
      <c r="O1713" s="5" t="s">
        <v>136</v>
      </c>
      <c r="P1713" s="5">
        <v>0</v>
      </c>
      <c r="Q1713" s="5">
        <v>0</v>
      </c>
      <c r="R1713" s="5" t="s">
        <v>914</v>
      </c>
    </row>
    <row r="1714" spans="1:18" x14ac:dyDescent="0.3">
      <c r="A1714" s="5">
        <v>351</v>
      </c>
      <c r="B1714" s="5" t="s">
        <v>913</v>
      </c>
      <c r="C1714" s="5" t="s">
        <v>901</v>
      </c>
      <c r="D1714" s="5" t="s">
        <v>21</v>
      </c>
      <c r="E1714" s="5" t="s">
        <v>41</v>
      </c>
      <c r="F1714" s="71">
        <v>45382</v>
      </c>
      <c r="G1714" s="5">
        <v>2024</v>
      </c>
      <c r="H1714" s="5" t="s">
        <v>1516</v>
      </c>
      <c r="I1714" s="6" t="s">
        <v>729</v>
      </c>
      <c r="J1714" s="5">
        <v>0</v>
      </c>
      <c r="K1714" s="5">
        <v>4.999240813847555</v>
      </c>
      <c r="L1714" s="14" t="str">
        <f t="shared" si="102"/>
        <v/>
      </c>
      <c r="M1714" s="14" t="str">
        <f t="shared" si="103"/>
        <v/>
      </c>
      <c r="N1714" s="5" t="s">
        <v>128</v>
      </c>
      <c r="O1714" s="5" t="s">
        <v>136</v>
      </c>
      <c r="P1714" s="5">
        <v>0</v>
      </c>
      <c r="Q1714" s="5">
        <v>0</v>
      </c>
      <c r="R1714" s="5" t="s">
        <v>2674</v>
      </c>
    </row>
    <row r="1715" spans="1:18" x14ac:dyDescent="0.3">
      <c r="A1715" s="5">
        <v>351</v>
      </c>
      <c r="B1715" s="5" t="s">
        <v>913</v>
      </c>
      <c r="C1715" s="5" t="s">
        <v>901</v>
      </c>
      <c r="D1715" s="5" t="s">
        <v>21</v>
      </c>
      <c r="E1715" s="5" t="s">
        <v>41</v>
      </c>
      <c r="F1715" s="71">
        <v>45473</v>
      </c>
      <c r="G1715" s="5">
        <v>2024</v>
      </c>
      <c r="H1715" s="5" t="s">
        <v>699</v>
      </c>
      <c r="I1715" s="6" t="s">
        <v>729</v>
      </c>
      <c r="J1715" s="5">
        <v>0</v>
      </c>
      <c r="K1715" s="5">
        <v>12.52996115381436</v>
      </c>
      <c r="L1715" s="14" t="str">
        <f t="shared" si="102"/>
        <v/>
      </c>
      <c r="M1715" s="14" t="str">
        <f t="shared" si="103"/>
        <v/>
      </c>
      <c r="N1715" s="5" t="s">
        <v>128</v>
      </c>
      <c r="O1715" s="5" t="s">
        <v>136</v>
      </c>
      <c r="P1715" s="5">
        <v>0</v>
      </c>
      <c r="Q1715" s="5">
        <v>1</v>
      </c>
      <c r="R1715" s="5" t="s">
        <v>2675</v>
      </c>
    </row>
    <row r="1716" spans="1:18" x14ac:dyDescent="0.3">
      <c r="A1716" s="21">
        <v>351</v>
      </c>
      <c r="B1716" s="5" t="s">
        <v>913</v>
      </c>
      <c r="C1716" s="5" t="s">
        <v>901</v>
      </c>
      <c r="D1716" s="5" t="s">
        <v>21</v>
      </c>
      <c r="E1716" s="5" t="s">
        <v>41</v>
      </c>
      <c r="F1716" s="70">
        <v>45565</v>
      </c>
      <c r="G1716" s="5">
        <v>2024</v>
      </c>
      <c r="H1716" s="5" t="s">
        <v>162</v>
      </c>
      <c r="I1716" s="6" t="s">
        <v>30</v>
      </c>
      <c r="J1716" s="5">
        <v>0</v>
      </c>
      <c r="K1716" s="9">
        <v>3.1795721695362609</v>
      </c>
      <c r="L1716" s="14" t="str">
        <f t="shared" ref="L1716:L1745" si="104">IFERROR(IF(OR(J1716=0,K1716=""),"",IF(E1716="Positivo",MIN(MAX(K1716/J1716,0),1.3),MIN(MAX(J1716/K1716,0),1.3))),"")</f>
        <v/>
      </c>
      <c r="M1716" s="14" t="str">
        <f t="shared" ref="M1716:M1745" si="105">IFERROR(IF(OR(J1716=0,K1716=""),"",IF(E1716="Positivo",MAX(K1716/J1716,0),MAX(J1716/K1716,0))),"")</f>
        <v/>
      </c>
      <c r="N1716" s="5" t="s">
        <v>128</v>
      </c>
      <c r="O1716" s="5" t="s">
        <v>136</v>
      </c>
      <c r="P1716" s="15">
        <v>0</v>
      </c>
      <c r="Q1716" s="15">
        <v>1</v>
      </c>
      <c r="R1716" s="5" t="s">
        <v>2676</v>
      </c>
    </row>
    <row r="1717" spans="1:18" x14ac:dyDescent="0.3">
      <c r="A1717" s="21">
        <v>351</v>
      </c>
      <c r="B1717" s="5" t="s">
        <v>913</v>
      </c>
      <c r="C1717" s="5" t="s">
        <v>901</v>
      </c>
      <c r="D1717" s="5" t="s">
        <v>21</v>
      </c>
      <c r="E1717" s="5" t="s">
        <v>41</v>
      </c>
      <c r="F1717" s="70">
        <v>45657</v>
      </c>
      <c r="G1717" s="5">
        <v>2024</v>
      </c>
      <c r="H1717" s="5" t="s">
        <v>23</v>
      </c>
      <c r="I1717" s="6" t="s">
        <v>30</v>
      </c>
      <c r="J1717" s="5">
        <v>0</v>
      </c>
      <c r="K1717" s="12">
        <v>1.497983483771846</v>
      </c>
      <c r="L1717" s="14" t="str">
        <f t="shared" si="104"/>
        <v/>
      </c>
      <c r="M1717" s="14" t="str">
        <f t="shared" si="105"/>
        <v/>
      </c>
      <c r="N1717" s="5" t="s">
        <v>128</v>
      </c>
      <c r="O1717" s="5" t="s">
        <v>136</v>
      </c>
      <c r="P1717" s="15">
        <v>0</v>
      </c>
      <c r="Q1717" s="15">
        <v>1</v>
      </c>
      <c r="R1717" s="5" t="s">
        <v>915</v>
      </c>
    </row>
    <row r="1718" spans="1:18" x14ac:dyDescent="0.3">
      <c r="A1718" s="5">
        <v>351</v>
      </c>
      <c r="B1718" s="5" t="s">
        <v>913</v>
      </c>
      <c r="C1718" s="5" t="s">
        <v>901</v>
      </c>
      <c r="D1718" s="5" t="s">
        <v>21</v>
      </c>
      <c r="E1718" s="5" t="s">
        <v>41</v>
      </c>
      <c r="F1718" s="71">
        <v>45747</v>
      </c>
      <c r="G1718" s="5">
        <v>2025</v>
      </c>
      <c r="H1718" s="5" t="s">
        <v>1516</v>
      </c>
      <c r="I1718" s="6" t="s">
        <v>700</v>
      </c>
      <c r="J1718" s="5">
        <v>0</v>
      </c>
      <c r="K1718" s="5">
        <v>0.47</v>
      </c>
      <c r="L1718" s="14" t="str">
        <f t="shared" si="104"/>
        <v/>
      </c>
      <c r="M1718" s="14" t="str">
        <f t="shared" si="105"/>
        <v/>
      </c>
      <c r="N1718" s="5" t="s">
        <v>128</v>
      </c>
      <c r="O1718" s="5" t="s">
        <v>136</v>
      </c>
      <c r="P1718" s="5">
        <v>0</v>
      </c>
      <c r="Q1718" s="5">
        <v>0</v>
      </c>
      <c r="R1718" s="5" t="s">
        <v>2677</v>
      </c>
    </row>
    <row r="1719" spans="1:18" x14ac:dyDescent="0.3">
      <c r="A1719" s="5">
        <v>351</v>
      </c>
      <c r="B1719" s="5" t="s">
        <v>913</v>
      </c>
      <c r="C1719" s="5" t="s">
        <v>901</v>
      </c>
      <c r="D1719" s="5" t="s">
        <v>21</v>
      </c>
      <c r="E1719" s="5" t="s">
        <v>41</v>
      </c>
      <c r="F1719" s="71">
        <v>45838</v>
      </c>
      <c r="G1719" s="5">
        <v>2025</v>
      </c>
      <c r="H1719" s="5" t="s">
        <v>699</v>
      </c>
      <c r="I1719" s="6" t="s">
        <v>700</v>
      </c>
      <c r="J1719" s="73">
        <v>0</v>
      </c>
      <c r="K1719" s="9">
        <v>0.65</v>
      </c>
      <c r="L1719" s="14" t="str">
        <f t="shared" si="104"/>
        <v/>
      </c>
      <c r="M1719" s="14" t="str">
        <f t="shared" si="105"/>
        <v/>
      </c>
      <c r="N1719" s="5" t="s">
        <v>128</v>
      </c>
      <c r="O1719" s="5" t="s">
        <v>136</v>
      </c>
      <c r="P1719" s="5">
        <v>0</v>
      </c>
      <c r="Q1719" s="5">
        <v>1</v>
      </c>
      <c r="R1719" s="5" t="s">
        <v>2678</v>
      </c>
    </row>
    <row r="1720" spans="1:18" x14ac:dyDescent="0.3">
      <c r="A1720" s="5">
        <v>351</v>
      </c>
      <c r="B1720" s="5" t="s">
        <v>913</v>
      </c>
      <c r="C1720" s="5" t="s">
        <v>901</v>
      </c>
      <c r="D1720" s="5" t="s">
        <v>27</v>
      </c>
      <c r="E1720" s="5" t="s">
        <v>41</v>
      </c>
      <c r="F1720" s="71">
        <v>45930</v>
      </c>
      <c r="G1720" s="5">
        <v>2025</v>
      </c>
      <c r="H1720" s="5" t="s">
        <v>162</v>
      </c>
      <c r="I1720" s="6" t="s">
        <v>32</v>
      </c>
      <c r="J1720" s="5">
        <v>0</v>
      </c>
      <c r="K1720" s="5">
        <v>0.26</v>
      </c>
      <c r="L1720" s="14" t="str">
        <f t="shared" si="104"/>
        <v/>
      </c>
      <c r="M1720" s="14" t="str">
        <f t="shared" si="105"/>
        <v/>
      </c>
      <c r="N1720" s="5" t="s">
        <v>128</v>
      </c>
      <c r="O1720" s="5" t="s">
        <v>136</v>
      </c>
      <c r="P1720" s="5">
        <v>0</v>
      </c>
      <c r="Q1720" s="5">
        <v>1</v>
      </c>
      <c r="R1720" s="5" t="s">
        <v>916</v>
      </c>
    </row>
    <row r="1721" spans="1:18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45016</v>
      </c>
      <c r="G1721" s="5">
        <v>2023</v>
      </c>
      <c r="H1721" s="5" t="s">
        <v>1516</v>
      </c>
      <c r="I1721" s="6" t="s">
        <v>1512</v>
      </c>
      <c r="J1721" s="5">
        <v>0</v>
      </c>
      <c r="K1721" s="10">
        <v>1.0385968556480199E-2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2679</v>
      </c>
    </row>
    <row r="1722" spans="1:18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45107</v>
      </c>
      <c r="G1722" s="5">
        <v>2023</v>
      </c>
      <c r="H1722" s="5" t="s">
        <v>699</v>
      </c>
      <c r="I1722" s="6" t="s">
        <v>1512</v>
      </c>
      <c r="J1722" s="5">
        <v>0</v>
      </c>
      <c r="K1722" s="5">
        <v>2.7700831024930699E-2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5">
        <v>0</v>
      </c>
      <c r="Q1722" s="5">
        <v>2</v>
      </c>
      <c r="R1722" s="5" t="s">
        <v>2680</v>
      </c>
    </row>
    <row r="1723" spans="1:18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45199</v>
      </c>
      <c r="G1723" s="5">
        <v>2023</v>
      </c>
      <c r="H1723" s="5" t="s">
        <v>162</v>
      </c>
      <c r="I1723" s="6" t="s">
        <v>28</v>
      </c>
      <c r="J1723" s="5">
        <v>0</v>
      </c>
      <c r="K1723" s="10">
        <v>2.5117345096623198E-2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5" t="s">
        <v>25</v>
      </c>
      <c r="P1723" s="15">
        <v>0</v>
      </c>
      <c r="Q1723" s="15">
        <v>2</v>
      </c>
      <c r="R1723" s="5" t="s">
        <v>2681</v>
      </c>
    </row>
    <row r="1724" spans="1:18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45291</v>
      </c>
      <c r="G1724" s="5">
        <v>2023</v>
      </c>
      <c r="H1724" s="5" t="s">
        <v>23</v>
      </c>
      <c r="I1724" s="6" t="s">
        <v>28</v>
      </c>
      <c r="J1724" s="5">
        <v>0</v>
      </c>
      <c r="K1724" s="5">
        <v>0.28327481646983721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5">
        <v>0</v>
      </c>
      <c r="Q1724" s="5">
        <v>2</v>
      </c>
      <c r="R1724" s="5" t="s">
        <v>918</v>
      </c>
    </row>
    <row r="1725" spans="1:18" x14ac:dyDescent="0.3">
      <c r="A1725" s="21">
        <v>352</v>
      </c>
      <c r="B1725" s="5" t="s">
        <v>917</v>
      </c>
      <c r="C1725" s="5" t="s">
        <v>901</v>
      </c>
      <c r="D1725" s="5" t="s">
        <v>21</v>
      </c>
      <c r="E1725" s="5" t="s">
        <v>41</v>
      </c>
      <c r="F1725" s="71">
        <v>45382</v>
      </c>
      <c r="G1725" s="5">
        <v>2024</v>
      </c>
      <c r="H1725" s="5" t="s">
        <v>1516</v>
      </c>
      <c r="I1725" s="6" t="s">
        <v>729</v>
      </c>
      <c r="J1725" s="5">
        <v>0</v>
      </c>
      <c r="K1725" s="10">
        <v>2.4404380586315201E-2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2682</v>
      </c>
    </row>
    <row r="1726" spans="1:18" x14ac:dyDescent="0.3">
      <c r="A1726" s="5">
        <v>352</v>
      </c>
      <c r="B1726" s="5" t="s">
        <v>917</v>
      </c>
      <c r="C1726" s="5" t="s">
        <v>901</v>
      </c>
      <c r="D1726" s="5" t="s">
        <v>21</v>
      </c>
      <c r="E1726" s="5" t="s">
        <v>41</v>
      </c>
      <c r="F1726" s="71">
        <v>45473</v>
      </c>
      <c r="G1726" s="5">
        <v>2024</v>
      </c>
      <c r="H1726" s="5" t="s">
        <v>699</v>
      </c>
      <c r="I1726" s="6" t="s">
        <v>729</v>
      </c>
      <c r="J1726" s="5">
        <v>0</v>
      </c>
      <c r="K1726" s="5">
        <v>0.14879897966413941</v>
      </c>
      <c r="L1726" s="14" t="str">
        <f t="shared" si="104"/>
        <v/>
      </c>
      <c r="M1726" s="14" t="str">
        <f t="shared" si="105"/>
        <v/>
      </c>
      <c r="N1726" s="5" t="s">
        <v>25</v>
      </c>
      <c r="O1726" s="5" t="s">
        <v>25</v>
      </c>
      <c r="P1726" s="15">
        <v>0</v>
      </c>
      <c r="Q1726" s="5">
        <v>2</v>
      </c>
      <c r="R1726" s="5" t="s">
        <v>2683</v>
      </c>
    </row>
    <row r="1727" spans="1:18" x14ac:dyDescent="0.3">
      <c r="A1727" s="21">
        <v>352</v>
      </c>
      <c r="B1727" s="5" t="s">
        <v>917</v>
      </c>
      <c r="C1727" s="5" t="s">
        <v>901</v>
      </c>
      <c r="D1727" s="5" t="s">
        <v>21</v>
      </c>
      <c r="E1727" s="5" t="s">
        <v>41</v>
      </c>
      <c r="F1727" s="71">
        <v>45565</v>
      </c>
      <c r="G1727" s="5">
        <v>2024</v>
      </c>
      <c r="H1727" s="5" t="s">
        <v>162</v>
      </c>
      <c r="I1727" s="6" t="s">
        <v>30</v>
      </c>
      <c r="J1727" s="5">
        <v>0</v>
      </c>
      <c r="K1727" s="54">
        <v>9.651857499975E-4</v>
      </c>
      <c r="L1727" s="14" t="str">
        <f t="shared" si="104"/>
        <v/>
      </c>
      <c r="M1727" s="14" t="str">
        <f t="shared" si="105"/>
        <v/>
      </c>
      <c r="N1727" s="5" t="s">
        <v>25</v>
      </c>
      <c r="O1727" s="5" t="s">
        <v>25</v>
      </c>
      <c r="P1727" s="15">
        <v>0</v>
      </c>
      <c r="Q1727" s="15">
        <v>2</v>
      </c>
      <c r="R1727" s="5" t="s">
        <v>2684</v>
      </c>
    </row>
    <row r="1728" spans="1:18" x14ac:dyDescent="0.3">
      <c r="A1728" s="5">
        <v>352</v>
      </c>
      <c r="B1728" s="5" t="s">
        <v>917</v>
      </c>
      <c r="C1728" s="5" t="s">
        <v>901</v>
      </c>
      <c r="D1728" s="5" t="s">
        <v>21</v>
      </c>
      <c r="E1728" s="5" t="s">
        <v>41</v>
      </c>
      <c r="F1728" s="71">
        <v>45657</v>
      </c>
      <c r="G1728" s="5">
        <v>2024</v>
      </c>
      <c r="H1728" s="5" t="s">
        <v>23</v>
      </c>
      <c r="I1728" s="6" t="s">
        <v>30</v>
      </c>
      <c r="J1728" s="5">
        <v>0</v>
      </c>
      <c r="K1728" s="54">
        <v>0</v>
      </c>
      <c r="L1728" s="14" t="str">
        <f t="shared" si="104"/>
        <v/>
      </c>
      <c r="M1728" s="14" t="str">
        <f t="shared" si="105"/>
        <v/>
      </c>
      <c r="N1728" s="5" t="s">
        <v>25</v>
      </c>
      <c r="O1728" s="5" t="s">
        <v>25</v>
      </c>
      <c r="P1728" s="15">
        <v>0</v>
      </c>
      <c r="Q1728" s="5">
        <v>2</v>
      </c>
      <c r="R1728" s="5" t="s">
        <v>919</v>
      </c>
    </row>
    <row r="1729" spans="1:18" x14ac:dyDescent="0.3">
      <c r="A1729" s="21">
        <v>352</v>
      </c>
      <c r="B1729" s="5" t="s">
        <v>917</v>
      </c>
      <c r="C1729" s="5" t="s">
        <v>901</v>
      </c>
      <c r="D1729" s="5" t="s">
        <v>21</v>
      </c>
      <c r="E1729" s="5" t="s">
        <v>41</v>
      </c>
      <c r="F1729" s="71">
        <v>45747</v>
      </c>
      <c r="G1729" s="5">
        <v>2025</v>
      </c>
      <c r="H1729" s="5" t="s">
        <v>1516</v>
      </c>
      <c r="I1729" s="6" t="s">
        <v>700</v>
      </c>
      <c r="J1729" s="5">
        <v>0</v>
      </c>
      <c r="K1729" s="10">
        <v>0</v>
      </c>
      <c r="L1729" s="14" t="str">
        <f t="shared" si="104"/>
        <v/>
      </c>
      <c r="M1729" s="14" t="str">
        <f t="shared" si="105"/>
        <v/>
      </c>
      <c r="N1729" s="11" t="s">
        <v>25</v>
      </c>
      <c r="O1729" s="11" t="s">
        <v>25</v>
      </c>
      <c r="P1729" s="15">
        <v>0</v>
      </c>
      <c r="Q1729" s="15">
        <v>2</v>
      </c>
      <c r="R1729" s="5" t="s">
        <v>2685</v>
      </c>
    </row>
    <row r="1730" spans="1:18" x14ac:dyDescent="0.3">
      <c r="A1730" s="5">
        <v>352</v>
      </c>
      <c r="B1730" s="5" t="s">
        <v>917</v>
      </c>
      <c r="C1730" s="5" t="s">
        <v>901</v>
      </c>
      <c r="D1730" s="5" t="s">
        <v>21</v>
      </c>
      <c r="E1730" s="5" t="s">
        <v>41</v>
      </c>
      <c r="F1730" s="71">
        <v>45838</v>
      </c>
      <c r="G1730" s="5">
        <v>2025</v>
      </c>
      <c r="H1730" s="5" t="s">
        <v>699</v>
      </c>
      <c r="I1730" s="6" t="s">
        <v>700</v>
      </c>
      <c r="J1730" s="5">
        <v>0</v>
      </c>
      <c r="K1730" s="5">
        <v>0.01</v>
      </c>
      <c r="L1730" s="14" t="str">
        <f t="shared" si="104"/>
        <v/>
      </c>
      <c r="M1730" s="14" t="str">
        <f t="shared" si="105"/>
        <v/>
      </c>
      <c r="N1730" s="5" t="s">
        <v>25</v>
      </c>
      <c r="O1730" s="17" t="s">
        <v>25</v>
      </c>
      <c r="P1730" s="5">
        <v>0</v>
      </c>
      <c r="Q1730" s="5">
        <v>2</v>
      </c>
      <c r="R1730" s="5" t="s">
        <v>2686</v>
      </c>
    </row>
    <row r="1731" spans="1:18" x14ac:dyDescent="0.3">
      <c r="A1731" s="21">
        <v>352</v>
      </c>
      <c r="B1731" s="5" t="s">
        <v>917</v>
      </c>
      <c r="C1731" s="5" t="s">
        <v>901</v>
      </c>
      <c r="D1731" s="5" t="s">
        <v>27</v>
      </c>
      <c r="E1731" s="5" t="s">
        <v>41</v>
      </c>
      <c r="F1731" s="71">
        <v>45930</v>
      </c>
      <c r="G1731" s="5">
        <v>2025</v>
      </c>
      <c r="H1731" s="5" t="s">
        <v>162</v>
      </c>
      <c r="I1731" s="6" t="s">
        <v>32</v>
      </c>
      <c r="J1731" s="5">
        <v>0</v>
      </c>
      <c r="K1731" s="10">
        <v>0.01</v>
      </c>
      <c r="L1731" s="14" t="str">
        <f t="shared" si="104"/>
        <v/>
      </c>
      <c r="M1731" s="14" t="str">
        <f t="shared" si="105"/>
        <v/>
      </c>
      <c r="N1731" s="5" t="s">
        <v>25</v>
      </c>
      <c r="O1731" s="5" t="s">
        <v>25</v>
      </c>
      <c r="P1731" s="15">
        <v>0</v>
      </c>
      <c r="Q1731" s="15">
        <v>2</v>
      </c>
      <c r="R1731" s="5" t="s">
        <v>920</v>
      </c>
    </row>
    <row r="1732" spans="1:18" x14ac:dyDescent="0.3">
      <c r="A1732" s="21">
        <v>353</v>
      </c>
      <c r="B1732" s="5" t="s">
        <v>921</v>
      </c>
      <c r="C1732" s="5" t="s">
        <v>922</v>
      </c>
      <c r="D1732" s="5" t="s">
        <v>27</v>
      </c>
      <c r="E1732" s="5" t="s">
        <v>22</v>
      </c>
      <c r="F1732" s="71">
        <v>45107</v>
      </c>
      <c r="G1732" s="5">
        <v>2023</v>
      </c>
      <c r="H1732" s="5" t="s">
        <v>699</v>
      </c>
      <c r="I1732" s="6" t="s">
        <v>1512</v>
      </c>
      <c r="J1732" s="5">
        <v>35</v>
      </c>
      <c r="K1732" s="10">
        <v>40.384615384615003</v>
      </c>
      <c r="L1732" s="14">
        <f t="shared" si="104"/>
        <v>1.1538461538461429</v>
      </c>
      <c r="M1732" s="14">
        <f t="shared" si="105"/>
        <v>1.1538461538461429</v>
      </c>
      <c r="N1732" s="5" t="s">
        <v>136</v>
      </c>
      <c r="O1732" s="5" t="s">
        <v>136</v>
      </c>
      <c r="P1732" s="15">
        <v>0</v>
      </c>
      <c r="Q1732" s="15">
        <v>0</v>
      </c>
      <c r="R1732" s="5" t="s">
        <v>2687</v>
      </c>
    </row>
    <row r="1733" spans="1:18" x14ac:dyDescent="0.3">
      <c r="A1733" s="21">
        <v>353</v>
      </c>
      <c r="B1733" s="5" t="s">
        <v>921</v>
      </c>
      <c r="C1733" s="5" t="s">
        <v>922</v>
      </c>
      <c r="D1733" s="5" t="s">
        <v>27</v>
      </c>
      <c r="E1733" s="5" t="s">
        <v>22</v>
      </c>
      <c r="F1733" s="71">
        <v>45291</v>
      </c>
      <c r="G1733" s="5">
        <v>2023</v>
      </c>
      <c r="H1733" s="5" t="s">
        <v>23</v>
      </c>
      <c r="I1733" s="6" t="s">
        <v>28</v>
      </c>
      <c r="J1733" s="5">
        <v>35</v>
      </c>
      <c r="K1733" s="5">
        <v>40.384615384615401</v>
      </c>
      <c r="L1733" s="14">
        <f t="shared" si="104"/>
        <v>1.1538461538461544</v>
      </c>
      <c r="M1733" s="14">
        <f t="shared" si="105"/>
        <v>1.1538461538461544</v>
      </c>
      <c r="N1733" s="5" t="s">
        <v>136</v>
      </c>
      <c r="O1733" s="5" t="s">
        <v>136</v>
      </c>
      <c r="P1733" s="15">
        <v>0</v>
      </c>
      <c r="Q1733" s="15">
        <v>0</v>
      </c>
      <c r="R1733" s="5" t="s">
        <v>923</v>
      </c>
    </row>
    <row r="1734" spans="1:18" x14ac:dyDescent="0.3">
      <c r="A1734" s="21">
        <v>354</v>
      </c>
      <c r="B1734" s="5" t="s">
        <v>924</v>
      </c>
      <c r="C1734" s="5" t="s">
        <v>922</v>
      </c>
      <c r="D1734" s="5" t="s">
        <v>27</v>
      </c>
      <c r="E1734" s="5" t="s">
        <v>22</v>
      </c>
      <c r="F1734" s="71">
        <v>45107</v>
      </c>
      <c r="G1734" s="5">
        <v>2023</v>
      </c>
      <c r="H1734" s="5" t="s">
        <v>699</v>
      </c>
      <c r="I1734" s="6" t="s">
        <v>1512</v>
      </c>
      <c r="J1734" s="5">
        <v>10</v>
      </c>
      <c r="K1734" s="10">
        <v>5.07</v>
      </c>
      <c r="L1734" s="14">
        <f t="shared" si="104"/>
        <v>0.50700000000000001</v>
      </c>
      <c r="M1734" s="14">
        <f t="shared" si="105"/>
        <v>0.50700000000000001</v>
      </c>
      <c r="N1734" s="5" t="s">
        <v>136</v>
      </c>
      <c r="O1734" s="5" t="s">
        <v>136</v>
      </c>
      <c r="P1734" s="15">
        <v>2</v>
      </c>
      <c r="Q1734" s="15">
        <v>2</v>
      </c>
      <c r="R1734" s="5" t="s">
        <v>2688</v>
      </c>
    </row>
    <row r="1735" spans="1:18" x14ac:dyDescent="0.3">
      <c r="A1735" s="5">
        <v>354</v>
      </c>
      <c r="B1735" s="5" t="s">
        <v>924</v>
      </c>
      <c r="C1735" s="5" t="s">
        <v>922</v>
      </c>
      <c r="D1735" s="5" t="s">
        <v>27</v>
      </c>
      <c r="E1735" s="5" t="s">
        <v>22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10</v>
      </c>
      <c r="K1735" s="5">
        <v>31.77</v>
      </c>
      <c r="L1735" s="14">
        <f t="shared" si="104"/>
        <v>1.3</v>
      </c>
      <c r="M1735" s="14">
        <f t="shared" si="105"/>
        <v>3.177</v>
      </c>
      <c r="N1735" s="5" t="s">
        <v>136</v>
      </c>
      <c r="O1735" s="5" t="s">
        <v>136</v>
      </c>
      <c r="P1735" s="5">
        <v>0</v>
      </c>
      <c r="Q1735" s="5">
        <v>0</v>
      </c>
      <c r="R1735" s="5" t="s">
        <v>925</v>
      </c>
    </row>
    <row r="1736" spans="1:18" x14ac:dyDescent="0.3">
      <c r="A1736" s="21">
        <v>355</v>
      </c>
      <c r="B1736" s="5" t="s">
        <v>926</v>
      </c>
      <c r="C1736" s="5" t="s">
        <v>927</v>
      </c>
      <c r="D1736" s="5" t="s">
        <v>71</v>
      </c>
      <c r="E1736" s="5" t="s">
        <v>22</v>
      </c>
      <c r="F1736" s="71">
        <v>45107</v>
      </c>
      <c r="G1736" s="5">
        <v>2023</v>
      </c>
      <c r="H1736" s="5" t="s">
        <v>699</v>
      </c>
      <c r="I1736" s="6" t="s">
        <v>1512</v>
      </c>
      <c r="J1736" s="5">
        <v>1</v>
      </c>
      <c r="K1736" s="10">
        <v>0.31754780991781001</v>
      </c>
      <c r="L1736" s="14">
        <f t="shared" si="104"/>
        <v>0.31754780991781001</v>
      </c>
      <c r="M1736" s="14">
        <f t="shared" si="105"/>
        <v>0.31754780991781001</v>
      </c>
      <c r="N1736" s="5" t="s">
        <v>128</v>
      </c>
      <c r="O1736" s="5" t="s">
        <v>136</v>
      </c>
      <c r="P1736" s="15">
        <v>1</v>
      </c>
      <c r="Q1736" s="15">
        <v>1</v>
      </c>
      <c r="R1736" s="5" t="s">
        <v>2689</v>
      </c>
    </row>
    <row r="1737" spans="1:18" x14ac:dyDescent="0.3">
      <c r="A1737" s="21">
        <v>355</v>
      </c>
      <c r="B1737" s="5" t="s">
        <v>926</v>
      </c>
      <c r="C1737" s="5" t="s">
        <v>927</v>
      </c>
      <c r="D1737" s="5" t="s">
        <v>71</v>
      </c>
      <c r="E1737" s="5" t="s">
        <v>22</v>
      </c>
      <c r="F1737" s="71">
        <v>45291</v>
      </c>
      <c r="G1737" s="5">
        <v>2023</v>
      </c>
      <c r="H1737" s="5" t="s">
        <v>23</v>
      </c>
      <c r="I1737" s="6" t="s">
        <v>28</v>
      </c>
      <c r="J1737" s="5">
        <v>1</v>
      </c>
      <c r="K1737" s="10">
        <v>1.64916004403234</v>
      </c>
      <c r="L1737" s="14">
        <f t="shared" si="104"/>
        <v>1.3</v>
      </c>
      <c r="M1737" s="14">
        <f t="shared" si="105"/>
        <v>1.64916004403234</v>
      </c>
      <c r="N1737" s="5" t="s">
        <v>136</v>
      </c>
      <c r="O1737" s="5" t="s">
        <v>136</v>
      </c>
      <c r="P1737" s="15">
        <v>0</v>
      </c>
      <c r="Q1737" s="15">
        <v>0</v>
      </c>
      <c r="R1737" s="5" t="s">
        <v>928</v>
      </c>
    </row>
    <row r="1738" spans="1:18" x14ac:dyDescent="0.3">
      <c r="A1738" s="5">
        <v>355</v>
      </c>
      <c r="B1738" s="5" t="s">
        <v>926</v>
      </c>
      <c r="C1738" s="5" t="s">
        <v>927</v>
      </c>
      <c r="D1738" s="5" t="s">
        <v>71</v>
      </c>
      <c r="E1738" s="5" t="s">
        <v>22</v>
      </c>
      <c r="F1738" s="71">
        <v>45657</v>
      </c>
      <c r="G1738" s="5">
        <v>2024</v>
      </c>
      <c r="H1738" s="5" t="s">
        <v>23</v>
      </c>
      <c r="I1738" s="6" t="s">
        <v>30</v>
      </c>
      <c r="J1738" s="5">
        <v>1.7</v>
      </c>
      <c r="K1738" s="5">
        <v>1.69</v>
      </c>
      <c r="L1738" s="14">
        <f t="shared" si="104"/>
        <v>0.99411764705882355</v>
      </c>
      <c r="M1738" s="14">
        <f t="shared" si="105"/>
        <v>0.99411764705882355</v>
      </c>
      <c r="N1738" s="5"/>
      <c r="O1738" s="5"/>
      <c r="P1738" s="5">
        <v>0</v>
      </c>
      <c r="Q1738" s="5">
        <v>0</v>
      </c>
      <c r="R1738" s="5" t="s">
        <v>929</v>
      </c>
    </row>
    <row r="1739" spans="1:18" x14ac:dyDescent="0.3">
      <c r="A1739" s="5">
        <v>355</v>
      </c>
      <c r="B1739" s="5" t="s">
        <v>926</v>
      </c>
      <c r="C1739" s="5" t="s">
        <v>927</v>
      </c>
      <c r="D1739" s="5" t="s">
        <v>71</v>
      </c>
      <c r="E1739" s="5" t="s">
        <v>22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1.4</v>
      </c>
      <c r="K1739" s="5">
        <v>1.56</v>
      </c>
      <c r="L1739" s="14">
        <f t="shared" si="104"/>
        <v>1.1142857142857143</v>
      </c>
      <c r="M1739" s="14">
        <f t="shared" si="105"/>
        <v>1.1142857142857143</v>
      </c>
      <c r="N1739" s="5" t="s">
        <v>128</v>
      </c>
      <c r="O1739" s="5" t="s">
        <v>136</v>
      </c>
      <c r="P1739" s="15">
        <v>1</v>
      </c>
      <c r="Q1739" s="5">
        <v>1</v>
      </c>
      <c r="R1739" s="5" t="s">
        <v>930</v>
      </c>
    </row>
    <row r="1740" spans="1:18" x14ac:dyDescent="0.3">
      <c r="A1740" s="21">
        <v>356</v>
      </c>
      <c r="B1740" s="5" t="s">
        <v>931</v>
      </c>
      <c r="C1740" s="5" t="s">
        <v>927</v>
      </c>
      <c r="D1740" s="5" t="s">
        <v>27</v>
      </c>
      <c r="E1740" s="5" t="s">
        <v>41</v>
      </c>
      <c r="F1740" s="71">
        <v>45107</v>
      </c>
      <c r="G1740" s="5">
        <v>2023</v>
      </c>
      <c r="H1740" s="5" t="s">
        <v>699</v>
      </c>
      <c r="I1740" s="6" t="s">
        <v>1512</v>
      </c>
      <c r="J1740" s="73">
        <v>60</v>
      </c>
      <c r="K1740" s="9">
        <v>49.213961407602</v>
      </c>
      <c r="L1740" s="14">
        <f t="shared" si="104"/>
        <v>1.219166234212796</v>
      </c>
      <c r="M1740" s="14">
        <f t="shared" si="105"/>
        <v>1.219166234212796</v>
      </c>
      <c r="N1740" s="5" t="s">
        <v>25</v>
      </c>
      <c r="O1740" s="5" t="s">
        <v>25</v>
      </c>
      <c r="P1740" s="15">
        <v>0</v>
      </c>
      <c r="Q1740" s="15">
        <v>0</v>
      </c>
      <c r="R1740" s="5" t="s">
        <v>2690</v>
      </c>
    </row>
    <row r="1741" spans="1:18" x14ac:dyDescent="0.3">
      <c r="A1741" s="21">
        <v>356</v>
      </c>
      <c r="B1741" s="5" t="s">
        <v>931</v>
      </c>
      <c r="C1741" s="5" t="s">
        <v>927</v>
      </c>
      <c r="D1741" s="5" t="s">
        <v>27</v>
      </c>
      <c r="E1741" s="5" t="s">
        <v>41</v>
      </c>
      <c r="F1741" s="71">
        <v>45291</v>
      </c>
      <c r="G1741" s="5">
        <v>2023</v>
      </c>
      <c r="H1741" s="5" t="s">
        <v>23</v>
      </c>
      <c r="I1741" s="6" t="s">
        <v>28</v>
      </c>
      <c r="J1741" s="5">
        <v>60</v>
      </c>
      <c r="K1741" s="5">
        <v>61.54</v>
      </c>
      <c r="L1741" s="14">
        <f t="shared" si="104"/>
        <v>0.9749756256093598</v>
      </c>
      <c r="M1741" s="14">
        <f t="shared" si="105"/>
        <v>0.9749756256093598</v>
      </c>
      <c r="N1741" s="5" t="s">
        <v>25</v>
      </c>
      <c r="O1741" s="5" t="s">
        <v>25</v>
      </c>
      <c r="P1741" s="15">
        <v>0</v>
      </c>
      <c r="Q1741" s="15">
        <v>0</v>
      </c>
      <c r="R1741" s="5" t="s">
        <v>932</v>
      </c>
    </row>
    <row r="1742" spans="1:18" x14ac:dyDescent="0.3">
      <c r="A1742" s="21">
        <v>356</v>
      </c>
      <c r="B1742" s="5" t="s">
        <v>931</v>
      </c>
      <c r="C1742" s="5" t="s">
        <v>927</v>
      </c>
      <c r="D1742" s="5" t="s">
        <v>27</v>
      </c>
      <c r="E1742" s="5" t="s">
        <v>41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>
        <v>60</v>
      </c>
      <c r="K1742" s="5">
        <v>54.08</v>
      </c>
      <c r="L1742" s="14">
        <f t="shared" si="104"/>
        <v>1.1094674556213018</v>
      </c>
      <c r="M1742" s="14">
        <f t="shared" si="105"/>
        <v>1.1094674556213018</v>
      </c>
      <c r="N1742" s="5" t="s">
        <v>25</v>
      </c>
      <c r="O1742" s="5" t="s">
        <v>25</v>
      </c>
      <c r="P1742" s="15">
        <v>1</v>
      </c>
      <c r="Q1742" s="15">
        <v>1</v>
      </c>
      <c r="R1742" s="5" t="s">
        <v>2691</v>
      </c>
    </row>
    <row r="1743" spans="1:18" x14ac:dyDescent="0.3">
      <c r="A1743" s="5">
        <v>356</v>
      </c>
      <c r="B1743" s="5" t="s">
        <v>931</v>
      </c>
      <c r="C1743" s="5" t="s">
        <v>927</v>
      </c>
      <c r="D1743" s="5" t="s">
        <v>27</v>
      </c>
      <c r="E1743" s="5" t="s">
        <v>41</v>
      </c>
      <c r="F1743" s="70">
        <v>45657</v>
      </c>
      <c r="G1743" s="5">
        <v>2024</v>
      </c>
      <c r="H1743" s="5" t="s">
        <v>23</v>
      </c>
      <c r="I1743" s="6" t="s">
        <v>30</v>
      </c>
      <c r="J1743" s="5">
        <v>60</v>
      </c>
      <c r="K1743" s="9">
        <v>65.55</v>
      </c>
      <c r="L1743" s="14">
        <f t="shared" si="104"/>
        <v>0.91533180778032042</v>
      </c>
      <c r="M1743" s="14">
        <f t="shared" si="105"/>
        <v>0.91533180778032042</v>
      </c>
      <c r="N1743" s="5" t="s">
        <v>25</v>
      </c>
      <c r="O1743" s="5" t="s">
        <v>25</v>
      </c>
      <c r="P1743" s="15">
        <v>1</v>
      </c>
      <c r="Q1743" s="15">
        <v>1</v>
      </c>
      <c r="R1743" s="5" t="s">
        <v>933</v>
      </c>
    </row>
    <row r="1744" spans="1:18" x14ac:dyDescent="0.3">
      <c r="A1744" s="28">
        <v>356</v>
      </c>
      <c r="B1744" s="5" t="s">
        <v>931</v>
      </c>
      <c r="C1744" s="5" t="s">
        <v>927</v>
      </c>
      <c r="D1744" s="5" t="s">
        <v>27</v>
      </c>
      <c r="E1744" s="5" t="s">
        <v>41</v>
      </c>
      <c r="F1744" s="70">
        <v>45838</v>
      </c>
      <c r="G1744" s="5">
        <v>2025</v>
      </c>
      <c r="H1744" s="5" t="s">
        <v>699</v>
      </c>
      <c r="I1744" s="6" t="s">
        <v>700</v>
      </c>
      <c r="J1744" s="3">
        <v>60</v>
      </c>
      <c r="K1744" s="9">
        <v>49.14</v>
      </c>
      <c r="L1744" s="14">
        <f t="shared" si="104"/>
        <v>1.2210012210012209</v>
      </c>
      <c r="M1744" s="14">
        <f t="shared" si="105"/>
        <v>1.2210012210012209</v>
      </c>
      <c r="N1744" s="5" t="s">
        <v>25</v>
      </c>
      <c r="O1744" s="5" t="s">
        <v>25</v>
      </c>
      <c r="P1744" s="15">
        <v>1</v>
      </c>
      <c r="Q1744" s="15">
        <v>1</v>
      </c>
      <c r="R1744" s="5" t="s">
        <v>2692</v>
      </c>
    </row>
    <row r="1745" spans="1:19" x14ac:dyDescent="0.3">
      <c r="A1745" s="21">
        <v>356</v>
      </c>
      <c r="B1745" s="5" t="s">
        <v>931</v>
      </c>
      <c r="C1745" s="5" t="s">
        <v>927</v>
      </c>
      <c r="D1745" s="5" t="s">
        <v>21</v>
      </c>
      <c r="E1745" s="5" t="s">
        <v>41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60</v>
      </c>
      <c r="K1745" s="10">
        <v>64.77</v>
      </c>
      <c r="L1745" s="14">
        <f t="shared" si="104"/>
        <v>0.92635479388605846</v>
      </c>
      <c r="M1745" s="14">
        <f t="shared" si="105"/>
        <v>0.92635479388605846</v>
      </c>
      <c r="N1745" s="5" t="s">
        <v>25</v>
      </c>
      <c r="O1745" s="5" t="s">
        <v>25</v>
      </c>
      <c r="P1745" s="15">
        <v>0</v>
      </c>
      <c r="Q1745" s="15">
        <v>1</v>
      </c>
      <c r="R1745" s="5" t="s">
        <v>934</v>
      </c>
    </row>
    <row r="1746" spans="1:19" x14ac:dyDescent="0.3">
      <c r="A1746" s="28">
        <v>357</v>
      </c>
      <c r="B1746" s="5" t="s">
        <v>935</v>
      </c>
      <c r="C1746" s="5" t="s">
        <v>927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/>
      <c r="K1746" s="5">
        <v>3.0055354363175999</v>
      </c>
      <c r="L1746" s="14"/>
      <c r="M1746" s="14"/>
      <c r="N1746" s="5" t="s">
        <v>263</v>
      </c>
      <c r="O1746" s="5" t="s">
        <v>136</v>
      </c>
      <c r="P1746" s="15">
        <v>2</v>
      </c>
      <c r="Q1746" s="15">
        <v>2</v>
      </c>
      <c r="R1746" s="5" t="s">
        <v>2693</v>
      </c>
    </row>
    <row r="1747" spans="1:19" x14ac:dyDescent="0.3">
      <c r="A1747" s="21">
        <v>357</v>
      </c>
      <c r="B1747" s="5" t="s">
        <v>935</v>
      </c>
      <c r="C1747" s="5" t="s">
        <v>927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73"/>
      <c r="K1747" s="9">
        <v>4.45</v>
      </c>
      <c r="L1747" s="14"/>
      <c r="M1747" s="14"/>
      <c r="N1747" s="5" t="s">
        <v>263</v>
      </c>
      <c r="O1747" s="5" t="s">
        <v>136</v>
      </c>
      <c r="P1747" s="15">
        <v>0</v>
      </c>
      <c r="Q1747" s="15">
        <v>0</v>
      </c>
      <c r="R1747" s="5" t="s">
        <v>936</v>
      </c>
    </row>
    <row r="1748" spans="1:19" x14ac:dyDescent="0.3">
      <c r="A1748" s="21">
        <v>357</v>
      </c>
      <c r="B1748" s="5" t="s">
        <v>935</v>
      </c>
      <c r="C1748" s="5" t="s">
        <v>927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/>
      <c r="K1748" s="10">
        <v>3.87</v>
      </c>
      <c r="L1748" s="14"/>
      <c r="M1748" s="14"/>
      <c r="N1748" s="5" t="s">
        <v>263</v>
      </c>
      <c r="O1748" s="5" t="s">
        <v>136</v>
      </c>
      <c r="P1748" s="15">
        <v>2</v>
      </c>
      <c r="Q1748" s="15">
        <v>2</v>
      </c>
      <c r="R1748" s="5" t="s">
        <v>2694</v>
      </c>
    </row>
    <row r="1749" spans="1:19" x14ac:dyDescent="0.3">
      <c r="A1749" s="21">
        <v>357</v>
      </c>
      <c r="B1749" s="5" t="s">
        <v>935</v>
      </c>
      <c r="C1749" s="5" t="s">
        <v>927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/>
      <c r="K1749" s="10">
        <v>0.51</v>
      </c>
      <c r="L1749" s="14"/>
      <c r="M1749" s="14"/>
      <c r="N1749" s="5" t="s">
        <v>263</v>
      </c>
      <c r="O1749" s="5" t="s">
        <v>136</v>
      </c>
      <c r="P1749" s="15">
        <v>2</v>
      </c>
      <c r="Q1749" s="15">
        <v>2</v>
      </c>
      <c r="R1749" s="5" t="s">
        <v>937</v>
      </c>
    </row>
    <row r="1750" spans="1:19" x14ac:dyDescent="0.3">
      <c r="A1750" s="5">
        <v>357</v>
      </c>
      <c r="B1750" s="5" t="s">
        <v>935</v>
      </c>
      <c r="C1750" s="5" t="s">
        <v>927</v>
      </c>
      <c r="D1750" s="5" t="s">
        <v>27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/>
      <c r="K1750" s="5">
        <v>0.85</v>
      </c>
      <c r="L1750" s="8"/>
      <c r="M1750" s="14"/>
      <c r="N1750" s="5" t="s">
        <v>263</v>
      </c>
      <c r="O1750" s="5" t="s">
        <v>136</v>
      </c>
      <c r="P1750" s="5">
        <v>2</v>
      </c>
      <c r="Q1750" s="5">
        <v>2</v>
      </c>
      <c r="R1750" s="5" t="s">
        <v>2695</v>
      </c>
    </row>
    <row r="1751" spans="1:19" x14ac:dyDescent="0.3">
      <c r="A1751" s="5">
        <v>357</v>
      </c>
      <c r="B1751" s="5" t="s">
        <v>938</v>
      </c>
      <c r="C1751" s="5" t="s">
        <v>927</v>
      </c>
      <c r="D1751" s="5" t="s">
        <v>21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10049277970</v>
      </c>
      <c r="K1751" s="5">
        <v>0.44</v>
      </c>
      <c r="L1751" s="8"/>
      <c r="M1751" s="14"/>
      <c r="N1751" s="5" t="s">
        <v>263</v>
      </c>
      <c r="O1751" s="5"/>
      <c r="P1751" s="5">
        <v>0</v>
      </c>
      <c r="Q1751" s="5">
        <v>2</v>
      </c>
      <c r="R1751" s="5" t="s">
        <v>939</v>
      </c>
      <c r="S1751" t="s">
        <v>263</v>
      </c>
    </row>
    <row r="1752" spans="1:19" x14ac:dyDescent="0.3">
      <c r="A1752" s="5">
        <v>358</v>
      </c>
      <c r="B1752" s="5" t="s">
        <v>940</v>
      </c>
      <c r="C1752" s="5" t="s">
        <v>941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699</v>
      </c>
      <c r="I1752" s="6" t="s">
        <v>1512</v>
      </c>
      <c r="J1752" s="5">
        <v>87</v>
      </c>
      <c r="K1752" s="5">
        <v>86.984536082473994</v>
      </c>
      <c r="L1752" s="14">
        <f t="shared" ref="L1752:L1764" si="106">IFERROR(IF(OR(J1752=0,K1752=""),"",IF(E1752="Positivo",MIN(MAX(K1752/J1752,0),1.3),MIN(MAX(J1752/K1752,0),1.3))),"")</f>
        <v>0.99982225382154011</v>
      </c>
      <c r="M1752" s="14">
        <f t="shared" ref="M1752:M1764" si="107">IFERROR(IF(OR(J1752=0,K1752=""),"",IF(E1752="Positivo",MAX(K1752/J1752,0),MAX(J1752/K1752,0))),"")</f>
        <v>0.99982225382154011</v>
      </c>
      <c r="N1752" s="5" t="s">
        <v>25</v>
      </c>
      <c r="O1752" s="5" t="s">
        <v>25</v>
      </c>
      <c r="P1752" s="5">
        <v>0</v>
      </c>
      <c r="Q1752" s="5">
        <v>0</v>
      </c>
      <c r="R1752" s="5" t="s">
        <v>2696</v>
      </c>
    </row>
    <row r="1753" spans="1:19" x14ac:dyDescent="0.3">
      <c r="A1753" s="5">
        <v>358</v>
      </c>
      <c r="B1753" s="5" t="s">
        <v>940</v>
      </c>
      <c r="C1753" s="5" t="s">
        <v>941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87</v>
      </c>
      <c r="K1753" s="5">
        <v>95</v>
      </c>
      <c r="L1753" s="14">
        <f t="shared" si="106"/>
        <v>1.0919540229885059</v>
      </c>
      <c r="M1753" s="14">
        <f t="shared" si="107"/>
        <v>1.0919540229885059</v>
      </c>
      <c r="N1753" s="5" t="s">
        <v>25</v>
      </c>
      <c r="O1753" s="5" t="s">
        <v>25</v>
      </c>
      <c r="P1753" s="5">
        <v>0</v>
      </c>
      <c r="Q1753" s="5">
        <v>0</v>
      </c>
      <c r="R1753" s="5" t="s">
        <v>942</v>
      </c>
    </row>
    <row r="1754" spans="1:19" x14ac:dyDescent="0.3">
      <c r="A1754" s="5">
        <v>358</v>
      </c>
      <c r="B1754" s="5" t="s">
        <v>940</v>
      </c>
      <c r="C1754" s="5" t="s">
        <v>941</v>
      </c>
      <c r="D1754" s="5" t="s">
        <v>27</v>
      </c>
      <c r="E1754" s="5" t="s">
        <v>22</v>
      </c>
      <c r="F1754" s="71">
        <v>45473</v>
      </c>
      <c r="G1754" s="5">
        <v>2024</v>
      </c>
      <c r="H1754" s="5" t="s">
        <v>699</v>
      </c>
      <c r="I1754" s="6" t="s">
        <v>729</v>
      </c>
      <c r="J1754" s="5">
        <v>87</v>
      </c>
      <c r="K1754" s="5">
        <v>97.99</v>
      </c>
      <c r="L1754" s="14">
        <f t="shared" si="106"/>
        <v>1.1263218390804597</v>
      </c>
      <c r="M1754" s="14">
        <f t="shared" si="107"/>
        <v>1.1263218390804597</v>
      </c>
      <c r="N1754" s="5" t="s">
        <v>25</v>
      </c>
      <c r="O1754" s="5" t="s">
        <v>25</v>
      </c>
      <c r="P1754" s="5">
        <v>0</v>
      </c>
      <c r="Q1754" s="5">
        <v>0</v>
      </c>
      <c r="R1754" s="5" t="s">
        <v>2697</v>
      </c>
    </row>
    <row r="1755" spans="1:19" x14ac:dyDescent="0.3">
      <c r="A1755" s="21">
        <v>358</v>
      </c>
      <c r="B1755" s="5" t="s">
        <v>940</v>
      </c>
      <c r="C1755" s="5" t="s">
        <v>941</v>
      </c>
      <c r="D1755" s="5" t="s">
        <v>27</v>
      </c>
      <c r="E1755" s="5" t="s">
        <v>22</v>
      </c>
      <c r="F1755" s="71">
        <v>45657</v>
      </c>
      <c r="G1755" s="5">
        <v>2024</v>
      </c>
      <c r="H1755" s="5" t="s">
        <v>23</v>
      </c>
      <c r="I1755" s="6" t="s">
        <v>30</v>
      </c>
      <c r="J1755" s="5">
        <v>87</v>
      </c>
      <c r="K1755" s="10">
        <v>100</v>
      </c>
      <c r="L1755" s="14">
        <f t="shared" si="106"/>
        <v>1.1494252873563218</v>
      </c>
      <c r="M1755" s="55">
        <f t="shared" si="107"/>
        <v>1.1494252873563218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943</v>
      </c>
    </row>
    <row r="1756" spans="1:19" x14ac:dyDescent="0.3">
      <c r="A1756" s="5">
        <v>358</v>
      </c>
      <c r="B1756" s="5" t="s">
        <v>944</v>
      </c>
      <c r="C1756" s="5" t="s">
        <v>941</v>
      </c>
      <c r="D1756" s="5" t="s">
        <v>21</v>
      </c>
      <c r="E1756" s="5" t="s">
        <v>22</v>
      </c>
      <c r="F1756" s="71">
        <v>45838</v>
      </c>
      <c r="G1756" s="5">
        <v>2025</v>
      </c>
      <c r="H1756" s="5" t="s">
        <v>699</v>
      </c>
      <c r="I1756" s="6" t="s">
        <v>700</v>
      </c>
      <c r="J1756" s="5">
        <v>100</v>
      </c>
      <c r="K1756" s="5">
        <v>100</v>
      </c>
      <c r="L1756" s="14">
        <f t="shared" si="106"/>
        <v>1</v>
      </c>
      <c r="M1756" s="14">
        <f t="shared" si="107"/>
        <v>1</v>
      </c>
      <c r="N1756" s="5" t="s">
        <v>25</v>
      </c>
      <c r="O1756" s="5" t="s">
        <v>25</v>
      </c>
      <c r="P1756" s="5">
        <v>0</v>
      </c>
      <c r="Q1756" s="5">
        <v>0</v>
      </c>
      <c r="R1756" s="5" t="s">
        <v>2698</v>
      </c>
    </row>
    <row r="1757" spans="1:19" x14ac:dyDescent="0.3">
      <c r="A1757" s="5">
        <v>358</v>
      </c>
      <c r="B1757" s="5" t="s">
        <v>940</v>
      </c>
      <c r="C1757" s="5" t="s">
        <v>941</v>
      </c>
      <c r="D1757" s="5" t="s">
        <v>27</v>
      </c>
      <c r="E1757" s="5" t="s">
        <v>22</v>
      </c>
      <c r="F1757" s="71">
        <v>46022</v>
      </c>
      <c r="G1757" s="5">
        <v>2025</v>
      </c>
      <c r="H1757" s="5" t="s">
        <v>23</v>
      </c>
      <c r="I1757" s="6" t="s">
        <v>32</v>
      </c>
      <c r="J1757" s="5">
        <v>100</v>
      </c>
      <c r="K1757" s="5">
        <v>100</v>
      </c>
      <c r="L1757" s="14">
        <f t="shared" si="106"/>
        <v>1</v>
      </c>
      <c r="M1757" s="14">
        <f t="shared" si="107"/>
        <v>1</v>
      </c>
      <c r="N1757" s="5" t="s">
        <v>25</v>
      </c>
      <c r="O1757" s="5" t="s">
        <v>25</v>
      </c>
      <c r="P1757" s="5">
        <v>0</v>
      </c>
      <c r="Q1757" s="5">
        <v>0</v>
      </c>
      <c r="R1757" s="5" t="s">
        <v>945</v>
      </c>
    </row>
    <row r="1758" spans="1:19" x14ac:dyDescent="0.3">
      <c r="A1758" s="21">
        <v>359</v>
      </c>
      <c r="B1758" s="5" t="s">
        <v>948</v>
      </c>
      <c r="C1758" s="5" t="s">
        <v>653</v>
      </c>
      <c r="D1758" s="5" t="s">
        <v>21</v>
      </c>
      <c r="E1758" s="5" t="s">
        <v>22</v>
      </c>
      <c r="F1758" s="71">
        <v>45473</v>
      </c>
      <c r="G1758" s="5">
        <v>2024</v>
      </c>
      <c r="H1758" s="5" t="s">
        <v>699</v>
      </c>
      <c r="I1758" s="6" t="s">
        <v>729</v>
      </c>
      <c r="J1758" s="5">
        <v>80</v>
      </c>
      <c r="K1758" s="60">
        <v>0</v>
      </c>
      <c r="L1758" s="14">
        <f t="shared" si="106"/>
        <v>0</v>
      </c>
      <c r="M1758" s="14">
        <f t="shared" si="107"/>
        <v>0</v>
      </c>
      <c r="N1758" s="5" t="s">
        <v>25</v>
      </c>
      <c r="O1758" s="5" t="s">
        <v>25</v>
      </c>
      <c r="P1758" s="15">
        <v>0</v>
      </c>
      <c r="Q1758" s="15">
        <v>0</v>
      </c>
      <c r="R1758" s="5" t="s">
        <v>2699</v>
      </c>
    </row>
    <row r="1759" spans="1:19" x14ac:dyDescent="0.3">
      <c r="A1759" s="21">
        <v>359</v>
      </c>
      <c r="B1759" s="5" t="s">
        <v>946</v>
      </c>
      <c r="C1759" s="5" t="s">
        <v>653</v>
      </c>
      <c r="D1759" s="5" t="s">
        <v>27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>
        <v>80</v>
      </c>
      <c r="K1759" s="60">
        <v>86</v>
      </c>
      <c r="L1759" s="14">
        <f t="shared" si="106"/>
        <v>1.075</v>
      </c>
      <c r="M1759" s="14">
        <f t="shared" si="107"/>
        <v>1.075</v>
      </c>
      <c r="N1759" s="5" t="s">
        <v>25</v>
      </c>
      <c r="O1759" s="5" t="s">
        <v>25</v>
      </c>
      <c r="P1759" s="15">
        <v>0</v>
      </c>
      <c r="Q1759" s="15">
        <v>0</v>
      </c>
      <c r="R1759" s="5" t="s">
        <v>947</v>
      </c>
    </row>
    <row r="1760" spans="1:19" x14ac:dyDescent="0.3">
      <c r="A1760" s="21">
        <v>359</v>
      </c>
      <c r="B1760" s="5" t="s">
        <v>946</v>
      </c>
      <c r="C1760" s="5" t="s">
        <v>653</v>
      </c>
      <c r="D1760" s="5" t="s">
        <v>27</v>
      </c>
      <c r="E1760" s="5" t="s">
        <v>22</v>
      </c>
      <c r="F1760" s="71">
        <v>45838</v>
      </c>
      <c r="G1760" s="5">
        <v>2025</v>
      </c>
      <c r="H1760" s="5" t="s">
        <v>699</v>
      </c>
      <c r="I1760" s="6" t="s">
        <v>700</v>
      </c>
      <c r="J1760" s="5">
        <v>80</v>
      </c>
      <c r="K1760" s="60">
        <v>90</v>
      </c>
      <c r="L1760" s="14">
        <f t="shared" si="106"/>
        <v>1.125</v>
      </c>
      <c r="M1760" s="14">
        <f t="shared" si="107"/>
        <v>1.125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2700</v>
      </c>
    </row>
    <row r="1761" spans="1:19" x14ac:dyDescent="0.3">
      <c r="A1761" s="21">
        <v>359</v>
      </c>
      <c r="B1761" s="5" t="s">
        <v>948</v>
      </c>
      <c r="C1761" s="5" t="s">
        <v>653</v>
      </c>
      <c r="D1761" s="5" t="s">
        <v>21</v>
      </c>
      <c r="E1761" s="5" t="s">
        <v>22</v>
      </c>
      <c r="F1761" s="71">
        <v>46022</v>
      </c>
      <c r="G1761" s="5">
        <v>2025</v>
      </c>
      <c r="H1761" s="5" t="s">
        <v>23</v>
      </c>
      <c r="I1761" s="6" t="s">
        <v>32</v>
      </c>
      <c r="J1761" s="5">
        <v>85</v>
      </c>
      <c r="K1761" s="60">
        <v>89.9</v>
      </c>
      <c r="L1761" s="14">
        <f t="shared" si="106"/>
        <v>1.0576470588235294</v>
      </c>
      <c r="M1761" s="14">
        <f t="shared" si="107"/>
        <v>1.0576470588235294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949</v>
      </c>
    </row>
    <row r="1762" spans="1:19" x14ac:dyDescent="0.3">
      <c r="A1762" s="21">
        <v>360</v>
      </c>
      <c r="B1762" s="5" t="s">
        <v>2701</v>
      </c>
      <c r="C1762" s="5" t="s">
        <v>2702</v>
      </c>
      <c r="D1762" s="5" t="s">
        <v>27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>
        <v>0</v>
      </c>
      <c r="K1762" s="60">
        <v>0</v>
      </c>
      <c r="L1762" s="14" t="str">
        <f t="shared" si="106"/>
        <v/>
      </c>
      <c r="M1762" s="14" t="str">
        <f t="shared" si="107"/>
        <v/>
      </c>
      <c r="N1762" s="5"/>
      <c r="O1762" s="5"/>
      <c r="P1762" s="15">
        <v>0</v>
      </c>
      <c r="Q1762" s="15">
        <v>0</v>
      </c>
      <c r="R1762" s="5" t="s">
        <v>2703</v>
      </c>
    </row>
    <row r="1763" spans="1:19" x14ac:dyDescent="0.3">
      <c r="A1763" s="21">
        <v>360</v>
      </c>
      <c r="B1763" s="5" t="s">
        <v>2701</v>
      </c>
      <c r="C1763" s="5" t="s">
        <v>653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0</v>
      </c>
      <c r="K1763" s="60">
        <v>0</v>
      </c>
      <c r="L1763" s="14" t="str">
        <f t="shared" si="106"/>
        <v/>
      </c>
      <c r="M1763" s="14" t="str">
        <f t="shared" si="107"/>
        <v/>
      </c>
      <c r="N1763" s="5"/>
      <c r="O1763" s="5"/>
      <c r="P1763" s="15">
        <v>0</v>
      </c>
      <c r="Q1763" s="15">
        <v>0</v>
      </c>
      <c r="R1763" s="5" t="s">
        <v>2704</v>
      </c>
    </row>
    <row r="1764" spans="1:19" x14ac:dyDescent="0.3">
      <c r="A1764" s="21">
        <v>361</v>
      </c>
      <c r="B1764" s="5" t="s">
        <v>2705</v>
      </c>
      <c r="C1764" s="5" t="s">
        <v>951</v>
      </c>
      <c r="D1764" s="5" t="s">
        <v>71</v>
      </c>
      <c r="E1764" s="5" t="s">
        <v>22</v>
      </c>
      <c r="F1764" s="71">
        <v>45291</v>
      </c>
      <c r="G1764" s="5">
        <v>2023</v>
      </c>
      <c r="H1764" s="5" t="s">
        <v>23</v>
      </c>
      <c r="I1764" s="6" t="s">
        <v>28</v>
      </c>
      <c r="J1764" s="5">
        <v>4.5</v>
      </c>
      <c r="K1764" s="60">
        <v>4.5599999999999996</v>
      </c>
      <c r="L1764" s="14">
        <f t="shared" si="106"/>
        <v>1.0133333333333332</v>
      </c>
      <c r="M1764" s="14">
        <f t="shared" si="107"/>
        <v>1.0133333333333332</v>
      </c>
      <c r="N1764" s="5"/>
      <c r="O1764" s="5"/>
      <c r="P1764" s="15">
        <v>2</v>
      </c>
      <c r="Q1764" s="15">
        <v>2</v>
      </c>
      <c r="R1764" s="5" t="s">
        <v>952</v>
      </c>
    </row>
    <row r="1765" spans="1:19" x14ac:dyDescent="0.3">
      <c r="A1765" s="21">
        <v>361</v>
      </c>
      <c r="B1765" s="5" t="s">
        <v>950</v>
      </c>
      <c r="C1765" s="5" t="s">
        <v>951</v>
      </c>
      <c r="D1765" s="5" t="s">
        <v>71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/>
      <c r="K1765" s="10"/>
      <c r="L1765" s="14"/>
      <c r="M1765" s="14"/>
      <c r="N1765" s="5" t="s">
        <v>136</v>
      </c>
      <c r="O1765" s="5" t="s">
        <v>302</v>
      </c>
      <c r="P1765" s="15">
        <v>1</v>
      </c>
      <c r="Q1765" s="15">
        <v>2</v>
      </c>
      <c r="R1765" s="5" t="s">
        <v>953</v>
      </c>
      <c r="S1765" t="s">
        <v>302</v>
      </c>
    </row>
    <row r="1766" spans="1:19" x14ac:dyDescent="0.3">
      <c r="A1766" s="21">
        <v>361</v>
      </c>
      <c r="B1766" s="5" t="s">
        <v>950</v>
      </c>
      <c r="C1766" s="5" t="s">
        <v>951</v>
      </c>
      <c r="D1766" s="5" t="s">
        <v>71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4.5999999999999996</v>
      </c>
      <c r="K1766" s="10">
        <v>4.78</v>
      </c>
      <c r="L1766" s="14">
        <f>IFERROR(IF(OR(J1766=0,K1766=""),"",IF(E1766="Positivo",MIN(MAX(K1766/J1766,0),1.3),MIN(MAX(J1766/K1766,0),1.3))),"")</f>
        <v>1.0391304347826089</v>
      </c>
      <c r="M1766" s="14">
        <f>IFERROR(IF(OR(J1766=0,K1766=""),"",IF(E1766="Positivo",MAX(K1766/J1766,0),MAX(J1766/K1766,0))),"")</f>
        <v>1.0391304347826089</v>
      </c>
      <c r="N1766" s="5" t="s">
        <v>136</v>
      </c>
      <c r="O1766" s="5" t="s">
        <v>136</v>
      </c>
      <c r="P1766" s="15">
        <v>1</v>
      </c>
      <c r="Q1766" s="15">
        <v>2</v>
      </c>
      <c r="R1766" s="5" t="s">
        <v>954</v>
      </c>
    </row>
    <row r="1767" spans="1:19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45016</v>
      </c>
      <c r="G1767" s="5">
        <v>2023</v>
      </c>
      <c r="H1767" s="5" t="s">
        <v>1516</v>
      </c>
      <c r="I1767" s="6" t="s">
        <v>1512</v>
      </c>
      <c r="J1767" s="5"/>
      <c r="K1767" s="10"/>
      <c r="L1767" s="14"/>
      <c r="M1767" s="14"/>
      <c r="N1767" s="5" t="s">
        <v>25</v>
      </c>
      <c r="O1767" s="5" t="s">
        <v>302</v>
      </c>
      <c r="P1767" s="15">
        <v>0</v>
      </c>
      <c r="Q1767" s="15">
        <v>0</v>
      </c>
      <c r="R1767" s="5" t="s">
        <v>2706</v>
      </c>
      <c r="S1767" t="s">
        <v>302</v>
      </c>
    </row>
    <row r="1768" spans="1:19" x14ac:dyDescent="0.3">
      <c r="A1768" s="21">
        <v>362</v>
      </c>
      <c r="B1768" s="5" t="s">
        <v>955</v>
      </c>
      <c r="C1768" s="5" t="s">
        <v>956</v>
      </c>
      <c r="D1768" s="5" t="s">
        <v>21</v>
      </c>
      <c r="E1768" s="5" t="s">
        <v>22</v>
      </c>
      <c r="F1768" s="71">
        <v>45107</v>
      </c>
      <c r="G1768" s="5">
        <v>2023</v>
      </c>
      <c r="H1768" s="5" t="s">
        <v>699</v>
      </c>
      <c r="I1768" s="6" t="s">
        <v>1512</v>
      </c>
      <c r="J1768" s="5"/>
      <c r="K1768" s="10"/>
      <c r="L1768" s="14"/>
      <c r="M1768" s="14"/>
      <c r="N1768" s="5" t="s">
        <v>25</v>
      </c>
      <c r="O1768" s="5" t="s">
        <v>302</v>
      </c>
      <c r="P1768" s="15">
        <v>0</v>
      </c>
      <c r="Q1768" s="15">
        <v>0</v>
      </c>
      <c r="R1768" s="5" t="s">
        <v>2707</v>
      </c>
      <c r="S1768" t="s">
        <v>302</v>
      </c>
    </row>
    <row r="1769" spans="1:19" x14ac:dyDescent="0.3">
      <c r="A1769" s="21">
        <v>362</v>
      </c>
      <c r="B1769" s="5" t="s">
        <v>955</v>
      </c>
      <c r="C1769" s="5" t="s">
        <v>956</v>
      </c>
      <c r="D1769" s="5" t="s">
        <v>27</v>
      </c>
      <c r="E1769" s="5" t="s">
        <v>22</v>
      </c>
      <c r="F1769" s="71">
        <v>45291</v>
      </c>
      <c r="G1769" s="5">
        <v>2023</v>
      </c>
      <c r="H1769" s="5" t="s">
        <v>23</v>
      </c>
      <c r="I1769" s="6" t="s">
        <v>28</v>
      </c>
      <c r="J1769" s="5">
        <v>100</v>
      </c>
      <c r="K1769" s="10">
        <v>99.156641448591998</v>
      </c>
      <c r="L1769" s="14">
        <f t="shared" ref="L1769:L1800" si="108">IFERROR(IF(OR(J1769=0,K1769=""),"",IF(E1769="Positivo",MIN(MAX(K1769/J1769,0),1.3),MIN(MAX(J1769/K1769,0),1.3))),"")</f>
        <v>0.99156641448591998</v>
      </c>
      <c r="M1769" s="14">
        <f t="shared" ref="M1769:M1800" si="109">IFERROR(IF(OR(J1769=0,K1769=""),"",IF(E1769="Positivo",MAX(K1769/J1769,0),MAX(J1769/K1769,0))),"")</f>
        <v>0.99156641448591998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957</v>
      </c>
    </row>
    <row r="1770" spans="1:19" x14ac:dyDescent="0.3">
      <c r="A1770" s="21">
        <v>362</v>
      </c>
      <c r="B1770" s="5" t="s">
        <v>955</v>
      </c>
      <c r="C1770" s="5" t="s">
        <v>956</v>
      </c>
      <c r="D1770" s="5" t="s">
        <v>27</v>
      </c>
      <c r="E1770" s="5" t="s">
        <v>22</v>
      </c>
      <c r="F1770" s="71">
        <v>45473</v>
      </c>
      <c r="G1770" s="5">
        <v>2024</v>
      </c>
      <c r="H1770" s="5" t="s">
        <v>699</v>
      </c>
      <c r="I1770" s="6" t="s">
        <v>729</v>
      </c>
      <c r="J1770" s="5">
        <v>98</v>
      </c>
      <c r="K1770" s="10">
        <v>99.584323040380056</v>
      </c>
      <c r="L1770" s="14">
        <f t="shared" si="108"/>
        <v>1.0161665616365312</v>
      </c>
      <c r="M1770" s="14">
        <f t="shared" si="109"/>
        <v>1.0161665616365312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2708</v>
      </c>
    </row>
    <row r="1771" spans="1:19" x14ac:dyDescent="0.3">
      <c r="A1771" s="21">
        <v>362</v>
      </c>
      <c r="B1771" s="5" t="s">
        <v>955</v>
      </c>
      <c r="C1771" s="5" t="s">
        <v>956</v>
      </c>
      <c r="D1771" s="5" t="s">
        <v>27</v>
      </c>
      <c r="E1771" s="5" t="s">
        <v>22</v>
      </c>
      <c r="F1771" s="71">
        <v>45657</v>
      </c>
      <c r="G1771" s="5">
        <v>2024</v>
      </c>
      <c r="H1771" s="5" t="s">
        <v>23</v>
      </c>
      <c r="I1771" s="6" t="s">
        <v>30</v>
      </c>
      <c r="J1771" s="5">
        <v>98</v>
      </c>
      <c r="K1771" s="10">
        <v>99.49</v>
      </c>
      <c r="L1771" s="14">
        <f t="shared" si="108"/>
        <v>1.0152040816326531</v>
      </c>
      <c r="M1771" s="14">
        <f t="shared" si="109"/>
        <v>1.0152040816326531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958</v>
      </c>
    </row>
    <row r="1772" spans="1:19" x14ac:dyDescent="0.3">
      <c r="A1772" s="21">
        <v>362</v>
      </c>
      <c r="B1772" s="5" t="s">
        <v>955</v>
      </c>
      <c r="C1772" s="5" t="s">
        <v>956</v>
      </c>
      <c r="D1772" s="5" t="s">
        <v>27</v>
      </c>
      <c r="E1772" s="5" t="s">
        <v>22</v>
      </c>
      <c r="F1772" s="71">
        <v>45838</v>
      </c>
      <c r="G1772" s="5">
        <v>2025</v>
      </c>
      <c r="H1772" s="5" t="s">
        <v>699</v>
      </c>
      <c r="I1772" s="6" t="s">
        <v>700</v>
      </c>
      <c r="J1772" s="5">
        <v>98</v>
      </c>
      <c r="K1772" s="10">
        <v>99.63</v>
      </c>
      <c r="L1772" s="14">
        <f t="shared" si="108"/>
        <v>1.0166326530612244</v>
      </c>
      <c r="M1772" s="14">
        <f t="shared" si="109"/>
        <v>1.0166326530612244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2709</v>
      </c>
    </row>
    <row r="1773" spans="1:19" x14ac:dyDescent="0.3">
      <c r="A1773" s="21">
        <v>362</v>
      </c>
      <c r="B1773" s="5" t="s">
        <v>955</v>
      </c>
      <c r="C1773" s="5" t="s">
        <v>956</v>
      </c>
      <c r="D1773" s="5" t="s">
        <v>21</v>
      </c>
      <c r="E1773" s="5" t="s">
        <v>22</v>
      </c>
      <c r="F1773" s="71">
        <v>46022</v>
      </c>
      <c r="G1773" s="5">
        <v>2025</v>
      </c>
      <c r="H1773" s="5" t="s">
        <v>23</v>
      </c>
      <c r="I1773" s="6" t="s">
        <v>32</v>
      </c>
      <c r="J1773" s="5">
        <v>98</v>
      </c>
      <c r="K1773" s="10">
        <v>99.7</v>
      </c>
      <c r="L1773" s="14">
        <f t="shared" si="108"/>
        <v>1.0173469387755103</v>
      </c>
      <c r="M1773" s="14">
        <f t="shared" si="109"/>
        <v>1.0173469387755103</v>
      </c>
      <c r="N1773" s="5" t="s">
        <v>25</v>
      </c>
      <c r="O1773" s="5" t="s">
        <v>25</v>
      </c>
      <c r="P1773" s="15">
        <v>0</v>
      </c>
      <c r="Q1773" s="15">
        <v>0</v>
      </c>
      <c r="R1773" s="5" t="s">
        <v>959</v>
      </c>
    </row>
    <row r="1774" spans="1:19" x14ac:dyDescent="0.3">
      <c r="A1774" s="21">
        <v>363</v>
      </c>
      <c r="B1774" s="5" t="s">
        <v>960</v>
      </c>
      <c r="C1774" s="5" t="s">
        <v>956</v>
      </c>
      <c r="D1774" s="5" t="s">
        <v>27</v>
      </c>
      <c r="E1774" s="5" t="s">
        <v>22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100</v>
      </c>
      <c r="K1774" s="10">
        <v>100</v>
      </c>
      <c r="L1774" s="14">
        <f t="shared" si="108"/>
        <v>1</v>
      </c>
      <c r="M1774" s="14">
        <f t="shared" si="109"/>
        <v>1</v>
      </c>
      <c r="N1774" s="5" t="s">
        <v>25</v>
      </c>
      <c r="O1774" s="5" t="s">
        <v>25</v>
      </c>
      <c r="P1774" s="15">
        <v>0</v>
      </c>
      <c r="Q1774" s="15">
        <v>0</v>
      </c>
      <c r="R1774" s="5" t="s">
        <v>961</v>
      </c>
    </row>
    <row r="1775" spans="1:19" x14ac:dyDescent="0.3">
      <c r="A1775" s="21">
        <v>363</v>
      </c>
      <c r="B1775" s="5" t="s">
        <v>960</v>
      </c>
      <c r="C1775" s="5" t="s">
        <v>956</v>
      </c>
      <c r="D1775" s="5" t="s">
        <v>27</v>
      </c>
      <c r="E1775" s="5" t="s">
        <v>22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100</v>
      </c>
      <c r="L1775" s="14">
        <f t="shared" si="108"/>
        <v>1</v>
      </c>
      <c r="M1775" s="14">
        <f t="shared" si="109"/>
        <v>1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2710</v>
      </c>
    </row>
    <row r="1776" spans="1:19" x14ac:dyDescent="0.3">
      <c r="A1776" s="21">
        <v>363</v>
      </c>
      <c r="B1776" s="5" t="s">
        <v>960</v>
      </c>
      <c r="C1776" s="5" t="s">
        <v>956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100</v>
      </c>
      <c r="L1776" s="14">
        <f t="shared" si="108"/>
        <v>1</v>
      </c>
      <c r="M1776" s="14">
        <f t="shared" si="109"/>
        <v>1</v>
      </c>
      <c r="N1776" s="5" t="s">
        <v>25</v>
      </c>
      <c r="O1776" s="5" t="s">
        <v>25</v>
      </c>
      <c r="P1776" s="15">
        <v>0</v>
      </c>
      <c r="Q1776" s="15">
        <v>0</v>
      </c>
      <c r="R1776" s="5" t="s">
        <v>962</v>
      </c>
    </row>
    <row r="1777" spans="1:18" x14ac:dyDescent="0.3">
      <c r="A1777" s="21">
        <v>363</v>
      </c>
      <c r="B1777" s="5" t="s">
        <v>960</v>
      </c>
      <c r="C1777" s="5" t="s">
        <v>956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100</v>
      </c>
      <c r="L1777" s="14">
        <f t="shared" si="108"/>
        <v>1</v>
      </c>
      <c r="M1777" s="14">
        <f t="shared" si="109"/>
        <v>1</v>
      </c>
      <c r="N1777" s="5" t="s">
        <v>25</v>
      </c>
      <c r="O1777" s="5" t="s">
        <v>25</v>
      </c>
      <c r="P1777" s="15">
        <v>0</v>
      </c>
      <c r="Q1777" s="15">
        <v>0</v>
      </c>
      <c r="R1777" s="5" t="s">
        <v>2711</v>
      </c>
    </row>
    <row r="1778" spans="1:18" x14ac:dyDescent="0.3">
      <c r="A1778" s="21">
        <v>363</v>
      </c>
      <c r="B1778" s="5" t="s">
        <v>960</v>
      </c>
      <c r="C1778" s="5" t="s">
        <v>956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963</v>
      </c>
    </row>
    <row r="1779" spans="1:18" x14ac:dyDescent="0.3">
      <c r="A1779" s="21">
        <v>364</v>
      </c>
      <c r="B1779" s="5" t="s">
        <v>964</v>
      </c>
      <c r="C1779" s="5" t="s">
        <v>951</v>
      </c>
      <c r="D1779" s="5" t="s">
        <v>27</v>
      </c>
      <c r="E1779" s="5" t="s">
        <v>41</v>
      </c>
      <c r="F1779" s="71">
        <v>45107</v>
      </c>
      <c r="G1779" s="5">
        <v>2023</v>
      </c>
      <c r="H1779" s="5" t="s">
        <v>699</v>
      </c>
      <c r="I1779" s="6" t="s">
        <v>1512</v>
      </c>
      <c r="J1779" s="5">
        <v>0</v>
      </c>
      <c r="K1779" s="10">
        <v>30244</v>
      </c>
      <c r="L1779" s="14" t="str">
        <f t="shared" si="108"/>
        <v/>
      </c>
      <c r="M1779" s="14" t="str">
        <f t="shared" si="109"/>
        <v/>
      </c>
      <c r="N1779" s="5"/>
      <c r="O1779" s="5"/>
      <c r="P1779" s="15">
        <v>0</v>
      </c>
      <c r="Q1779" s="15">
        <v>0</v>
      </c>
      <c r="R1779" s="5" t="s">
        <v>2712</v>
      </c>
    </row>
    <row r="1780" spans="1:18" x14ac:dyDescent="0.3">
      <c r="A1780" s="21">
        <v>364</v>
      </c>
      <c r="B1780" s="5" t="s">
        <v>964</v>
      </c>
      <c r="C1780" s="5" t="s">
        <v>951</v>
      </c>
      <c r="D1780" s="5" t="s">
        <v>27</v>
      </c>
      <c r="E1780" s="5" t="s">
        <v>41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0</v>
      </c>
      <c r="K1780" s="10">
        <v>78450</v>
      </c>
      <c r="L1780" s="14" t="str">
        <f t="shared" si="108"/>
        <v/>
      </c>
      <c r="M1780" s="14" t="str">
        <f t="shared" si="109"/>
        <v/>
      </c>
      <c r="N1780" s="5"/>
      <c r="O1780" s="5"/>
      <c r="P1780" s="15">
        <v>0</v>
      </c>
      <c r="Q1780" s="15">
        <v>0</v>
      </c>
      <c r="R1780" s="5" t="s">
        <v>965</v>
      </c>
    </row>
    <row r="1781" spans="1:18" x14ac:dyDescent="0.3">
      <c r="A1781" s="21">
        <v>364</v>
      </c>
      <c r="B1781" s="5" t="s">
        <v>964</v>
      </c>
      <c r="C1781" s="5" t="s">
        <v>951</v>
      </c>
      <c r="D1781" s="5" t="s">
        <v>27</v>
      </c>
      <c r="E1781" s="5" t="s">
        <v>41</v>
      </c>
      <c r="F1781" s="71">
        <v>45473</v>
      </c>
      <c r="G1781" s="5">
        <v>2024</v>
      </c>
      <c r="H1781" s="5" t="s">
        <v>699</v>
      </c>
      <c r="I1781" s="6" t="s">
        <v>729</v>
      </c>
      <c r="J1781" s="5">
        <v>100</v>
      </c>
      <c r="K1781" s="10">
        <v>132.72999999999999</v>
      </c>
      <c r="L1781" s="14">
        <f t="shared" si="108"/>
        <v>0.75340917652377015</v>
      </c>
      <c r="M1781" s="14">
        <f t="shared" si="109"/>
        <v>0.75340917652377015</v>
      </c>
      <c r="N1781" s="5"/>
      <c r="O1781" s="5"/>
      <c r="P1781" s="15">
        <v>0</v>
      </c>
      <c r="Q1781" s="15">
        <v>0</v>
      </c>
      <c r="R1781" s="5" t="s">
        <v>2713</v>
      </c>
    </row>
    <row r="1782" spans="1:18" x14ac:dyDescent="0.3">
      <c r="A1782" s="21">
        <v>364</v>
      </c>
      <c r="B1782" s="5" t="s">
        <v>964</v>
      </c>
      <c r="C1782" s="5" t="s">
        <v>951</v>
      </c>
      <c r="D1782" s="5" t="s">
        <v>27</v>
      </c>
      <c r="E1782" s="5" t="s">
        <v>22</v>
      </c>
      <c r="F1782" s="71">
        <v>45657</v>
      </c>
      <c r="G1782" s="5">
        <v>2024</v>
      </c>
      <c r="H1782" s="5" t="s">
        <v>23</v>
      </c>
      <c r="I1782" s="6" t="s">
        <v>30</v>
      </c>
      <c r="J1782" s="5">
        <v>100</v>
      </c>
      <c r="K1782" s="10">
        <v>98.09</v>
      </c>
      <c r="L1782" s="14">
        <f t="shared" si="108"/>
        <v>0.98089999999999999</v>
      </c>
      <c r="M1782" s="14">
        <f t="shared" si="109"/>
        <v>0.98089999999999999</v>
      </c>
      <c r="N1782" s="5"/>
      <c r="O1782" s="5"/>
      <c r="P1782" s="15">
        <v>0</v>
      </c>
      <c r="Q1782" s="15">
        <v>0</v>
      </c>
      <c r="R1782" s="5" t="s">
        <v>966</v>
      </c>
    </row>
    <row r="1783" spans="1:18" x14ac:dyDescent="0.3">
      <c r="A1783" s="21">
        <v>364</v>
      </c>
      <c r="B1783" s="5" t="s">
        <v>964</v>
      </c>
      <c r="C1783" s="5" t="s">
        <v>951</v>
      </c>
      <c r="D1783" s="5" t="s">
        <v>21</v>
      </c>
      <c r="E1783" s="5" t="s">
        <v>22</v>
      </c>
      <c r="F1783" s="71">
        <v>45838</v>
      </c>
      <c r="G1783" s="5">
        <v>2025</v>
      </c>
      <c r="H1783" s="5" t="s">
        <v>699</v>
      </c>
      <c r="I1783" s="6" t="s">
        <v>700</v>
      </c>
      <c r="J1783" s="5">
        <v>100</v>
      </c>
      <c r="K1783" s="10">
        <v>93.89</v>
      </c>
      <c r="L1783" s="14">
        <f t="shared" si="108"/>
        <v>0.93889999999999996</v>
      </c>
      <c r="M1783" s="14">
        <f t="shared" si="109"/>
        <v>0.93889999999999996</v>
      </c>
      <c r="N1783" s="5" t="s">
        <v>128</v>
      </c>
      <c r="O1783" s="5" t="s">
        <v>128</v>
      </c>
      <c r="P1783" s="15">
        <v>0</v>
      </c>
      <c r="Q1783" s="15">
        <v>0</v>
      </c>
      <c r="R1783" s="5" t="s">
        <v>2714</v>
      </c>
    </row>
    <row r="1784" spans="1:18" x14ac:dyDescent="0.3">
      <c r="A1784" s="21">
        <v>364</v>
      </c>
      <c r="B1784" s="5" t="s">
        <v>964</v>
      </c>
      <c r="C1784" s="5" t="s">
        <v>951</v>
      </c>
      <c r="D1784" s="5" t="s">
        <v>21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100</v>
      </c>
      <c r="K1784" s="10">
        <v>78.11</v>
      </c>
      <c r="L1784" s="14">
        <f t="shared" si="108"/>
        <v>0.78110000000000002</v>
      </c>
      <c r="M1784" s="14">
        <f t="shared" si="109"/>
        <v>0.78110000000000002</v>
      </c>
      <c r="N1784" s="5" t="s">
        <v>128</v>
      </c>
      <c r="O1784" s="5" t="s">
        <v>128</v>
      </c>
      <c r="P1784" s="15">
        <v>0</v>
      </c>
      <c r="Q1784" s="15">
        <v>0</v>
      </c>
      <c r="R1784" s="5" t="s">
        <v>967</v>
      </c>
    </row>
    <row r="1785" spans="1:18" x14ac:dyDescent="0.3">
      <c r="A1785" s="21">
        <v>365</v>
      </c>
      <c r="B1785" s="5" t="s">
        <v>968</v>
      </c>
      <c r="C1785" s="5" t="s">
        <v>956</v>
      </c>
      <c r="D1785" s="5" t="s">
        <v>27</v>
      </c>
      <c r="E1785" s="5" t="s">
        <v>22</v>
      </c>
      <c r="F1785" s="71">
        <v>45291</v>
      </c>
      <c r="G1785" s="5">
        <v>2023</v>
      </c>
      <c r="H1785" s="5" t="s">
        <v>23</v>
      </c>
      <c r="I1785" s="6" t="s">
        <v>28</v>
      </c>
      <c r="J1785" s="5">
        <v>100</v>
      </c>
      <c r="K1785" s="10">
        <v>100</v>
      </c>
      <c r="L1785" s="14">
        <f t="shared" si="108"/>
        <v>1</v>
      </c>
      <c r="M1785" s="14">
        <f t="shared" si="109"/>
        <v>1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969</v>
      </c>
    </row>
    <row r="1786" spans="1:18" x14ac:dyDescent="0.3">
      <c r="A1786" s="21">
        <v>366</v>
      </c>
      <c r="B1786" s="5" t="s">
        <v>970</v>
      </c>
      <c r="C1786" s="5" t="s">
        <v>956</v>
      </c>
      <c r="D1786" s="5" t="s">
        <v>71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100</v>
      </c>
      <c r="K1786" s="10">
        <v>100</v>
      </c>
      <c r="L1786" s="14">
        <f t="shared" si="108"/>
        <v>1</v>
      </c>
      <c r="M1786" s="14">
        <f t="shared" si="109"/>
        <v>1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971</v>
      </c>
    </row>
    <row r="1787" spans="1:18" x14ac:dyDescent="0.3">
      <c r="A1787" s="21">
        <v>366</v>
      </c>
      <c r="B1787" s="5" t="s">
        <v>970</v>
      </c>
      <c r="C1787" s="5" t="s">
        <v>956</v>
      </c>
      <c r="D1787" s="5" t="s">
        <v>71</v>
      </c>
      <c r="E1787" s="5" t="s">
        <v>22</v>
      </c>
      <c r="F1787" s="71">
        <v>45657</v>
      </c>
      <c r="G1787" s="5">
        <v>2024</v>
      </c>
      <c r="H1787" s="5" t="s">
        <v>23</v>
      </c>
      <c r="I1787" s="6" t="s">
        <v>30</v>
      </c>
      <c r="J1787" s="5">
        <v>100</v>
      </c>
      <c r="K1787" s="10">
        <v>100</v>
      </c>
      <c r="L1787" s="14">
        <f t="shared" si="108"/>
        <v>1</v>
      </c>
      <c r="M1787" s="14">
        <f t="shared" si="109"/>
        <v>1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972</v>
      </c>
    </row>
    <row r="1788" spans="1:18" x14ac:dyDescent="0.3">
      <c r="A1788" s="21">
        <v>366</v>
      </c>
      <c r="B1788" s="5" t="s">
        <v>970</v>
      </c>
      <c r="C1788" s="5" t="s">
        <v>956</v>
      </c>
      <c r="D1788" s="5" t="s">
        <v>71</v>
      </c>
      <c r="E1788" s="5" t="s">
        <v>22</v>
      </c>
      <c r="F1788" s="71">
        <v>46022</v>
      </c>
      <c r="G1788" s="5">
        <v>2025</v>
      </c>
      <c r="H1788" s="5" t="s">
        <v>23</v>
      </c>
      <c r="I1788" s="6" t="s">
        <v>32</v>
      </c>
      <c r="J1788" s="5">
        <v>100</v>
      </c>
      <c r="K1788" s="10">
        <v>100</v>
      </c>
      <c r="L1788" s="14">
        <f t="shared" si="108"/>
        <v>1</v>
      </c>
      <c r="M1788" s="14">
        <f t="shared" si="109"/>
        <v>1</v>
      </c>
      <c r="N1788" s="5" t="s">
        <v>128</v>
      </c>
      <c r="O1788" s="5" t="s">
        <v>128</v>
      </c>
      <c r="P1788" s="15">
        <v>0</v>
      </c>
      <c r="Q1788" s="15">
        <v>0</v>
      </c>
      <c r="R1788" s="5" t="s">
        <v>973</v>
      </c>
    </row>
    <row r="1789" spans="1:18" x14ac:dyDescent="0.3">
      <c r="A1789" s="21">
        <v>367</v>
      </c>
      <c r="B1789" s="5" t="s">
        <v>974</v>
      </c>
      <c r="C1789" s="5" t="s">
        <v>951</v>
      </c>
      <c r="D1789" s="5" t="s">
        <v>71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5</v>
      </c>
      <c r="K1789" s="10">
        <v>6.2497567052045619</v>
      </c>
      <c r="L1789" s="14">
        <f t="shared" si="108"/>
        <v>1.2499513410409124</v>
      </c>
      <c r="M1789" s="14">
        <f t="shared" si="109"/>
        <v>1.2499513410409124</v>
      </c>
      <c r="N1789" s="5" t="s">
        <v>25</v>
      </c>
      <c r="O1789" s="5" t="s">
        <v>25</v>
      </c>
      <c r="P1789" s="15">
        <v>2</v>
      </c>
      <c r="Q1789" s="15">
        <v>2</v>
      </c>
      <c r="R1789" s="5" t="s">
        <v>975</v>
      </c>
    </row>
    <row r="1790" spans="1:18" x14ac:dyDescent="0.3">
      <c r="A1790" s="21">
        <v>367</v>
      </c>
      <c r="B1790" s="5" t="s">
        <v>2715</v>
      </c>
      <c r="C1790" s="5" t="s">
        <v>951</v>
      </c>
      <c r="D1790" s="5" t="s">
        <v>71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5</v>
      </c>
      <c r="K1790" s="10">
        <v>4.96</v>
      </c>
      <c r="L1790" s="14">
        <f t="shared" si="108"/>
        <v>0.99199999999999999</v>
      </c>
      <c r="M1790" s="14">
        <f t="shared" si="109"/>
        <v>0.99199999999999999</v>
      </c>
      <c r="N1790" s="5" t="s">
        <v>25</v>
      </c>
      <c r="O1790" s="5" t="s">
        <v>25</v>
      </c>
      <c r="P1790" s="15">
        <v>2</v>
      </c>
      <c r="Q1790" s="15">
        <v>2</v>
      </c>
      <c r="R1790" s="5" t="s">
        <v>976</v>
      </c>
    </row>
    <row r="1791" spans="1:18" x14ac:dyDescent="0.3">
      <c r="A1791" s="21">
        <v>367</v>
      </c>
      <c r="B1791" s="5" t="s">
        <v>2715</v>
      </c>
      <c r="C1791" s="5" t="s">
        <v>951</v>
      </c>
      <c r="D1791" s="5" t="s">
        <v>71</v>
      </c>
      <c r="E1791" s="5" t="s">
        <v>22</v>
      </c>
      <c r="F1791" s="71">
        <v>46022</v>
      </c>
      <c r="G1791" s="5">
        <v>2025</v>
      </c>
      <c r="H1791" s="5" t="s">
        <v>23</v>
      </c>
      <c r="I1791" s="6" t="s">
        <v>32</v>
      </c>
      <c r="J1791" s="5">
        <v>5</v>
      </c>
      <c r="K1791" s="10">
        <v>3.82</v>
      </c>
      <c r="L1791" s="14">
        <f t="shared" si="108"/>
        <v>0.76400000000000001</v>
      </c>
      <c r="M1791" s="14">
        <f t="shared" si="109"/>
        <v>0.76400000000000001</v>
      </c>
      <c r="N1791" s="5" t="s">
        <v>25</v>
      </c>
      <c r="O1791" s="5" t="s">
        <v>25</v>
      </c>
      <c r="P1791" s="15">
        <v>0</v>
      </c>
      <c r="Q1791" s="15">
        <v>2</v>
      </c>
      <c r="R1791" s="5" t="s">
        <v>977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45199</v>
      </c>
      <c r="G1792" s="5">
        <v>2023</v>
      </c>
      <c r="H1792" s="5" t="s">
        <v>162</v>
      </c>
      <c r="I1792" s="6" t="s">
        <v>28</v>
      </c>
      <c r="J1792" s="5">
        <v>90</v>
      </c>
      <c r="K1792" s="10">
        <v>95</v>
      </c>
      <c r="L1792" s="14">
        <f t="shared" si="108"/>
        <v>1.0555555555555556</v>
      </c>
      <c r="M1792" s="14">
        <f t="shared" si="109"/>
        <v>1.0555555555555556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2716</v>
      </c>
    </row>
    <row r="1793" spans="1:18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45291</v>
      </c>
      <c r="G1793" s="5">
        <v>2023</v>
      </c>
      <c r="H1793" s="5" t="s">
        <v>23</v>
      </c>
      <c r="I1793" s="6" t="s">
        <v>28</v>
      </c>
      <c r="J1793" s="5">
        <v>90</v>
      </c>
      <c r="K1793" s="10">
        <v>94</v>
      </c>
      <c r="L1793" s="14">
        <f t="shared" si="108"/>
        <v>1.0444444444444445</v>
      </c>
      <c r="M1793" s="14">
        <f t="shared" si="109"/>
        <v>1.0444444444444445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980</v>
      </c>
    </row>
    <row r="1794" spans="1:18" x14ac:dyDescent="0.3">
      <c r="A1794" s="21">
        <v>368</v>
      </c>
      <c r="B1794" s="5" t="s">
        <v>978</v>
      </c>
      <c r="C1794" s="5" t="s">
        <v>979</v>
      </c>
      <c r="D1794" s="5" t="s">
        <v>21</v>
      </c>
      <c r="E1794" s="5" t="s">
        <v>22</v>
      </c>
      <c r="F1794" s="71">
        <v>45382</v>
      </c>
      <c r="G1794" s="5">
        <v>2024</v>
      </c>
      <c r="H1794" s="5" t="s">
        <v>1516</v>
      </c>
      <c r="I1794" s="6" t="s">
        <v>729</v>
      </c>
      <c r="J1794" s="5">
        <v>90</v>
      </c>
      <c r="K1794" s="10">
        <v>94</v>
      </c>
      <c r="L1794" s="14">
        <f t="shared" si="108"/>
        <v>1.0444444444444445</v>
      </c>
      <c r="M1794" s="14">
        <f t="shared" si="109"/>
        <v>1.0444444444444445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2717</v>
      </c>
    </row>
    <row r="1795" spans="1:18" x14ac:dyDescent="0.3">
      <c r="A1795" s="21">
        <v>368</v>
      </c>
      <c r="B1795" s="5" t="s">
        <v>978</v>
      </c>
      <c r="C1795" s="5" t="s">
        <v>979</v>
      </c>
      <c r="D1795" s="5" t="s">
        <v>21</v>
      </c>
      <c r="E1795" s="5" t="s">
        <v>22</v>
      </c>
      <c r="F1795" s="71">
        <v>45473</v>
      </c>
      <c r="G1795" s="5">
        <v>2024</v>
      </c>
      <c r="H1795" s="5" t="s">
        <v>699</v>
      </c>
      <c r="I1795" s="6" t="s">
        <v>729</v>
      </c>
      <c r="J1795" s="5">
        <v>90</v>
      </c>
      <c r="K1795" s="10">
        <v>95</v>
      </c>
      <c r="L1795" s="14">
        <f t="shared" si="108"/>
        <v>1.0555555555555556</v>
      </c>
      <c r="M1795" s="14">
        <f t="shared" si="109"/>
        <v>1.0555555555555556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2718</v>
      </c>
    </row>
    <row r="1796" spans="1:18" x14ac:dyDescent="0.3">
      <c r="A1796" s="21">
        <v>368</v>
      </c>
      <c r="B1796" s="5" t="s">
        <v>978</v>
      </c>
      <c r="C1796" s="5" t="s">
        <v>979</v>
      </c>
      <c r="D1796" s="5" t="s">
        <v>21</v>
      </c>
      <c r="E1796" s="5" t="s">
        <v>22</v>
      </c>
      <c r="F1796" s="71">
        <v>45565</v>
      </c>
      <c r="G1796" s="5">
        <v>2024</v>
      </c>
      <c r="H1796" s="5" t="s">
        <v>162</v>
      </c>
      <c r="I1796" s="6" t="s">
        <v>30</v>
      </c>
      <c r="J1796" s="5">
        <v>90</v>
      </c>
      <c r="K1796" s="10">
        <v>94</v>
      </c>
      <c r="L1796" s="14">
        <f t="shared" si="108"/>
        <v>1.0444444444444445</v>
      </c>
      <c r="M1796" s="14">
        <f t="shared" si="109"/>
        <v>1.0444444444444445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2719</v>
      </c>
    </row>
    <row r="1797" spans="1:18" x14ac:dyDescent="0.3">
      <c r="A1797" s="21">
        <v>368</v>
      </c>
      <c r="B1797" s="5" t="s">
        <v>978</v>
      </c>
      <c r="C1797" s="5" t="s">
        <v>979</v>
      </c>
      <c r="D1797" s="5" t="s">
        <v>21</v>
      </c>
      <c r="E1797" s="5" t="s">
        <v>22</v>
      </c>
      <c r="F1797" s="71">
        <v>45657</v>
      </c>
      <c r="G1797" s="5">
        <v>2024</v>
      </c>
      <c r="H1797" s="5" t="s">
        <v>23</v>
      </c>
      <c r="I1797" s="6" t="s">
        <v>30</v>
      </c>
      <c r="J1797" s="5">
        <v>90</v>
      </c>
      <c r="K1797" s="10">
        <v>94</v>
      </c>
      <c r="L1797" s="14">
        <f t="shared" si="108"/>
        <v>1.0444444444444445</v>
      </c>
      <c r="M1797" s="14">
        <f t="shared" si="109"/>
        <v>1.0444444444444445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981</v>
      </c>
    </row>
    <row r="1798" spans="1:18" x14ac:dyDescent="0.3">
      <c r="A1798" s="21">
        <v>368</v>
      </c>
      <c r="B1798" s="5" t="s">
        <v>978</v>
      </c>
      <c r="C1798" s="5" t="s">
        <v>979</v>
      </c>
      <c r="D1798" s="5" t="s">
        <v>21</v>
      </c>
      <c r="E1798" s="5" t="s">
        <v>22</v>
      </c>
      <c r="F1798" s="71">
        <v>45747</v>
      </c>
      <c r="G1798" s="5">
        <v>2025</v>
      </c>
      <c r="H1798" s="5" t="s">
        <v>1516</v>
      </c>
      <c r="I1798" s="6" t="s">
        <v>700</v>
      </c>
      <c r="J1798" s="5">
        <v>93</v>
      </c>
      <c r="K1798" s="10">
        <v>94</v>
      </c>
      <c r="L1798" s="14">
        <f t="shared" si="108"/>
        <v>1.010752688172043</v>
      </c>
      <c r="M1798" s="14">
        <f t="shared" si="109"/>
        <v>1.010752688172043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2720</v>
      </c>
    </row>
    <row r="1799" spans="1:18" x14ac:dyDescent="0.3">
      <c r="A1799" s="21">
        <v>368</v>
      </c>
      <c r="B1799" s="5" t="s">
        <v>978</v>
      </c>
      <c r="C1799" s="5" t="s">
        <v>979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93</v>
      </c>
      <c r="K1799" s="10">
        <v>96</v>
      </c>
      <c r="L1799" s="14">
        <f t="shared" si="108"/>
        <v>1.032258064516129</v>
      </c>
      <c r="M1799" s="14">
        <f t="shared" si="109"/>
        <v>1.032258064516129</v>
      </c>
      <c r="N1799" s="5" t="s">
        <v>25</v>
      </c>
      <c r="O1799" s="5" t="s">
        <v>25</v>
      </c>
      <c r="P1799" s="15">
        <v>0</v>
      </c>
      <c r="Q1799" s="15">
        <v>0</v>
      </c>
      <c r="R1799" s="5" t="s">
        <v>2721</v>
      </c>
    </row>
    <row r="1800" spans="1:18" x14ac:dyDescent="0.3">
      <c r="A1800" s="21">
        <v>368</v>
      </c>
      <c r="B1800" s="5" t="s">
        <v>978</v>
      </c>
      <c r="C1800" s="5" t="s">
        <v>982</v>
      </c>
      <c r="D1800" s="5" t="s">
        <v>27</v>
      </c>
      <c r="E1800" s="5" t="s">
        <v>22</v>
      </c>
      <c r="F1800" s="71">
        <v>45930</v>
      </c>
      <c r="G1800" s="5">
        <v>2025</v>
      </c>
      <c r="H1800" s="5" t="s">
        <v>162</v>
      </c>
      <c r="I1800" s="6" t="s">
        <v>32</v>
      </c>
      <c r="J1800" s="5">
        <v>93</v>
      </c>
      <c r="K1800" s="10">
        <v>95</v>
      </c>
      <c r="L1800" s="14">
        <f t="shared" si="108"/>
        <v>1.021505376344086</v>
      </c>
      <c r="M1800" s="14">
        <f t="shared" si="109"/>
        <v>1.021505376344086</v>
      </c>
      <c r="N1800" s="5" t="s">
        <v>25</v>
      </c>
      <c r="O1800" s="5" t="s">
        <v>25</v>
      </c>
      <c r="P1800" s="15">
        <v>0</v>
      </c>
      <c r="Q1800" s="15">
        <v>0</v>
      </c>
      <c r="R1800" s="5" t="s">
        <v>2722</v>
      </c>
    </row>
    <row r="1801" spans="1:18" x14ac:dyDescent="0.3">
      <c r="A1801" s="21">
        <v>368</v>
      </c>
      <c r="B1801" s="5" t="s">
        <v>978</v>
      </c>
      <c r="C1801" s="5" t="s">
        <v>982</v>
      </c>
      <c r="D1801" s="5" t="s">
        <v>27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93</v>
      </c>
      <c r="K1801" s="10">
        <v>95</v>
      </c>
      <c r="L1801" s="14">
        <f t="shared" ref="L1801:L1824" si="110">IFERROR(IF(OR(J1801=0,K1801=""),"",IF(E1801="Positivo",MIN(MAX(K1801/J1801,0),1.3),MIN(MAX(J1801/K1801,0),1.3))),"")</f>
        <v>1.021505376344086</v>
      </c>
      <c r="M1801" s="14">
        <f t="shared" ref="M1801:M1837" si="111">IFERROR(IF(OR(J1801=0,K1801=""),"",IF(E1801="Positivo",MAX(K1801/J1801,0),MAX(J1801/K1801,0))),"")</f>
        <v>1.021505376344086</v>
      </c>
      <c r="N1801" s="5" t="s">
        <v>25</v>
      </c>
      <c r="O1801" s="5" t="s">
        <v>25</v>
      </c>
      <c r="P1801" s="15">
        <v>0</v>
      </c>
      <c r="Q1801" s="15">
        <v>0</v>
      </c>
      <c r="R1801" s="5" t="s">
        <v>983</v>
      </c>
    </row>
    <row r="1802" spans="1:18" x14ac:dyDescent="0.3">
      <c r="A1802" s="21">
        <v>369</v>
      </c>
      <c r="B1802" s="5" t="s">
        <v>984</v>
      </c>
      <c r="C1802" s="5" t="s">
        <v>951</v>
      </c>
      <c r="D1802" s="5" t="s">
        <v>27</v>
      </c>
      <c r="E1802" s="5" t="s">
        <v>22</v>
      </c>
      <c r="F1802" s="71">
        <v>45107</v>
      </c>
      <c r="G1802" s="5">
        <v>2023</v>
      </c>
      <c r="H1802" s="5" t="s">
        <v>699</v>
      </c>
      <c r="I1802" s="6" t="s">
        <v>1512</v>
      </c>
      <c r="J1802" s="5">
        <v>0</v>
      </c>
      <c r="K1802" s="10">
        <v>78</v>
      </c>
      <c r="L1802" s="14" t="str">
        <f t="shared" si="110"/>
        <v/>
      </c>
      <c r="M1802" s="14" t="str">
        <f t="shared" si="111"/>
        <v/>
      </c>
      <c r="N1802" s="5" t="s">
        <v>355</v>
      </c>
      <c r="O1802" s="5" t="s">
        <v>25</v>
      </c>
      <c r="P1802" s="15">
        <v>0</v>
      </c>
      <c r="Q1802" s="15">
        <v>0</v>
      </c>
      <c r="R1802" s="5" t="s">
        <v>2723</v>
      </c>
    </row>
    <row r="1803" spans="1:18" x14ac:dyDescent="0.3">
      <c r="A1803" s="21">
        <v>369</v>
      </c>
      <c r="B1803" s="5" t="s">
        <v>984</v>
      </c>
      <c r="C1803" s="5" t="s">
        <v>951</v>
      </c>
      <c r="D1803" s="5" t="s">
        <v>27</v>
      </c>
      <c r="E1803" s="5" t="s">
        <v>22</v>
      </c>
      <c r="F1803" s="71">
        <v>45291</v>
      </c>
      <c r="G1803" s="5">
        <v>2023</v>
      </c>
      <c r="H1803" s="5" t="s">
        <v>23</v>
      </c>
      <c r="I1803" s="6" t="s">
        <v>28</v>
      </c>
      <c r="J1803" s="5">
        <v>0</v>
      </c>
      <c r="K1803" s="10">
        <v>96</v>
      </c>
      <c r="L1803" s="14" t="str">
        <f t="shared" si="110"/>
        <v/>
      </c>
      <c r="M1803" s="14" t="str">
        <f t="shared" si="111"/>
        <v/>
      </c>
      <c r="N1803" s="5" t="s">
        <v>355</v>
      </c>
      <c r="O1803" s="5" t="s">
        <v>25</v>
      </c>
      <c r="P1803" s="15">
        <v>0</v>
      </c>
      <c r="Q1803" s="15">
        <v>0</v>
      </c>
      <c r="R1803" s="5" t="s">
        <v>985</v>
      </c>
    </row>
    <row r="1804" spans="1:18" x14ac:dyDescent="0.3">
      <c r="A1804" s="21">
        <v>369</v>
      </c>
      <c r="B1804" s="5" t="s">
        <v>984</v>
      </c>
      <c r="C1804" s="5" t="s">
        <v>951</v>
      </c>
      <c r="D1804" s="5" t="s">
        <v>27</v>
      </c>
      <c r="E1804" s="5" t="s">
        <v>22</v>
      </c>
      <c r="F1804" s="71">
        <v>45473</v>
      </c>
      <c r="G1804" s="5">
        <v>2024</v>
      </c>
      <c r="H1804" s="5" t="s">
        <v>699</v>
      </c>
      <c r="I1804" s="6" t="s">
        <v>729</v>
      </c>
      <c r="J1804" s="5">
        <v>100</v>
      </c>
      <c r="K1804" s="10">
        <v>76.25</v>
      </c>
      <c r="L1804" s="14">
        <f t="shared" si="110"/>
        <v>0.76249999999999996</v>
      </c>
      <c r="M1804" s="14">
        <f t="shared" si="111"/>
        <v>0.76249999999999996</v>
      </c>
      <c r="N1804" s="5" t="s">
        <v>355</v>
      </c>
      <c r="O1804" s="5" t="s">
        <v>25</v>
      </c>
      <c r="P1804" s="15">
        <v>0</v>
      </c>
      <c r="Q1804" s="15">
        <v>0</v>
      </c>
      <c r="R1804" s="5" t="s">
        <v>2724</v>
      </c>
    </row>
    <row r="1805" spans="1:18" x14ac:dyDescent="0.3">
      <c r="A1805" s="21">
        <v>369</v>
      </c>
      <c r="B1805" s="5" t="s">
        <v>984</v>
      </c>
      <c r="C1805" s="5" t="s">
        <v>951</v>
      </c>
      <c r="D1805" s="5" t="s">
        <v>27</v>
      </c>
      <c r="E1805" s="5" t="s">
        <v>22</v>
      </c>
      <c r="F1805" s="71">
        <v>45657</v>
      </c>
      <c r="G1805" s="5">
        <v>2024</v>
      </c>
      <c r="H1805" s="5" t="s">
        <v>23</v>
      </c>
      <c r="I1805" s="6" t="s">
        <v>30</v>
      </c>
      <c r="J1805" s="5">
        <v>100</v>
      </c>
      <c r="K1805" s="10">
        <v>71.3</v>
      </c>
      <c r="L1805" s="14">
        <f t="shared" si="110"/>
        <v>0.71299999999999997</v>
      </c>
      <c r="M1805" s="14">
        <f t="shared" si="111"/>
        <v>0.71299999999999997</v>
      </c>
      <c r="N1805" s="5"/>
      <c r="O1805" s="5"/>
      <c r="P1805" s="15">
        <v>0</v>
      </c>
      <c r="Q1805" s="15">
        <v>0</v>
      </c>
      <c r="R1805" s="5" t="s">
        <v>986</v>
      </c>
    </row>
    <row r="1806" spans="1:18" x14ac:dyDescent="0.3">
      <c r="A1806" s="21">
        <v>369</v>
      </c>
      <c r="B1806" s="5" t="s">
        <v>984</v>
      </c>
      <c r="C1806" s="5" t="s">
        <v>951</v>
      </c>
      <c r="D1806" s="5" t="s">
        <v>21</v>
      </c>
      <c r="E1806" s="5" t="s">
        <v>22</v>
      </c>
      <c r="F1806" s="71">
        <v>45838</v>
      </c>
      <c r="G1806" s="5">
        <v>2025</v>
      </c>
      <c r="H1806" s="5" t="s">
        <v>699</v>
      </c>
      <c r="I1806" s="6" t="s">
        <v>700</v>
      </c>
      <c r="J1806" s="5">
        <v>100</v>
      </c>
      <c r="K1806" s="10">
        <v>88.89</v>
      </c>
      <c r="L1806" s="14">
        <f t="shared" si="110"/>
        <v>0.88890000000000002</v>
      </c>
      <c r="M1806" s="14">
        <f t="shared" si="111"/>
        <v>0.88890000000000002</v>
      </c>
      <c r="N1806" s="5" t="s">
        <v>128</v>
      </c>
      <c r="O1806" s="5" t="s">
        <v>128</v>
      </c>
      <c r="P1806" s="15">
        <v>0</v>
      </c>
      <c r="Q1806" s="15">
        <v>0</v>
      </c>
      <c r="R1806" s="5" t="s">
        <v>2725</v>
      </c>
    </row>
    <row r="1807" spans="1:18" x14ac:dyDescent="0.3">
      <c r="A1807" s="21">
        <v>369</v>
      </c>
      <c r="B1807" s="5" t="s">
        <v>984</v>
      </c>
      <c r="C1807" s="5" t="s">
        <v>951</v>
      </c>
      <c r="D1807" s="5" t="s">
        <v>21</v>
      </c>
      <c r="E1807" s="5" t="s">
        <v>22</v>
      </c>
      <c r="F1807" s="71">
        <v>46022</v>
      </c>
      <c r="G1807" s="5">
        <v>2025</v>
      </c>
      <c r="H1807" s="5" t="s">
        <v>23</v>
      </c>
      <c r="I1807" s="6" t="s">
        <v>32</v>
      </c>
      <c r="J1807" s="5">
        <v>100</v>
      </c>
      <c r="K1807" s="10">
        <v>108.26</v>
      </c>
      <c r="L1807" s="14">
        <f t="shared" si="110"/>
        <v>1.0826</v>
      </c>
      <c r="M1807" s="14">
        <f t="shared" si="111"/>
        <v>1.0826</v>
      </c>
      <c r="N1807" s="5" t="s">
        <v>128</v>
      </c>
      <c r="O1807" s="5" t="s">
        <v>128</v>
      </c>
      <c r="P1807" s="15">
        <v>0</v>
      </c>
      <c r="Q1807" s="15">
        <v>0</v>
      </c>
      <c r="R1807" s="5" t="s">
        <v>987</v>
      </c>
    </row>
    <row r="1808" spans="1:18" x14ac:dyDescent="0.3">
      <c r="A1808">
        <v>370</v>
      </c>
      <c r="B1808" t="s">
        <v>988</v>
      </c>
      <c r="C1808" t="s">
        <v>951</v>
      </c>
      <c r="D1808" t="s">
        <v>27</v>
      </c>
      <c r="E1808" t="s">
        <v>22</v>
      </c>
      <c r="F1808" s="79">
        <v>45107</v>
      </c>
      <c r="G1808">
        <v>2023</v>
      </c>
      <c r="H1808" t="s">
        <v>699</v>
      </c>
      <c r="I1808" t="s">
        <v>1512</v>
      </c>
      <c r="J1808">
        <v>0</v>
      </c>
      <c r="K1808">
        <v>0</v>
      </c>
      <c r="L1808" s="39" t="str">
        <f t="shared" si="110"/>
        <v/>
      </c>
      <c r="M1808" s="39" t="str">
        <f t="shared" si="111"/>
        <v/>
      </c>
      <c r="P1808">
        <v>0</v>
      </c>
      <c r="Q1808">
        <v>0</v>
      </c>
      <c r="R1808" t="s">
        <v>2726</v>
      </c>
    </row>
    <row r="1809" spans="1:18" x14ac:dyDescent="0.3">
      <c r="A1809">
        <v>371</v>
      </c>
      <c r="B1809" t="s">
        <v>990</v>
      </c>
      <c r="C1809" t="s">
        <v>951</v>
      </c>
      <c r="D1809" t="s">
        <v>27</v>
      </c>
      <c r="E1809" t="s">
        <v>22</v>
      </c>
      <c r="F1809" s="79">
        <v>45107</v>
      </c>
      <c r="G1809">
        <v>2023</v>
      </c>
      <c r="H1809" t="s">
        <v>699</v>
      </c>
      <c r="I1809" t="s">
        <v>1512</v>
      </c>
      <c r="J1809">
        <v>100</v>
      </c>
      <c r="K1809">
        <v>157.50274243635999</v>
      </c>
      <c r="L1809" s="39">
        <f t="shared" si="110"/>
        <v>1.3</v>
      </c>
      <c r="M1809" s="39">
        <f t="shared" si="111"/>
        <v>1.5750274243636</v>
      </c>
      <c r="N1809" t="s">
        <v>205</v>
      </c>
      <c r="O1809" t="s">
        <v>205</v>
      </c>
      <c r="P1809">
        <v>0</v>
      </c>
      <c r="Q1809">
        <v>0</v>
      </c>
      <c r="R1809" t="s">
        <v>2727</v>
      </c>
    </row>
    <row r="1810" spans="1:18" x14ac:dyDescent="0.3">
      <c r="A1810">
        <v>371</v>
      </c>
      <c r="B1810" t="s">
        <v>990</v>
      </c>
      <c r="C1810" t="s">
        <v>951</v>
      </c>
      <c r="D1810" t="s">
        <v>27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100</v>
      </c>
      <c r="K1810">
        <v>173.07</v>
      </c>
      <c r="L1810" s="39">
        <f t="shared" si="110"/>
        <v>1.3</v>
      </c>
      <c r="M1810" s="39">
        <f t="shared" si="111"/>
        <v>1.7306999999999999</v>
      </c>
      <c r="N1810" t="s">
        <v>205</v>
      </c>
      <c r="O1810" t="s">
        <v>205</v>
      </c>
      <c r="P1810">
        <v>0</v>
      </c>
      <c r="Q1810">
        <v>0</v>
      </c>
      <c r="R1810" t="s">
        <v>991</v>
      </c>
    </row>
    <row r="1811" spans="1:18" x14ac:dyDescent="0.3">
      <c r="A1811">
        <v>371</v>
      </c>
      <c r="B1811" t="s">
        <v>990</v>
      </c>
      <c r="C1811" t="s">
        <v>951</v>
      </c>
      <c r="D1811" t="s">
        <v>27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100</v>
      </c>
      <c r="K1811">
        <v>149.72</v>
      </c>
      <c r="L1811" s="39">
        <f t="shared" si="110"/>
        <v>1.3</v>
      </c>
      <c r="M1811" s="39">
        <f t="shared" si="111"/>
        <v>1.4972000000000001</v>
      </c>
      <c r="N1811" t="s">
        <v>205</v>
      </c>
      <c r="O1811" t="s">
        <v>205</v>
      </c>
      <c r="P1811">
        <v>0</v>
      </c>
      <c r="Q1811">
        <v>0</v>
      </c>
      <c r="R1811" t="s">
        <v>2728</v>
      </c>
    </row>
    <row r="1812" spans="1:18" x14ac:dyDescent="0.3">
      <c r="A1812">
        <v>371</v>
      </c>
      <c r="B1812" t="s">
        <v>990</v>
      </c>
      <c r="C1812" t="s">
        <v>951</v>
      </c>
      <c r="D1812" t="s">
        <v>27</v>
      </c>
      <c r="E1812" t="s">
        <v>22</v>
      </c>
      <c r="F1812" s="79">
        <v>45657</v>
      </c>
      <c r="G1812">
        <v>2024</v>
      </c>
      <c r="H1812" t="s">
        <v>23</v>
      </c>
      <c r="I1812" t="s">
        <v>30</v>
      </c>
      <c r="J1812">
        <v>100</v>
      </c>
      <c r="K1812">
        <v>96.99</v>
      </c>
      <c r="L1812" s="39">
        <f t="shared" si="110"/>
        <v>0.96989999999999998</v>
      </c>
      <c r="M1812" s="39">
        <f t="shared" si="111"/>
        <v>0.96989999999999998</v>
      </c>
      <c r="N1812" t="s">
        <v>205</v>
      </c>
      <c r="O1812" t="s">
        <v>205</v>
      </c>
      <c r="P1812">
        <v>0</v>
      </c>
      <c r="Q1812">
        <v>0</v>
      </c>
      <c r="R1812" t="s">
        <v>992</v>
      </c>
    </row>
    <row r="1813" spans="1:18" x14ac:dyDescent="0.3">
      <c r="A1813">
        <v>371</v>
      </c>
      <c r="B1813" t="s">
        <v>990</v>
      </c>
      <c r="C1813" t="s">
        <v>951</v>
      </c>
      <c r="D1813" t="s">
        <v>27</v>
      </c>
      <c r="E1813" t="s">
        <v>22</v>
      </c>
      <c r="F1813" s="79">
        <v>45838</v>
      </c>
      <c r="G1813">
        <v>2025</v>
      </c>
      <c r="H1813" t="s">
        <v>699</v>
      </c>
      <c r="I1813" t="s">
        <v>700</v>
      </c>
      <c r="J1813">
        <v>100</v>
      </c>
      <c r="K1813">
        <v>73.69</v>
      </c>
      <c r="L1813" s="39">
        <f t="shared" si="110"/>
        <v>0.7369</v>
      </c>
      <c r="M1813" s="39">
        <f t="shared" si="111"/>
        <v>0.7369</v>
      </c>
      <c r="N1813" t="s">
        <v>205</v>
      </c>
      <c r="O1813" t="s">
        <v>205</v>
      </c>
      <c r="P1813">
        <v>0</v>
      </c>
      <c r="Q1813">
        <v>0</v>
      </c>
      <c r="R1813" t="s">
        <v>2729</v>
      </c>
    </row>
    <row r="1814" spans="1:18" x14ac:dyDescent="0.3">
      <c r="A1814">
        <v>371</v>
      </c>
      <c r="B1814" t="s">
        <v>990</v>
      </c>
      <c r="C1814" t="s">
        <v>951</v>
      </c>
      <c r="D1814" t="s">
        <v>21</v>
      </c>
      <c r="E1814" t="s">
        <v>22</v>
      </c>
      <c r="F1814" s="79">
        <v>46022</v>
      </c>
      <c r="G1814">
        <v>2025</v>
      </c>
      <c r="H1814" t="s">
        <v>23</v>
      </c>
      <c r="I1814" t="s">
        <v>32</v>
      </c>
      <c r="J1814">
        <v>100</v>
      </c>
      <c r="K1814">
        <v>83.42</v>
      </c>
      <c r="L1814" s="39">
        <f t="shared" si="110"/>
        <v>0.83420000000000005</v>
      </c>
      <c r="M1814" s="39">
        <f t="shared" si="111"/>
        <v>0.83420000000000005</v>
      </c>
      <c r="N1814" t="s">
        <v>205</v>
      </c>
      <c r="O1814" t="s">
        <v>205</v>
      </c>
      <c r="P1814">
        <v>0</v>
      </c>
      <c r="Q1814">
        <v>0</v>
      </c>
      <c r="R1814" t="s">
        <v>993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45199</v>
      </c>
      <c r="G1815">
        <v>2023</v>
      </c>
      <c r="H1815" t="s">
        <v>162</v>
      </c>
      <c r="I1815" t="s">
        <v>28</v>
      </c>
      <c r="J1815">
        <v>87</v>
      </c>
      <c r="K1815">
        <v>96</v>
      </c>
      <c r="L1815" s="39">
        <f t="shared" si="110"/>
        <v>1.103448275862069</v>
      </c>
      <c r="M1815" s="39">
        <f t="shared" si="111"/>
        <v>1.103448275862069</v>
      </c>
      <c r="N1815" t="s">
        <v>25</v>
      </c>
      <c r="O1815" t="s">
        <v>25</v>
      </c>
      <c r="P1815">
        <v>0</v>
      </c>
      <c r="Q1815">
        <v>0</v>
      </c>
      <c r="R1815" t="s">
        <v>2730</v>
      </c>
    </row>
    <row r="1816" spans="1:18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45291</v>
      </c>
      <c r="G1816">
        <v>2023</v>
      </c>
      <c r="H1816" t="s">
        <v>23</v>
      </c>
      <c r="I1816" t="s">
        <v>28</v>
      </c>
      <c r="J1816">
        <v>87</v>
      </c>
      <c r="K1816">
        <v>95</v>
      </c>
      <c r="L1816" s="39">
        <f t="shared" si="110"/>
        <v>1.0919540229885059</v>
      </c>
      <c r="M1816" s="39">
        <f t="shared" si="111"/>
        <v>1.0919540229885059</v>
      </c>
      <c r="N1816" t="s">
        <v>25</v>
      </c>
      <c r="O1816" t="s">
        <v>25</v>
      </c>
      <c r="P1816">
        <v>0</v>
      </c>
      <c r="Q1816">
        <v>0</v>
      </c>
      <c r="R1816" t="s">
        <v>995</v>
      </c>
    </row>
    <row r="1817" spans="1:18" x14ac:dyDescent="0.3">
      <c r="A1817">
        <v>372</v>
      </c>
      <c r="B1817" t="s">
        <v>994</v>
      </c>
      <c r="C1817" t="s">
        <v>979</v>
      </c>
      <c r="D1817" t="s">
        <v>21</v>
      </c>
      <c r="E1817" t="s">
        <v>22</v>
      </c>
      <c r="F1817" s="79">
        <v>45382</v>
      </c>
      <c r="G1817">
        <v>2024</v>
      </c>
      <c r="H1817" t="s">
        <v>1516</v>
      </c>
      <c r="I1817" t="s">
        <v>729</v>
      </c>
      <c r="J1817">
        <v>87</v>
      </c>
      <c r="K1817">
        <v>93</v>
      </c>
      <c r="L1817" s="39">
        <f t="shared" si="110"/>
        <v>1.0689655172413792</v>
      </c>
      <c r="M1817" s="39">
        <f t="shared" si="111"/>
        <v>1.0689655172413792</v>
      </c>
      <c r="N1817" t="s">
        <v>25</v>
      </c>
      <c r="O1817" t="s">
        <v>25</v>
      </c>
      <c r="P1817">
        <v>0</v>
      </c>
      <c r="Q1817">
        <v>0</v>
      </c>
      <c r="R1817" t="s">
        <v>2731</v>
      </c>
    </row>
    <row r="1818" spans="1:18" x14ac:dyDescent="0.3">
      <c r="A1818">
        <v>372</v>
      </c>
      <c r="B1818" t="s">
        <v>994</v>
      </c>
      <c r="C1818" t="s">
        <v>979</v>
      </c>
      <c r="D1818" t="s">
        <v>21</v>
      </c>
      <c r="E1818" t="s">
        <v>22</v>
      </c>
      <c r="F1818" s="79">
        <v>45473</v>
      </c>
      <c r="G1818">
        <v>2024</v>
      </c>
      <c r="H1818" t="s">
        <v>699</v>
      </c>
      <c r="I1818" t="s">
        <v>729</v>
      </c>
      <c r="J1818">
        <v>87</v>
      </c>
      <c r="K1818">
        <v>90</v>
      </c>
      <c r="L1818" s="39">
        <f t="shared" si="110"/>
        <v>1.0344827586206897</v>
      </c>
      <c r="M1818" s="39">
        <f t="shared" si="111"/>
        <v>1.0344827586206897</v>
      </c>
      <c r="N1818" t="s">
        <v>25</v>
      </c>
      <c r="O1818" t="s">
        <v>25</v>
      </c>
      <c r="P1818">
        <v>0</v>
      </c>
      <c r="Q1818">
        <v>0</v>
      </c>
      <c r="R1818" t="s">
        <v>2732</v>
      </c>
    </row>
    <row r="1819" spans="1:18" x14ac:dyDescent="0.3">
      <c r="A1819">
        <v>372</v>
      </c>
      <c r="B1819" t="s">
        <v>994</v>
      </c>
      <c r="C1819" t="s">
        <v>979</v>
      </c>
      <c r="D1819" t="s">
        <v>21</v>
      </c>
      <c r="E1819" t="s">
        <v>22</v>
      </c>
      <c r="F1819" s="79">
        <v>45565</v>
      </c>
      <c r="G1819">
        <v>2024</v>
      </c>
      <c r="H1819" t="s">
        <v>162</v>
      </c>
      <c r="I1819" t="s">
        <v>30</v>
      </c>
      <c r="J1819">
        <v>87</v>
      </c>
      <c r="K1819">
        <v>91</v>
      </c>
      <c r="L1819" s="39">
        <f t="shared" si="110"/>
        <v>1.0459770114942528</v>
      </c>
      <c r="M1819" s="39">
        <f t="shared" si="111"/>
        <v>1.0459770114942528</v>
      </c>
      <c r="N1819" t="s">
        <v>25</v>
      </c>
      <c r="O1819" t="s">
        <v>25</v>
      </c>
      <c r="P1819">
        <v>0</v>
      </c>
      <c r="Q1819">
        <v>0</v>
      </c>
      <c r="R1819" t="s">
        <v>2733</v>
      </c>
    </row>
    <row r="1820" spans="1:18" x14ac:dyDescent="0.3">
      <c r="A1820">
        <v>372</v>
      </c>
      <c r="B1820" t="s">
        <v>994</v>
      </c>
      <c r="C1820" t="s">
        <v>979</v>
      </c>
      <c r="D1820" t="s">
        <v>21</v>
      </c>
      <c r="E1820" t="s">
        <v>22</v>
      </c>
      <c r="F1820" s="79">
        <v>45657</v>
      </c>
      <c r="G1820">
        <v>2024</v>
      </c>
      <c r="H1820" t="s">
        <v>23</v>
      </c>
      <c r="I1820" t="s">
        <v>30</v>
      </c>
      <c r="J1820">
        <v>87</v>
      </c>
      <c r="K1820">
        <v>93</v>
      </c>
      <c r="L1820" s="39">
        <f t="shared" si="110"/>
        <v>1.0689655172413792</v>
      </c>
      <c r="M1820" s="39">
        <f t="shared" si="111"/>
        <v>1.0689655172413792</v>
      </c>
      <c r="N1820" t="s">
        <v>25</v>
      </c>
      <c r="O1820" t="s">
        <v>25</v>
      </c>
      <c r="P1820">
        <v>0</v>
      </c>
      <c r="Q1820">
        <v>0</v>
      </c>
      <c r="R1820" t="s">
        <v>996</v>
      </c>
    </row>
    <row r="1821" spans="1:18" x14ac:dyDescent="0.3">
      <c r="A1821">
        <v>372</v>
      </c>
      <c r="B1821" t="s">
        <v>994</v>
      </c>
      <c r="C1821" t="s">
        <v>979</v>
      </c>
      <c r="D1821" t="s">
        <v>21</v>
      </c>
      <c r="E1821" t="s">
        <v>22</v>
      </c>
      <c r="F1821" s="79">
        <v>45747</v>
      </c>
      <c r="G1821">
        <v>2025</v>
      </c>
      <c r="H1821" t="s">
        <v>1516</v>
      </c>
      <c r="I1821" t="s">
        <v>700</v>
      </c>
      <c r="J1821">
        <v>90</v>
      </c>
      <c r="K1821">
        <v>98</v>
      </c>
      <c r="L1821" s="39">
        <f t="shared" si="110"/>
        <v>1.0888888888888888</v>
      </c>
      <c r="M1821" s="39">
        <f t="shared" si="111"/>
        <v>1.0888888888888888</v>
      </c>
      <c r="N1821" t="s">
        <v>25</v>
      </c>
      <c r="O1821" t="s">
        <v>25</v>
      </c>
      <c r="P1821">
        <v>0</v>
      </c>
      <c r="Q1821">
        <v>0</v>
      </c>
      <c r="R1821" t="s">
        <v>2734</v>
      </c>
    </row>
    <row r="1822" spans="1:18" x14ac:dyDescent="0.3">
      <c r="A1822">
        <v>372</v>
      </c>
      <c r="B1822" t="s">
        <v>994</v>
      </c>
      <c r="C1822" t="s">
        <v>979</v>
      </c>
      <c r="D1822" t="s">
        <v>21</v>
      </c>
      <c r="E1822" t="s">
        <v>22</v>
      </c>
      <c r="F1822" s="79">
        <v>45838</v>
      </c>
      <c r="G1822">
        <v>2025</v>
      </c>
      <c r="H1822" t="s">
        <v>699</v>
      </c>
      <c r="I1822" t="s">
        <v>700</v>
      </c>
      <c r="J1822">
        <v>90</v>
      </c>
      <c r="K1822">
        <v>90</v>
      </c>
      <c r="L1822" s="39">
        <f t="shared" si="110"/>
        <v>1</v>
      </c>
      <c r="M1822" s="39">
        <f t="shared" si="111"/>
        <v>1</v>
      </c>
      <c r="N1822" t="s">
        <v>25</v>
      </c>
      <c r="O1822" t="s">
        <v>25</v>
      </c>
      <c r="P1822">
        <v>0</v>
      </c>
      <c r="Q1822">
        <v>0</v>
      </c>
      <c r="R1822" t="s">
        <v>2735</v>
      </c>
    </row>
    <row r="1823" spans="1:18" x14ac:dyDescent="0.3">
      <c r="A1823">
        <v>372</v>
      </c>
      <c r="B1823" t="s">
        <v>994</v>
      </c>
      <c r="C1823" t="s">
        <v>982</v>
      </c>
      <c r="D1823" t="s">
        <v>27</v>
      </c>
      <c r="E1823" t="s">
        <v>22</v>
      </c>
      <c r="F1823" s="79">
        <v>45930</v>
      </c>
      <c r="G1823">
        <v>2025</v>
      </c>
      <c r="H1823" t="s">
        <v>162</v>
      </c>
      <c r="I1823" t="s">
        <v>32</v>
      </c>
      <c r="J1823">
        <v>90</v>
      </c>
      <c r="K1823">
        <v>97</v>
      </c>
      <c r="L1823" s="39">
        <f t="shared" si="110"/>
        <v>1.0777777777777777</v>
      </c>
      <c r="M1823" s="39">
        <f t="shared" si="111"/>
        <v>1.0777777777777777</v>
      </c>
      <c r="N1823" t="s">
        <v>25</v>
      </c>
      <c r="O1823" t="s">
        <v>25</v>
      </c>
      <c r="P1823">
        <v>0</v>
      </c>
      <c r="Q1823">
        <v>0</v>
      </c>
      <c r="R1823" t="s">
        <v>2736</v>
      </c>
    </row>
    <row r="1824" spans="1:18" x14ac:dyDescent="0.3">
      <c r="A1824">
        <v>372</v>
      </c>
      <c r="B1824" t="s">
        <v>994</v>
      </c>
      <c r="C1824" t="s">
        <v>982</v>
      </c>
      <c r="D1824" t="s">
        <v>27</v>
      </c>
      <c r="E1824" t="s">
        <v>22</v>
      </c>
      <c r="F1824" s="79">
        <v>46022</v>
      </c>
      <c r="G1824">
        <v>2025</v>
      </c>
      <c r="H1824" t="s">
        <v>23</v>
      </c>
      <c r="I1824" t="s">
        <v>32</v>
      </c>
      <c r="J1824">
        <v>90</v>
      </c>
      <c r="K1824">
        <v>97</v>
      </c>
      <c r="L1824" s="39">
        <f t="shared" si="110"/>
        <v>1.0777777777777777</v>
      </c>
      <c r="M1824" s="39">
        <f t="shared" si="111"/>
        <v>1.0777777777777777</v>
      </c>
      <c r="N1824" t="s">
        <v>25</v>
      </c>
      <c r="O1824" t="s">
        <v>25</v>
      </c>
      <c r="P1824">
        <v>0</v>
      </c>
      <c r="Q1824">
        <v>0</v>
      </c>
      <c r="R1824" t="s">
        <v>997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45016</v>
      </c>
      <c r="G1825">
        <v>2023</v>
      </c>
      <c r="H1825" t="s">
        <v>1516</v>
      </c>
      <c r="I1825" t="s">
        <v>1512</v>
      </c>
      <c r="J1825">
        <v>100</v>
      </c>
      <c r="K1825">
        <v>0</v>
      </c>
      <c r="L1825" s="39">
        <f t="shared" ref="L1825:L1836" si="112">IFERROR(IF(OR(J1825=0,K1825=""),"",IF(E1825="Positivo",MIN(MAX(K1825/J1825,0),1),MIN(MAX(J1825/K1825,0),1))),"")</f>
        <v>0</v>
      </c>
      <c r="M1825" s="39">
        <f t="shared" si="111"/>
        <v>0</v>
      </c>
      <c r="N1825" t="s">
        <v>25</v>
      </c>
      <c r="O1825" t="s">
        <v>25</v>
      </c>
      <c r="P1825">
        <v>0</v>
      </c>
      <c r="Q1825">
        <v>0</v>
      </c>
      <c r="R1825" t="s">
        <v>2737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45107</v>
      </c>
      <c r="G1826">
        <v>2023</v>
      </c>
      <c r="H1826" t="s">
        <v>699</v>
      </c>
      <c r="I1826" t="s">
        <v>1512</v>
      </c>
      <c r="J1826">
        <v>100</v>
      </c>
      <c r="K1826">
        <v>107.17166666667001</v>
      </c>
      <c r="L1826" s="39">
        <f t="shared" si="112"/>
        <v>1</v>
      </c>
      <c r="M1826" s="39">
        <f t="shared" si="111"/>
        <v>1.0717166666667</v>
      </c>
      <c r="N1826" t="s">
        <v>25</v>
      </c>
      <c r="O1826" t="s">
        <v>25</v>
      </c>
      <c r="P1826">
        <v>0</v>
      </c>
      <c r="Q1826">
        <v>0</v>
      </c>
      <c r="R1826" t="s">
        <v>2738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21</v>
      </c>
      <c r="E1827" t="s">
        <v>22</v>
      </c>
      <c r="F1827" s="79">
        <v>45199</v>
      </c>
      <c r="G1827">
        <v>2023</v>
      </c>
      <c r="H1827" t="s">
        <v>162</v>
      </c>
      <c r="I1827" t="s">
        <v>28</v>
      </c>
      <c r="J1827">
        <v>100</v>
      </c>
      <c r="K1827">
        <v>91.508333333332999</v>
      </c>
      <c r="L1827" s="39">
        <f t="shared" si="112"/>
        <v>0.91508333333333003</v>
      </c>
      <c r="M1827" s="39">
        <f t="shared" si="111"/>
        <v>0.91508333333333003</v>
      </c>
      <c r="N1827" t="s">
        <v>25</v>
      </c>
      <c r="O1827" t="s">
        <v>25</v>
      </c>
      <c r="P1827">
        <v>0</v>
      </c>
      <c r="Q1827">
        <v>0</v>
      </c>
      <c r="R1827" t="s">
        <v>2739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21</v>
      </c>
      <c r="E1828" t="s">
        <v>22</v>
      </c>
      <c r="F1828" s="79">
        <v>45291</v>
      </c>
      <c r="G1828">
        <v>2023</v>
      </c>
      <c r="H1828" t="s">
        <v>23</v>
      </c>
      <c r="I1828" t="s">
        <v>28</v>
      </c>
      <c r="J1828">
        <v>100</v>
      </c>
      <c r="K1828">
        <v>97.166666666666998</v>
      </c>
      <c r="L1828" s="39">
        <f t="shared" si="112"/>
        <v>0.97166666666667001</v>
      </c>
      <c r="M1828" s="39">
        <f t="shared" si="111"/>
        <v>0.97166666666667001</v>
      </c>
      <c r="N1828" t="s">
        <v>25</v>
      </c>
      <c r="O1828" t="s">
        <v>25</v>
      </c>
      <c r="P1828">
        <v>0</v>
      </c>
      <c r="Q1828">
        <v>0</v>
      </c>
      <c r="R1828" t="s">
        <v>999</v>
      </c>
    </row>
    <row r="1829" spans="1:19" x14ac:dyDescent="0.3">
      <c r="A1829">
        <v>373</v>
      </c>
      <c r="B1829" t="s">
        <v>998</v>
      </c>
      <c r="C1829" t="s">
        <v>567</v>
      </c>
      <c r="D1829" t="s">
        <v>21</v>
      </c>
      <c r="E1829" t="s">
        <v>22</v>
      </c>
      <c r="F1829" s="79">
        <v>45382</v>
      </c>
      <c r="G1829">
        <v>2024</v>
      </c>
      <c r="H1829" t="s">
        <v>1516</v>
      </c>
      <c r="I1829" t="s">
        <v>729</v>
      </c>
      <c r="J1829">
        <v>100</v>
      </c>
      <c r="K1829">
        <v>89.02</v>
      </c>
      <c r="L1829" s="39">
        <f t="shared" si="112"/>
        <v>0.89019999999999999</v>
      </c>
      <c r="M1829" s="39">
        <f t="shared" si="111"/>
        <v>0.89019999999999999</v>
      </c>
      <c r="N1829" t="s">
        <v>25</v>
      </c>
      <c r="O1829" t="s">
        <v>25</v>
      </c>
      <c r="P1829">
        <v>0</v>
      </c>
      <c r="Q1829">
        <v>0</v>
      </c>
      <c r="R1829" t="s">
        <v>2740</v>
      </c>
    </row>
    <row r="1830" spans="1:19" x14ac:dyDescent="0.3">
      <c r="A1830">
        <v>373</v>
      </c>
      <c r="B1830" t="s">
        <v>998</v>
      </c>
      <c r="C1830" t="s">
        <v>567</v>
      </c>
      <c r="D1830" t="s">
        <v>21</v>
      </c>
      <c r="E1830" t="s">
        <v>22</v>
      </c>
      <c r="F1830" s="79">
        <v>45473</v>
      </c>
      <c r="G1830">
        <v>2024</v>
      </c>
      <c r="H1830" t="s">
        <v>699</v>
      </c>
      <c r="I1830" t="s">
        <v>729</v>
      </c>
      <c r="J1830">
        <v>100</v>
      </c>
      <c r="K1830">
        <v>106.8</v>
      </c>
      <c r="L1830" s="39">
        <f t="shared" si="112"/>
        <v>1</v>
      </c>
      <c r="M1830" s="39">
        <f t="shared" si="111"/>
        <v>1.0680000000000001</v>
      </c>
      <c r="N1830" t="s">
        <v>25</v>
      </c>
      <c r="O1830" t="s">
        <v>25</v>
      </c>
      <c r="P1830">
        <v>0</v>
      </c>
      <c r="Q1830">
        <v>0</v>
      </c>
      <c r="R1830" t="s">
        <v>2741</v>
      </c>
    </row>
    <row r="1831" spans="1:19" x14ac:dyDescent="0.3">
      <c r="A1831">
        <v>373</v>
      </c>
      <c r="B1831" t="s">
        <v>998</v>
      </c>
      <c r="C1831" t="s">
        <v>567</v>
      </c>
      <c r="D1831" t="s">
        <v>21</v>
      </c>
      <c r="E1831" t="s">
        <v>22</v>
      </c>
      <c r="F1831" s="79">
        <v>45565</v>
      </c>
      <c r="G1831">
        <v>2024</v>
      </c>
      <c r="H1831" t="s">
        <v>162</v>
      </c>
      <c r="I1831" t="s">
        <v>30</v>
      </c>
      <c r="J1831">
        <v>100</v>
      </c>
      <c r="K1831">
        <v>99.61</v>
      </c>
      <c r="L1831" s="39">
        <f t="shared" si="112"/>
        <v>0.99609999999999999</v>
      </c>
      <c r="M1831" s="39">
        <f t="shared" si="111"/>
        <v>0.99609999999999999</v>
      </c>
      <c r="N1831" t="s">
        <v>25</v>
      </c>
      <c r="O1831" t="s">
        <v>25</v>
      </c>
      <c r="P1831">
        <v>0</v>
      </c>
      <c r="Q1831">
        <v>0</v>
      </c>
      <c r="R1831" t="s">
        <v>2742</v>
      </c>
    </row>
    <row r="1832" spans="1:19" x14ac:dyDescent="0.3">
      <c r="A1832">
        <v>373</v>
      </c>
      <c r="B1832" t="s">
        <v>998</v>
      </c>
      <c r="C1832" t="s">
        <v>567</v>
      </c>
      <c r="D1832" t="s">
        <v>21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98.67</v>
      </c>
      <c r="L1832" s="39">
        <f t="shared" si="112"/>
        <v>0.98670000000000002</v>
      </c>
      <c r="M1832" s="39">
        <f t="shared" si="111"/>
        <v>0.98670000000000002</v>
      </c>
      <c r="N1832" t="s">
        <v>25</v>
      </c>
      <c r="O1832" t="s">
        <v>25</v>
      </c>
      <c r="P1832">
        <v>0</v>
      </c>
      <c r="Q1832">
        <v>0</v>
      </c>
      <c r="R1832" t="s">
        <v>1000</v>
      </c>
    </row>
    <row r="1833" spans="1:19" x14ac:dyDescent="0.3">
      <c r="A1833">
        <v>373</v>
      </c>
      <c r="B1833" t="s">
        <v>998</v>
      </c>
      <c r="C1833" t="s">
        <v>567</v>
      </c>
      <c r="D1833" t="s">
        <v>27</v>
      </c>
      <c r="E1833" t="s">
        <v>22</v>
      </c>
      <c r="F1833" s="79">
        <v>45747</v>
      </c>
      <c r="G1833">
        <v>2025</v>
      </c>
      <c r="H1833" t="s">
        <v>1516</v>
      </c>
      <c r="I1833" t="s">
        <v>700</v>
      </c>
      <c r="J1833">
        <v>100</v>
      </c>
      <c r="K1833">
        <v>107.46</v>
      </c>
      <c r="L1833" s="39">
        <f t="shared" si="112"/>
        <v>1</v>
      </c>
      <c r="M1833" s="39">
        <f t="shared" si="111"/>
        <v>1.0746</v>
      </c>
      <c r="N1833" t="s">
        <v>25</v>
      </c>
      <c r="O1833" t="s">
        <v>25</v>
      </c>
      <c r="P1833">
        <v>0</v>
      </c>
      <c r="Q1833">
        <v>0</v>
      </c>
      <c r="R1833" t="s">
        <v>2743</v>
      </c>
    </row>
    <row r="1834" spans="1:19" x14ac:dyDescent="0.3">
      <c r="A1834">
        <v>373</v>
      </c>
      <c r="B1834" t="s">
        <v>998</v>
      </c>
      <c r="C1834" t="s">
        <v>567</v>
      </c>
      <c r="D1834" t="s">
        <v>27</v>
      </c>
      <c r="E1834" t="s">
        <v>22</v>
      </c>
      <c r="F1834" s="79">
        <v>45838</v>
      </c>
      <c r="G1834">
        <v>2025</v>
      </c>
      <c r="H1834" t="s">
        <v>699</v>
      </c>
      <c r="I1834" t="s">
        <v>700</v>
      </c>
      <c r="J1834">
        <v>100</v>
      </c>
      <c r="K1834">
        <v>101.75</v>
      </c>
      <c r="L1834" s="39">
        <f t="shared" si="112"/>
        <v>1</v>
      </c>
      <c r="M1834" s="39">
        <f t="shared" si="111"/>
        <v>1.0175000000000001</v>
      </c>
      <c r="N1834" t="s">
        <v>25</v>
      </c>
      <c r="O1834" t="s">
        <v>25</v>
      </c>
      <c r="P1834">
        <v>0</v>
      </c>
      <c r="Q1834">
        <v>0</v>
      </c>
      <c r="R1834" t="s">
        <v>2744</v>
      </c>
    </row>
    <row r="1835" spans="1:19" x14ac:dyDescent="0.3">
      <c r="A1835">
        <v>373</v>
      </c>
      <c r="B1835" t="s">
        <v>998</v>
      </c>
      <c r="C1835" t="s">
        <v>567</v>
      </c>
      <c r="D1835" t="s">
        <v>27</v>
      </c>
      <c r="E1835" t="s">
        <v>22</v>
      </c>
      <c r="F1835" s="79">
        <v>45930</v>
      </c>
      <c r="G1835">
        <v>2025</v>
      </c>
      <c r="H1835" t="s">
        <v>162</v>
      </c>
      <c r="I1835" t="s">
        <v>32</v>
      </c>
      <c r="J1835">
        <v>100</v>
      </c>
      <c r="K1835">
        <v>96.32</v>
      </c>
      <c r="L1835" s="39">
        <f t="shared" si="112"/>
        <v>0.96319999999999995</v>
      </c>
      <c r="M1835" s="39">
        <f t="shared" si="111"/>
        <v>0.96319999999999995</v>
      </c>
      <c r="N1835" t="s">
        <v>25</v>
      </c>
      <c r="O1835" t="s">
        <v>25</v>
      </c>
      <c r="P1835">
        <v>0</v>
      </c>
      <c r="Q1835">
        <v>0</v>
      </c>
      <c r="R1835" t="s">
        <v>2745</v>
      </c>
    </row>
    <row r="1836" spans="1:19" x14ac:dyDescent="0.3">
      <c r="A1836">
        <v>373</v>
      </c>
      <c r="B1836" t="s">
        <v>998</v>
      </c>
      <c r="C1836" t="s">
        <v>567</v>
      </c>
      <c r="D1836" t="s">
        <v>27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99.33</v>
      </c>
      <c r="L1836" s="39">
        <f t="shared" si="112"/>
        <v>0.99329999999999996</v>
      </c>
      <c r="M1836" s="39">
        <f t="shared" si="111"/>
        <v>0.99329999999999996</v>
      </c>
      <c r="N1836" t="s">
        <v>25</v>
      </c>
      <c r="O1836" t="s">
        <v>25</v>
      </c>
      <c r="P1836">
        <v>0</v>
      </c>
      <c r="Q1836">
        <v>0</v>
      </c>
      <c r="R1836" t="s">
        <v>1001</v>
      </c>
    </row>
    <row r="1837" spans="1:19" x14ac:dyDescent="0.3">
      <c r="A1837">
        <v>374</v>
      </c>
      <c r="B1837" t="s">
        <v>1002</v>
      </c>
      <c r="C1837" t="s">
        <v>956</v>
      </c>
      <c r="D1837" t="s">
        <v>27</v>
      </c>
      <c r="E1837" t="s">
        <v>22</v>
      </c>
      <c r="F1837" s="79">
        <v>45291</v>
      </c>
      <c r="G1837">
        <v>2023</v>
      </c>
      <c r="H1837" t="s">
        <v>23</v>
      </c>
      <c r="I1837" t="s">
        <v>28</v>
      </c>
      <c r="J1837">
        <v>100</v>
      </c>
      <c r="K1837">
        <v>100</v>
      </c>
      <c r="L1837" s="39">
        <f>IFERROR(IF(OR(J1837=0,K1837=""),"",IF(E1837="Positivo",MIN(MAX(K1837/J1837,0),1.3),MIN(MAX(J1837/K1837,0),1.3))),"")</f>
        <v>1</v>
      </c>
      <c r="M1837" s="39">
        <f t="shared" si="111"/>
        <v>1</v>
      </c>
      <c r="N1837" t="s">
        <v>25</v>
      </c>
      <c r="O1837" t="s">
        <v>25</v>
      </c>
      <c r="P1837">
        <v>0</v>
      </c>
      <c r="Q1837">
        <v>0</v>
      </c>
      <c r="R1837" t="s">
        <v>1003</v>
      </c>
    </row>
    <row r="1838" spans="1:19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45016</v>
      </c>
      <c r="G1838">
        <v>2023</v>
      </c>
      <c r="H1838" t="s">
        <v>1516</v>
      </c>
      <c r="I1838" t="s">
        <v>1512</v>
      </c>
      <c r="J1838">
        <v>100</v>
      </c>
      <c r="L1838" s="39"/>
      <c r="M1838" s="39"/>
      <c r="N1838" t="s">
        <v>25</v>
      </c>
      <c r="O1838" t="s">
        <v>302</v>
      </c>
      <c r="P1838">
        <v>0</v>
      </c>
      <c r="Q1838">
        <v>0</v>
      </c>
      <c r="R1838" t="s">
        <v>2746</v>
      </c>
      <c r="S1838" t="s">
        <v>302</v>
      </c>
    </row>
    <row r="1839" spans="1:19" x14ac:dyDescent="0.3">
      <c r="A1839">
        <v>375</v>
      </c>
      <c r="B1839" t="s">
        <v>1004</v>
      </c>
      <c r="C1839" t="s">
        <v>956</v>
      </c>
      <c r="D1839" t="s">
        <v>21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100</v>
      </c>
      <c r="K1839">
        <v>0</v>
      </c>
      <c r="L1839" s="39">
        <f t="shared" ref="L1839:L1870" si="113">IFERROR(IF(OR(J1839=0,K1839=""),"",IF(E1839="Positivo",MIN(MAX(K1839/J1839,0),1.3),MIN(MAX(J1839/K1839,0),1.3))),"")</f>
        <v>0</v>
      </c>
      <c r="M1839" s="39">
        <f t="shared" ref="M1839:M1870" si="114">IFERROR(IF(OR(J1839=0,K1839=""),"",IF(E1839="Positivo",MAX(K1839/J1839,0),MAX(J1839/K1839,0))),"")</f>
        <v>0</v>
      </c>
      <c r="N1839" t="s">
        <v>25</v>
      </c>
      <c r="O1839" t="s">
        <v>25</v>
      </c>
      <c r="P1839">
        <v>0</v>
      </c>
      <c r="Q1839">
        <v>0</v>
      </c>
      <c r="R1839" t="s">
        <v>2747</v>
      </c>
    </row>
    <row r="1840" spans="1:19" x14ac:dyDescent="0.3">
      <c r="A1840">
        <v>375</v>
      </c>
      <c r="B1840" t="s">
        <v>1004</v>
      </c>
      <c r="C1840" t="s">
        <v>956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100</v>
      </c>
      <c r="K1840">
        <v>100</v>
      </c>
      <c r="L1840" s="39">
        <f t="shared" si="113"/>
        <v>1</v>
      </c>
      <c r="M1840" s="39">
        <f t="shared" si="114"/>
        <v>1</v>
      </c>
      <c r="N1840" t="s">
        <v>25</v>
      </c>
      <c r="O1840" t="s">
        <v>25</v>
      </c>
      <c r="P1840">
        <v>0</v>
      </c>
      <c r="Q1840">
        <v>0</v>
      </c>
      <c r="R1840" t="s">
        <v>1005</v>
      </c>
    </row>
    <row r="1841" spans="1:18" x14ac:dyDescent="0.3">
      <c r="A1841">
        <v>375</v>
      </c>
      <c r="B1841" t="s">
        <v>1004</v>
      </c>
      <c r="C1841" t="s">
        <v>956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100</v>
      </c>
      <c r="K1841">
        <v>100</v>
      </c>
      <c r="L1841" s="39">
        <f t="shared" si="113"/>
        <v>1</v>
      </c>
      <c r="M1841" s="39">
        <f t="shared" si="114"/>
        <v>1</v>
      </c>
      <c r="N1841" t="s">
        <v>25</v>
      </c>
      <c r="O1841" t="s">
        <v>25</v>
      </c>
      <c r="P1841">
        <v>0</v>
      </c>
      <c r="Q1841">
        <v>0</v>
      </c>
      <c r="R1841" t="s">
        <v>2748</v>
      </c>
    </row>
    <row r="1842" spans="1:18" x14ac:dyDescent="0.3">
      <c r="A1842">
        <v>375</v>
      </c>
      <c r="B1842" t="s">
        <v>1004</v>
      </c>
      <c r="C1842" t="s">
        <v>956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100</v>
      </c>
      <c r="K1842">
        <v>100</v>
      </c>
      <c r="L1842" s="39">
        <f t="shared" si="113"/>
        <v>1</v>
      </c>
      <c r="M1842" s="39">
        <f t="shared" si="114"/>
        <v>1</v>
      </c>
      <c r="N1842" t="s">
        <v>25</v>
      </c>
      <c r="O1842" t="s">
        <v>25</v>
      </c>
      <c r="P1842">
        <v>0</v>
      </c>
      <c r="Q1842">
        <v>0</v>
      </c>
      <c r="R1842" t="s">
        <v>1006</v>
      </c>
    </row>
    <row r="1843" spans="1:18" x14ac:dyDescent="0.3">
      <c r="A1843">
        <v>375</v>
      </c>
      <c r="B1843" t="s">
        <v>1004</v>
      </c>
      <c r="C1843" t="s">
        <v>956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100</v>
      </c>
      <c r="K1843">
        <v>100</v>
      </c>
      <c r="L1843" s="39">
        <f t="shared" si="113"/>
        <v>1</v>
      </c>
      <c r="M1843" s="39">
        <f t="shared" si="114"/>
        <v>1</v>
      </c>
      <c r="N1843" t="s">
        <v>25</v>
      </c>
      <c r="O1843" t="s">
        <v>25</v>
      </c>
      <c r="P1843">
        <v>0</v>
      </c>
      <c r="Q1843">
        <v>0</v>
      </c>
      <c r="R1843" t="s">
        <v>2749</v>
      </c>
    </row>
    <row r="1844" spans="1:18" x14ac:dyDescent="0.3">
      <c r="A1844">
        <v>375</v>
      </c>
      <c r="B1844" t="s">
        <v>1004</v>
      </c>
      <c r="C1844" t="s">
        <v>956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100</v>
      </c>
      <c r="K1844">
        <v>100</v>
      </c>
      <c r="L1844" s="39">
        <f t="shared" si="113"/>
        <v>1</v>
      </c>
      <c r="M1844" s="39">
        <f t="shared" si="114"/>
        <v>1</v>
      </c>
      <c r="N1844" t="s">
        <v>25</v>
      </c>
      <c r="O1844" t="s">
        <v>25</v>
      </c>
      <c r="P1844">
        <v>0</v>
      </c>
      <c r="Q1844">
        <v>0</v>
      </c>
      <c r="R1844" t="s">
        <v>1007</v>
      </c>
    </row>
    <row r="1845" spans="1:18" x14ac:dyDescent="0.3">
      <c r="A1845">
        <v>376</v>
      </c>
      <c r="B1845" t="s">
        <v>2750</v>
      </c>
      <c r="C1845" t="s">
        <v>159</v>
      </c>
      <c r="D1845" t="s">
        <v>27</v>
      </c>
      <c r="E1845" t="s">
        <v>22</v>
      </c>
      <c r="F1845" s="79">
        <v>45107</v>
      </c>
      <c r="G1845">
        <v>2023</v>
      </c>
      <c r="H1845" t="s">
        <v>699</v>
      </c>
      <c r="I1845" t="s">
        <v>1512</v>
      </c>
      <c r="J1845">
        <v>95</v>
      </c>
      <c r="K1845">
        <v>149.72237633949999</v>
      </c>
      <c r="L1845" s="39">
        <f t="shared" si="113"/>
        <v>1.3</v>
      </c>
      <c r="M1845" s="39">
        <f t="shared" si="114"/>
        <v>1.5760250140999998</v>
      </c>
      <c r="N1845" t="s">
        <v>205</v>
      </c>
      <c r="O1845" t="s">
        <v>205</v>
      </c>
      <c r="P1845">
        <v>0</v>
      </c>
      <c r="Q1845">
        <v>0</v>
      </c>
      <c r="R1845" t="s">
        <v>2751</v>
      </c>
    </row>
    <row r="1846" spans="1:18" x14ac:dyDescent="0.3">
      <c r="A1846">
        <v>376</v>
      </c>
      <c r="B1846" t="s">
        <v>2750</v>
      </c>
      <c r="C1846" t="s">
        <v>159</v>
      </c>
      <c r="D1846" t="s">
        <v>27</v>
      </c>
      <c r="E1846" t="s">
        <v>22</v>
      </c>
      <c r="F1846" s="79">
        <v>45291</v>
      </c>
      <c r="G1846">
        <v>2023</v>
      </c>
      <c r="H1846" t="s">
        <v>23</v>
      </c>
      <c r="I1846" t="s">
        <v>28</v>
      </c>
      <c r="J1846">
        <v>95</v>
      </c>
      <c r="K1846">
        <v>101.26</v>
      </c>
      <c r="L1846" s="39">
        <f t="shared" si="113"/>
        <v>1.0658947368421052</v>
      </c>
      <c r="M1846" s="39">
        <f t="shared" si="114"/>
        <v>1.0658947368421052</v>
      </c>
      <c r="N1846" t="s">
        <v>205</v>
      </c>
      <c r="O1846" t="s">
        <v>205</v>
      </c>
      <c r="P1846">
        <v>0</v>
      </c>
      <c r="Q1846">
        <v>0</v>
      </c>
      <c r="R1846" t="s">
        <v>1009</v>
      </c>
    </row>
    <row r="1847" spans="1:18" x14ac:dyDescent="0.3">
      <c r="A1847">
        <v>376</v>
      </c>
      <c r="B1847" t="s">
        <v>2750</v>
      </c>
      <c r="C1847" t="s">
        <v>159</v>
      </c>
      <c r="D1847" t="s">
        <v>27</v>
      </c>
      <c r="E1847" t="s">
        <v>22</v>
      </c>
      <c r="F1847" s="79">
        <v>45473</v>
      </c>
      <c r="G1847">
        <v>2024</v>
      </c>
      <c r="H1847" t="s">
        <v>699</v>
      </c>
      <c r="I1847" t="s">
        <v>729</v>
      </c>
      <c r="J1847">
        <v>95</v>
      </c>
      <c r="K1847">
        <v>104</v>
      </c>
      <c r="L1847" s="39">
        <f t="shared" si="113"/>
        <v>1.0947368421052632</v>
      </c>
      <c r="M1847" s="39">
        <f t="shared" si="114"/>
        <v>1.0947368421052632</v>
      </c>
      <c r="N1847" t="s">
        <v>205</v>
      </c>
      <c r="O1847" t="s">
        <v>205</v>
      </c>
      <c r="P1847">
        <v>0</v>
      </c>
      <c r="Q1847">
        <v>0</v>
      </c>
      <c r="R1847" t="s">
        <v>2752</v>
      </c>
    </row>
    <row r="1848" spans="1:18" x14ac:dyDescent="0.3">
      <c r="A1848">
        <v>376</v>
      </c>
      <c r="B1848" t="s">
        <v>1008</v>
      </c>
      <c r="C1848" t="s">
        <v>159</v>
      </c>
      <c r="D1848" t="s">
        <v>27</v>
      </c>
      <c r="E1848" t="s">
        <v>22</v>
      </c>
      <c r="F1848" s="79">
        <v>45657</v>
      </c>
      <c r="G1848">
        <v>2024</v>
      </c>
      <c r="H1848" t="s">
        <v>23</v>
      </c>
      <c r="I1848" t="s">
        <v>30</v>
      </c>
      <c r="J1848">
        <v>95</v>
      </c>
      <c r="K1848">
        <v>109.1</v>
      </c>
      <c r="L1848" s="39">
        <f t="shared" si="113"/>
        <v>1.1484210526315788</v>
      </c>
      <c r="M1848" s="39">
        <f t="shared" si="114"/>
        <v>1.1484210526315788</v>
      </c>
      <c r="N1848" t="s">
        <v>205</v>
      </c>
      <c r="O1848" t="s">
        <v>205</v>
      </c>
      <c r="P1848">
        <v>0</v>
      </c>
      <c r="Q1848">
        <v>0</v>
      </c>
      <c r="R1848" t="s">
        <v>1010</v>
      </c>
    </row>
    <row r="1849" spans="1:18" x14ac:dyDescent="0.3">
      <c r="A1849">
        <v>376</v>
      </c>
      <c r="B1849" t="s">
        <v>1008</v>
      </c>
      <c r="C1849" t="s">
        <v>159</v>
      </c>
      <c r="D1849" t="s">
        <v>27</v>
      </c>
      <c r="E1849" t="s">
        <v>22</v>
      </c>
      <c r="F1849" s="79">
        <v>45838</v>
      </c>
      <c r="G1849">
        <v>2025</v>
      </c>
      <c r="H1849" t="s">
        <v>699</v>
      </c>
      <c r="I1849" t="s">
        <v>700</v>
      </c>
      <c r="J1849">
        <v>95</v>
      </c>
      <c r="K1849">
        <v>117.87</v>
      </c>
      <c r="L1849" s="39">
        <f t="shared" si="113"/>
        <v>1.2407368421052631</v>
      </c>
      <c r="M1849" s="39">
        <f t="shared" si="114"/>
        <v>1.2407368421052631</v>
      </c>
      <c r="N1849" t="s">
        <v>205</v>
      </c>
      <c r="O1849" t="s">
        <v>205</v>
      </c>
      <c r="P1849">
        <v>0</v>
      </c>
      <c r="Q1849">
        <v>0</v>
      </c>
      <c r="R1849" t="s">
        <v>2753</v>
      </c>
    </row>
    <row r="1850" spans="1:18" x14ac:dyDescent="0.3">
      <c r="A1850">
        <v>376</v>
      </c>
      <c r="B1850" t="s">
        <v>1008</v>
      </c>
      <c r="C1850" t="s">
        <v>159</v>
      </c>
      <c r="D1850" t="s">
        <v>21</v>
      </c>
      <c r="E1850" t="s">
        <v>22</v>
      </c>
      <c r="F1850" s="79">
        <v>46022</v>
      </c>
      <c r="G1850">
        <v>2025</v>
      </c>
      <c r="H1850" t="s">
        <v>23</v>
      </c>
      <c r="I1850" t="s">
        <v>32</v>
      </c>
      <c r="J1850">
        <v>95</v>
      </c>
      <c r="K1850">
        <v>117.51</v>
      </c>
      <c r="L1850" s="39">
        <f t="shared" si="113"/>
        <v>1.2369473684210528</v>
      </c>
      <c r="M1850" s="39">
        <f t="shared" si="114"/>
        <v>1.2369473684210528</v>
      </c>
      <c r="N1850" t="s">
        <v>205</v>
      </c>
      <c r="O1850" t="s">
        <v>205</v>
      </c>
      <c r="P1850">
        <v>0</v>
      </c>
      <c r="Q1850">
        <v>0</v>
      </c>
      <c r="R1850" t="s">
        <v>1011</v>
      </c>
    </row>
    <row r="1851" spans="1:18" x14ac:dyDescent="0.3">
      <c r="A1851">
        <v>377</v>
      </c>
      <c r="B1851" t="s">
        <v>1012</v>
      </c>
      <c r="C1851" t="s">
        <v>159</v>
      </c>
      <c r="D1851" t="s">
        <v>27</v>
      </c>
      <c r="E1851" t="s">
        <v>41</v>
      </c>
      <c r="F1851" s="79">
        <v>45107</v>
      </c>
      <c r="G1851">
        <v>2023</v>
      </c>
      <c r="H1851" t="s">
        <v>699</v>
      </c>
      <c r="I1851" t="s">
        <v>1512</v>
      </c>
      <c r="J1851">
        <v>100</v>
      </c>
      <c r="K1851">
        <v>22.314798348501999</v>
      </c>
      <c r="L1851" s="39">
        <f t="shared" si="113"/>
        <v>1.3</v>
      </c>
      <c r="M1851" s="39">
        <f t="shared" si="114"/>
        <v>4.4813311076464668</v>
      </c>
      <c r="N1851" t="s">
        <v>205</v>
      </c>
      <c r="O1851" t="s">
        <v>205</v>
      </c>
      <c r="P1851">
        <v>0</v>
      </c>
      <c r="Q1851">
        <v>0</v>
      </c>
      <c r="R1851" t="s">
        <v>2754</v>
      </c>
    </row>
    <row r="1852" spans="1:18" x14ac:dyDescent="0.3">
      <c r="A1852">
        <v>377</v>
      </c>
      <c r="B1852" t="s">
        <v>1012</v>
      </c>
      <c r="C1852" t="s">
        <v>159</v>
      </c>
      <c r="D1852" t="s">
        <v>27</v>
      </c>
      <c r="E1852" t="s">
        <v>41</v>
      </c>
      <c r="F1852" s="79">
        <v>45291</v>
      </c>
      <c r="G1852">
        <v>2023</v>
      </c>
      <c r="H1852" t="s">
        <v>23</v>
      </c>
      <c r="I1852" t="s">
        <v>28</v>
      </c>
      <c r="J1852">
        <v>100</v>
      </c>
      <c r="K1852">
        <v>60.77</v>
      </c>
      <c r="L1852" s="39">
        <f t="shared" si="113"/>
        <v>1.3</v>
      </c>
      <c r="M1852" s="39">
        <f t="shared" si="114"/>
        <v>1.6455487905216388</v>
      </c>
      <c r="N1852" t="s">
        <v>205</v>
      </c>
      <c r="O1852" t="s">
        <v>205</v>
      </c>
      <c r="P1852">
        <v>0</v>
      </c>
      <c r="Q1852">
        <v>0</v>
      </c>
      <c r="R1852" t="s">
        <v>1013</v>
      </c>
    </row>
    <row r="1853" spans="1:18" x14ac:dyDescent="0.3">
      <c r="A1853">
        <v>377</v>
      </c>
      <c r="B1853" t="s">
        <v>1012</v>
      </c>
      <c r="C1853" t="s">
        <v>159</v>
      </c>
      <c r="D1853" t="s">
        <v>27</v>
      </c>
      <c r="E1853" t="s">
        <v>41</v>
      </c>
      <c r="F1853" s="79">
        <v>45473</v>
      </c>
      <c r="G1853">
        <v>2024</v>
      </c>
      <c r="H1853" t="s">
        <v>699</v>
      </c>
      <c r="I1853" t="s">
        <v>729</v>
      </c>
      <c r="J1853">
        <v>100</v>
      </c>
      <c r="K1853">
        <v>48.24</v>
      </c>
      <c r="L1853" s="39">
        <f t="shared" si="113"/>
        <v>1.3</v>
      </c>
      <c r="M1853" s="39">
        <f t="shared" si="114"/>
        <v>2.0729684908789388</v>
      </c>
      <c r="N1853" t="s">
        <v>205</v>
      </c>
      <c r="O1853" t="s">
        <v>205</v>
      </c>
      <c r="P1853">
        <v>0</v>
      </c>
      <c r="Q1853">
        <v>0</v>
      </c>
      <c r="R1853" t="s">
        <v>2755</v>
      </c>
    </row>
    <row r="1854" spans="1:18" x14ac:dyDescent="0.3">
      <c r="A1854">
        <v>377</v>
      </c>
      <c r="B1854" t="s">
        <v>1012</v>
      </c>
      <c r="C1854" t="s">
        <v>159</v>
      </c>
      <c r="D1854" t="s">
        <v>27</v>
      </c>
      <c r="E1854" t="s">
        <v>41</v>
      </c>
      <c r="F1854" s="79">
        <v>45657</v>
      </c>
      <c r="G1854">
        <v>2024</v>
      </c>
      <c r="H1854" t="s">
        <v>23</v>
      </c>
      <c r="I1854" t="s">
        <v>30</v>
      </c>
      <c r="J1854">
        <v>100</v>
      </c>
      <c r="K1854">
        <v>125.01</v>
      </c>
      <c r="L1854" s="39">
        <f t="shared" si="113"/>
        <v>0.7999360051195904</v>
      </c>
      <c r="M1854" s="39">
        <f t="shared" si="114"/>
        <v>0.7999360051195904</v>
      </c>
      <c r="N1854" t="s">
        <v>205</v>
      </c>
      <c r="O1854" t="s">
        <v>205</v>
      </c>
      <c r="P1854">
        <v>0</v>
      </c>
      <c r="Q1854">
        <v>0</v>
      </c>
      <c r="R1854" t="s">
        <v>1014</v>
      </c>
    </row>
    <row r="1855" spans="1:18" x14ac:dyDescent="0.3">
      <c r="A1855">
        <v>377</v>
      </c>
      <c r="B1855" t="s">
        <v>1012</v>
      </c>
      <c r="C1855" t="s">
        <v>159</v>
      </c>
      <c r="D1855" t="s">
        <v>71</v>
      </c>
      <c r="E1855" t="s">
        <v>22</v>
      </c>
      <c r="F1855" s="79">
        <v>46022</v>
      </c>
      <c r="G1855">
        <v>2025</v>
      </c>
      <c r="H1855" t="s">
        <v>23</v>
      </c>
      <c r="I1855" t="s">
        <v>32</v>
      </c>
      <c r="J1855">
        <v>100</v>
      </c>
      <c r="K1855">
        <v>107.11</v>
      </c>
      <c r="L1855" s="39">
        <f t="shared" si="113"/>
        <v>1.0710999999999999</v>
      </c>
      <c r="M1855" s="39">
        <f t="shared" si="114"/>
        <v>1.0710999999999999</v>
      </c>
      <c r="N1855" t="s">
        <v>205</v>
      </c>
      <c r="O1855" t="s">
        <v>205</v>
      </c>
      <c r="P1855">
        <v>0</v>
      </c>
      <c r="Q1855">
        <v>0</v>
      </c>
      <c r="R1855" t="s">
        <v>1015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44957</v>
      </c>
      <c r="G1856">
        <v>2023</v>
      </c>
      <c r="H1856" t="s">
        <v>59</v>
      </c>
      <c r="I1856" t="s">
        <v>1512</v>
      </c>
      <c r="J1856">
        <v>92</v>
      </c>
      <c r="K1856">
        <v>100</v>
      </c>
      <c r="L1856" s="39">
        <f t="shared" si="113"/>
        <v>1.0869565217391304</v>
      </c>
      <c r="M1856" s="39">
        <f t="shared" si="114"/>
        <v>1.0869565217391304</v>
      </c>
      <c r="N1856" t="s">
        <v>25</v>
      </c>
      <c r="O1856" t="s">
        <v>25</v>
      </c>
      <c r="P1856">
        <v>0</v>
      </c>
      <c r="Q1856">
        <v>0</v>
      </c>
      <c r="R1856" t="s">
        <v>2756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44985</v>
      </c>
      <c r="G1857">
        <v>2023</v>
      </c>
      <c r="H1857" t="s">
        <v>210</v>
      </c>
      <c r="I1857" t="s">
        <v>1512</v>
      </c>
      <c r="J1857">
        <v>92</v>
      </c>
      <c r="K1857">
        <v>100</v>
      </c>
      <c r="L1857" s="39">
        <f t="shared" si="113"/>
        <v>1.0869565217391304</v>
      </c>
      <c r="M1857" s="39">
        <f t="shared" si="114"/>
        <v>1.0869565217391304</v>
      </c>
      <c r="N1857" t="s">
        <v>25</v>
      </c>
      <c r="O1857" t="s">
        <v>25</v>
      </c>
      <c r="P1857">
        <v>0</v>
      </c>
      <c r="Q1857">
        <v>0</v>
      </c>
      <c r="R1857" t="s">
        <v>2757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45016</v>
      </c>
      <c r="G1858">
        <v>2023</v>
      </c>
      <c r="H1858" t="s">
        <v>1516</v>
      </c>
      <c r="I1858" t="s">
        <v>1512</v>
      </c>
      <c r="J1858">
        <v>92</v>
      </c>
      <c r="K1858">
        <v>100</v>
      </c>
      <c r="L1858" s="39">
        <f t="shared" si="113"/>
        <v>1.0869565217391304</v>
      </c>
      <c r="M1858" s="39">
        <f t="shared" si="114"/>
        <v>1.0869565217391304</v>
      </c>
      <c r="N1858" t="s">
        <v>25</v>
      </c>
      <c r="O1858" t="s">
        <v>25</v>
      </c>
      <c r="P1858">
        <v>0</v>
      </c>
      <c r="Q1858">
        <v>0</v>
      </c>
      <c r="R1858" t="s">
        <v>2758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45046</v>
      </c>
      <c r="G1859">
        <v>2023</v>
      </c>
      <c r="H1859" t="s">
        <v>1540</v>
      </c>
      <c r="I1859" t="s">
        <v>1512</v>
      </c>
      <c r="J1859">
        <v>92</v>
      </c>
      <c r="K1859">
        <v>90.5</v>
      </c>
      <c r="L1859" s="39">
        <f t="shared" si="113"/>
        <v>0.98369565217391308</v>
      </c>
      <c r="M1859" s="39">
        <f t="shared" si="114"/>
        <v>0.98369565217391308</v>
      </c>
      <c r="N1859" t="s">
        <v>25</v>
      </c>
      <c r="O1859" t="s">
        <v>25</v>
      </c>
      <c r="P1859">
        <v>1</v>
      </c>
      <c r="Q1859">
        <v>1</v>
      </c>
      <c r="R1859" t="s">
        <v>2759</v>
      </c>
    </row>
    <row r="1860" spans="1:18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45077</v>
      </c>
      <c r="G1860">
        <v>2023</v>
      </c>
      <c r="H1860" t="s">
        <v>1542</v>
      </c>
      <c r="I1860" t="s">
        <v>1512</v>
      </c>
      <c r="J1860">
        <v>92</v>
      </c>
      <c r="K1860">
        <v>83.5</v>
      </c>
      <c r="L1860" s="39">
        <f t="shared" si="113"/>
        <v>0.90760869565217395</v>
      </c>
      <c r="M1860" s="39">
        <f t="shared" si="114"/>
        <v>0.90760869565217395</v>
      </c>
      <c r="N1860" t="s">
        <v>25</v>
      </c>
      <c r="O1860" t="s">
        <v>25</v>
      </c>
      <c r="P1860">
        <v>1</v>
      </c>
      <c r="Q1860">
        <v>1</v>
      </c>
      <c r="R1860" t="s">
        <v>2760</v>
      </c>
    </row>
    <row r="1861" spans="1:18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45107</v>
      </c>
      <c r="G1861">
        <v>2023</v>
      </c>
      <c r="H1861" t="s">
        <v>699</v>
      </c>
      <c r="I1861" t="s">
        <v>1512</v>
      </c>
      <c r="J1861">
        <v>92</v>
      </c>
      <c r="K1861">
        <v>89</v>
      </c>
      <c r="L1861" s="39">
        <f t="shared" si="113"/>
        <v>0.96739130434782605</v>
      </c>
      <c r="M1861" s="39">
        <f t="shared" si="114"/>
        <v>0.96739130434782605</v>
      </c>
      <c r="N1861" t="s">
        <v>25</v>
      </c>
      <c r="O1861" t="s">
        <v>25</v>
      </c>
      <c r="P1861">
        <v>0</v>
      </c>
      <c r="Q1861">
        <v>0</v>
      </c>
      <c r="R1861" t="s">
        <v>2761</v>
      </c>
    </row>
    <row r="1862" spans="1:18" x14ac:dyDescent="0.3">
      <c r="A1862">
        <v>378</v>
      </c>
      <c r="B1862" t="s">
        <v>1016</v>
      </c>
      <c r="C1862" t="s">
        <v>177</v>
      </c>
      <c r="D1862" t="s">
        <v>54</v>
      </c>
      <c r="E1862" t="s">
        <v>22</v>
      </c>
      <c r="F1862" s="79">
        <v>45138</v>
      </c>
      <c r="G1862">
        <v>2023</v>
      </c>
      <c r="H1862" t="s">
        <v>260</v>
      </c>
      <c r="I1862" t="s">
        <v>28</v>
      </c>
      <c r="J1862">
        <v>92</v>
      </c>
      <c r="K1862">
        <v>94</v>
      </c>
      <c r="L1862" s="39">
        <f t="shared" si="113"/>
        <v>1.0217391304347827</v>
      </c>
      <c r="M1862" s="39">
        <f t="shared" si="114"/>
        <v>1.0217391304347827</v>
      </c>
      <c r="N1862" t="s">
        <v>25</v>
      </c>
      <c r="O1862" t="s">
        <v>25</v>
      </c>
      <c r="P1862">
        <v>0</v>
      </c>
      <c r="Q1862">
        <v>0</v>
      </c>
      <c r="R1862" t="s">
        <v>2762</v>
      </c>
    </row>
    <row r="1863" spans="1:18" x14ac:dyDescent="0.3">
      <c r="A1863">
        <v>378</v>
      </c>
      <c r="B1863" t="s">
        <v>1016</v>
      </c>
      <c r="C1863" t="s">
        <v>177</v>
      </c>
      <c r="D1863" t="s">
        <v>54</v>
      </c>
      <c r="E1863" t="s">
        <v>22</v>
      </c>
      <c r="F1863" s="79">
        <v>45169</v>
      </c>
      <c r="G1863">
        <v>2023</v>
      </c>
      <c r="H1863" t="s">
        <v>1546</v>
      </c>
      <c r="I1863" t="s">
        <v>28</v>
      </c>
      <c r="J1863">
        <v>92</v>
      </c>
      <c r="K1863">
        <v>97.5</v>
      </c>
      <c r="L1863" s="39">
        <f t="shared" si="113"/>
        <v>1.0597826086956521</v>
      </c>
      <c r="M1863" s="39">
        <f t="shared" si="114"/>
        <v>1.0597826086956521</v>
      </c>
      <c r="N1863" t="s">
        <v>25</v>
      </c>
      <c r="O1863" t="s">
        <v>25</v>
      </c>
      <c r="P1863">
        <v>1</v>
      </c>
      <c r="Q1863">
        <v>1</v>
      </c>
      <c r="R1863" t="s">
        <v>2763</v>
      </c>
    </row>
    <row r="1864" spans="1:18" x14ac:dyDescent="0.3">
      <c r="A1864">
        <v>378</v>
      </c>
      <c r="B1864" t="s">
        <v>1016</v>
      </c>
      <c r="C1864" t="s">
        <v>177</v>
      </c>
      <c r="D1864" t="s">
        <v>54</v>
      </c>
      <c r="E1864" t="s">
        <v>22</v>
      </c>
      <c r="F1864" s="79">
        <v>45199</v>
      </c>
      <c r="G1864">
        <v>2023</v>
      </c>
      <c r="H1864" t="s">
        <v>162</v>
      </c>
      <c r="I1864" t="s">
        <v>28</v>
      </c>
      <c r="J1864">
        <v>92</v>
      </c>
      <c r="K1864">
        <v>99</v>
      </c>
      <c r="L1864" s="39">
        <f t="shared" si="113"/>
        <v>1.076086956521739</v>
      </c>
      <c r="M1864" s="39">
        <f t="shared" si="114"/>
        <v>1.076086956521739</v>
      </c>
      <c r="N1864" t="s">
        <v>25</v>
      </c>
      <c r="O1864" t="s">
        <v>25</v>
      </c>
      <c r="P1864">
        <v>0</v>
      </c>
      <c r="Q1864">
        <v>0</v>
      </c>
      <c r="R1864" t="s">
        <v>2764</v>
      </c>
    </row>
    <row r="1865" spans="1:18" x14ac:dyDescent="0.3">
      <c r="A1865">
        <v>378</v>
      </c>
      <c r="B1865" t="s">
        <v>1016</v>
      </c>
      <c r="C1865" t="s">
        <v>177</v>
      </c>
      <c r="D1865" t="s">
        <v>54</v>
      </c>
      <c r="E1865" t="s">
        <v>22</v>
      </c>
      <c r="F1865" s="79">
        <v>45230</v>
      </c>
      <c r="G1865">
        <v>2023</v>
      </c>
      <c r="H1865" t="s">
        <v>150</v>
      </c>
      <c r="I1865" t="s">
        <v>28</v>
      </c>
      <c r="J1865">
        <v>92</v>
      </c>
      <c r="K1865">
        <v>96</v>
      </c>
      <c r="L1865" s="39">
        <f t="shared" si="113"/>
        <v>1.0434782608695652</v>
      </c>
      <c r="M1865" s="39">
        <f t="shared" si="114"/>
        <v>1.0434782608695652</v>
      </c>
      <c r="N1865" t="s">
        <v>25</v>
      </c>
      <c r="O1865" t="s">
        <v>25</v>
      </c>
      <c r="P1865">
        <v>0</v>
      </c>
      <c r="Q1865">
        <v>0</v>
      </c>
      <c r="R1865" t="s">
        <v>2765</v>
      </c>
    </row>
    <row r="1866" spans="1:18" x14ac:dyDescent="0.3">
      <c r="A1866">
        <v>378</v>
      </c>
      <c r="B1866" t="s">
        <v>1016</v>
      </c>
      <c r="C1866" t="s">
        <v>177</v>
      </c>
      <c r="D1866" t="s">
        <v>54</v>
      </c>
      <c r="E1866" t="s">
        <v>22</v>
      </c>
      <c r="F1866" s="79">
        <v>45260</v>
      </c>
      <c r="G1866">
        <v>2023</v>
      </c>
      <c r="H1866" t="s">
        <v>1550</v>
      </c>
      <c r="I1866" t="s">
        <v>28</v>
      </c>
      <c r="J1866">
        <v>92</v>
      </c>
      <c r="K1866">
        <v>96.91</v>
      </c>
      <c r="L1866" s="39">
        <f t="shared" si="113"/>
        <v>1.0533695652173913</v>
      </c>
      <c r="M1866" s="39">
        <f t="shared" si="114"/>
        <v>1.0533695652173913</v>
      </c>
      <c r="N1866" t="s">
        <v>25</v>
      </c>
      <c r="O1866" t="s">
        <v>25</v>
      </c>
      <c r="P1866">
        <v>0</v>
      </c>
      <c r="Q1866">
        <v>0</v>
      </c>
      <c r="R1866" t="s">
        <v>2766</v>
      </c>
    </row>
    <row r="1867" spans="1:18" x14ac:dyDescent="0.3">
      <c r="A1867">
        <v>378</v>
      </c>
      <c r="B1867" t="s">
        <v>1016</v>
      </c>
      <c r="C1867" t="s">
        <v>177</v>
      </c>
      <c r="D1867" t="s">
        <v>54</v>
      </c>
      <c r="E1867" t="s">
        <v>22</v>
      </c>
      <c r="F1867" s="79">
        <v>45291</v>
      </c>
      <c r="G1867">
        <v>2023</v>
      </c>
      <c r="H1867" t="s">
        <v>23</v>
      </c>
      <c r="I1867" t="s">
        <v>28</v>
      </c>
      <c r="J1867">
        <v>92</v>
      </c>
      <c r="K1867">
        <v>100.52</v>
      </c>
      <c r="L1867" s="39">
        <f t="shared" si="113"/>
        <v>1.0926086956521739</v>
      </c>
      <c r="M1867" s="39">
        <f t="shared" si="114"/>
        <v>1.0926086956521739</v>
      </c>
      <c r="N1867" t="s">
        <v>25</v>
      </c>
      <c r="O1867" t="s">
        <v>25</v>
      </c>
      <c r="P1867">
        <v>0</v>
      </c>
      <c r="Q1867">
        <v>0</v>
      </c>
      <c r="R1867" t="s">
        <v>1017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45322</v>
      </c>
      <c r="G1868">
        <v>2024</v>
      </c>
      <c r="H1868" t="s">
        <v>59</v>
      </c>
      <c r="I1868" t="s">
        <v>729</v>
      </c>
      <c r="J1868">
        <v>92</v>
      </c>
      <c r="K1868">
        <v>0</v>
      </c>
      <c r="L1868" s="39">
        <f t="shared" si="113"/>
        <v>0</v>
      </c>
      <c r="M1868" s="39">
        <f t="shared" si="114"/>
        <v>0</v>
      </c>
      <c r="N1868" t="s">
        <v>25</v>
      </c>
      <c r="O1868" t="s">
        <v>25</v>
      </c>
      <c r="P1868">
        <v>0</v>
      </c>
      <c r="Q1868">
        <v>0</v>
      </c>
      <c r="R1868" t="s">
        <v>2767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45351</v>
      </c>
      <c r="G1869">
        <v>2024</v>
      </c>
      <c r="H1869" t="s">
        <v>210</v>
      </c>
      <c r="I1869" t="s">
        <v>729</v>
      </c>
      <c r="J1869">
        <v>92</v>
      </c>
      <c r="K1869">
        <v>0</v>
      </c>
      <c r="L1869" s="39">
        <f t="shared" si="113"/>
        <v>0</v>
      </c>
      <c r="M1869" s="39">
        <f t="shared" si="114"/>
        <v>0</v>
      </c>
      <c r="N1869" t="s">
        <v>25</v>
      </c>
      <c r="O1869" t="s">
        <v>25</v>
      </c>
      <c r="P1869">
        <v>0</v>
      </c>
      <c r="Q1869">
        <v>0</v>
      </c>
      <c r="R1869" t="s">
        <v>2768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45382</v>
      </c>
      <c r="G1870">
        <v>2024</v>
      </c>
      <c r="H1870" t="s">
        <v>1516</v>
      </c>
      <c r="I1870" t="s">
        <v>729</v>
      </c>
      <c r="J1870">
        <v>92</v>
      </c>
      <c r="K1870">
        <v>0</v>
      </c>
      <c r="L1870" s="39">
        <f t="shared" si="113"/>
        <v>0</v>
      </c>
      <c r="M1870" s="39">
        <f t="shared" si="114"/>
        <v>0</v>
      </c>
      <c r="N1870" t="s">
        <v>25</v>
      </c>
      <c r="O1870" t="s">
        <v>25</v>
      </c>
      <c r="P1870">
        <v>0</v>
      </c>
      <c r="Q1870">
        <v>0</v>
      </c>
      <c r="R1870" t="s">
        <v>2769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45412</v>
      </c>
      <c r="G1871">
        <v>2024</v>
      </c>
      <c r="H1871" t="s">
        <v>1540</v>
      </c>
      <c r="I1871" t="s">
        <v>729</v>
      </c>
      <c r="J1871">
        <v>92</v>
      </c>
      <c r="K1871">
        <v>0</v>
      </c>
      <c r="L1871" s="39">
        <f t="shared" ref="L1871:L1902" si="115">IFERROR(IF(OR(J1871=0,K1871=""),"",IF(E1871="Positivo",MIN(MAX(K1871/J1871,0),1.3),MIN(MAX(J1871/K1871,0),1.3))),"")</f>
        <v>0</v>
      </c>
      <c r="M1871" s="39">
        <f t="shared" ref="M1871:M1902" si="116">IFERROR(IF(OR(J1871=0,K1871=""),"",IF(E1871="Positivo",MAX(K1871/J1871,0),MAX(J1871/K1871,0))),"")</f>
        <v>0</v>
      </c>
      <c r="N1871" t="s">
        <v>25</v>
      </c>
      <c r="O1871" t="s">
        <v>25</v>
      </c>
      <c r="P1871">
        <v>0</v>
      </c>
      <c r="Q1871">
        <v>0</v>
      </c>
      <c r="R1871" t="s">
        <v>2770</v>
      </c>
    </row>
    <row r="1872" spans="1:18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45443</v>
      </c>
      <c r="G1872">
        <v>2024</v>
      </c>
      <c r="H1872" t="s">
        <v>1542</v>
      </c>
      <c r="I1872" t="s">
        <v>729</v>
      </c>
      <c r="J1872">
        <v>92</v>
      </c>
      <c r="K1872">
        <v>98.5</v>
      </c>
      <c r="L1872" s="39">
        <f t="shared" si="115"/>
        <v>1.0706521739130435</v>
      </c>
      <c r="M1872" s="39">
        <f t="shared" si="116"/>
        <v>1.0706521739130435</v>
      </c>
      <c r="N1872" t="s">
        <v>25</v>
      </c>
      <c r="O1872" t="s">
        <v>25</v>
      </c>
      <c r="P1872">
        <v>0</v>
      </c>
      <c r="Q1872">
        <v>0</v>
      </c>
      <c r="R1872" t="s">
        <v>2771</v>
      </c>
    </row>
    <row r="1873" spans="1:18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45473</v>
      </c>
      <c r="G1873">
        <v>2024</v>
      </c>
      <c r="H1873" t="s">
        <v>699</v>
      </c>
      <c r="I1873" t="s">
        <v>729</v>
      </c>
      <c r="J1873">
        <v>92</v>
      </c>
      <c r="K1873">
        <v>98.5</v>
      </c>
      <c r="L1873" s="39">
        <f t="shared" si="115"/>
        <v>1.0706521739130435</v>
      </c>
      <c r="M1873" s="39">
        <f t="shared" si="116"/>
        <v>1.0706521739130435</v>
      </c>
      <c r="N1873" t="s">
        <v>25</v>
      </c>
      <c r="O1873" t="s">
        <v>25</v>
      </c>
      <c r="P1873">
        <v>0</v>
      </c>
      <c r="Q1873">
        <v>0</v>
      </c>
      <c r="R1873" t="s">
        <v>2772</v>
      </c>
    </row>
    <row r="1874" spans="1:18" x14ac:dyDescent="0.3">
      <c r="A1874">
        <v>378</v>
      </c>
      <c r="B1874" t="s">
        <v>1016</v>
      </c>
      <c r="C1874" t="s">
        <v>53</v>
      </c>
      <c r="D1874" t="s">
        <v>54</v>
      </c>
      <c r="E1874" t="s">
        <v>22</v>
      </c>
      <c r="F1874" s="79">
        <v>45504</v>
      </c>
      <c r="G1874">
        <v>2024</v>
      </c>
      <c r="H1874" t="s">
        <v>260</v>
      </c>
      <c r="I1874" t="s">
        <v>30</v>
      </c>
      <c r="J1874">
        <v>92</v>
      </c>
      <c r="K1874">
        <v>0</v>
      </c>
      <c r="L1874" s="39">
        <f t="shared" si="115"/>
        <v>0</v>
      </c>
      <c r="M1874" s="39">
        <f t="shared" si="116"/>
        <v>0</v>
      </c>
      <c r="N1874" t="s">
        <v>25</v>
      </c>
      <c r="O1874" t="s">
        <v>25</v>
      </c>
      <c r="P1874">
        <v>0</v>
      </c>
      <c r="Q1874">
        <v>0</v>
      </c>
      <c r="R1874" t="s">
        <v>2773</v>
      </c>
    </row>
    <row r="1875" spans="1:18" x14ac:dyDescent="0.3">
      <c r="A1875">
        <v>378</v>
      </c>
      <c r="B1875" t="s">
        <v>1016</v>
      </c>
      <c r="C1875" t="s">
        <v>53</v>
      </c>
      <c r="D1875" t="s">
        <v>54</v>
      </c>
      <c r="E1875" t="s">
        <v>22</v>
      </c>
      <c r="F1875" s="79">
        <v>45535</v>
      </c>
      <c r="G1875">
        <v>2024</v>
      </c>
      <c r="H1875" t="s">
        <v>1546</v>
      </c>
      <c r="I1875" t="s">
        <v>30</v>
      </c>
      <c r="J1875">
        <v>92</v>
      </c>
      <c r="K1875">
        <v>0</v>
      </c>
      <c r="L1875" s="39">
        <f t="shared" si="115"/>
        <v>0</v>
      </c>
      <c r="M1875" s="39">
        <f t="shared" si="116"/>
        <v>0</v>
      </c>
      <c r="N1875" t="s">
        <v>25</v>
      </c>
      <c r="O1875" t="s">
        <v>25</v>
      </c>
      <c r="P1875">
        <v>0</v>
      </c>
      <c r="Q1875">
        <v>0</v>
      </c>
      <c r="R1875" t="s">
        <v>2774</v>
      </c>
    </row>
    <row r="1876" spans="1:18" x14ac:dyDescent="0.3">
      <c r="A1876">
        <v>378</v>
      </c>
      <c r="B1876" t="s">
        <v>1016</v>
      </c>
      <c r="C1876" t="s">
        <v>53</v>
      </c>
      <c r="D1876" t="s">
        <v>54</v>
      </c>
      <c r="E1876" t="s">
        <v>22</v>
      </c>
      <c r="F1876" s="79">
        <v>45565</v>
      </c>
      <c r="G1876">
        <v>2024</v>
      </c>
      <c r="H1876" t="s">
        <v>162</v>
      </c>
      <c r="I1876" t="s">
        <v>30</v>
      </c>
      <c r="J1876">
        <v>92</v>
      </c>
      <c r="K1876">
        <v>0</v>
      </c>
      <c r="L1876" s="39">
        <f t="shared" si="115"/>
        <v>0</v>
      </c>
      <c r="M1876" s="39">
        <f t="shared" si="116"/>
        <v>0</v>
      </c>
      <c r="N1876" t="s">
        <v>25</v>
      </c>
      <c r="O1876" t="s">
        <v>25</v>
      </c>
      <c r="P1876">
        <v>0</v>
      </c>
      <c r="Q1876">
        <v>0</v>
      </c>
      <c r="R1876" t="s">
        <v>2775</v>
      </c>
    </row>
    <row r="1877" spans="1:18" x14ac:dyDescent="0.3">
      <c r="A1877">
        <v>378</v>
      </c>
      <c r="B1877" t="s">
        <v>1016</v>
      </c>
      <c r="C1877" t="s">
        <v>53</v>
      </c>
      <c r="D1877" t="s">
        <v>54</v>
      </c>
      <c r="E1877" t="s">
        <v>22</v>
      </c>
      <c r="F1877" s="79">
        <v>45596</v>
      </c>
      <c r="G1877">
        <v>2024</v>
      </c>
      <c r="H1877" t="s">
        <v>150</v>
      </c>
      <c r="I1877" t="s">
        <v>30</v>
      </c>
      <c r="J1877">
        <v>92</v>
      </c>
      <c r="K1877">
        <v>0</v>
      </c>
      <c r="L1877" s="39">
        <f t="shared" si="115"/>
        <v>0</v>
      </c>
      <c r="M1877" s="39">
        <f t="shared" si="116"/>
        <v>0</v>
      </c>
      <c r="N1877" t="s">
        <v>25</v>
      </c>
      <c r="O1877" t="s">
        <v>25</v>
      </c>
      <c r="P1877">
        <v>0</v>
      </c>
      <c r="Q1877">
        <v>0</v>
      </c>
      <c r="R1877" t="s">
        <v>2776</v>
      </c>
    </row>
    <row r="1878" spans="1:18" x14ac:dyDescent="0.3">
      <c r="A1878">
        <v>378</v>
      </c>
      <c r="B1878" t="s">
        <v>1016</v>
      </c>
      <c r="C1878" t="s">
        <v>53</v>
      </c>
      <c r="D1878" t="s">
        <v>54</v>
      </c>
      <c r="E1878" t="s">
        <v>22</v>
      </c>
      <c r="F1878" s="79">
        <v>45626</v>
      </c>
      <c r="G1878">
        <v>2024</v>
      </c>
      <c r="H1878" t="s">
        <v>1550</v>
      </c>
      <c r="I1878" t="s">
        <v>30</v>
      </c>
      <c r="J1878">
        <v>92</v>
      </c>
      <c r="K1878">
        <v>0</v>
      </c>
      <c r="L1878" s="39">
        <f t="shared" si="115"/>
        <v>0</v>
      </c>
      <c r="M1878" s="39">
        <f t="shared" si="116"/>
        <v>0</v>
      </c>
      <c r="N1878" t="s">
        <v>25</v>
      </c>
      <c r="O1878" t="s">
        <v>25</v>
      </c>
      <c r="P1878">
        <v>0</v>
      </c>
      <c r="Q1878">
        <v>0</v>
      </c>
      <c r="R1878" t="s">
        <v>2777</v>
      </c>
    </row>
    <row r="1879" spans="1:18" x14ac:dyDescent="0.3">
      <c r="A1879">
        <v>378</v>
      </c>
      <c r="B1879" t="s">
        <v>1016</v>
      </c>
      <c r="C1879" t="s">
        <v>53</v>
      </c>
      <c r="D1879" t="s">
        <v>54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0</v>
      </c>
      <c r="K1879">
        <v>0</v>
      </c>
      <c r="L1879" s="39" t="str">
        <f t="shared" si="115"/>
        <v/>
      </c>
      <c r="M1879" s="39" t="str">
        <f t="shared" si="116"/>
        <v/>
      </c>
      <c r="N1879" t="s">
        <v>25</v>
      </c>
      <c r="O1879" t="s">
        <v>25</v>
      </c>
      <c r="P1879">
        <v>0</v>
      </c>
      <c r="Q1879">
        <v>0</v>
      </c>
      <c r="R1879" t="s">
        <v>1018</v>
      </c>
    </row>
    <row r="1880" spans="1:18" x14ac:dyDescent="0.3">
      <c r="A1880">
        <v>379</v>
      </c>
      <c r="B1880" t="s">
        <v>1019</v>
      </c>
      <c r="C1880" t="s">
        <v>1020</v>
      </c>
      <c r="D1880" t="s">
        <v>27</v>
      </c>
      <c r="E1880" t="s">
        <v>22</v>
      </c>
      <c r="F1880" s="79">
        <v>45107</v>
      </c>
      <c r="G1880">
        <v>2023</v>
      </c>
      <c r="H1880" t="s">
        <v>699</v>
      </c>
      <c r="I1880" t="s">
        <v>1512</v>
      </c>
      <c r="J1880">
        <v>100</v>
      </c>
      <c r="K1880">
        <v>102.72877164056</v>
      </c>
      <c r="L1880" s="39">
        <f t="shared" si="115"/>
        <v>1.0272877164056</v>
      </c>
      <c r="M1880" s="39">
        <f t="shared" si="116"/>
        <v>1.0272877164056</v>
      </c>
      <c r="N1880" t="s">
        <v>128</v>
      </c>
      <c r="O1880" t="s">
        <v>128</v>
      </c>
      <c r="P1880">
        <v>0</v>
      </c>
      <c r="Q1880">
        <v>0</v>
      </c>
      <c r="R1880" t="s">
        <v>2778</v>
      </c>
    </row>
    <row r="1881" spans="1:18" x14ac:dyDescent="0.3">
      <c r="A1881">
        <v>379</v>
      </c>
      <c r="B1881" t="s">
        <v>1019</v>
      </c>
      <c r="C1881" t="s">
        <v>1020</v>
      </c>
      <c r="D1881" t="s">
        <v>27</v>
      </c>
      <c r="E1881" t="s">
        <v>22</v>
      </c>
      <c r="F1881" s="79">
        <v>45291</v>
      </c>
      <c r="G1881">
        <v>2023</v>
      </c>
      <c r="H1881" t="s">
        <v>23</v>
      </c>
      <c r="I1881" t="s">
        <v>28</v>
      </c>
      <c r="J1881">
        <v>100</v>
      </c>
      <c r="K1881">
        <v>108.65</v>
      </c>
      <c r="L1881" s="39">
        <f t="shared" si="115"/>
        <v>1.0865</v>
      </c>
      <c r="M1881" s="39">
        <f t="shared" si="116"/>
        <v>1.0865</v>
      </c>
      <c r="N1881" t="s">
        <v>128</v>
      </c>
      <c r="O1881" t="s">
        <v>128</v>
      </c>
      <c r="P1881">
        <v>0</v>
      </c>
      <c r="Q1881">
        <v>0</v>
      </c>
      <c r="R1881" t="s">
        <v>1021</v>
      </c>
    </row>
    <row r="1882" spans="1:18" x14ac:dyDescent="0.3">
      <c r="A1882">
        <v>379</v>
      </c>
      <c r="B1882" t="s">
        <v>1019</v>
      </c>
      <c r="C1882" t="s">
        <v>1020</v>
      </c>
      <c r="D1882" t="s">
        <v>27</v>
      </c>
      <c r="E1882" t="s">
        <v>22</v>
      </c>
      <c r="F1882" s="79">
        <v>45473</v>
      </c>
      <c r="G1882">
        <v>2024</v>
      </c>
      <c r="H1882" t="s">
        <v>699</v>
      </c>
      <c r="I1882" t="s">
        <v>729</v>
      </c>
      <c r="J1882">
        <v>100</v>
      </c>
      <c r="K1882">
        <v>95.92</v>
      </c>
      <c r="L1882" s="39">
        <f t="shared" si="115"/>
        <v>0.95920000000000005</v>
      </c>
      <c r="M1882" s="39">
        <f t="shared" si="116"/>
        <v>0.95920000000000005</v>
      </c>
      <c r="N1882" t="s">
        <v>128</v>
      </c>
      <c r="O1882" t="s">
        <v>128</v>
      </c>
      <c r="P1882">
        <v>0</v>
      </c>
      <c r="Q1882">
        <v>0</v>
      </c>
      <c r="R1882" t="s">
        <v>2779</v>
      </c>
    </row>
    <row r="1883" spans="1:18" x14ac:dyDescent="0.3">
      <c r="A1883">
        <v>379</v>
      </c>
      <c r="B1883" t="s">
        <v>1019</v>
      </c>
      <c r="C1883" t="s">
        <v>1020</v>
      </c>
      <c r="D1883" t="s">
        <v>27</v>
      </c>
      <c r="E1883" t="s">
        <v>22</v>
      </c>
      <c r="F1883" s="79">
        <v>45657</v>
      </c>
      <c r="G1883">
        <v>2024</v>
      </c>
      <c r="H1883" t="s">
        <v>23</v>
      </c>
      <c r="I1883" t="s">
        <v>30</v>
      </c>
      <c r="J1883">
        <v>100</v>
      </c>
      <c r="K1883">
        <v>99.31</v>
      </c>
      <c r="L1883" s="39">
        <f t="shared" si="115"/>
        <v>0.99309999999999998</v>
      </c>
      <c r="M1883" s="39">
        <f t="shared" si="116"/>
        <v>0.99309999999999998</v>
      </c>
      <c r="N1883" t="s">
        <v>128</v>
      </c>
      <c r="O1883" t="s">
        <v>128</v>
      </c>
      <c r="P1883">
        <v>0</v>
      </c>
      <c r="Q1883">
        <v>0</v>
      </c>
      <c r="R1883" t="s">
        <v>1022</v>
      </c>
    </row>
    <row r="1884" spans="1:18" x14ac:dyDescent="0.3">
      <c r="A1884">
        <v>379</v>
      </c>
      <c r="B1884" t="s">
        <v>1019</v>
      </c>
      <c r="C1884" t="s">
        <v>1020</v>
      </c>
      <c r="D1884" t="s">
        <v>27</v>
      </c>
      <c r="E1884" t="s">
        <v>22</v>
      </c>
      <c r="F1884" s="79">
        <v>45838</v>
      </c>
      <c r="G1884">
        <v>2025</v>
      </c>
      <c r="H1884" t="s">
        <v>699</v>
      </c>
      <c r="I1884" t="s">
        <v>700</v>
      </c>
      <c r="J1884">
        <v>100</v>
      </c>
      <c r="K1884">
        <v>104.11</v>
      </c>
      <c r="L1884" s="39">
        <f t="shared" si="115"/>
        <v>1.0410999999999999</v>
      </c>
      <c r="M1884" s="39">
        <f t="shared" si="116"/>
        <v>1.0410999999999999</v>
      </c>
      <c r="N1884" t="s">
        <v>128</v>
      </c>
      <c r="O1884" t="s">
        <v>128</v>
      </c>
      <c r="P1884">
        <v>0</v>
      </c>
      <c r="Q1884">
        <v>0</v>
      </c>
      <c r="R1884" t="s">
        <v>2780</v>
      </c>
    </row>
    <row r="1885" spans="1:18" x14ac:dyDescent="0.3">
      <c r="A1885">
        <v>379</v>
      </c>
      <c r="B1885" t="s">
        <v>1019</v>
      </c>
      <c r="C1885" t="s">
        <v>1020</v>
      </c>
      <c r="D1885" t="s">
        <v>21</v>
      </c>
      <c r="E1885" t="s">
        <v>22</v>
      </c>
      <c r="F1885" s="79">
        <v>46022</v>
      </c>
      <c r="G1885">
        <v>2025</v>
      </c>
      <c r="H1885" t="s">
        <v>23</v>
      </c>
      <c r="I1885" t="s">
        <v>32</v>
      </c>
      <c r="J1885">
        <v>100</v>
      </c>
      <c r="K1885">
        <v>102.41</v>
      </c>
      <c r="L1885" s="39">
        <f t="shared" si="115"/>
        <v>1.0241</v>
      </c>
      <c r="M1885" s="39">
        <f t="shared" si="116"/>
        <v>1.0241</v>
      </c>
      <c r="N1885" t="s">
        <v>128</v>
      </c>
      <c r="O1885" t="s">
        <v>128</v>
      </c>
      <c r="P1885">
        <v>0</v>
      </c>
      <c r="Q1885">
        <v>0</v>
      </c>
      <c r="R1885" t="s">
        <v>1023</v>
      </c>
    </row>
    <row r="1886" spans="1:18" x14ac:dyDescent="0.3">
      <c r="A1886">
        <v>380</v>
      </c>
      <c r="B1886" t="s">
        <v>1024</v>
      </c>
      <c r="C1886" t="s">
        <v>1020</v>
      </c>
      <c r="D1886" t="s">
        <v>27</v>
      </c>
      <c r="E1886" t="s">
        <v>22</v>
      </c>
      <c r="F1886" s="79">
        <v>45107</v>
      </c>
      <c r="G1886">
        <v>2023</v>
      </c>
      <c r="H1886" t="s">
        <v>699</v>
      </c>
      <c r="I1886" t="s">
        <v>1512</v>
      </c>
      <c r="J1886">
        <f>24659314309/1000000</f>
        <v>24659.314309000001</v>
      </c>
      <c r="K1886">
        <f>25754085546/1000000</f>
        <v>25754.085545999998</v>
      </c>
      <c r="L1886" s="39">
        <f t="shared" si="115"/>
        <v>1.0443958507232471</v>
      </c>
      <c r="M1886" s="39">
        <f t="shared" si="116"/>
        <v>1.0443958507232471</v>
      </c>
      <c r="N1886" t="s">
        <v>205</v>
      </c>
      <c r="O1886" t="s">
        <v>205</v>
      </c>
      <c r="P1886">
        <v>0</v>
      </c>
      <c r="Q1886">
        <v>0</v>
      </c>
      <c r="R1886" t="s">
        <v>2781</v>
      </c>
    </row>
    <row r="1887" spans="1:18" x14ac:dyDescent="0.3">
      <c r="A1887">
        <v>380</v>
      </c>
      <c r="B1887" t="s">
        <v>1024</v>
      </c>
      <c r="C1887" t="s">
        <v>1020</v>
      </c>
      <c r="D1887" t="s">
        <v>27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f>24724802794/1000000</f>
        <v>24724.802793999999</v>
      </c>
      <c r="K1887">
        <f>25340546506/1000000</f>
        <v>25340.546505999999</v>
      </c>
      <c r="L1887" s="39">
        <f t="shared" si="115"/>
        <v>1.0249038876924601</v>
      </c>
      <c r="M1887" s="39">
        <f t="shared" si="116"/>
        <v>1.0249038876924601</v>
      </c>
      <c r="N1887" t="s">
        <v>205</v>
      </c>
      <c r="O1887" t="s">
        <v>205</v>
      </c>
      <c r="P1887">
        <v>0</v>
      </c>
      <c r="Q1887">
        <v>0</v>
      </c>
      <c r="R1887" t="s">
        <v>1025</v>
      </c>
    </row>
    <row r="1888" spans="1:18" x14ac:dyDescent="0.3">
      <c r="A1888">
        <v>380</v>
      </c>
      <c r="B1888" t="s">
        <v>1024</v>
      </c>
      <c r="C1888" t="s">
        <v>1020</v>
      </c>
      <c r="D1888" t="s">
        <v>27</v>
      </c>
      <c r="E1888" t="s">
        <v>22</v>
      </c>
      <c r="F1888" s="79">
        <v>45473</v>
      </c>
      <c r="G1888">
        <v>2024</v>
      </c>
      <c r="H1888" t="s">
        <v>699</v>
      </c>
      <c r="I1888" t="s">
        <v>729</v>
      </c>
      <c r="J1888">
        <f>29596269870/1000000</f>
        <v>29596.26987</v>
      </c>
      <c r="K1888">
        <f>28449632913/1000000</f>
        <v>28449.632913000001</v>
      </c>
      <c r="L1888" s="39">
        <f t="shared" si="115"/>
        <v>0.96125738270273453</v>
      </c>
      <c r="M1888" s="39">
        <f t="shared" si="116"/>
        <v>0.96125738270273453</v>
      </c>
      <c r="N1888" t="s">
        <v>205</v>
      </c>
      <c r="O1888" t="s">
        <v>205</v>
      </c>
      <c r="P1888">
        <v>0</v>
      </c>
      <c r="Q1888">
        <v>0</v>
      </c>
      <c r="R1888" t="s">
        <v>2782</v>
      </c>
    </row>
    <row r="1889" spans="1:18" x14ac:dyDescent="0.3">
      <c r="A1889">
        <v>380</v>
      </c>
      <c r="B1889" t="s">
        <v>1024</v>
      </c>
      <c r="C1889" t="s">
        <v>1020</v>
      </c>
      <c r="D1889" t="s">
        <v>27</v>
      </c>
      <c r="E1889" t="s">
        <v>22</v>
      </c>
      <c r="F1889" s="79">
        <v>45657</v>
      </c>
      <c r="G1889">
        <v>2024</v>
      </c>
      <c r="H1889" t="s">
        <v>23</v>
      </c>
      <c r="I1889" t="s">
        <v>30</v>
      </c>
      <c r="J1889">
        <v>100</v>
      </c>
      <c r="K1889">
        <v>78.92</v>
      </c>
      <c r="L1889" s="39">
        <f t="shared" si="115"/>
        <v>0.78920000000000001</v>
      </c>
      <c r="M1889" s="39">
        <f t="shared" si="116"/>
        <v>0.78920000000000001</v>
      </c>
      <c r="N1889" t="s">
        <v>205</v>
      </c>
      <c r="O1889" t="s">
        <v>205</v>
      </c>
      <c r="P1889">
        <v>0</v>
      </c>
      <c r="Q1889">
        <v>0</v>
      </c>
      <c r="R1889" t="s">
        <v>1026</v>
      </c>
    </row>
    <row r="1890" spans="1:18" x14ac:dyDescent="0.3">
      <c r="A1890">
        <v>381</v>
      </c>
      <c r="B1890" t="s">
        <v>1027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104.27170868347</v>
      </c>
      <c r="L1890" s="39">
        <f t="shared" si="115"/>
        <v>1.0427170868347</v>
      </c>
      <c r="M1890" s="39">
        <f t="shared" si="116"/>
        <v>1.0427170868347</v>
      </c>
      <c r="N1890" t="s">
        <v>128</v>
      </c>
      <c r="O1890" t="s">
        <v>128</v>
      </c>
      <c r="P1890">
        <v>0</v>
      </c>
      <c r="Q1890">
        <v>0</v>
      </c>
      <c r="R1890" t="s">
        <v>2783</v>
      </c>
    </row>
    <row r="1891" spans="1:18" x14ac:dyDescent="0.3">
      <c r="A1891">
        <v>381</v>
      </c>
      <c r="B1891" t="s">
        <v>1027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113.7</v>
      </c>
      <c r="L1891" s="39">
        <f t="shared" si="115"/>
        <v>1.137</v>
      </c>
      <c r="M1891" s="39">
        <f t="shared" si="116"/>
        <v>1.137</v>
      </c>
      <c r="N1891" t="s">
        <v>128</v>
      </c>
      <c r="O1891" t="s">
        <v>128</v>
      </c>
      <c r="P1891">
        <v>0</v>
      </c>
      <c r="Q1891">
        <v>0</v>
      </c>
      <c r="R1891" t="s">
        <v>1028</v>
      </c>
    </row>
    <row r="1892" spans="1:18" x14ac:dyDescent="0.3">
      <c r="A1892">
        <v>381</v>
      </c>
      <c r="B1892" t="s">
        <v>1027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105.26</v>
      </c>
      <c r="L1892" s="39">
        <f t="shared" si="115"/>
        <v>1.0526</v>
      </c>
      <c r="M1892" s="39">
        <f t="shared" si="116"/>
        <v>1.0526</v>
      </c>
      <c r="N1892" t="s">
        <v>128</v>
      </c>
      <c r="O1892" t="s">
        <v>128</v>
      </c>
      <c r="P1892">
        <v>0</v>
      </c>
      <c r="Q1892">
        <v>0</v>
      </c>
      <c r="R1892" t="s">
        <v>2784</v>
      </c>
    </row>
    <row r="1893" spans="1:18" x14ac:dyDescent="0.3">
      <c r="A1893">
        <v>381</v>
      </c>
      <c r="B1893" t="s">
        <v>1027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89.19</v>
      </c>
      <c r="L1893" s="39">
        <f t="shared" si="115"/>
        <v>0.89190000000000003</v>
      </c>
      <c r="M1893" s="39">
        <f t="shared" si="116"/>
        <v>0.89190000000000003</v>
      </c>
      <c r="N1893" t="s">
        <v>128</v>
      </c>
      <c r="O1893" t="s">
        <v>128</v>
      </c>
      <c r="P1893">
        <v>0</v>
      </c>
      <c r="Q1893">
        <v>0</v>
      </c>
      <c r="R1893" t="s">
        <v>1029</v>
      </c>
    </row>
    <row r="1894" spans="1:18" x14ac:dyDescent="0.3">
      <c r="A1894">
        <v>381</v>
      </c>
      <c r="B1894" t="s">
        <v>1027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98.22</v>
      </c>
      <c r="L1894" s="39">
        <f t="shared" si="115"/>
        <v>0.98219999999999996</v>
      </c>
      <c r="M1894" s="39">
        <f t="shared" si="116"/>
        <v>0.98219999999999996</v>
      </c>
      <c r="N1894" t="s">
        <v>128</v>
      </c>
      <c r="O1894" t="s">
        <v>128</v>
      </c>
      <c r="P1894">
        <v>0</v>
      </c>
      <c r="Q1894">
        <v>0</v>
      </c>
      <c r="R1894" t="s">
        <v>2785</v>
      </c>
    </row>
    <row r="1895" spans="1:18" x14ac:dyDescent="0.3">
      <c r="A1895">
        <v>381</v>
      </c>
      <c r="B1895" t="s">
        <v>1027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113.66</v>
      </c>
      <c r="L1895" s="39">
        <f t="shared" si="115"/>
        <v>1.1366000000000001</v>
      </c>
      <c r="M1895" s="39">
        <f t="shared" si="116"/>
        <v>1.1366000000000001</v>
      </c>
      <c r="N1895" t="s">
        <v>128</v>
      </c>
      <c r="O1895" t="s">
        <v>128</v>
      </c>
      <c r="P1895">
        <v>0</v>
      </c>
      <c r="Q1895">
        <v>0</v>
      </c>
      <c r="R1895" t="s">
        <v>1030</v>
      </c>
    </row>
    <row r="1896" spans="1:18" x14ac:dyDescent="0.3">
      <c r="A1896">
        <v>382</v>
      </c>
      <c r="B1896" t="s">
        <v>1031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101.25041131950999</v>
      </c>
      <c r="L1896" s="39">
        <f t="shared" si="115"/>
        <v>1.0125041131951</v>
      </c>
      <c r="M1896" s="39">
        <f t="shared" si="116"/>
        <v>1.0125041131951</v>
      </c>
      <c r="N1896" t="s">
        <v>128</v>
      </c>
      <c r="O1896" t="s">
        <v>128</v>
      </c>
      <c r="P1896">
        <v>0</v>
      </c>
      <c r="Q1896">
        <v>0</v>
      </c>
      <c r="R1896" t="s">
        <v>2786</v>
      </c>
    </row>
    <row r="1897" spans="1:18" x14ac:dyDescent="0.3">
      <c r="A1897">
        <v>382</v>
      </c>
      <c r="B1897" t="s">
        <v>1031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103.01</v>
      </c>
      <c r="L1897" s="39">
        <f t="shared" si="115"/>
        <v>1.0301</v>
      </c>
      <c r="M1897" s="39">
        <f t="shared" si="116"/>
        <v>1.0301</v>
      </c>
      <c r="N1897" t="s">
        <v>128</v>
      </c>
      <c r="O1897" t="s">
        <v>128</v>
      </c>
      <c r="P1897">
        <v>0</v>
      </c>
      <c r="Q1897">
        <v>0</v>
      </c>
      <c r="R1897" t="s">
        <v>1032</v>
      </c>
    </row>
    <row r="1898" spans="1:18" x14ac:dyDescent="0.3">
      <c r="A1898">
        <v>382</v>
      </c>
      <c r="B1898" t="s">
        <v>1031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93.7</v>
      </c>
      <c r="L1898" s="39">
        <f t="shared" si="115"/>
        <v>0.93700000000000006</v>
      </c>
      <c r="M1898" s="39">
        <f t="shared" si="116"/>
        <v>0.93700000000000006</v>
      </c>
      <c r="N1898" t="s">
        <v>128</v>
      </c>
      <c r="O1898" t="s">
        <v>128</v>
      </c>
      <c r="P1898">
        <v>0</v>
      </c>
      <c r="Q1898">
        <v>0</v>
      </c>
      <c r="R1898" t="s">
        <v>2787</v>
      </c>
    </row>
    <row r="1899" spans="1:18" x14ac:dyDescent="0.3">
      <c r="A1899">
        <v>382</v>
      </c>
      <c r="B1899" t="s">
        <v>1031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98.13</v>
      </c>
      <c r="L1899" s="39">
        <f t="shared" si="115"/>
        <v>0.98129999999999995</v>
      </c>
      <c r="M1899" s="39">
        <f t="shared" si="116"/>
        <v>0.98129999999999995</v>
      </c>
      <c r="N1899" t="s">
        <v>128</v>
      </c>
      <c r="O1899" t="s">
        <v>128</v>
      </c>
      <c r="P1899">
        <v>0</v>
      </c>
      <c r="Q1899">
        <v>0</v>
      </c>
      <c r="R1899" t="s">
        <v>1033</v>
      </c>
    </row>
    <row r="1900" spans="1:18" x14ac:dyDescent="0.3">
      <c r="A1900">
        <v>382</v>
      </c>
      <c r="B1900" t="s">
        <v>1031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99.85</v>
      </c>
      <c r="L1900" s="39">
        <f t="shared" si="115"/>
        <v>0.99849999999999994</v>
      </c>
      <c r="M1900" s="39">
        <f t="shared" si="116"/>
        <v>0.99849999999999994</v>
      </c>
      <c r="N1900" t="s">
        <v>128</v>
      </c>
      <c r="O1900" t="s">
        <v>128</v>
      </c>
      <c r="P1900">
        <v>0</v>
      </c>
      <c r="Q1900">
        <v>0</v>
      </c>
      <c r="R1900" t="s">
        <v>2788</v>
      </c>
    </row>
    <row r="1901" spans="1:18" x14ac:dyDescent="0.3">
      <c r="A1901">
        <v>382</v>
      </c>
      <c r="B1901" t="s">
        <v>1031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97.21</v>
      </c>
      <c r="L1901" s="39">
        <f t="shared" si="115"/>
        <v>0.97209999999999996</v>
      </c>
      <c r="M1901" s="39">
        <f t="shared" si="116"/>
        <v>0.97209999999999996</v>
      </c>
      <c r="N1901" t="s">
        <v>128</v>
      </c>
      <c r="O1901" t="s">
        <v>128</v>
      </c>
      <c r="P1901">
        <v>0</v>
      </c>
      <c r="Q1901">
        <v>0</v>
      </c>
      <c r="R1901" t="s">
        <v>1034</v>
      </c>
    </row>
    <row r="1902" spans="1:18" x14ac:dyDescent="0.3">
      <c r="A1902">
        <v>383</v>
      </c>
      <c r="B1902" t="s">
        <v>1035</v>
      </c>
      <c r="C1902" t="s">
        <v>1020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109.38232994527</v>
      </c>
      <c r="L1902" s="39">
        <f t="shared" si="115"/>
        <v>1.0938232994527</v>
      </c>
      <c r="M1902" s="39">
        <f t="shared" si="116"/>
        <v>1.0938232994527</v>
      </c>
      <c r="N1902" t="s">
        <v>128</v>
      </c>
      <c r="O1902" t="s">
        <v>128</v>
      </c>
      <c r="P1902">
        <v>0</v>
      </c>
      <c r="Q1902">
        <v>0</v>
      </c>
      <c r="R1902" t="s">
        <v>2789</v>
      </c>
    </row>
    <row r="1903" spans="1:18" x14ac:dyDescent="0.3">
      <c r="A1903">
        <v>383</v>
      </c>
      <c r="B1903" t="s">
        <v>1035</v>
      </c>
      <c r="C1903" t="s">
        <v>1020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148.66</v>
      </c>
      <c r="L1903" s="39">
        <f t="shared" ref="L1903:L1933" si="117">IFERROR(IF(OR(J1903=0,K1903=""),"",IF(E1903="Positivo",MIN(MAX(K1903/J1903,0),1.3),MIN(MAX(J1903/K1903,0),1.3))),"")</f>
        <v>1.3</v>
      </c>
      <c r="M1903" s="39">
        <f t="shared" ref="M1903:M1933" si="118">IFERROR(IF(OR(J1903=0,K1903=""),"",IF(E1903="Positivo",MAX(K1903/J1903,0),MAX(J1903/K1903,0))),"")</f>
        <v>1.4865999999999999</v>
      </c>
      <c r="N1903" t="s">
        <v>128</v>
      </c>
      <c r="O1903" t="s">
        <v>128</v>
      </c>
      <c r="P1903">
        <v>0</v>
      </c>
      <c r="Q1903">
        <v>0</v>
      </c>
      <c r="R1903" t="s">
        <v>1036</v>
      </c>
    </row>
    <row r="1904" spans="1:18" x14ac:dyDescent="0.3">
      <c r="A1904">
        <v>383</v>
      </c>
      <c r="B1904" t="s">
        <v>1035</v>
      </c>
      <c r="C1904" t="s">
        <v>1020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100.2</v>
      </c>
      <c r="L1904" s="39">
        <f t="shared" si="117"/>
        <v>1.002</v>
      </c>
      <c r="M1904" s="39">
        <f t="shared" si="118"/>
        <v>1.002</v>
      </c>
      <c r="N1904" t="s">
        <v>128</v>
      </c>
      <c r="O1904" t="s">
        <v>128</v>
      </c>
      <c r="P1904">
        <v>0</v>
      </c>
      <c r="Q1904">
        <v>0</v>
      </c>
      <c r="R1904" t="s">
        <v>2790</v>
      </c>
    </row>
    <row r="1905" spans="1:18" x14ac:dyDescent="0.3">
      <c r="A1905">
        <v>383</v>
      </c>
      <c r="B1905" t="s">
        <v>1035</v>
      </c>
      <c r="C1905" t="s">
        <v>1020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120.71</v>
      </c>
      <c r="L1905" s="39">
        <f t="shared" si="117"/>
        <v>1.2070999999999998</v>
      </c>
      <c r="M1905" s="39">
        <f t="shared" si="118"/>
        <v>1.2070999999999998</v>
      </c>
      <c r="N1905" t="s">
        <v>128</v>
      </c>
      <c r="O1905" t="s">
        <v>128</v>
      </c>
      <c r="P1905">
        <v>0</v>
      </c>
      <c r="Q1905">
        <v>0</v>
      </c>
      <c r="R1905" t="s">
        <v>1037</v>
      </c>
    </row>
    <row r="1906" spans="1:18" x14ac:dyDescent="0.3">
      <c r="A1906">
        <v>383</v>
      </c>
      <c r="B1906" t="s">
        <v>1035</v>
      </c>
      <c r="C1906" t="s">
        <v>1020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136.96</v>
      </c>
      <c r="L1906" s="39">
        <f t="shared" si="117"/>
        <v>1.3</v>
      </c>
      <c r="M1906" s="39">
        <f t="shared" si="118"/>
        <v>1.3696000000000002</v>
      </c>
      <c r="N1906" t="s">
        <v>128</v>
      </c>
      <c r="O1906" t="s">
        <v>128</v>
      </c>
      <c r="P1906">
        <v>0</v>
      </c>
      <c r="Q1906">
        <v>0</v>
      </c>
      <c r="R1906" t="s">
        <v>2791</v>
      </c>
    </row>
    <row r="1907" spans="1:18" x14ac:dyDescent="0.3">
      <c r="A1907">
        <v>383</v>
      </c>
      <c r="B1907" t="s">
        <v>1035</v>
      </c>
      <c r="C1907" t="s">
        <v>1020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127.87</v>
      </c>
      <c r="L1907" s="39">
        <f t="shared" si="117"/>
        <v>1.2786999999999999</v>
      </c>
      <c r="M1907" s="39">
        <f t="shared" si="118"/>
        <v>1.2786999999999999</v>
      </c>
      <c r="N1907" t="s">
        <v>128</v>
      </c>
      <c r="O1907" t="s">
        <v>128</v>
      </c>
      <c r="P1907">
        <v>0</v>
      </c>
      <c r="Q1907">
        <v>0</v>
      </c>
      <c r="R1907" t="s">
        <v>1038</v>
      </c>
    </row>
    <row r="1908" spans="1:18" x14ac:dyDescent="0.3">
      <c r="A1908">
        <v>384</v>
      </c>
      <c r="B1908" t="s">
        <v>1039</v>
      </c>
      <c r="C1908" t="s">
        <v>1020</v>
      </c>
      <c r="D1908" t="s">
        <v>27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111.76470588235</v>
      </c>
      <c r="L1908" s="39">
        <f t="shared" si="117"/>
        <v>1.1176470588234999</v>
      </c>
      <c r="M1908" s="39">
        <f t="shared" si="118"/>
        <v>1.1176470588234999</v>
      </c>
      <c r="N1908" t="s">
        <v>128</v>
      </c>
      <c r="O1908" t="s">
        <v>128</v>
      </c>
      <c r="P1908">
        <v>0</v>
      </c>
      <c r="Q1908">
        <v>0</v>
      </c>
      <c r="R1908" t="s">
        <v>2792</v>
      </c>
    </row>
    <row r="1909" spans="1:18" x14ac:dyDescent="0.3">
      <c r="A1909">
        <v>384</v>
      </c>
      <c r="B1909" t="s">
        <v>1039</v>
      </c>
      <c r="C1909" t="s">
        <v>1020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115.38</v>
      </c>
      <c r="L1909" s="39">
        <f t="shared" si="117"/>
        <v>1.1537999999999999</v>
      </c>
      <c r="M1909" s="39">
        <f t="shared" si="118"/>
        <v>1.1537999999999999</v>
      </c>
      <c r="N1909" t="s">
        <v>128</v>
      </c>
      <c r="O1909" t="s">
        <v>128</v>
      </c>
      <c r="P1909">
        <v>0</v>
      </c>
      <c r="Q1909">
        <v>0</v>
      </c>
      <c r="R1909" t="s">
        <v>1040</v>
      </c>
    </row>
    <row r="1910" spans="1:18" x14ac:dyDescent="0.3">
      <c r="A1910">
        <v>384</v>
      </c>
      <c r="B1910" t="s">
        <v>1039</v>
      </c>
      <c r="C1910" t="s">
        <v>1020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102.2</v>
      </c>
      <c r="L1910" s="39">
        <f t="shared" si="117"/>
        <v>1.022</v>
      </c>
      <c r="M1910" s="39">
        <f t="shared" si="118"/>
        <v>1.022</v>
      </c>
      <c r="N1910" t="s">
        <v>128</v>
      </c>
      <c r="O1910" t="s">
        <v>128</v>
      </c>
      <c r="P1910">
        <v>0</v>
      </c>
      <c r="Q1910">
        <v>0</v>
      </c>
      <c r="R1910" t="s">
        <v>2793</v>
      </c>
    </row>
    <row r="1911" spans="1:18" x14ac:dyDescent="0.3">
      <c r="A1911">
        <v>384</v>
      </c>
      <c r="B1911" t="s">
        <v>1039</v>
      </c>
      <c r="C1911" t="s">
        <v>1020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87.9</v>
      </c>
      <c r="L1911" s="39">
        <f t="shared" si="117"/>
        <v>0.879</v>
      </c>
      <c r="M1911" s="39">
        <f t="shared" si="118"/>
        <v>0.879</v>
      </c>
      <c r="N1911" t="s">
        <v>128</v>
      </c>
      <c r="O1911" t="s">
        <v>128</v>
      </c>
      <c r="P1911">
        <v>0</v>
      </c>
      <c r="Q1911">
        <v>0</v>
      </c>
      <c r="R1911" t="s">
        <v>1041</v>
      </c>
    </row>
    <row r="1912" spans="1:18" x14ac:dyDescent="0.3">
      <c r="A1912">
        <v>384</v>
      </c>
      <c r="B1912" t="s">
        <v>1039</v>
      </c>
      <c r="C1912" t="s">
        <v>1020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103.23</v>
      </c>
      <c r="L1912" s="39">
        <f t="shared" si="117"/>
        <v>1.0323</v>
      </c>
      <c r="M1912" s="39">
        <f t="shared" si="118"/>
        <v>1.0323</v>
      </c>
      <c r="N1912" t="s">
        <v>128</v>
      </c>
      <c r="O1912" t="s">
        <v>128</v>
      </c>
      <c r="P1912">
        <v>0</v>
      </c>
      <c r="Q1912">
        <v>0</v>
      </c>
      <c r="R1912" t="s">
        <v>2794</v>
      </c>
    </row>
    <row r="1913" spans="1:18" x14ac:dyDescent="0.3">
      <c r="A1913">
        <v>384</v>
      </c>
      <c r="B1913" t="s">
        <v>1039</v>
      </c>
      <c r="C1913" t="s">
        <v>1020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100.93</v>
      </c>
      <c r="L1913" s="39">
        <f t="shared" si="117"/>
        <v>1.0093000000000001</v>
      </c>
      <c r="M1913" s="39">
        <f t="shared" si="118"/>
        <v>1.0093000000000001</v>
      </c>
      <c r="N1913" t="s">
        <v>128</v>
      </c>
      <c r="O1913" t="s">
        <v>128</v>
      </c>
      <c r="P1913">
        <v>0</v>
      </c>
      <c r="Q1913">
        <v>0</v>
      </c>
      <c r="R1913" t="s">
        <v>1042</v>
      </c>
    </row>
    <row r="1914" spans="1:18" x14ac:dyDescent="0.3">
      <c r="A1914">
        <v>385</v>
      </c>
      <c r="B1914" t="s">
        <v>1043</v>
      </c>
      <c r="C1914" t="s">
        <v>1044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100</v>
      </c>
      <c r="K1914">
        <v>102.98486566654</v>
      </c>
      <c r="L1914" s="39">
        <f t="shared" si="117"/>
        <v>1.0298486566653999</v>
      </c>
      <c r="M1914" s="39">
        <f t="shared" si="118"/>
        <v>1.0298486566653999</v>
      </c>
      <c r="N1914" t="s">
        <v>205</v>
      </c>
      <c r="O1914" t="s">
        <v>205</v>
      </c>
      <c r="P1914">
        <v>0</v>
      </c>
      <c r="Q1914">
        <v>0</v>
      </c>
      <c r="R1914" t="s">
        <v>2795</v>
      </c>
    </row>
    <row r="1915" spans="1:18" x14ac:dyDescent="0.3">
      <c r="A1915">
        <v>385</v>
      </c>
      <c r="B1915" t="s">
        <v>1043</v>
      </c>
      <c r="C1915" t="s">
        <v>1044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100</v>
      </c>
      <c r="K1915">
        <v>124.93</v>
      </c>
      <c r="L1915" s="39">
        <f t="shared" si="117"/>
        <v>1.2493000000000001</v>
      </c>
      <c r="M1915" s="39">
        <f t="shared" si="118"/>
        <v>1.2493000000000001</v>
      </c>
      <c r="N1915" t="s">
        <v>205</v>
      </c>
      <c r="O1915" t="s">
        <v>205</v>
      </c>
      <c r="P1915">
        <v>0</v>
      </c>
      <c r="Q1915">
        <v>0</v>
      </c>
      <c r="R1915" t="s">
        <v>1045</v>
      </c>
    </row>
    <row r="1916" spans="1:18" x14ac:dyDescent="0.3">
      <c r="A1916">
        <v>385</v>
      </c>
      <c r="B1916" t="s">
        <v>1043</v>
      </c>
      <c r="C1916" t="s">
        <v>1044</v>
      </c>
      <c r="D1916" t="s">
        <v>27</v>
      </c>
      <c r="E1916" t="s">
        <v>22</v>
      </c>
      <c r="F1916" s="79">
        <v>45473</v>
      </c>
      <c r="G1916">
        <v>2024</v>
      </c>
      <c r="H1916" t="s">
        <v>699</v>
      </c>
      <c r="I1916" t="s">
        <v>729</v>
      </c>
      <c r="J1916">
        <v>100</v>
      </c>
      <c r="K1916">
        <v>113.63</v>
      </c>
      <c r="L1916" s="39">
        <f t="shared" si="117"/>
        <v>1.1362999999999999</v>
      </c>
      <c r="M1916" s="39">
        <f t="shared" si="118"/>
        <v>1.1362999999999999</v>
      </c>
      <c r="N1916" t="s">
        <v>205</v>
      </c>
      <c r="O1916" t="s">
        <v>205</v>
      </c>
      <c r="P1916">
        <v>0</v>
      </c>
      <c r="Q1916">
        <v>0</v>
      </c>
      <c r="R1916" t="s">
        <v>2796</v>
      </c>
    </row>
    <row r="1917" spans="1:18" x14ac:dyDescent="0.3">
      <c r="A1917">
        <v>385</v>
      </c>
      <c r="B1917" t="s">
        <v>1043</v>
      </c>
      <c r="C1917" t="s">
        <v>1044</v>
      </c>
      <c r="D1917" t="s">
        <v>27</v>
      </c>
      <c r="E1917" t="s">
        <v>22</v>
      </c>
      <c r="F1917" s="79">
        <v>45657</v>
      </c>
      <c r="G1917">
        <v>2024</v>
      </c>
      <c r="H1917" t="s">
        <v>23</v>
      </c>
      <c r="I1917" t="s">
        <v>30</v>
      </c>
      <c r="J1917">
        <v>100</v>
      </c>
      <c r="K1917">
        <v>88.56</v>
      </c>
      <c r="L1917" s="39">
        <f t="shared" si="117"/>
        <v>0.88560000000000005</v>
      </c>
      <c r="M1917" s="39">
        <f t="shared" si="118"/>
        <v>0.88560000000000005</v>
      </c>
      <c r="N1917" t="s">
        <v>205</v>
      </c>
      <c r="O1917" t="s">
        <v>205</v>
      </c>
      <c r="P1917">
        <v>0</v>
      </c>
      <c r="Q1917">
        <v>0</v>
      </c>
      <c r="R1917" t="s">
        <v>1046</v>
      </c>
    </row>
    <row r="1918" spans="1:18" x14ac:dyDescent="0.3">
      <c r="A1918">
        <v>385</v>
      </c>
      <c r="B1918" t="s">
        <v>1043</v>
      </c>
      <c r="C1918" t="s">
        <v>1044</v>
      </c>
      <c r="D1918" t="s">
        <v>27</v>
      </c>
      <c r="E1918" t="s">
        <v>22</v>
      </c>
      <c r="F1918" s="79">
        <v>45838</v>
      </c>
      <c r="G1918">
        <v>2025</v>
      </c>
      <c r="H1918" t="s">
        <v>699</v>
      </c>
      <c r="I1918" t="s">
        <v>700</v>
      </c>
      <c r="J1918">
        <v>100</v>
      </c>
      <c r="K1918">
        <v>118.92</v>
      </c>
      <c r="L1918" s="39">
        <f t="shared" si="117"/>
        <v>1.1892</v>
      </c>
      <c r="M1918" s="39">
        <f t="shared" si="118"/>
        <v>1.1892</v>
      </c>
      <c r="N1918" t="s">
        <v>205</v>
      </c>
      <c r="O1918" t="s">
        <v>205</v>
      </c>
      <c r="P1918">
        <v>0</v>
      </c>
      <c r="Q1918">
        <v>0</v>
      </c>
      <c r="R1918" t="s">
        <v>2797</v>
      </c>
    </row>
    <row r="1919" spans="1:18" x14ac:dyDescent="0.3">
      <c r="A1919">
        <v>385</v>
      </c>
      <c r="B1919" t="s">
        <v>1043</v>
      </c>
      <c r="C1919" t="s">
        <v>1044</v>
      </c>
      <c r="D1919" t="s">
        <v>21</v>
      </c>
      <c r="E1919" t="s">
        <v>22</v>
      </c>
      <c r="F1919" s="79">
        <v>46022</v>
      </c>
      <c r="G1919">
        <v>2025</v>
      </c>
      <c r="H1919" t="s">
        <v>23</v>
      </c>
      <c r="I1919" t="s">
        <v>32</v>
      </c>
      <c r="J1919">
        <v>100</v>
      </c>
      <c r="K1919">
        <v>108.89</v>
      </c>
      <c r="L1919" s="39">
        <f t="shared" si="117"/>
        <v>1.0889</v>
      </c>
      <c r="M1919" s="39">
        <f t="shared" si="118"/>
        <v>1.0889</v>
      </c>
      <c r="N1919" t="s">
        <v>205</v>
      </c>
      <c r="O1919" t="s">
        <v>205</v>
      </c>
      <c r="P1919">
        <v>0</v>
      </c>
      <c r="Q1919">
        <v>0</v>
      </c>
      <c r="R1919" t="s">
        <v>1047</v>
      </c>
    </row>
    <row r="1920" spans="1:18" x14ac:dyDescent="0.3">
      <c r="A1920">
        <v>386</v>
      </c>
      <c r="B1920" t="s">
        <v>1048</v>
      </c>
      <c r="C1920" t="s">
        <v>1044</v>
      </c>
      <c r="D1920" t="s">
        <v>21</v>
      </c>
      <c r="E1920" t="s">
        <v>22</v>
      </c>
      <c r="F1920" s="79">
        <v>45107</v>
      </c>
      <c r="G1920">
        <v>2023</v>
      </c>
      <c r="H1920" t="s">
        <v>699</v>
      </c>
      <c r="I1920" t="s">
        <v>1512</v>
      </c>
      <c r="J1920">
        <v>100</v>
      </c>
      <c r="K1920">
        <v>102.98486566654</v>
      </c>
      <c r="L1920" s="39">
        <f t="shared" si="117"/>
        <v>1.0298486566653999</v>
      </c>
      <c r="M1920" s="39">
        <f t="shared" si="118"/>
        <v>1.0298486566653999</v>
      </c>
      <c r="N1920" t="s">
        <v>25</v>
      </c>
      <c r="O1920" t="s">
        <v>25</v>
      </c>
      <c r="P1920">
        <v>0</v>
      </c>
      <c r="Q1920">
        <v>0</v>
      </c>
      <c r="R1920" t="s">
        <v>2798</v>
      </c>
    </row>
    <row r="1921" spans="1:19" x14ac:dyDescent="0.3">
      <c r="A1921">
        <v>386</v>
      </c>
      <c r="B1921" t="s">
        <v>1048</v>
      </c>
      <c r="C1921" t="s">
        <v>1044</v>
      </c>
      <c r="D1921" t="s">
        <v>27</v>
      </c>
      <c r="E1921" t="s">
        <v>22</v>
      </c>
      <c r="F1921" s="79">
        <v>45291</v>
      </c>
      <c r="G1921">
        <v>2023</v>
      </c>
      <c r="H1921" t="s">
        <v>23</v>
      </c>
      <c r="I1921" t="s">
        <v>28</v>
      </c>
      <c r="J1921">
        <v>100</v>
      </c>
      <c r="K1921">
        <v>138.22</v>
      </c>
      <c r="L1921" s="39">
        <f t="shared" si="117"/>
        <v>1.3</v>
      </c>
      <c r="M1921" s="39">
        <f t="shared" si="118"/>
        <v>1.3822000000000001</v>
      </c>
      <c r="N1921" t="s">
        <v>205</v>
      </c>
      <c r="O1921" t="s">
        <v>205</v>
      </c>
      <c r="P1921">
        <v>0</v>
      </c>
      <c r="Q1921">
        <v>0</v>
      </c>
      <c r="R1921" t="s">
        <v>1049</v>
      </c>
    </row>
    <row r="1922" spans="1:19" x14ac:dyDescent="0.3">
      <c r="A1922">
        <v>386</v>
      </c>
      <c r="B1922" t="s">
        <v>1048</v>
      </c>
      <c r="C1922" t="s">
        <v>1044</v>
      </c>
      <c r="D1922" t="s">
        <v>27</v>
      </c>
      <c r="E1922" t="s">
        <v>22</v>
      </c>
      <c r="F1922" s="79">
        <v>45473</v>
      </c>
      <c r="G1922">
        <v>2024</v>
      </c>
      <c r="H1922" t="s">
        <v>699</v>
      </c>
      <c r="I1922" t="s">
        <v>729</v>
      </c>
      <c r="J1922">
        <v>100</v>
      </c>
      <c r="K1922">
        <v>113.63</v>
      </c>
      <c r="L1922" s="39">
        <f t="shared" si="117"/>
        <v>1.1362999999999999</v>
      </c>
      <c r="M1922" s="39">
        <f t="shared" si="118"/>
        <v>1.1362999999999999</v>
      </c>
      <c r="N1922" t="s">
        <v>205</v>
      </c>
      <c r="O1922" t="s">
        <v>205</v>
      </c>
      <c r="P1922">
        <v>0</v>
      </c>
      <c r="Q1922">
        <v>0</v>
      </c>
      <c r="R1922" t="s">
        <v>2799</v>
      </c>
    </row>
    <row r="1923" spans="1:19" x14ac:dyDescent="0.3">
      <c r="A1923">
        <v>386</v>
      </c>
      <c r="B1923" t="s">
        <v>1048</v>
      </c>
      <c r="C1923" t="s">
        <v>1044</v>
      </c>
      <c r="D1923" t="s">
        <v>27</v>
      </c>
      <c r="E1923" t="s">
        <v>22</v>
      </c>
      <c r="F1923" s="79">
        <v>45657</v>
      </c>
      <c r="G1923">
        <v>2024</v>
      </c>
      <c r="H1923" t="s">
        <v>23</v>
      </c>
      <c r="I1923" t="s">
        <v>30</v>
      </c>
      <c r="J1923">
        <v>100</v>
      </c>
      <c r="K1923">
        <v>75.010000000000005</v>
      </c>
      <c r="L1923" s="39">
        <f t="shared" si="117"/>
        <v>0.7501000000000001</v>
      </c>
      <c r="M1923" s="39">
        <f t="shared" si="118"/>
        <v>0.7501000000000001</v>
      </c>
      <c r="N1923" t="s">
        <v>205</v>
      </c>
      <c r="O1923" t="s">
        <v>205</v>
      </c>
      <c r="P1923">
        <v>0</v>
      </c>
      <c r="Q1923">
        <v>0</v>
      </c>
      <c r="R1923" t="s">
        <v>1050</v>
      </c>
    </row>
    <row r="1924" spans="1:19" x14ac:dyDescent="0.3">
      <c r="A1924">
        <v>386</v>
      </c>
      <c r="B1924" t="s">
        <v>1048</v>
      </c>
      <c r="C1924" t="s">
        <v>1044</v>
      </c>
      <c r="D1924" t="s">
        <v>27</v>
      </c>
      <c r="E1924" t="s">
        <v>22</v>
      </c>
      <c r="F1924" s="79">
        <v>45838</v>
      </c>
      <c r="G1924">
        <v>2025</v>
      </c>
      <c r="H1924" t="s">
        <v>699</v>
      </c>
      <c r="I1924" t="s">
        <v>700</v>
      </c>
      <c r="J1924">
        <v>100</v>
      </c>
      <c r="K1924">
        <v>118.92</v>
      </c>
      <c r="L1924" s="39">
        <f t="shared" si="117"/>
        <v>1.1892</v>
      </c>
      <c r="M1924" s="39">
        <f t="shared" si="118"/>
        <v>1.1892</v>
      </c>
      <c r="N1924" t="s">
        <v>205</v>
      </c>
      <c r="O1924" t="s">
        <v>205</v>
      </c>
      <c r="P1924">
        <v>0</v>
      </c>
      <c r="Q1924">
        <v>0</v>
      </c>
      <c r="R1924" t="s">
        <v>2800</v>
      </c>
    </row>
    <row r="1925" spans="1:19" x14ac:dyDescent="0.3">
      <c r="A1925">
        <v>386</v>
      </c>
      <c r="B1925" t="s">
        <v>1048</v>
      </c>
      <c r="C1925" t="s">
        <v>1044</v>
      </c>
      <c r="D1925" t="s">
        <v>21</v>
      </c>
      <c r="E1925" t="s">
        <v>22</v>
      </c>
      <c r="F1925" s="79">
        <v>46022</v>
      </c>
      <c r="G1925">
        <v>2025</v>
      </c>
      <c r="H1925" t="s">
        <v>23</v>
      </c>
      <c r="I1925" t="s">
        <v>32</v>
      </c>
      <c r="J1925">
        <v>100</v>
      </c>
      <c r="K1925">
        <v>106.54</v>
      </c>
      <c r="L1925" s="39">
        <f t="shared" si="117"/>
        <v>1.0654000000000001</v>
      </c>
      <c r="M1925" s="39">
        <f t="shared" si="118"/>
        <v>1.0654000000000001</v>
      </c>
      <c r="N1925" t="s">
        <v>25</v>
      </c>
      <c r="O1925" t="s">
        <v>25</v>
      </c>
      <c r="P1925">
        <v>0</v>
      </c>
      <c r="Q1925">
        <v>0</v>
      </c>
      <c r="R1925" t="s">
        <v>1051</v>
      </c>
    </row>
    <row r="1926" spans="1:19" x14ac:dyDescent="0.3">
      <c r="A1926">
        <v>387</v>
      </c>
      <c r="B1926" t="s">
        <v>1052</v>
      </c>
      <c r="C1926" t="s">
        <v>549</v>
      </c>
      <c r="D1926" t="s">
        <v>27</v>
      </c>
      <c r="E1926" t="s">
        <v>22</v>
      </c>
      <c r="F1926" s="79">
        <v>45107</v>
      </c>
      <c r="G1926">
        <v>2023</v>
      </c>
      <c r="H1926" t="s">
        <v>699</v>
      </c>
      <c r="I1926" t="s">
        <v>1512</v>
      </c>
      <c r="J1926">
        <v>38</v>
      </c>
      <c r="K1926">
        <v>38</v>
      </c>
      <c r="L1926" s="39">
        <f t="shared" si="117"/>
        <v>1</v>
      </c>
      <c r="M1926" s="39">
        <f t="shared" si="118"/>
        <v>1</v>
      </c>
      <c r="N1926" t="s">
        <v>205</v>
      </c>
      <c r="O1926" t="s">
        <v>205</v>
      </c>
      <c r="P1926">
        <v>0</v>
      </c>
      <c r="Q1926">
        <v>0</v>
      </c>
      <c r="R1926" t="s">
        <v>2801</v>
      </c>
    </row>
    <row r="1927" spans="1:19" x14ac:dyDescent="0.3">
      <c r="A1927">
        <v>387</v>
      </c>
      <c r="B1927" t="s">
        <v>1052</v>
      </c>
      <c r="C1927" t="s">
        <v>549</v>
      </c>
      <c r="D1927" t="s">
        <v>27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0</v>
      </c>
      <c r="K1927">
        <v>0</v>
      </c>
      <c r="L1927" s="39" t="str">
        <f t="shared" si="117"/>
        <v/>
      </c>
      <c r="M1927" s="39" t="str">
        <f t="shared" si="118"/>
        <v/>
      </c>
      <c r="N1927" t="s">
        <v>205</v>
      </c>
      <c r="O1927" t="s">
        <v>205</v>
      </c>
      <c r="P1927">
        <v>0</v>
      </c>
      <c r="Q1927">
        <v>0</v>
      </c>
      <c r="R1927" t="s">
        <v>1053</v>
      </c>
    </row>
    <row r="1928" spans="1:19" x14ac:dyDescent="0.3">
      <c r="A1928">
        <v>388</v>
      </c>
      <c r="B1928" t="s">
        <v>1054</v>
      </c>
      <c r="C1928" t="s">
        <v>549</v>
      </c>
      <c r="D1928" t="s">
        <v>27</v>
      </c>
      <c r="E1928" t="s">
        <v>22</v>
      </c>
      <c r="F1928" s="79">
        <v>45107</v>
      </c>
      <c r="G1928">
        <v>2023</v>
      </c>
      <c r="H1928" t="s">
        <v>699</v>
      </c>
      <c r="I1928" t="s">
        <v>1512</v>
      </c>
      <c r="J1928">
        <v>77</v>
      </c>
      <c r="K1928">
        <v>77</v>
      </c>
      <c r="L1928" s="39">
        <f t="shared" si="117"/>
        <v>1</v>
      </c>
      <c r="M1928" s="39">
        <f t="shared" si="118"/>
        <v>1</v>
      </c>
      <c r="N1928" t="s">
        <v>205</v>
      </c>
      <c r="O1928" t="s">
        <v>205</v>
      </c>
      <c r="P1928">
        <v>0</v>
      </c>
      <c r="Q1928">
        <v>0</v>
      </c>
      <c r="R1928" t="s">
        <v>2802</v>
      </c>
    </row>
    <row r="1929" spans="1:19" x14ac:dyDescent="0.3">
      <c r="A1929">
        <v>388</v>
      </c>
      <c r="B1929" t="s">
        <v>1054</v>
      </c>
      <c r="C1929" t="s">
        <v>549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16</v>
      </c>
      <c r="K1929">
        <v>16</v>
      </c>
      <c r="L1929" s="39">
        <f t="shared" si="117"/>
        <v>1</v>
      </c>
      <c r="M1929" s="39">
        <f t="shared" si="118"/>
        <v>1</v>
      </c>
      <c r="N1929" t="s">
        <v>205</v>
      </c>
      <c r="O1929" t="s">
        <v>205</v>
      </c>
      <c r="P1929">
        <v>0</v>
      </c>
      <c r="Q1929">
        <v>0</v>
      </c>
      <c r="R1929" t="s">
        <v>1055</v>
      </c>
    </row>
    <row r="1930" spans="1:19" x14ac:dyDescent="0.3">
      <c r="A1930">
        <v>389</v>
      </c>
      <c r="B1930" t="s">
        <v>1056</v>
      </c>
      <c r="C1930" t="s">
        <v>536</v>
      </c>
      <c r="D1930" t="s">
        <v>27</v>
      </c>
      <c r="E1930" t="s">
        <v>22</v>
      </c>
      <c r="F1930" s="79">
        <v>45107</v>
      </c>
      <c r="G1930">
        <v>2023</v>
      </c>
      <c r="H1930" t="s">
        <v>699</v>
      </c>
      <c r="I1930" t="s">
        <v>1512</v>
      </c>
      <c r="J1930">
        <v>91</v>
      </c>
      <c r="K1930">
        <v>1017.39998626709</v>
      </c>
      <c r="L1930" s="39">
        <f t="shared" si="117"/>
        <v>1.3</v>
      </c>
      <c r="M1930" s="39">
        <f t="shared" si="118"/>
        <v>11.180219629308681</v>
      </c>
      <c r="N1930" t="s">
        <v>205</v>
      </c>
      <c r="O1930" t="s">
        <v>205</v>
      </c>
      <c r="P1930">
        <v>0</v>
      </c>
      <c r="Q1930">
        <v>0</v>
      </c>
      <c r="R1930" t="s">
        <v>2803</v>
      </c>
    </row>
    <row r="1931" spans="1:19" x14ac:dyDescent="0.3">
      <c r="A1931">
        <v>389</v>
      </c>
      <c r="B1931" t="s">
        <v>1056</v>
      </c>
      <c r="C1931" t="s">
        <v>536</v>
      </c>
      <c r="D1931" t="s">
        <v>27</v>
      </c>
      <c r="E1931" t="s">
        <v>22</v>
      </c>
      <c r="F1931" s="79">
        <v>45291</v>
      </c>
      <c r="G1931">
        <v>2023</v>
      </c>
      <c r="H1931" t="s">
        <v>23</v>
      </c>
      <c r="I1931" t="s">
        <v>28</v>
      </c>
      <c r="J1931">
        <v>91</v>
      </c>
      <c r="K1931">
        <v>0</v>
      </c>
      <c r="L1931" s="39">
        <f t="shared" si="117"/>
        <v>0</v>
      </c>
      <c r="M1931" s="39">
        <f t="shared" si="118"/>
        <v>0</v>
      </c>
      <c r="N1931" t="s">
        <v>205</v>
      </c>
      <c r="O1931" t="s">
        <v>205</v>
      </c>
      <c r="P1931">
        <v>0</v>
      </c>
      <c r="Q1931">
        <v>0</v>
      </c>
      <c r="R1931" t="s">
        <v>1057</v>
      </c>
    </row>
    <row r="1932" spans="1:19" x14ac:dyDescent="0.3">
      <c r="A1932">
        <v>389</v>
      </c>
      <c r="B1932" t="s">
        <v>1056</v>
      </c>
      <c r="C1932" t="s">
        <v>536</v>
      </c>
      <c r="D1932" t="s">
        <v>27</v>
      </c>
      <c r="E1932" t="s">
        <v>22</v>
      </c>
      <c r="F1932" s="79">
        <v>45473</v>
      </c>
      <c r="G1932">
        <v>2024</v>
      </c>
      <c r="H1932" t="s">
        <v>699</v>
      </c>
      <c r="I1932" t="s">
        <v>729</v>
      </c>
      <c r="J1932">
        <v>85</v>
      </c>
      <c r="K1932">
        <v>84.433333333333323</v>
      </c>
      <c r="L1932" s="39">
        <f t="shared" si="117"/>
        <v>0.99333333333333318</v>
      </c>
      <c r="M1932" s="39">
        <f t="shared" si="118"/>
        <v>0.99333333333333318</v>
      </c>
      <c r="N1932" t="s">
        <v>25</v>
      </c>
      <c r="O1932" t="s">
        <v>25</v>
      </c>
      <c r="P1932">
        <v>0</v>
      </c>
      <c r="Q1932">
        <v>0</v>
      </c>
      <c r="R1932" t="s">
        <v>2804</v>
      </c>
    </row>
    <row r="1933" spans="1:19" x14ac:dyDescent="0.3">
      <c r="A1933">
        <v>389</v>
      </c>
      <c r="B1933" t="s">
        <v>1056</v>
      </c>
      <c r="C1933" t="s">
        <v>536</v>
      </c>
      <c r="D1933" t="s">
        <v>27</v>
      </c>
      <c r="E1933" t="s">
        <v>22</v>
      </c>
      <c r="F1933" s="79">
        <v>45657</v>
      </c>
      <c r="G1933">
        <v>2024</v>
      </c>
      <c r="H1933" t="s">
        <v>23</v>
      </c>
      <c r="I1933" t="s">
        <v>30</v>
      </c>
      <c r="J1933">
        <v>85</v>
      </c>
      <c r="K1933">
        <v>0</v>
      </c>
      <c r="L1933" s="39">
        <f t="shared" si="117"/>
        <v>0</v>
      </c>
      <c r="M1933" s="39">
        <f t="shared" si="118"/>
        <v>0</v>
      </c>
      <c r="N1933" t="s">
        <v>25</v>
      </c>
      <c r="O1933" t="s">
        <v>25</v>
      </c>
      <c r="P1933">
        <v>0</v>
      </c>
      <c r="Q1933">
        <v>0</v>
      </c>
      <c r="R1933" t="s">
        <v>1058</v>
      </c>
    </row>
    <row r="1934" spans="1:19" x14ac:dyDescent="0.3">
      <c r="A1934">
        <v>389</v>
      </c>
      <c r="B1934" t="s">
        <v>1056</v>
      </c>
      <c r="C1934" t="s">
        <v>1059</v>
      </c>
      <c r="D1934" t="s">
        <v>21</v>
      </c>
      <c r="E1934" t="s">
        <v>22</v>
      </c>
      <c r="F1934" s="79">
        <v>45838</v>
      </c>
      <c r="G1934">
        <v>2025</v>
      </c>
      <c r="H1934" t="s">
        <v>699</v>
      </c>
      <c r="I1934" t="s">
        <v>700</v>
      </c>
      <c r="K1934">
        <v>0</v>
      </c>
      <c r="L1934" s="39"/>
      <c r="M1934" s="39"/>
      <c r="N1934" t="s">
        <v>25</v>
      </c>
      <c r="O1934" t="s">
        <v>25</v>
      </c>
      <c r="P1934">
        <v>0</v>
      </c>
      <c r="Q1934">
        <v>0</v>
      </c>
      <c r="R1934" t="s">
        <v>2805</v>
      </c>
    </row>
    <row r="1935" spans="1:19" x14ac:dyDescent="0.3">
      <c r="A1935">
        <v>389</v>
      </c>
      <c r="B1935" t="s">
        <v>1056</v>
      </c>
      <c r="C1935" t="s">
        <v>1059</v>
      </c>
      <c r="D1935" t="s">
        <v>21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L1935" s="39"/>
      <c r="M1935" s="39"/>
      <c r="N1935" t="s">
        <v>25</v>
      </c>
      <c r="O1935" t="s">
        <v>302</v>
      </c>
      <c r="P1935">
        <v>0</v>
      </c>
      <c r="Q1935">
        <v>0</v>
      </c>
      <c r="R1935" t="s">
        <v>1060</v>
      </c>
      <c r="S1935" t="s">
        <v>302</v>
      </c>
    </row>
    <row r="1936" spans="1:19" x14ac:dyDescent="0.3">
      <c r="A1936">
        <v>390</v>
      </c>
      <c r="B1936" t="s">
        <v>1061</v>
      </c>
      <c r="C1936" t="s">
        <v>567</v>
      </c>
      <c r="D1936" t="s">
        <v>27</v>
      </c>
      <c r="E1936" t="s">
        <v>22</v>
      </c>
      <c r="F1936" s="79">
        <v>45016</v>
      </c>
      <c r="G1936">
        <v>2023</v>
      </c>
      <c r="H1936" t="s">
        <v>1516</v>
      </c>
      <c r="I1936" t="s">
        <v>1512</v>
      </c>
      <c r="J1936">
        <v>100</v>
      </c>
      <c r="K1936">
        <v>0</v>
      </c>
      <c r="L1936" s="39">
        <f t="shared" ref="L1936:L1947" si="119">IFERROR(IF(OR(J1936=0,K1936=""),"",IF(E1936="Positivo",MIN(MAX(K1936/J1936,0),1),MIN(MAX(J1936/K1936,0),1))),"")</f>
        <v>0</v>
      </c>
      <c r="M1936" s="39">
        <f t="shared" ref="M1936:M1958" si="120">IFERROR(IF(OR(J1936=0,K1936=""),"",IF(E1936="Positivo",MAX(K1936/J1936,0),MAX(J1936/K1936,0))),"")</f>
        <v>0</v>
      </c>
      <c r="N1936" t="s">
        <v>25</v>
      </c>
      <c r="O1936" t="s">
        <v>25</v>
      </c>
      <c r="P1936">
        <v>0</v>
      </c>
      <c r="Q1936">
        <v>0</v>
      </c>
      <c r="R1936" t="s">
        <v>2806</v>
      </c>
    </row>
    <row r="1937" spans="1:18" x14ac:dyDescent="0.3">
      <c r="A1937">
        <v>390</v>
      </c>
      <c r="B1937" t="s">
        <v>1061</v>
      </c>
      <c r="C1937" t="s">
        <v>567</v>
      </c>
      <c r="D1937" t="s">
        <v>21</v>
      </c>
      <c r="E1937" t="s">
        <v>22</v>
      </c>
      <c r="F1937" s="79">
        <v>45107</v>
      </c>
      <c r="G1937">
        <v>2023</v>
      </c>
      <c r="H1937" t="s">
        <v>699</v>
      </c>
      <c r="I1937" t="s">
        <v>1512</v>
      </c>
      <c r="J1937">
        <v>100</v>
      </c>
      <c r="K1937">
        <v>110.38416666667</v>
      </c>
      <c r="L1937" s="39">
        <f t="shared" si="119"/>
        <v>1</v>
      </c>
      <c r="M1937" s="39">
        <f t="shared" si="120"/>
        <v>1.1038416666666999</v>
      </c>
      <c r="N1937" t="s">
        <v>25</v>
      </c>
      <c r="O1937" t="s">
        <v>25</v>
      </c>
      <c r="P1937">
        <v>0</v>
      </c>
      <c r="Q1937">
        <v>0</v>
      </c>
      <c r="R1937" t="s">
        <v>2807</v>
      </c>
    </row>
    <row r="1938" spans="1:18" x14ac:dyDescent="0.3">
      <c r="A1938">
        <v>390</v>
      </c>
      <c r="B1938" t="s">
        <v>1061</v>
      </c>
      <c r="C1938" t="s">
        <v>567</v>
      </c>
      <c r="D1938" t="s">
        <v>21</v>
      </c>
      <c r="E1938" t="s">
        <v>22</v>
      </c>
      <c r="F1938" s="79">
        <v>45199</v>
      </c>
      <c r="G1938">
        <v>2023</v>
      </c>
      <c r="H1938" t="s">
        <v>162</v>
      </c>
      <c r="I1938" t="s">
        <v>28</v>
      </c>
      <c r="J1938">
        <v>100</v>
      </c>
      <c r="K1938">
        <v>95.344166666666993</v>
      </c>
      <c r="L1938" s="39">
        <f t="shared" si="119"/>
        <v>0.95344166666666996</v>
      </c>
      <c r="M1938" s="39">
        <f t="shared" si="120"/>
        <v>0.95344166666666996</v>
      </c>
      <c r="N1938" t="s">
        <v>25</v>
      </c>
      <c r="O1938" t="s">
        <v>25</v>
      </c>
      <c r="P1938">
        <v>0</v>
      </c>
      <c r="Q1938">
        <v>0</v>
      </c>
      <c r="R1938" t="s">
        <v>2808</v>
      </c>
    </row>
    <row r="1939" spans="1:18" x14ac:dyDescent="0.3">
      <c r="A1939">
        <v>390</v>
      </c>
      <c r="B1939" t="s">
        <v>1061</v>
      </c>
      <c r="C1939" t="s">
        <v>567</v>
      </c>
      <c r="D1939" t="s">
        <v>21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99.249166666666994</v>
      </c>
      <c r="L1939" s="39">
        <f t="shared" si="119"/>
        <v>0.99249166666666999</v>
      </c>
      <c r="M1939" s="39">
        <f t="shared" si="120"/>
        <v>0.99249166666666999</v>
      </c>
      <c r="N1939" t="s">
        <v>25</v>
      </c>
      <c r="O1939" t="s">
        <v>25</v>
      </c>
      <c r="P1939">
        <v>0</v>
      </c>
      <c r="Q1939">
        <v>0</v>
      </c>
      <c r="R1939" t="s">
        <v>1062</v>
      </c>
    </row>
    <row r="1940" spans="1:18" x14ac:dyDescent="0.3">
      <c r="A1940">
        <v>390</v>
      </c>
      <c r="B1940" t="s">
        <v>1061</v>
      </c>
      <c r="C1940" t="s">
        <v>567</v>
      </c>
      <c r="D1940" t="s">
        <v>21</v>
      </c>
      <c r="E1940" t="s">
        <v>22</v>
      </c>
      <c r="F1940" s="79">
        <v>45382</v>
      </c>
      <c r="G1940">
        <v>2024</v>
      </c>
      <c r="H1940" t="s">
        <v>1516</v>
      </c>
      <c r="I1940" t="s">
        <v>729</v>
      </c>
      <c r="J1940">
        <v>100</v>
      </c>
      <c r="K1940">
        <v>168.53</v>
      </c>
      <c r="L1940" s="39">
        <f t="shared" si="119"/>
        <v>1</v>
      </c>
      <c r="M1940" s="39">
        <f t="shared" si="120"/>
        <v>1.6853</v>
      </c>
      <c r="P1940">
        <v>0</v>
      </c>
      <c r="Q1940">
        <v>0</v>
      </c>
      <c r="R1940" t="s">
        <v>2809</v>
      </c>
    </row>
    <row r="1941" spans="1:18" x14ac:dyDescent="0.3">
      <c r="A1941">
        <v>390</v>
      </c>
      <c r="B1941" t="s">
        <v>1061</v>
      </c>
      <c r="C1941" t="s">
        <v>567</v>
      </c>
      <c r="D1941" t="s">
        <v>21</v>
      </c>
      <c r="E1941" t="s">
        <v>22</v>
      </c>
      <c r="F1941" s="79">
        <v>45473</v>
      </c>
      <c r="G1941">
        <v>2024</v>
      </c>
      <c r="H1941" t="s">
        <v>699</v>
      </c>
      <c r="I1941" t="s">
        <v>729</v>
      </c>
      <c r="J1941">
        <v>100</v>
      </c>
      <c r="K1941">
        <v>110.59</v>
      </c>
      <c r="L1941" s="39">
        <f t="shared" si="119"/>
        <v>1</v>
      </c>
      <c r="M1941" s="39">
        <f t="shared" si="120"/>
        <v>1.1059000000000001</v>
      </c>
      <c r="P1941">
        <v>0</v>
      </c>
      <c r="Q1941">
        <v>0</v>
      </c>
      <c r="R1941" t="s">
        <v>2810</v>
      </c>
    </row>
    <row r="1942" spans="1:18" x14ac:dyDescent="0.3">
      <c r="A1942">
        <v>390</v>
      </c>
      <c r="B1942" t="s">
        <v>1061</v>
      </c>
      <c r="C1942" t="s">
        <v>567</v>
      </c>
      <c r="D1942" t="s">
        <v>21</v>
      </c>
      <c r="E1942" t="s">
        <v>22</v>
      </c>
      <c r="F1942" s="79">
        <v>45565</v>
      </c>
      <c r="G1942">
        <v>2024</v>
      </c>
      <c r="H1942" t="s">
        <v>162</v>
      </c>
      <c r="I1942" t="s">
        <v>30</v>
      </c>
      <c r="J1942">
        <v>100</v>
      </c>
      <c r="K1942">
        <v>83.32</v>
      </c>
      <c r="L1942" s="39">
        <f t="shared" si="119"/>
        <v>0.83319999999999994</v>
      </c>
      <c r="M1942" s="39">
        <f t="shared" si="120"/>
        <v>0.83319999999999994</v>
      </c>
      <c r="P1942">
        <v>0</v>
      </c>
      <c r="Q1942">
        <v>0</v>
      </c>
      <c r="R1942" t="s">
        <v>2811</v>
      </c>
    </row>
    <row r="1943" spans="1:18" x14ac:dyDescent="0.3">
      <c r="A1943">
        <v>390</v>
      </c>
      <c r="B1943" t="s">
        <v>1061</v>
      </c>
      <c r="C1943" t="s">
        <v>567</v>
      </c>
      <c r="D1943" t="s">
        <v>21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99.92</v>
      </c>
      <c r="L1943" s="39">
        <f t="shared" si="119"/>
        <v>0.99919999999999998</v>
      </c>
      <c r="M1943" s="39">
        <f t="shared" si="120"/>
        <v>0.99919999999999998</v>
      </c>
      <c r="P1943">
        <v>0</v>
      </c>
      <c r="Q1943">
        <v>0</v>
      </c>
      <c r="R1943" t="s">
        <v>1063</v>
      </c>
    </row>
    <row r="1944" spans="1:18" x14ac:dyDescent="0.3">
      <c r="A1944">
        <v>390</v>
      </c>
      <c r="B1944" t="s">
        <v>1061</v>
      </c>
      <c r="C1944" t="s">
        <v>567</v>
      </c>
      <c r="D1944" t="s">
        <v>27</v>
      </c>
      <c r="E1944" t="s">
        <v>22</v>
      </c>
      <c r="F1944" s="79">
        <v>45747</v>
      </c>
      <c r="G1944">
        <v>2025</v>
      </c>
      <c r="H1944" t="s">
        <v>1516</v>
      </c>
      <c r="I1944" t="s">
        <v>700</v>
      </c>
      <c r="J1944">
        <v>100</v>
      </c>
      <c r="K1944">
        <v>140.57</v>
      </c>
      <c r="L1944" s="39">
        <f t="shared" si="119"/>
        <v>1</v>
      </c>
      <c r="M1944" s="39">
        <f t="shared" si="120"/>
        <v>1.4056999999999999</v>
      </c>
      <c r="N1944" t="s">
        <v>25</v>
      </c>
      <c r="O1944" t="s">
        <v>25</v>
      </c>
      <c r="P1944">
        <v>0</v>
      </c>
      <c r="Q1944">
        <v>0</v>
      </c>
      <c r="R1944" t="s">
        <v>2812</v>
      </c>
    </row>
    <row r="1945" spans="1:18" x14ac:dyDescent="0.3">
      <c r="A1945">
        <v>390</v>
      </c>
      <c r="B1945" t="s">
        <v>1061</v>
      </c>
      <c r="C1945" t="s">
        <v>567</v>
      </c>
      <c r="D1945" t="s">
        <v>27</v>
      </c>
      <c r="E1945" t="s">
        <v>22</v>
      </c>
      <c r="F1945" s="79">
        <v>45838</v>
      </c>
      <c r="G1945">
        <v>2025</v>
      </c>
      <c r="H1945" t="s">
        <v>699</v>
      </c>
      <c r="I1945" t="s">
        <v>700</v>
      </c>
      <c r="J1945">
        <v>100</v>
      </c>
      <c r="K1945">
        <v>103.55</v>
      </c>
      <c r="L1945" s="39">
        <f t="shared" si="119"/>
        <v>1</v>
      </c>
      <c r="M1945" s="39">
        <f t="shared" si="120"/>
        <v>1.0354999999999999</v>
      </c>
      <c r="N1945" t="s">
        <v>25</v>
      </c>
      <c r="O1945" t="s">
        <v>25</v>
      </c>
      <c r="P1945">
        <v>0</v>
      </c>
      <c r="Q1945">
        <v>0</v>
      </c>
      <c r="R1945" t="s">
        <v>2813</v>
      </c>
    </row>
    <row r="1946" spans="1:18" x14ac:dyDescent="0.3">
      <c r="A1946">
        <v>390</v>
      </c>
      <c r="B1946" t="s">
        <v>1061</v>
      </c>
      <c r="C1946" t="s">
        <v>567</v>
      </c>
      <c r="D1946" t="s">
        <v>27</v>
      </c>
      <c r="E1946" t="s">
        <v>22</v>
      </c>
      <c r="F1946" s="79">
        <v>45930</v>
      </c>
      <c r="G1946">
        <v>2025</v>
      </c>
      <c r="H1946" t="s">
        <v>162</v>
      </c>
      <c r="I1946" t="s">
        <v>32</v>
      </c>
      <c r="J1946">
        <v>100</v>
      </c>
      <c r="K1946">
        <v>101.17</v>
      </c>
      <c r="L1946" s="39">
        <f t="shared" si="119"/>
        <v>1</v>
      </c>
      <c r="M1946" s="39">
        <f t="shared" si="120"/>
        <v>1.0117</v>
      </c>
      <c r="N1946" t="s">
        <v>25</v>
      </c>
      <c r="O1946" t="s">
        <v>25</v>
      </c>
      <c r="P1946">
        <v>0</v>
      </c>
      <c r="Q1946">
        <v>0</v>
      </c>
      <c r="R1946" t="s">
        <v>2814</v>
      </c>
    </row>
    <row r="1947" spans="1:18" x14ac:dyDescent="0.3">
      <c r="A1947">
        <v>390</v>
      </c>
      <c r="B1947" t="s">
        <v>1061</v>
      </c>
      <c r="C1947" t="s">
        <v>567</v>
      </c>
      <c r="D1947" t="s">
        <v>27</v>
      </c>
      <c r="E1947" t="s">
        <v>22</v>
      </c>
      <c r="F1947" s="79">
        <v>46022</v>
      </c>
      <c r="G1947">
        <v>2025</v>
      </c>
      <c r="H1947" t="s">
        <v>23</v>
      </c>
      <c r="I1947" t="s">
        <v>32</v>
      </c>
      <c r="J1947">
        <v>100</v>
      </c>
      <c r="K1947">
        <v>99.78</v>
      </c>
      <c r="L1947" s="39">
        <f t="shared" si="119"/>
        <v>0.99780000000000002</v>
      </c>
      <c r="M1947" s="39">
        <f t="shared" si="120"/>
        <v>0.99780000000000002</v>
      </c>
      <c r="N1947" t="s">
        <v>25</v>
      </c>
      <c r="O1947" t="s">
        <v>25</v>
      </c>
      <c r="P1947">
        <v>0</v>
      </c>
      <c r="Q1947">
        <v>0</v>
      </c>
      <c r="R1947" t="s">
        <v>1064</v>
      </c>
    </row>
    <row r="1948" spans="1:18" x14ac:dyDescent="0.3">
      <c r="A1948">
        <v>391</v>
      </c>
      <c r="B1948" t="s">
        <v>1065</v>
      </c>
      <c r="C1948" t="s">
        <v>1066</v>
      </c>
      <c r="D1948" t="s">
        <v>27</v>
      </c>
      <c r="E1948" t="s">
        <v>22</v>
      </c>
      <c r="F1948" s="79">
        <v>45107</v>
      </c>
      <c r="G1948">
        <v>2023</v>
      </c>
      <c r="H1948" t="s">
        <v>699</v>
      </c>
      <c r="I1948" t="s">
        <v>1512</v>
      </c>
      <c r="J1948">
        <v>100</v>
      </c>
      <c r="K1948">
        <v>100</v>
      </c>
      <c r="L1948" s="39">
        <f t="shared" ref="L1948:L1958" si="121">IFERROR(IF(OR(J1948=0,K1948=""),"",IF(E1948="Positivo",MIN(MAX(K1948/J1948,0),1.3),MIN(MAX(J1948/K1948,0),1.3))),"")</f>
        <v>1</v>
      </c>
      <c r="M1948" s="39">
        <f t="shared" si="120"/>
        <v>1</v>
      </c>
      <c r="N1948" t="s">
        <v>25</v>
      </c>
      <c r="O1948" t="s">
        <v>25</v>
      </c>
      <c r="P1948">
        <v>0</v>
      </c>
      <c r="Q1948">
        <v>0</v>
      </c>
      <c r="R1948" t="s">
        <v>2815</v>
      </c>
    </row>
    <row r="1949" spans="1:18" x14ac:dyDescent="0.3">
      <c r="A1949">
        <v>391</v>
      </c>
      <c r="B1949" t="s">
        <v>1065</v>
      </c>
      <c r="C1949" t="s">
        <v>1066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100</v>
      </c>
      <c r="L1949" s="39">
        <f t="shared" si="121"/>
        <v>1</v>
      </c>
      <c r="M1949" s="39">
        <f t="shared" si="120"/>
        <v>1</v>
      </c>
      <c r="N1949" t="s">
        <v>25</v>
      </c>
      <c r="O1949" t="s">
        <v>25</v>
      </c>
      <c r="P1949">
        <v>0</v>
      </c>
      <c r="Q1949">
        <v>0</v>
      </c>
      <c r="R1949" t="s">
        <v>1067</v>
      </c>
    </row>
    <row r="1950" spans="1:18" x14ac:dyDescent="0.3">
      <c r="A1950">
        <v>391</v>
      </c>
      <c r="B1950" t="s">
        <v>1065</v>
      </c>
      <c r="C1950" t="s">
        <v>1066</v>
      </c>
      <c r="D1950" t="s">
        <v>27</v>
      </c>
      <c r="E1950" t="s">
        <v>22</v>
      </c>
      <c r="F1950" s="79">
        <v>45473</v>
      </c>
      <c r="G1950">
        <v>2024</v>
      </c>
      <c r="H1950" t="s">
        <v>699</v>
      </c>
      <c r="I1950" t="s">
        <v>729</v>
      </c>
      <c r="J1950">
        <v>96</v>
      </c>
      <c r="K1950">
        <v>100</v>
      </c>
      <c r="L1950" s="39">
        <f t="shared" si="121"/>
        <v>1.0416666666666667</v>
      </c>
      <c r="M1950" s="39">
        <f t="shared" si="120"/>
        <v>1.0416666666666667</v>
      </c>
      <c r="N1950" t="s">
        <v>25</v>
      </c>
      <c r="O1950" t="s">
        <v>25</v>
      </c>
      <c r="P1950">
        <v>0</v>
      </c>
      <c r="Q1950">
        <v>0</v>
      </c>
      <c r="R1950" t="s">
        <v>2816</v>
      </c>
    </row>
    <row r="1951" spans="1:18" x14ac:dyDescent="0.3">
      <c r="A1951">
        <v>391</v>
      </c>
      <c r="B1951" t="s">
        <v>1065</v>
      </c>
      <c r="C1951" t="s">
        <v>1066</v>
      </c>
      <c r="D1951" t="s">
        <v>27</v>
      </c>
      <c r="E1951" t="s">
        <v>22</v>
      </c>
      <c r="F1951" s="79">
        <v>45657</v>
      </c>
      <c r="G1951">
        <v>2024</v>
      </c>
      <c r="H1951" t="s">
        <v>23</v>
      </c>
      <c r="I1951" t="s">
        <v>30</v>
      </c>
      <c r="J1951">
        <v>96</v>
      </c>
      <c r="K1951">
        <v>100</v>
      </c>
      <c r="L1951" s="39">
        <f t="shared" si="121"/>
        <v>1.0416666666666667</v>
      </c>
      <c r="M1951" s="39">
        <f t="shared" si="120"/>
        <v>1.0416666666666667</v>
      </c>
      <c r="N1951" t="s">
        <v>25</v>
      </c>
      <c r="O1951" t="s">
        <v>25</v>
      </c>
      <c r="P1951">
        <v>0</v>
      </c>
      <c r="Q1951">
        <v>0</v>
      </c>
      <c r="R1951" t="s">
        <v>1068</v>
      </c>
    </row>
    <row r="1952" spans="1:18" x14ac:dyDescent="0.3">
      <c r="A1952">
        <v>392</v>
      </c>
      <c r="B1952" t="s">
        <v>1069</v>
      </c>
      <c r="C1952" t="s">
        <v>1066</v>
      </c>
      <c r="D1952" t="s">
        <v>27</v>
      </c>
      <c r="E1952" t="s">
        <v>22</v>
      </c>
      <c r="F1952" s="79">
        <v>45107</v>
      </c>
      <c r="G1952">
        <v>2023</v>
      </c>
      <c r="H1952" t="s">
        <v>699</v>
      </c>
      <c r="I1952" t="s">
        <v>1512</v>
      </c>
      <c r="J1952">
        <v>100</v>
      </c>
      <c r="K1952">
        <v>110.09198322581</v>
      </c>
      <c r="L1952" s="39">
        <f t="shared" si="121"/>
        <v>1.1009198322581</v>
      </c>
      <c r="M1952" s="39">
        <f t="shared" si="120"/>
        <v>1.1009198322581</v>
      </c>
      <c r="N1952" t="s">
        <v>25</v>
      </c>
      <c r="O1952" t="s">
        <v>25</v>
      </c>
      <c r="P1952">
        <v>0</v>
      </c>
      <c r="Q1952">
        <v>0</v>
      </c>
      <c r="R1952" t="s">
        <v>2817</v>
      </c>
    </row>
    <row r="1953" spans="1:18" x14ac:dyDescent="0.3">
      <c r="A1953">
        <v>392</v>
      </c>
      <c r="B1953" t="s">
        <v>1069</v>
      </c>
      <c r="C1953" t="s">
        <v>1066</v>
      </c>
      <c r="D1953" t="s">
        <v>27</v>
      </c>
      <c r="E1953" t="s">
        <v>22</v>
      </c>
      <c r="F1953" s="79">
        <v>45291</v>
      </c>
      <c r="G1953">
        <v>2023</v>
      </c>
      <c r="H1953" t="s">
        <v>23</v>
      </c>
      <c r="I1953" t="s">
        <v>28</v>
      </c>
      <c r="J1953">
        <v>100</v>
      </c>
      <c r="K1953">
        <v>147.38</v>
      </c>
      <c r="L1953" s="39">
        <f t="shared" si="121"/>
        <v>1.3</v>
      </c>
      <c r="M1953" s="39">
        <f t="shared" si="120"/>
        <v>1.4738</v>
      </c>
      <c r="N1953" t="s">
        <v>25</v>
      </c>
      <c r="O1953" t="s">
        <v>25</v>
      </c>
      <c r="P1953">
        <v>0</v>
      </c>
      <c r="Q1953">
        <v>0</v>
      </c>
      <c r="R1953" t="s">
        <v>1070</v>
      </c>
    </row>
    <row r="1954" spans="1:18" x14ac:dyDescent="0.3">
      <c r="A1954">
        <v>392</v>
      </c>
      <c r="B1954" t="s">
        <v>1069</v>
      </c>
      <c r="C1954" t="s">
        <v>1066</v>
      </c>
      <c r="D1954" t="s">
        <v>27</v>
      </c>
      <c r="E1954" t="s">
        <v>22</v>
      </c>
      <c r="F1954" s="79">
        <v>45473</v>
      </c>
      <c r="G1954">
        <v>2024</v>
      </c>
      <c r="H1954" t="s">
        <v>699</v>
      </c>
      <c r="I1954" t="s">
        <v>729</v>
      </c>
      <c r="J1954">
        <v>100</v>
      </c>
      <c r="K1954">
        <v>98.11</v>
      </c>
      <c r="L1954" s="39">
        <f t="shared" si="121"/>
        <v>0.98109999999999997</v>
      </c>
      <c r="M1954" s="39">
        <f t="shared" si="120"/>
        <v>0.98109999999999997</v>
      </c>
      <c r="N1954" t="s">
        <v>205</v>
      </c>
      <c r="O1954" t="s">
        <v>205</v>
      </c>
      <c r="P1954">
        <v>0</v>
      </c>
      <c r="Q1954">
        <v>0</v>
      </c>
      <c r="R1954" t="s">
        <v>2818</v>
      </c>
    </row>
    <row r="1955" spans="1:18" x14ac:dyDescent="0.3">
      <c r="A1955">
        <v>392</v>
      </c>
      <c r="B1955" t="s">
        <v>1069</v>
      </c>
      <c r="C1955" t="s">
        <v>1066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145.21</v>
      </c>
      <c r="L1955" s="39">
        <f t="shared" si="121"/>
        <v>1.3</v>
      </c>
      <c r="M1955" s="39">
        <f t="shared" si="120"/>
        <v>1.4521000000000002</v>
      </c>
      <c r="N1955" t="s">
        <v>205</v>
      </c>
      <c r="O1955" t="s">
        <v>205</v>
      </c>
      <c r="P1955">
        <v>0</v>
      </c>
      <c r="Q1955">
        <v>0</v>
      </c>
      <c r="R1955" t="s">
        <v>1071</v>
      </c>
    </row>
    <row r="1956" spans="1:18" x14ac:dyDescent="0.3">
      <c r="A1956">
        <v>392</v>
      </c>
      <c r="B1956" t="s">
        <v>1069</v>
      </c>
      <c r="C1956" t="s">
        <v>1066</v>
      </c>
      <c r="D1956" t="s">
        <v>71</v>
      </c>
      <c r="E1956" t="s">
        <v>22</v>
      </c>
      <c r="F1956" s="79">
        <v>46022</v>
      </c>
      <c r="G1956">
        <v>2025</v>
      </c>
      <c r="H1956" t="s">
        <v>23</v>
      </c>
      <c r="I1956" t="s">
        <v>32</v>
      </c>
      <c r="J1956">
        <v>100</v>
      </c>
      <c r="K1956">
        <v>100.8</v>
      </c>
      <c r="L1956" s="39">
        <f t="shared" si="121"/>
        <v>1.008</v>
      </c>
      <c r="M1956" s="39">
        <f t="shared" si="120"/>
        <v>1.008</v>
      </c>
      <c r="N1956" t="s">
        <v>205</v>
      </c>
      <c r="O1956" t="s">
        <v>205</v>
      </c>
      <c r="P1956">
        <v>0</v>
      </c>
      <c r="Q1956">
        <v>0</v>
      </c>
      <c r="R1956" t="s">
        <v>1072</v>
      </c>
    </row>
    <row r="1957" spans="1:18" x14ac:dyDescent="0.3">
      <c r="A1957">
        <v>393</v>
      </c>
      <c r="B1957" t="s">
        <v>1073</v>
      </c>
      <c r="C1957" t="s">
        <v>1066</v>
      </c>
      <c r="D1957" t="s">
        <v>71</v>
      </c>
      <c r="E1957" t="s">
        <v>22</v>
      </c>
      <c r="F1957" s="79">
        <v>45291</v>
      </c>
      <c r="G1957">
        <v>2023</v>
      </c>
      <c r="H1957" t="s">
        <v>23</v>
      </c>
      <c r="I1957" t="s">
        <v>28</v>
      </c>
      <c r="J1957">
        <v>15</v>
      </c>
      <c r="K1957">
        <v>15.45</v>
      </c>
      <c r="L1957" s="39">
        <f t="shared" si="121"/>
        <v>1.03</v>
      </c>
      <c r="M1957" s="39">
        <f t="shared" si="120"/>
        <v>1.03</v>
      </c>
      <c r="N1957" t="s">
        <v>205</v>
      </c>
      <c r="O1957" t="s">
        <v>205</v>
      </c>
      <c r="P1957">
        <v>0</v>
      </c>
      <c r="Q1957">
        <v>0</v>
      </c>
      <c r="R1957" t="s">
        <v>1074</v>
      </c>
    </row>
    <row r="1958" spans="1:18" x14ac:dyDescent="0.3">
      <c r="A1958">
        <v>393</v>
      </c>
      <c r="B1958" t="s">
        <v>1073</v>
      </c>
      <c r="C1958" t="s">
        <v>1066</v>
      </c>
      <c r="D1958" t="s">
        <v>71</v>
      </c>
      <c r="E1958" t="s">
        <v>41</v>
      </c>
      <c r="F1958" s="79">
        <v>45657</v>
      </c>
      <c r="G1958">
        <v>2024</v>
      </c>
      <c r="H1958" t="s">
        <v>23</v>
      </c>
      <c r="I1958" t="s">
        <v>30</v>
      </c>
      <c r="J1958">
        <v>15</v>
      </c>
      <c r="K1958">
        <v>13</v>
      </c>
      <c r="L1958" s="39">
        <f t="shared" si="121"/>
        <v>1.1538461538461537</v>
      </c>
      <c r="M1958" s="39">
        <f t="shared" si="120"/>
        <v>1.1538461538461537</v>
      </c>
      <c r="P1958">
        <v>0</v>
      </c>
      <c r="Q1958">
        <v>0</v>
      </c>
      <c r="R1958" t="s">
        <v>1075</v>
      </c>
    </row>
    <row r="1959" spans="1:18" x14ac:dyDescent="0.3">
      <c r="A1959">
        <v>393</v>
      </c>
      <c r="B1959" t="s">
        <v>1073</v>
      </c>
      <c r="C1959" t="s">
        <v>1066</v>
      </c>
      <c r="D1959" t="s">
        <v>71</v>
      </c>
      <c r="E1959" t="s">
        <v>41</v>
      </c>
      <c r="F1959" s="79">
        <v>46022</v>
      </c>
      <c r="G1959">
        <v>2025</v>
      </c>
      <c r="H1959" t="s">
        <v>23</v>
      </c>
      <c r="I1959" t="s">
        <v>32</v>
      </c>
      <c r="K1959">
        <v>12</v>
      </c>
      <c r="L1959" s="39"/>
      <c r="M1959" s="39"/>
      <c r="N1959" t="s">
        <v>128</v>
      </c>
      <c r="O1959" t="s">
        <v>136</v>
      </c>
      <c r="P1959">
        <v>1</v>
      </c>
      <c r="Q1959">
        <v>1</v>
      </c>
      <c r="R1959" t="s">
        <v>1076</v>
      </c>
    </row>
    <row r="1960" spans="1:18" x14ac:dyDescent="0.3">
      <c r="A1960">
        <v>394</v>
      </c>
      <c r="B1960" t="s">
        <v>1077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ref="L1960:L1991" si="122">IFERROR(IF(OR(J1960=0,K1960=""),"",IF(E1960="Positivo",MIN(MAX(K1960/J1960,0),1.3),MIN(MAX(J1960/K1960,0),1.3))),"")</f>
        <v>0</v>
      </c>
      <c r="M1960" s="39">
        <f t="shared" ref="M1960:M1991" si="123">IFERROR(IF(OR(J1960=0,K1960=""),"",IF(E1960="Positivo",MAX(K1960/J1960,0),MAX(J1960/K1960,0))),"")</f>
        <v>0</v>
      </c>
      <c r="N1960" t="s">
        <v>128</v>
      </c>
      <c r="O1960" t="s">
        <v>128</v>
      </c>
      <c r="P1960">
        <v>0</v>
      </c>
      <c r="Q1960">
        <v>0</v>
      </c>
      <c r="R1960" t="s">
        <v>2819</v>
      </c>
    </row>
    <row r="1961" spans="1:18" x14ac:dyDescent="0.3">
      <c r="A1961">
        <v>394</v>
      </c>
      <c r="B1961" t="s">
        <v>1077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275.42857142857002</v>
      </c>
      <c r="L1961" s="39">
        <f t="shared" si="122"/>
        <v>1.3</v>
      </c>
      <c r="M1961" s="39">
        <f t="shared" si="123"/>
        <v>2.7542857142857002</v>
      </c>
      <c r="N1961" t="s">
        <v>128</v>
      </c>
      <c r="O1961" t="s">
        <v>128</v>
      </c>
      <c r="P1961">
        <v>0</v>
      </c>
      <c r="Q1961">
        <v>0</v>
      </c>
      <c r="R1961" t="s">
        <v>2820</v>
      </c>
    </row>
    <row r="1962" spans="1:18" x14ac:dyDescent="0.3">
      <c r="A1962">
        <v>394</v>
      </c>
      <c r="B1962" t="s">
        <v>1077</v>
      </c>
      <c r="C1962" t="s">
        <v>1078</v>
      </c>
      <c r="D1962" t="s">
        <v>27</v>
      </c>
      <c r="E1962" t="s">
        <v>22</v>
      </c>
      <c r="F1962" s="79">
        <v>45199</v>
      </c>
      <c r="G1962">
        <v>2023</v>
      </c>
      <c r="H1962" t="s">
        <v>162</v>
      </c>
      <c r="I1962" t="s">
        <v>28</v>
      </c>
      <c r="J1962">
        <v>100</v>
      </c>
      <c r="K1962">
        <v>0</v>
      </c>
      <c r="L1962" s="39">
        <f t="shared" si="122"/>
        <v>0</v>
      </c>
      <c r="M1962" s="39">
        <f t="shared" si="123"/>
        <v>0</v>
      </c>
      <c r="N1962" t="s">
        <v>128</v>
      </c>
      <c r="O1962" t="s">
        <v>128</v>
      </c>
      <c r="P1962">
        <v>0</v>
      </c>
      <c r="Q1962">
        <v>0</v>
      </c>
      <c r="R1962" t="s">
        <v>2821</v>
      </c>
    </row>
    <row r="1963" spans="1:18" x14ac:dyDescent="0.3">
      <c r="A1963">
        <v>394</v>
      </c>
      <c r="B1963" t="s">
        <v>1077</v>
      </c>
      <c r="C1963" t="s">
        <v>1078</v>
      </c>
      <c r="D1963" t="s">
        <v>27</v>
      </c>
      <c r="E1963" t="s">
        <v>22</v>
      </c>
      <c r="F1963" s="79">
        <v>45291</v>
      </c>
      <c r="G1963">
        <v>2023</v>
      </c>
      <c r="H1963" t="s">
        <v>23</v>
      </c>
      <c r="I1963" t="s">
        <v>28</v>
      </c>
      <c r="J1963">
        <v>100</v>
      </c>
      <c r="K1963">
        <v>349.71</v>
      </c>
      <c r="L1963" s="39">
        <f t="shared" si="122"/>
        <v>1.3</v>
      </c>
      <c r="M1963" s="39">
        <f t="shared" si="123"/>
        <v>3.4970999999999997</v>
      </c>
      <c r="N1963" t="s">
        <v>128</v>
      </c>
      <c r="O1963" t="s">
        <v>128</v>
      </c>
      <c r="P1963">
        <v>0</v>
      </c>
      <c r="Q1963">
        <v>0</v>
      </c>
      <c r="R1963" t="s">
        <v>1079</v>
      </c>
    </row>
    <row r="1964" spans="1:18" x14ac:dyDescent="0.3">
      <c r="A1964">
        <v>394</v>
      </c>
      <c r="B1964" t="s">
        <v>1077</v>
      </c>
      <c r="C1964" t="s">
        <v>1078</v>
      </c>
      <c r="D1964" t="s">
        <v>27</v>
      </c>
      <c r="E1964" t="s">
        <v>22</v>
      </c>
      <c r="F1964" s="79">
        <v>45382</v>
      </c>
      <c r="G1964">
        <v>2024</v>
      </c>
      <c r="H1964" t="s">
        <v>1516</v>
      </c>
      <c r="I1964" t="s">
        <v>729</v>
      </c>
      <c r="J1964">
        <v>100</v>
      </c>
      <c r="K1964">
        <v>0</v>
      </c>
      <c r="L1964" s="39">
        <f t="shared" si="122"/>
        <v>0</v>
      </c>
      <c r="M1964" s="39">
        <f t="shared" si="123"/>
        <v>0</v>
      </c>
      <c r="N1964" t="s">
        <v>128</v>
      </c>
      <c r="O1964" t="s">
        <v>128</v>
      </c>
      <c r="P1964">
        <v>0</v>
      </c>
      <c r="Q1964">
        <v>0</v>
      </c>
      <c r="R1964" t="s">
        <v>2822</v>
      </c>
    </row>
    <row r="1965" spans="1:18" x14ac:dyDescent="0.3">
      <c r="A1965">
        <v>394</v>
      </c>
      <c r="B1965" t="s">
        <v>1077</v>
      </c>
      <c r="C1965" t="s">
        <v>1078</v>
      </c>
      <c r="D1965" t="s">
        <v>27</v>
      </c>
      <c r="E1965" t="s">
        <v>22</v>
      </c>
      <c r="F1965" s="79">
        <v>45473</v>
      </c>
      <c r="G1965">
        <v>2024</v>
      </c>
      <c r="H1965" t="s">
        <v>699</v>
      </c>
      <c r="I1965" t="s">
        <v>729</v>
      </c>
      <c r="J1965">
        <v>100</v>
      </c>
      <c r="K1965">
        <v>118.6</v>
      </c>
      <c r="L1965" s="39">
        <f t="shared" si="122"/>
        <v>1.1859999999999999</v>
      </c>
      <c r="M1965" s="39">
        <f t="shared" si="123"/>
        <v>1.1859999999999999</v>
      </c>
      <c r="N1965" t="s">
        <v>128</v>
      </c>
      <c r="O1965" t="s">
        <v>128</v>
      </c>
      <c r="P1965">
        <v>0</v>
      </c>
      <c r="Q1965">
        <v>0</v>
      </c>
      <c r="R1965" t="s">
        <v>2823</v>
      </c>
    </row>
    <row r="1966" spans="1:18" x14ac:dyDescent="0.3">
      <c r="A1966">
        <v>394</v>
      </c>
      <c r="B1966" t="s">
        <v>1077</v>
      </c>
      <c r="C1966" t="s">
        <v>1078</v>
      </c>
      <c r="D1966" t="s">
        <v>27</v>
      </c>
      <c r="E1966" t="s">
        <v>22</v>
      </c>
      <c r="F1966" s="79">
        <v>45565</v>
      </c>
      <c r="G1966">
        <v>2024</v>
      </c>
      <c r="H1966" t="s">
        <v>162</v>
      </c>
      <c r="I1966" t="s">
        <v>30</v>
      </c>
      <c r="J1966">
        <v>100</v>
      </c>
      <c r="K1966">
        <v>0</v>
      </c>
      <c r="L1966" s="39">
        <f t="shared" si="122"/>
        <v>0</v>
      </c>
      <c r="M1966" s="39">
        <f t="shared" si="123"/>
        <v>0</v>
      </c>
      <c r="N1966" t="s">
        <v>128</v>
      </c>
      <c r="O1966" t="s">
        <v>128</v>
      </c>
      <c r="P1966">
        <v>0</v>
      </c>
      <c r="Q1966">
        <v>0</v>
      </c>
      <c r="R1966" t="s">
        <v>2824</v>
      </c>
    </row>
    <row r="1967" spans="1:18" x14ac:dyDescent="0.3">
      <c r="A1967">
        <v>394</v>
      </c>
      <c r="B1967" t="s">
        <v>1077</v>
      </c>
      <c r="C1967" t="s">
        <v>1078</v>
      </c>
      <c r="D1967" t="s">
        <v>27</v>
      </c>
      <c r="E1967" t="s">
        <v>22</v>
      </c>
      <c r="F1967" s="79">
        <v>45657</v>
      </c>
      <c r="G1967">
        <v>2024</v>
      </c>
      <c r="H1967" t="s">
        <v>23</v>
      </c>
      <c r="I1967" t="s">
        <v>30</v>
      </c>
      <c r="J1967">
        <v>100</v>
      </c>
      <c r="K1967">
        <v>192</v>
      </c>
      <c r="L1967" s="39">
        <f t="shared" si="122"/>
        <v>1.3</v>
      </c>
      <c r="M1967" s="39">
        <f t="shared" si="123"/>
        <v>1.92</v>
      </c>
      <c r="N1967" t="s">
        <v>128</v>
      </c>
      <c r="O1967" t="s">
        <v>128</v>
      </c>
      <c r="P1967">
        <v>0</v>
      </c>
      <c r="Q1967">
        <v>0</v>
      </c>
      <c r="R1967" t="s">
        <v>1080</v>
      </c>
    </row>
    <row r="1968" spans="1:18" x14ac:dyDescent="0.3">
      <c r="A1968">
        <v>394</v>
      </c>
      <c r="B1968" t="s">
        <v>1077</v>
      </c>
      <c r="C1968" t="s">
        <v>1078</v>
      </c>
      <c r="D1968" t="s">
        <v>27</v>
      </c>
      <c r="E1968" t="s">
        <v>22</v>
      </c>
      <c r="F1968" s="79">
        <v>45747</v>
      </c>
      <c r="G1968">
        <v>2025</v>
      </c>
      <c r="H1968" t="s">
        <v>1516</v>
      </c>
      <c r="I1968" t="s">
        <v>700</v>
      </c>
      <c r="J1968">
        <v>100</v>
      </c>
      <c r="K1968">
        <v>227.5</v>
      </c>
      <c r="L1968" s="39">
        <f t="shared" si="122"/>
        <v>1.3</v>
      </c>
      <c r="M1968" s="39">
        <f t="shared" si="123"/>
        <v>2.2749999999999999</v>
      </c>
      <c r="N1968" t="s">
        <v>128</v>
      </c>
      <c r="O1968" t="s">
        <v>128</v>
      </c>
      <c r="P1968">
        <v>0</v>
      </c>
      <c r="Q1968">
        <v>0</v>
      </c>
      <c r="R1968" t="s">
        <v>2825</v>
      </c>
    </row>
    <row r="1969" spans="1:18" x14ac:dyDescent="0.3">
      <c r="A1969">
        <v>394</v>
      </c>
      <c r="B1969" t="s">
        <v>1077</v>
      </c>
      <c r="C1969" t="s">
        <v>1078</v>
      </c>
      <c r="D1969" t="s">
        <v>27</v>
      </c>
      <c r="E1969" t="s">
        <v>22</v>
      </c>
      <c r="F1969" s="79">
        <v>45838</v>
      </c>
      <c r="G1969">
        <v>2025</v>
      </c>
      <c r="H1969" t="s">
        <v>699</v>
      </c>
      <c r="I1969" t="s">
        <v>700</v>
      </c>
      <c r="J1969">
        <v>100</v>
      </c>
      <c r="K1969">
        <v>96.86</v>
      </c>
      <c r="L1969" s="39">
        <f t="shared" si="122"/>
        <v>0.96860000000000002</v>
      </c>
      <c r="M1969" s="39">
        <f t="shared" si="123"/>
        <v>0.96860000000000002</v>
      </c>
      <c r="N1969" t="s">
        <v>128</v>
      </c>
      <c r="O1969" t="s">
        <v>128</v>
      </c>
      <c r="P1969">
        <v>0</v>
      </c>
      <c r="Q1969">
        <v>0</v>
      </c>
      <c r="R1969" t="s">
        <v>2826</v>
      </c>
    </row>
    <row r="1970" spans="1:18" x14ac:dyDescent="0.3">
      <c r="A1970">
        <v>394</v>
      </c>
      <c r="B1970" t="s">
        <v>1077</v>
      </c>
      <c r="C1970" t="s">
        <v>1078</v>
      </c>
      <c r="D1970" t="s">
        <v>27</v>
      </c>
      <c r="E1970" t="s">
        <v>22</v>
      </c>
      <c r="F1970" s="79">
        <v>45930</v>
      </c>
      <c r="G1970">
        <v>2025</v>
      </c>
      <c r="H1970" t="s">
        <v>162</v>
      </c>
      <c r="I1970" t="s">
        <v>32</v>
      </c>
      <c r="J1970">
        <v>100</v>
      </c>
      <c r="K1970">
        <v>91.71</v>
      </c>
      <c r="L1970" s="39">
        <f t="shared" si="122"/>
        <v>0.91709999999999992</v>
      </c>
      <c r="M1970" s="39">
        <f t="shared" si="123"/>
        <v>0.91709999999999992</v>
      </c>
      <c r="N1970" t="s">
        <v>128</v>
      </c>
      <c r="O1970" t="s">
        <v>128</v>
      </c>
      <c r="P1970">
        <v>0</v>
      </c>
      <c r="Q1970">
        <v>0</v>
      </c>
      <c r="R1970" t="s">
        <v>2827</v>
      </c>
    </row>
    <row r="1971" spans="1:18" x14ac:dyDescent="0.3">
      <c r="A1971">
        <v>394</v>
      </c>
      <c r="B1971" t="s">
        <v>1077</v>
      </c>
      <c r="C1971" t="s">
        <v>1078</v>
      </c>
      <c r="D1971" t="s">
        <v>27</v>
      </c>
      <c r="E1971" t="s">
        <v>22</v>
      </c>
      <c r="F1971" s="79">
        <v>46022</v>
      </c>
      <c r="G1971">
        <v>2025</v>
      </c>
      <c r="H1971" t="s">
        <v>23</v>
      </c>
      <c r="I1971" t="s">
        <v>32</v>
      </c>
      <c r="J1971">
        <v>100</v>
      </c>
      <c r="K1971">
        <v>137.5</v>
      </c>
      <c r="L1971" s="39">
        <f t="shared" si="122"/>
        <v>1.3</v>
      </c>
      <c r="M1971" s="39">
        <f t="shared" si="123"/>
        <v>1.375</v>
      </c>
      <c r="N1971" t="s">
        <v>128</v>
      </c>
      <c r="O1971" t="s">
        <v>128</v>
      </c>
      <c r="P1971">
        <v>0</v>
      </c>
      <c r="Q1971">
        <v>0</v>
      </c>
      <c r="R1971" t="s">
        <v>1081</v>
      </c>
    </row>
    <row r="1972" spans="1:18" x14ac:dyDescent="0.3">
      <c r="A1972">
        <v>395</v>
      </c>
      <c r="B1972" t="s">
        <v>1084</v>
      </c>
      <c r="C1972" t="s">
        <v>1078</v>
      </c>
      <c r="D1972" t="s">
        <v>27</v>
      </c>
      <c r="E1972" t="s">
        <v>22</v>
      </c>
      <c r="F1972" s="79">
        <v>45016</v>
      </c>
      <c r="G1972">
        <v>2023</v>
      </c>
      <c r="H1972" t="s">
        <v>1516</v>
      </c>
      <c r="I1972" t="s">
        <v>1512</v>
      </c>
      <c r="J1972">
        <v>100</v>
      </c>
      <c r="K1972">
        <v>0</v>
      </c>
      <c r="L1972" s="39">
        <f t="shared" si="122"/>
        <v>0</v>
      </c>
      <c r="M1972" s="39">
        <f t="shared" si="123"/>
        <v>0</v>
      </c>
      <c r="N1972" t="s">
        <v>128</v>
      </c>
      <c r="O1972" t="s">
        <v>128</v>
      </c>
      <c r="P1972">
        <v>0</v>
      </c>
      <c r="Q1972">
        <v>0</v>
      </c>
      <c r="R1972" t="s">
        <v>2828</v>
      </c>
    </row>
    <row r="1973" spans="1:18" x14ac:dyDescent="0.3">
      <c r="A1973">
        <v>395</v>
      </c>
      <c r="B1973" t="s">
        <v>1082</v>
      </c>
      <c r="C1973" t="s">
        <v>1078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100</v>
      </c>
      <c r="K1973">
        <v>294.11764705882001</v>
      </c>
      <c r="L1973" s="39">
        <f t="shared" si="122"/>
        <v>1.3</v>
      </c>
      <c r="M1973" s="39">
        <f t="shared" si="123"/>
        <v>2.9411764705882</v>
      </c>
      <c r="N1973" t="s">
        <v>128</v>
      </c>
      <c r="O1973" t="s">
        <v>128</v>
      </c>
      <c r="P1973">
        <v>0</v>
      </c>
      <c r="Q1973">
        <v>0</v>
      </c>
      <c r="R1973" t="s">
        <v>2829</v>
      </c>
    </row>
    <row r="1974" spans="1:18" x14ac:dyDescent="0.3">
      <c r="A1974">
        <v>395</v>
      </c>
      <c r="B1974" t="s">
        <v>1082</v>
      </c>
      <c r="C1974" t="s">
        <v>1078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100</v>
      </c>
      <c r="K1974">
        <v>266.67</v>
      </c>
      <c r="L1974" s="39">
        <f t="shared" si="122"/>
        <v>1.3</v>
      </c>
      <c r="M1974" s="39">
        <f t="shared" si="123"/>
        <v>2.6667000000000001</v>
      </c>
      <c r="N1974" t="s">
        <v>128</v>
      </c>
      <c r="O1974" t="s">
        <v>128</v>
      </c>
      <c r="P1974">
        <v>0</v>
      </c>
      <c r="Q1974">
        <v>0</v>
      </c>
      <c r="R1974" t="s">
        <v>1083</v>
      </c>
    </row>
    <row r="1975" spans="1:18" x14ac:dyDescent="0.3">
      <c r="A1975">
        <v>395</v>
      </c>
      <c r="B1975" t="s">
        <v>1084</v>
      </c>
      <c r="C1975" t="s">
        <v>1078</v>
      </c>
      <c r="D1975" t="s">
        <v>27</v>
      </c>
      <c r="E1975" t="s">
        <v>22</v>
      </c>
      <c r="F1975" s="79">
        <v>45382</v>
      </c>
      <c r="G1975">
        <v>2024</v>
      </c>
      <c r="H1975" t="s">
        <v>1516</v>
      </c>
      <c r="I1975" t="s">
        <v>729</v>
      </c>
      <c r="J1975">
        <v>100</v>
      </c>
      <c r="K1975">
        <v>0</v>
      </c>
      <c r="L1975" s="39">
        <f t="shared" si="122"/>
        <v>0</v>
      </c>
      <c r="M1975" s="39">
        <f t="shared" si="123"/>
        <v>0</v>
      </c>
      <c r="N1975" t="s">
        <v>128</v>
      </c>
      <c r="O1975" t="s">
        <v>128</v>
      </c>
      <c r="P1975">
        <v>0</v>
      </c>
      <c r="Q1975">
        <v>0</v>
      </c>
      <c r="R1975" t="s">
        <v>2830</v>
      </c>
    </row>
    <row r="1976" spans="1:18" x14ac:dyDescent="0.3">
      <c r="A1976">
        <v>395</v>
      </c>
      <c r="B1976" t="s">
        <v>1084</v>
      </c>
      <c r="C1976" t="s">
        <v>1078</v>
      </c>
      <c r="D1976" t="s">
        <v>27</v>
      </c>
      <c r="E1976" t="s">
        <v>22</v>
      </c>
      <c r="F1976" s="79">
        <v>45473</v>
      </c>
      <c r="G1976">
        <v>2024</v>
      </c>
      <c r="H1976" t="s">
        <v>699</v>
      </c>
      <c r="I1976" t="s">
        <v>729</v>
      </c>
      <c r="J1976">
        <v>100</v>
      </c>
      <c r="K1976">
        <v>110</v>
      </c>
      <c r="L1976" s="39">
        <f t="shared" si="122"/>
        <v>1.1000000000000001</v>
      </c>
      <c r="M1976" s="39">
        <f t="shared" si="123"/>
        <v>1.1000000000000001</v>
      </c>
      <c r="N1976" t="s">
        <v>128</v>
      </c>
      <c r="O1976" t="s">
        <v>128</v>
      </c>
      <c r="P1976">
        <v>0</v>
      </c>
      <c r="Q1976">
        <v>0</v>
      </c>
      <c r="R1976" t="s">
        <v>2831</v>
      </c>
    </row>
    <row r="1977" spans="1:18" x14ac:dyDescent="0.3">
      <c r="A1977">
        <v>395</v>
      </c>
      <c r="B1977" t="s">
        <v>1084</v>
      </c>
      <c r="C1977" t="s">
        <v>1078</v>
      </c>
      <c r="D1977" t="s">
        <v>27</v>
      </c>
      <c r="E1977" t="s">
        <v>22</v>
      </c>
      <c r="F1977" s="79">
        <v>45565</v>
      </c>
      <c r="G1977">
        <v>2024</v>
      </c>
      <c r="H1977" t="s">
        <v>162</v>
      </c>
      <c r="I1977" t="s">
        <v>30</v>
      </c>
      <c r="J1977">
        <v>100</v>
      </c>
      <c r="K1977">
        <v>0</v>
      </c>
      <c r="L1977" s="39">
        <f t="shared" si="122"/>
        <v>0</v>
      </c>
      <c r="M1977" s="39">
        <f t="shared" si="123"/>
        <v>0</v>
      </c>
      <c r="N1977" t="s">
        <v>128</v>
      </c>
      <c r="O1977" t="s">
        <v>128</v>
      </c>
      <c r="P1977">
        <v>0</v>
      </c>
      <c r="Q1977">
        <v>0</v>
      </c>
      <c r="R1977" t="s">
        <v>2832</v>
      </c>
    </row>
    <row r="1978" spans="1:18" x14ac:dyDescent="0.3">
      <c r="A1978">
        <v>395</v>
      </c>
      <c r="B1978" t="s">
        <v>1084</v>
      </c>
      <c r="C1978" t="s">
        <v>1078</v>
      </c>
      <c r="D1978" t="s">
        <v>27</v>
      </c>
      <c r="E1978" t="s">
        <v>22</v>
      </c>
      <c r="F1978" s="79">
        <v>45657</v>
      </c>
      <c r="G1978">
        <v>2024</v>
      </c>
      <c r="H1978" t="s">
        <v>23</v>
      </c>
      <c r="I1978" t="s">
        <v>30</v>
      </c>
      <c r="J1978">
        <v>100</v>
      </c>
      <c r="K1978">
        <v>148.88999999999999</v>
      </c>
      <c r="L1978" s="39">
        <f t="shared" si="122"/>
        <v>1.3</v>
      </c>
      <c r="M1978" s="39">
        <f t="shared" si="123"/>
        <v>1.4888999999999999</v>
      </c>
      <c r="N1978" t="s">
        <v>128</v>
      </c>
      <c r="O1978" t="s">
        <v>128</v>
      </c>
      <c r="P1978">
        <v>0</v>
      </c>
      <c r="Q1978">
        <v>0</v>
      </c>
      <c r="R1978" t="s">
        <v>1085</v>
      </c>
    </row>
    <row r="1979" spans="1:18" x14ac:dyDescent="0.3">
      <c r="A1979">
        <v>395</v>
      </c>
      <c r="B1979" t="s">
        <v>1084</v>
      </c>
      <c r="C1979" t="s">
        <v>1078</v>
      </c>
      <c r="D1979" t="s">
        <v>27</v>
      </c>
      <c r="E1979" t="s">
        <v>22</v>
      </c>
      <c r="F1979" s="79">
        <v>45747</v>
      </c>
      <c r="G1979">
        <v>2025</v>
      </c>
      <c r="H1979" t="s">
        <v>1516</v>
      </c>
      <c r="I1979" t="s">
        <v>700</v>
      </c>
      <c r="J1979">
        <v>100</v>
      </c>
      <c r="K1979">
        <v>291.43</v>
      </c>
      <c r="L1979" s="39">
        <f t="shared" si="122"/>
        <v>1.3</v>
      </c>
      <c r="M1979" s="39">
        <f t="shared" si="123"/>
        <v>2.9142999999999999</v>
      </c>
      <c r="N1979" t="s">
        <v>128</v>
      </c>
      <c r="O1979" t="s">
        <v>128</v>
      </c>
      <c r="P1979">
        <v>0</v>
      </c>
      <c r="Q1979">
        <v>0</v>
      </c>
      <c r="R1979" t="s">
        <v>2833</v>
      </c>
    </row>
    <row r="1980" spans="1:18" x14ac:dyDescent="0.3">
      <c r="A1980">
        <v>395</v>
      </c>
      <c r="B1980" t="s">
        <v>1084</v>
      </c>
      <c r="C1980" t="s">
        <v>1078</v>
      </c>
      <c r="D1980" t="s">
        <v>27</v>
      </c>
      <c r="E1980" t="s">
        <v>22</v>
      </c>
      <c r="F1980" s="79">
        <v>45838</v>
      </c>
      <c r="G1980">
        <v>2025</v>
      </c>
      <c r="H1980" t="s">
        <v>699</v>
      </c>
      <c r="I1980" t="s">
        <v>700</v>
      </c>
      <c r="J1980">
        <v>100</v>
      </c>
      <c r="K1980">
        <v>161.82</v>
      </c>
      <c r="L1980" s="39">
        <f t="shared" si="122"/>
        <v>1.3</v>
      </c>
      <c r="M1980" s="39">
        <f t="shared" si="123"/>
        <v>1.6181999999999999</v>
      </c>
      <c r="N1980" t="s">
        <v>128</v>
      </c>
      <c r="O1980" t="s">
        <v>128</v>
      </c>
      <c r="P1980">
        <v>0</v>
      </c>
      <c r="Q1980">
        <v>0</v>
      </c>
      <c r="R1980" t="s">
        <v>2834</v>
      </c>
    </row>
    <row r="1981" spans="1:18" x14ac:dyDescent="0.3">
      <c r="A1981">
        <v>395</v>
      </c>
      <c r="B1981" t="s">
        <v>1084</v>
      </c>
      <c r="C1981" t="s">
        <v>1078</v>
      </c>
      <c r="D1981" t="s">
        <v>27</v>
      </c>
      <c r="E1981" t="s">
        <v>22</v>
      </c>
      <c r="F1981" s="79">
        <v>45930</v>
      </c>
      <c r="G1981">
        <v>2025</v>
      </c>
      <c r="H1981" t="s">
        <v>162</v>
      </c>
      <c r="I1981" t="s">
        <v>32</v>
      </c>
      <c r="J1981">
        <v>100</v>
      </c>
      <c r="K1981">
        <v>187.27</v>
      </c>
      <c r="L1981" s="39">
        <f t="shared" si="122"/>
        <v>1.3</v>
      </c>
      <c r="M1981" s="39">
        <f t="shared" si="123"/>
        <v>1.8727</v>
      </c>
      <c r="N1981" t="s">
        <v>128</v>
      </c>
      <c r="O1981" t="s">
        <v>128</v>
      </c>
      <c r="P1981">
        <v>0</v>
      </c>
      <c r="Q1981">
        <v>0</v>
      </c>
      <c r="R1981" t="s">
        <v>2835</v>
      </c>
    </row>
    <row r="1982" spans="1:18" x14ac:dyDescent="0.3">
      <c r="A1982">
        <v>395</v>
      </c>
      <c r="B1982" t="s">
        <v>1084</v>
      </c>
      <c r="C1982" t="s">
        <v>1078</v>
      </c>
      <c r="D1982" t="s">
        <v>27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177.14</v>
      </c>
      <c r="L1982" s="39">
        <f t="shared" si="122"/>
        <v>1.3</v>
      </c>
      <c r="M1982" s="39">
        <f t="shared" si="123"/>
        <v>1.7713999999999999</v>
      </c>
      <c r="N1982" t="s">
        <v>128</v>
      </c>
      <c r="O1982" t="s">
        <v>128</v>
      </c>
      <c r="P1982">
        <v>0</v>
      </c>
      <c r="Q1982">
        <v>0</v>
      </c>
      <c r="R1982" t="s">
        <v>1086</v>
      </c>
    </row>
    <row r="1983" spans="1:18" x14ac:dyDescent="0.3">
      <c r="A1983">
        <v>396</v>
      </c>
      <c r="B1983" t="s">
        <v>1087</v>
      </c>
      <c r="C1983" t="s">
        <v>1066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80</v>
      </c>
      <c r="K1983">
        <v>88.89</v>
      </c>
      <c r="L1983" s="39">
        <f t="shared" si="122"/>
        <v>1.1111249999999999</v>
      </c>
      <c r="M1983" s="39">
        <f t="shared" si="123"/>
        <v>1.1111249999999999</v>
      </c>
      <c r="N1983" t="s">
        <v>128</v>
      </c>
      <c r="O1983" t="s">
        <v>128</v>
      </c>
      <c r="P1983">
        <v>0</v>
      </c>
      <c r="Q1983">
        <v>0</v>
      </c>
      <c r="R1983" t="s">
        <v>1088</v>
      </c>
    </row>
    <row r="1984" spans="1:18" x14ac:dyDescent="0.3">
      <c r="A1984">
        <v>396</v>
      </c>
      <c r="B1984" t="s">
        <v>1087</v>
      </c>
      <c r="C1984" t="s">
        <v>1089</v>
      </c>
      <c r="D1984" t="s">
        <v>27</v>
      </c>
      <c r="E1984" t="s">
        <v>22</v>
      </c>
      <c r="F1984" s="79">
        <v>45473</v>
      </c>
      <c r="G1984">
        <v>2024</v>
      </c>
      <c r="H1984" t="s">
        <v>699</v>
      </c>
      <c r="I1984" t="s">
        <v>729</v>
      </c>
      <c r="J1984">
        <v>80</v>
      </c>
      <c r="K1984">
        <v>88.1</v>
      </c>
      <c r="L1984" s="39">
        <f t="shared" si="122"/>
        <v>1.1012499999999998</v>
      </c>
      <c r="M1984" s="39">
        <f t="shared" si="123"/>
        <v>1.1012499999999998</v>
      </c>
      <c r="N1984" t="s">
        <v>128</v>
      </c>
      <c r="O1984" t="s">
        <v>136</v>
      </c>
      <c r="P1984">
        <v>1</v>
      </c>
      <c r="Q1984">
        <v>1</v>
      </c>
      <c r="R1984" t="s">
        <v>1090</v>
      </c>
    </row>
    <row r="1985" spans="1:18" x14ac:dyDescent="0.3">
      <c r="A1985">
        <v>397</v>
      </c>
      <c r="B1985" t="s">
        <v>1091</v>
      </c>
      <c r="C1985" t="s">
        <v>1066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80</v>
      </c>
      <c r="K1985">
        <v>91.071428571428996</v>
      </c>
      <c r="L1985" s="39">
        <f t="shared" si="122"/>
        <v>1.1383928571428625</v>
      </c>
      <c r="M1985" s="39">
        <f t="shared" si="123"/>
        <v>1.1383928571428625</v>
      </c>
      <c r="N1985" t="s">
        <v>25</v>
      </c>
      <c r="O1985" t="s">
        <v>25</v>
      </c>
      <c r="P1985">
        <v>0</v>
      </c>
      <c r="Q1985">
        <v>0</v>
      </c>
      <c r="R1985" t="s">
        <v>2836</v>
      </c>
    </row>
    <row r="1986" spans="1:18" x14ac:dyDescent="0.3">
      <c r="A1986">
        <v>397</v>
      </c>
      <c r="B1986" t="s">
        <v>1091</v>
      </c>
      <c r="C1986" t="s">
        <v>1066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80</v>
      </c>
      <c r="K1986">
        <v>92.96</v>
      </c>
      <c r="L1986" s="39">
        <f t="shared" si="122"/>
        <v>1.1619999999999999</v>
      </c>
      <c r="M1986" s="39">
        <f t="shared" si="123"/>
        <v>1.1619999999999999</v>
      </c>
      <c r="N1986" t="s">
        <v>25</v>
      </c>
      <c r="O1986" t="s">
        <v>25</v>
      </c>
      <c r="P1986">
        <v>0</v>
      </c>
      <c r="Q1986">
        <v>0</v>
      </c>
      <c r="R1986" t="s">
        <v>1092</v>
      </c>
    </row>
    <row r="1987" spans="1:18" x14ac:dyDescent="0.3">
      <c r="A1987">
        <v>397</v>
      </c>
      <c r="B1987" t="s">
        <v>1091</v>
      </c>
      <c r="C1987" t="s">
        <v>1089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80</v>
      </c>
      <c r="K1987">
        <v>88.08</v>
      </c>
      <c r="L1987" s="39">
        <f t="shared" si="122"/>
        <v>1.101</v>
      </c>
      <c r="M1987" s="39">
        <f t="shared" si="123"/>
        <v>1.101</v>
      </c>
      <c r="N1987" t="s">
        <v>25</v>
      </c>
      <c r="O1987" t="s">
        <v>25</v>
      </c>
      <c r="P1987">
        <v>1</v>
      </c>
      <c r="Q1987">
        <v>1</v>
      </c>
      <c r="R1987" t="s">
        <v>2837</v>
      </c>
    </row>
    <row r="1988" spans="1:18" x14ac:dyDescent="0.3">
      <c r="A1988">
        <v>397</v>
      </c>
      <c r="B1988" t="s">
        <v>1091</v>
      </c>
      <c r="C1988" t="s">
        <v>1089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80</v>
      </c>
      <c r="K1988">
        <v>94.88</v>
      </c>
      <c r="L1988" s="39">
        <f t="shared" si="122"/>
        <v>1.1859999999999999</v>
      </c>
      <c r="M1988" s="39">
        <f t="shared" si="123"/>
        <v>1.1859999999999999</v>
      </c>
      <c r="N1988" t="s">
        <v>25</v>
      </c>
      <c r="O1988" t="s">
        <v>25</v>
      </c>
      <c r="P1988">
        <v>1</v>
      </c>
      <c r="Q1988">
        <v>1</v>
      </c>
      <c r="R1988" t="s">
        <v>1093</v>
      </c>
    </row>
    <row r="1989" spans="1:18" x14ac:dyDescent="0.3">
      <c r="A1989">
        <v>397</v>
      </c>
      <c r="B1989" t="s">
        <v>1091</v>
      </c>
      <c r="C1989" t="s">
        <v>1089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90</v>
      </c>
      <c r="K1989">
        <v>95.26</v>
      </c>
      <c r="L1989" s="39">
        <f t="shared" si="122"/>
        <v>1.0584444444444445</v>
      </c>
      <c r="M1989" s="39">
        <f t="shared" si="123"/>
        <v>1.0584444444444445</v>
      </c>
      <c r="N1989" t="s">
        <v>25</v>
      </c>
      <c r="O1989" t="s">
        <v>25</v>
      </c>
      <c r="P1989">
        <v>1</v>
      </c>
      <c r="Q1989">
        <v>1</v>
      </c>
      <c r="R1989" t="s">
        <v>2838</v>
      </c>
    </row>
    <row r="1990" spans="1:18" x14ac:dyDescent="0.3">
      <c r="A1990">
        <v>397</v>
      </c>
      <c r="B1990" t="s">
        <v>1094</v>
      </c>
      <c r="C1990" t="s">
        <v>1089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90</v>
      </c>
      <c r="K1990">
        <v>96.14</v>
      </c>
      <c r="L1990" s="39">
        <f t="shared" si="122"/>
        <v>1.0682222222222222</v>
      </c>
      <c r="M1990" s="39">
        <f t="shared" si="123"/>
        <v>1.0682222222222222</v>
      </c>
      <c r="N1990" t="s">
        <v>25</v>
      </c>
      <c r="O1990" t="s">
        <v>25</v>
      </c>
      <c r="P1990">
        <v>0</v>
      </c>
      <c r="Q1990">
        <v>1</v>
      </c>
      <c r="R1990" t="s">
        <v>1095</v>
      </c>
    </row>
    <row r="1991" spans="1:18" x14ac:dyDescent="0.3">
      <c r="A1991">
        <v>398</v>
      </c>
      <c r="B1991" t="s">
        <v>1096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256.8</v>
      </c>
      <c r="L1991" s="39">
        <f t="shared" si="122"/>
        <v>1.3</v>
      </c>
      <c r="M1991" s="39">
        <f t="shared" si="123"/>
        <v>2.5680000000000001</v>
      </c>
      <c r="N1991" t="s">
        <v>128</v>
      </c>
      <c r="O1991" t="s">
        <v>128</v>
      </c>
      <c r="P1991">
        <v>0</v>
      </c>
      <c r="Q1991">
        <v>0</v>
      </c>
      <c r="R1991" t="s">
        <v>2839</v>
      </c>
    </row>
    <row r="1992" spans="1:18" x14ac:dyDescent="0.3">
      <c r="A1992">
        <v>398</v>
      </c>
      <c r="B1992" t="s">
        <v>1096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234.4</v>
      </c>
      <c r="L1992" s="39">
        <f t="shared" ref="L1992:L2014" si="124">IFERROR(IF(OR(J1992=0,K1992=""),"",IF(E1992="Positivo",MIN(MAX(K1992/J1992,0),1.3),MIN(MAX(J1992/K1992,0),1.3))),"")</f>
        <v>1.3</v>
      </c>
      <c r="M1992" s="39">
        <f t="shared" ref="M1992:M2014" si="125">IFERROR(IF(OR(J1992=0,K1992=""),"",IF(E1992="Positivo",MAX(K1992/J1992,0),MAX(J1992/K1992,0))),"")</f>
        <v>2.3439999999999999</v>
      </c>
      <c r="N1992" t="s">
        <v>128</v>
      </c>
      <c r="O1992" t="s">
        <v>128</v>
      </c>
      <c r="P1992">
        <v>0</v>
      </c>
      <c r="Q1992">
        <v>0</v>
      </c>
      <c r="R1992" t="s">
        <v>1098</v>
      </c>
    </row>
    <row r="1993" spans="1:18" x14ac:dyDescent="0.3">
      <c r="A1993">
        <v>398</v>
      </c>
      <c r="B1993" t="s">
        <v>1096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283.92</v>
      </c>
      <c r="L1993" s="39">
        <f t="shared" si="124"/>
        <v>1.3</v>
      </c>
      <c r="M1993" s="39">
        <f t="shared" si="125"/>
        <v>2.8391999999999999</v>
      </c>
      <c r="N1993" t="s">
        <v>128</v>
      </c>
      <c r="O1993" t="s">
        <v>128</v>
      </c>
      <c r="P1993">
        <v>0</v>
      </c>
      <c r="Q1993">
        <v>0</v>
      </c>
      <c r="R1993" t="s">
        <v>2840</v>
      </c>
    </row>
    <row r="1994" spans="1:18" x14ac:dyDescent="0.3">
      <c r="A1994">
        <v>398</v>
      </c>
      <c r="B1994" t="s">
        <v>1096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160</v>
      </c>
      <c r="L1994" s="39">
        <f t="shared" si="124"/>
        <v>1.3</v>
      </c>
      <c r="M1994" s="39">
        <f t="shared" si="125"/>
        <v>1.6</v>
      </c>
      <c r="N1994" t="s">
        <v>128</v>
      </c>
      <c r="O1994" t="s">
        <v>128</v>
      </c>
      <c r="P1994">
        <v>0</v>
      </c>
      <c r="Q1994">
        <v>0</v>
      </c>
      <c r="R1994" t="s">
        <v>1099</v>
      </c>
    </row>
    <row r="1995" spans="1:18" x14ac:dyDescent="0.3">
      <c r="A1995">
        <v>398</v>
      </c>
      <c r="B1995" t="s">
        <v>1096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159.5</v>
      </c>
      <c r="L1995" s="39">
        <f t="shared" si="124"/>
        <v>1.3</v>
      </c>
      <c r="M1995" s="39">
        <f t="shared" si="125"/>
        <v>1.595</v>
      </c>
      <c r="N1995" t="s">
        <v>128</v>
      </c>
      <c r="O1995" t="s">
        <v>128</v>
      </c>
      <c r="P1995">
        <v>0</v>
      </c>
      <c r="Q1995">
        <v>0</v>
      </c>
      <c r="R1995" t="s">
        <v>2841</v>
      </c>
    </row>
    <row r="1996" spans="1:18" x14ac:dyDescent="0.3">
      <c r="A1996">
        <v>398</v>
      </c>
      <c r="B1996" t="s">
        <v>1096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168.71</v>
      </c>
      <c r="L1996" s="39">
        <f t="shared" si="124"/>
        <v>1.3</v>
      </c>
      <c r="M1996" s="39">
        <f t="shared" si="125"/>
        <v>1.6871</v>
      </c>
      <c r="N1996" t="s">
        <v>128</v>
      </c>
      <c r="O1996" t="s">
        <v>128</v>
      </c>
      <c r="P1996">
        <v>0</v>
      </c>
      <c r="Q1996">
        <v>0</v>
      </c>
      <c r="R1996" t="s">
        <v>1100</v>
      </c>
    </row>
    <row r="1997" spans="1:18" x14ac:dyDescent="0.3">
      <c r="A1997">
        <v>399</v>
      </c>
      <c r="B1997" t="s">
        <v>2842</v>
      </c>
      <c r="C1997" t="s">
        <v>1097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100</v>
      </c>
      <c r="K1997">
        <v>117.8</v>
      </c>
      <c r="L1997" s="39">
        <f t="shared" si="124"/>
        <v>1.1779999999999999</v>
      </c>
      <c r="M1997" s="39">
        <f t="shared" si="125"/>
        <v>1.1779999999999999</v>
      </c>
      <c r="N1997" t="s">
        <v>128</v>
      </c>
      <c r="O1997" t="s">
        <v>128</v>
      </c>
      <c r="P1997">
        <v>0</v>
      </c>
      <c r="Q1997">
        <v>0</v>
      </c>
      <c r="R1997" t="s">
        <v>2843</v>
      </c>
    </row>
    <row r="1998" spans="1:18" x14ac:dyDescent="0.3">
      <c r="A1998">
        <v>399</v>
      </c>
      <c r="B1998" t="s">
        <v>2842</v>
      </c>
      <c r="C1998" t="s">
        <v>1097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100</v>
      </c>
      <c r="K1998">
        <v>149</v>
      </c>
      <c r="L1998" s="39">
        <f t="shared" si="124"/>
        <v>1.3</v>
      </c>
      <c r="M1998" s="39">
        <f t="shared" si="125"/>
        <v>1.49</v>
      </c>
      <c r="N1998" t="s">
        <v>128</v>
      </c>
      <c r="O1998" t="s">
        <v>128</v>
      </c>
      <c r="P1998">
        <v>0</v>
      </c>
      <c r="Q1998">
        <v>0</v>
      </c>
      <c r="R1998" t="s">
        <v>1102</v>
      </c>
    </row>
    <row r="1999" spans="1:18" x14ac:dyDescent="0.3">
      <c r="A1999">
        <v>399</v>
      </c>
      <c r="B1999" t="s">
        <v>1101</v>
      </c>
      <c r="C1999" t="s">
        <v>1097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100</v>
      </c>
      <c r="K1999">
        <v>111.36</v>
      </c>
      <c r="L1999" s="39">
        <f t="shared" si="124"/>
        <v>1.1135999999999999</v>
      </c>
      <c r="M1999" s="39">
        <f t="shared" si="125"/>
        <v>1.1135999999999999</v>
      </c>
      <c r="N1999" t="s">
        <v>128</v>
      </c>
      <c r="O1999" t="s">
        <v>128</v>
      </c>
      <c r="P1999">
        <v>0</v>
      </c>
      <c r="Q1999">
        <v>0</v>
      </c>
      <c r="R1999" t="s">
        <v>2844</v>
      </c>
    </row>
    <row r="2000" spans="1:18" x14ac:dyDescent="0.3">
      <c r="A2000">
        <v>399</v>
      </c>
      <c r="B2000" t="s">
        <v>1101</v>
      </c>
      <c r="C2000" t="s">
        <v>1097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100</v>
      </c>
      <c r="K2000">
        <v>111.36</v>
      </c>
      <c r="L2000" s="39">
        <f t="shared" si="124"/>
        <v>1.1135999999999999</v>
      </c>
      <c r="M2000" s="39">
        <f t="shared" si="125"/>
        <v>1.1135999999999999</v>
      </c>
      <c r="N2000" t="s">
        <v>128</v>
      </c>
      <c r="O2000" t="s">
        <v>128</v>
      </c>
      <c r="P2000">
        <v>0</v>
      </c>
      <c r="Q2000">
        <v>0</v>
      </c>
      <c r="R2000" t="s">
        <v>1103</v>
      </c>
    </row>
    <row r="2001" spans="1:18" x14ac:dyDescent="0.3">
      <c r="A2001">
        <v>399</v>
      </c>
      <c r="B2001" t="s">
        <v>1101</v>
      </c>
      <c r="C2001" t="s">
        <v>1097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102.93</v>
      </c>
      <c r="L2001" s="39">
        <f t="shared" si="124"/>
        <v>1.0293000000000001</v>
      </c>
      <c r="M2001" s="39">
        <f t="shared" si="125"/>
        <v>1.0293000000000001</v>
      </c>
      <c r="N2001" t="s">
        <v>128</v>
      </c>
      <c r="O2001" t="s">
        <v>128</v>
      </c>
      <c r="P2001">
        <v>0</v>
      </c>
      <c r="Q2001">
        <v>0</v>
      </c>
      <c r="R2001" t="s">
        <v>2845</v>
      </c>
    </row>
    <row r="2002" spans="1:18" x14ac:dyDescent="0.3">
      <c r="A2002">
        <v>399</v>
      </c>
      <c r="B2002" t="s">
        <v>1101</v>
      </c>
      <c r="C2002" t="s">
        <v>1097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106.13</v>
      </c>
      <c r="L2002" s="39">
        <f t="shared" si="124"/>
        <v>1.0612999999999999</v>
      </c>
      <c r="M2002" s="39">
        <f t="shared" si="125"/>
        <v>1.0612999999999999</v>
      </c>
      <c r="N2002" t="s">
        <v>128</v>
      </c>
      <c r="O2002" t="s">
        <v>128</v>
      </c>
      <c r="P2002">
        <v>0</v>
      </c>
      <c r="Q2002">
        <v>0</v>
      </c>
      <c r="R2002" t="s">
        <v>1104</v>
      </c>
    </row>
    <row r="2003" spans="1:18" x14ac:dyDescent="0.3">
      <c r="A2003">
        <v>400</v>
      </c>
      <c r="B2003" t="s">
        <v>1105</v>
      </c>
      <c r="C2003" t="s">
        <v>1097</v>
      </c>
      <c r="D2003" t="s">
        <v>27</v>
      </c>
      <c r="E2003" t="s">
        <v>22</v>
      </c>
      <c r="F2003" s="79">
        <v>45107</v>
      </c>
      <c r="G2003">
        <v>2023</v>
      </c>
      <c r="H2003" t="s">
        <v>699</v>
      </c>
      <c r="I2003" t="s">
        <v>1512</v>
      </c>
      <c r="J2003">
        <v>100</v>
      </c>
      <c r="K2003">
        <v>220</v>
      </c>
      <c r="L2003" s="39">
        <f t="shared" si="124"/>
        <v>1.3</v>
      </c>
      <c r="M2003" s="39">
        <f t="shared" si="125"/>
        <v>2.2000000000000002</v>
      </c>
      <c r="N2003" t="s">
        <v>128</v>
      </c>
      <c r="O2003" t="s">
        <v>128</v>
      </c>
      <c r="P2003">
        <v>0</v>
      </c>
      <c r="Q2003">
        <v>0</v>
      </c>
      <c r="R2003" t="s">
        <v>2846</v>
      </c>
    </row>
    <row r="2004" spans="1:18" x14ac:dyDescent="0.3">
      <c r="A2004">
        <v>400</v>
      </c>
      <c r="B2004" t="s">
        <v>1105</v>
      </c>
      <c r="C2004" t="s">
        <v>1097</v>
      </c>
      <c r="D2004" t="s">
        <v>27</v>
      </c>
      <c r="E2004" t="s">
        <v>22</v>
      </c>
      <c r="F2004" s="79">
        <v>45291</v>
      </c>
      <c r="G2004">
        <v>2023</v>
      </c>
      <c r="H2004" t="s">
        <v>23</v>
      </c>
      <c r="I2004" t="s">
        <v>28</v>
      </c>
      <c r="J2004">
        <v>100</v>
      </c>
      <c r="K2004">
        <v>282.86</v>
      </c>
      <c r="L2004" s="39">
        <f t="shared" si="124"/>
        <v>1.3</v>
      </c>
      <c r="M2004" s="39">
        <f t="shared" si="125"/>
        <v>2.8286000000000002</v>
      </c>
      <c r="N2004" t="s">
        <v>128</v>
      </c>
      <c r="O2004" t="s">
        <v>128</v>
      </c>
      <c r="P2004">
        <v>0</v>
      </c>
      <c r="Q2004">
        <v>0</v>
      </c>
      <c r="R2004" t="s">
        <v>1106</v>
      </c>
    </row>
    <row r="2005" spans="1:18" x14ac:dyDescent="0.3">
      <c r="A2005">
        <v>400</v>
      </c>
      <c r="B2005" t="s">
        <v>1105</v>
      </c>
      <c r="C2005" t="s">
        <v>1097</v>
      </c>
      <c r="D2005" t="s">
        <v>27</v>
      </c>
      <c r="E2005" t="s">
        <v>22</v>
      </c>
      <c r="F2005" s="79">
        <v>45473</v>
      </c>
      <c r="G2005">
        <v>2024</v>
      </c>
      <c r="H2005" t="s">
        <v>699</v>
      </c>
      <c r="I2005" t="s">
        <v>729</v>
      </c>
      <c r="J2005">
        <v>100</v>
      </c>
      <c r="K2005">
        <v>270.45</v>
      </c>
      <c r="L2005" s="39">
        <f t="shared" si="124"/>
        <v>1.3</v>
      </c>
      <c r="M2005" s="39">
        <f t="shared" si="125"/>
        <v>2.7044999999999999</v>
      </c>
      <c r="N2005" t="s">
        <v>128</v>
      </c>
      <c r="O2005" t="s">
        <v>128</v>
      </c>
      <c r="P2005">
        <v>0</v>
      </c>
      <c r="Q2005">
        <v>0</v>
      </c>
      <c r="R2005" t="s">
        <v>2847</v>
      </c>
    </row>
    <row r="2006" spans="1:18" x14ac:dyDescent="0.3">
      <c r="A2006">
        <v>400</v>
      </c>
      <c r="B2006" t="s">
        <v>1105</v>
      </c>
      <c r="C2006" t="s">
        <v>1097</v>
      </c>
      <c r="D2006" t="s">
        <v>27</v>
      </c>
      <c r="E2006" t="s">
        <v>22</v>
      </c>
      <c r="F2006" s="79">
        <v>45657</v>
      </c>
      <c r="G2006">
        <v>2024</v>
      </c>
      <c r="H2006" t="s">
        <v>23</v>
      </c>
      <c r="I2006" t="s">
        <v>30</v>
      </c>
      <c r="J2006">
        <v>100</v>
      </c>
      <c r="K2006">
        <v>397.73</v>
      </c>
      <c r="L2006" s="39">
        <f t="shared" si="124"/>
        <v>1.3</v>
      </c>
      <c r="M2006" s="39">
        <f t="shared" si="125"/>
        <v>3.9773000000000001</v>
      </c>
      <c r="N2006" t="s">
        <v>128</v>
      </c>
      <c r="O2006" t="s">
        <v>128</v>
      </c>
      <c r="P2006">
        <v>0</v>
      </c>
      <c r="Q2006">
        <v>0</v>
      </c>
      <c r="R2006" t="s">
        <v>1107</v>
      </c>
    </row>
    <row r="2007" spans="1:18" x14ac:dyDescent="0.3">
      <c r="A2007">
        <v>400</v>
      </c>
      <c r="B2007" t="s">
        <v>1105</v>
      </c>
      <c r="C2007" t="s">
        <v>1097</v>
      </c>
      <c r="D2007" t="s">
        <v>27</v>
      </c>
      <c r="E2007" t="s">
        <v>22</v>
      </c>
      <c r="F2007" s="79">
        <v>45838</v>
      </c>
      <c r="G2007">
        <v>2025</v>
      </c>
      <c r="H2007" t="s">
        <v>699</v>
      </c>
      <c r="I2007" t="s">
        <v>700</v>
      </c>
      <c r="J2007">
        <v>100</v>
      </c>
      <c r="K2007">
        <v>123</v>
      </c>
      <c r="L2007" s="39">
        <f t="shared" si="124"/>
        <v>1.23</v>
      </c>
      <c r="M2007" s="39">
        <f t="shared" si="125"/>
        <v>1.23</v>
      </c>
      <c r="N2007" t="s">
        <v>128</v>
      </c>
      <c r="O2007" t="s">
        <v>128</v>
      </c>
      <c r="P2007">
        <v>0</v>
      </c>
      <c r="Q2007">
        <v>0</v>
      </c>
      <c r="R2007" t="s">
        <v>2848</v>
      </c>
    </row>
    <row r="2008" spans="1:18" x14ac:dyDescent="0.3">
      <c r="A2008">
        <v>400</v>
      </c>
      <c r="B2008" t="s">
        <v>1105</v>
      </c>
      <c r="C2008" t="s">
        <v>1097</v>
      </c>
      <c r="D2008" t="s">
        <v>21</v>
      </c>
      <c r="E2008" t="s">
        <v>22</v>
      </c>
      <c r="F2008" s="79">
        <v>46022</v>
      </c>
      <c r="G2008">
        <v>2025</v>
      </c>
      <c r="H2008" t="s">
        <v>23</v>
      </c>
      <c r="I2008" t="s">
        <v>32</v>
      </c>
      <c r="J2008">
        <v>100</v>
      </c>
      <c r="K2008">
        <v>127.14</v>
      </c>
      <c r="L2008" s="39">
        <f t="shared" si="124"/>
        <v>1.2714000000000001</v>
      </c>
      <c r="M2008" s="39">
        <f t="shared" si="125"/>
        <v>1.2714000000000001</v>
      </c>
      <c r="N2008" t="s">
        <v>128</v>
      </c>
      <c r="O2008" t="s">
        <v>128</v>
      </c>
      <c r="P2008">
        <v>0</v>
      </c>
      <c r="Q2008">
        <v>0</v>
      </c>
      <c r="R2008" t="s">
        <v>1108</v>
      </c>
    </row>
    <row r="2009" spans="1:18" x14ac:dyDescent="0.3">
      <c r="A2009">
        <v>401</v>
      </c>
      <c r="B2009" t="s">
        <v>1109</v>
      </c>
      <c r="C2009" t="s">
        <v>1110</v>
      </c>
      <c r="D2009" t="s">
        <v>27</v>
      </c>
      <c r="E2009" t="s">
        <v>22</v>
      </c>
      <c r="F2009" s="79">
        <v>45107</v>
      </c>
      <c r="G2009">
        <v>2023</v>
      </c>
      <c r="H2009" t="s">
        <v>699</v>
      </c>
      <c r="I2009" t="s">
        <v>1512</v>
      </c>
      <c r="J2009">
        <v>90</v>
      </c>
      <c r="K2009">
        <v>87.5</v>
      </c>
      <c r="L2009" s="39">
        <f t="shared" si="124"/>
        <v>0.97222222222222221</v>
      </c>
      <c r="M2009" s="39">
        <f t="shared" si="125"/>
        <v>0.97222222222222221</v>
      </c>
      <c r="N2009" t="s">
        <v>128</v>
      </c>
      <c r="O2009" t="s">
        <v>128</v>
      </c>
      <c r="P2009">
        <v>0</v>
      </c>
      <c r="Q2009">
        <v>0</v>
      </c>
      <c r="R2009" t="s">
        <v>2849</v>
      </c>
    </row>
    <row r="2010" spans="1:18" x14ac:dyDescent="0.3">
      <c r="A2010">
        <v>401</v>
      </c>
      <c r="B2010" t="s">
        <v>1109</v>
      </c>
      <c r="C2010" t="s">
        <v>1110</v>
      </c>
      <c r="D2010" t="s">
        <v>27</v>
      </c>
      <c r="E2010" t="s">
        <v>22</v>
      </c>
      <c r="F2010" s="79">
        <v>45291</v>
      </c>
      <c r="G2010">
        <v>2023</v>
      </c>
      <c r="H2010" t="s">
        <v>23</v>
      </c>
      <c r="I2010" t="s">
        <v>28</v>
      </c>
      <c r="J2010">
        <v>90</v>
      </c>
      <c r="K2010">
        <v>125</v>
      </c>
      <c r="L2010" s="39">
        <f t="shared" si="124"/>
        <v>1.3</v>
      </c>
      <c r="M2010" s="39">
        <f t="shared" si="125"/>
        <v>1.3888888888888888</v>
      </c>
      <c r="N2010" t="s">
        <v>128</v>
      </c>
      <c r="O2010" t="s">
        <v>128</v>
      </c>
      <c r="P2010">
        <v>0</v>
      </c>
      <c r="Q2010">
        <v>0</v>
      </c>
      <c r="R2010" t="s">
        <v>1111</v>
      </c>
    </row>
    <row r="2011" spans="1:18" x14ac:dyDescent="0.3">
      <c r="A2011">
        <v>401</v>
      </c>
      <c r="B2011" t="s">
        <v>1109</v>
      </c>
      <c r="C2011" t="s">
        <v>1110</v>
      </c>
      <c r="D2011" t="s">
        <v>27</v>
      </c>
      <c r="E2011" t="s">
        <v>22</v>
      </c>
      <c r="F2011" s="79">
        <v>45473</v>
      </c>
      <c r="G2011">
        <v>2024</v>
      </c>
      <c r="H2011" t="s">
        <v>699</v>
      </c>
      <c r="I2011" t="s">
        <v>729</v>
      </c>
      <c r="J2011">
        <v>90</v>
      </c>
      <c r="K2011">
        <v>112.5</v>
      </c>
      <c r="L2011" s="39">
        <f t="shared" si="124"/>
        <v>1.25</v>
      </c>
      <c r="M2011" s="39">
        <f t="shared" si="125"/>
        <v>1.25</v>
      </c>
      <c r="N2011" t="s">
        <v>128</v>
      </c>
      <c r="O2011" t="s">
        <v>128</v>
      </c>
      <c r="P2011">
        <v>0</v>
      </c>
      <c r="Q2011">
        <v>0</v>
      </c>
      <c r="R2011" t="s">
        <v>2850</v>
      </c>
    </row>
    <row r="2012" spans="1:18" x14ac:dyDescent="0.3">
      <c r="A2012">
        <v>401</v>
      </c>
      <c r="B2012" t="s">
        <v>1109</v>
      </c>
      <c r="C2012" t="s">
        <v>1110</v>
      </c>
      <c r="D2012" t="s">
        <v>27</v>
      </c>
      <c r="E2012" t="s">
        <v>22</v>
      </c>
      <c r="F2012" s="79">
        <v>45657</v>
      </c>
      <c r="G2012">
        <v>2024</v>
      </c>
      <c r="H2012" t="s">
        <v>23</v>
      </c>
      <c r="I2012" t="s">
        <v>30</v>
      </c>
      <c r="J2012">
        <v>90</v>
      </c>
      <c r="K2012">
        <v>100</v>
      </c>
      <c r="L2012" s="39">
        <f t="shared" si="124"/>
        <v>1.1111111111111112</v>
      </c>
      <c r="M2012" s="39">
        <f t="shared" si="125"/>
        <v>1.1111111111111112</v>
      </c>
      <c r="N2012" t="s">
        <v>128</v>
      </c>
      <c r="O2012" t="s">
        <v>128</v>
      </c>
      <c r="P2012">
        <v>0</v>
      </c>
      <c r="Q2012">
        <v>0</v>
      </c>
      <c r="R2012" t="s">
        <v>1112</v>
      </c>
    </row>
    <row r="2013" spans="1:18" x14ac:dyDescent="0.3">
      <c r="A2013">
        <v>401</v>
      </c>
      <c r="B2013" t="s">
        <v>1109</v>
      </c>
      <c r="C2013" t="s">
        <v>1110</v>
      </c>
      <c r="D2013" t="s">
        <v>27</v>
      </c>
      <c r="E2013" t="s">
        <v>22</v>
      </c>
      <c r="F2013" s="79">
        <v>45838</v>
      </c>
      <c r="G2013">
        <v>2025</v>
      </c>
      <c r="H2013" t="s">
        <v>699</v>
      </c>
      <c r="I2013" t="s">
        <v>700</v>
      </c>
      <c r="J2013">
        <v>100</v>
      </c>
      <c r="K2013">
        <v>100</v>
      </c>
      <c r="L2013" s="39">
        <f t="shared" si="124"/>
        <v>1</v>
      </c>
      <c r="M2013" s="39">
        <f t="shared" si="125"/>
        <v>1</v>
      </c>
      <c r="N2013" t="s">
        <v>128</v>
      </c>
      <c r="O2013" t="s">
        <v>128</v>
      </c>
      <c r="P2013">
        <v>0</v>
      </c>
      <c r="Q2013">
        <v>0</v>
      </c>
      <c r="R2013" t="s">
        <v>2851</v>
      </c>
    </row>
    <row r="2014" spans="1:18" x14ac:dyDescent="0.3">
      <c r="A2014">
        <v>401</v>
      </c>
      <c r="B2014" t="s">
        <v>1109</v>
      </c>
      <c r="C2014" t="s">
        <v>1110</v>
      </c>
      <c r="D2014" t="s">
        <v>21</v>
      </c>
      <c r="E2014" t="s">
        <v>22</v>
      </c>
      <c r="F2014" s="79">
        <v>46022</v>
      </c>
      <c r="G2014">
        <v>2025</v>
      </c>
      <c r="H2014" t="s">
        <v>23</v>
      </c>
      <c r="I2014" t="s">
        <v>32</v>
      </c>
      <c r="J2014">
        <v>100</v>
      </c>
      <c r="K2014">
        <v>100</v>
      </c>
      <c r="L2014" s="39">
        <f t="shared" si="124"/>
        <v>1</v>
      </c>
      <c r="M2014" s="39">
        <f t="shared" si="125"/>
        <v>1</v>
      </c>
      <c r="N2014" t="s">
        <v>128</v>
      </c>
      <c r="O2014" t="s">
        <v>128</v>
      </c>
      <c r="P2014">
        <v>0</v>
      </c>
      <c r="Q2014">
        <v>0</v>
      </c>
      <c r="R2014" t="s">
        <v>1113</v>
      </c>
    </row>
    <row r="2015" spans="1:18" x14ac:dyDescent="0.3">
      <c r="A2015">
        <v>402</v>
      </c>
      <c r="B2015" t="s">
        <v>1114</v>
      </c>
      <c r="C2015" t="s">
        <v>1110</v>
      </c>
      <c r="D2015" t="s">
        <v>71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K2015">
        <v>21000</v>
      </c>
      <c r="L2015" s="39"/>
      <c r="M2015" s="39"/>
      <c r="N2015" t="s">
        <v>128</v>
      </c>
      <c r="O2015" t="s">
        <v>128</v>
      </c>
      <c r="P2015">
        <v>0</v>
      </c>
      <c r="Q2015">
        <v>0</v>
      </c>
      <c r="R2015" t="s">
        <v>1115</v>
      </c>
    </row>
    <row r="2016" spans="1:18" x14ac:dyDescent="0.3">
      <c r="A2016">
        <v>402</v>
      </c>
      <c r="B2016" t="s">
        <v>1114</v>
      </c>
      <c r="C2016" t="s">
        <v>1110</v>
      </c>
      <c r="D2016" t="s">
        <v>71</v>
      </c>
      <c r="E2016" t="s">
        <v>22</v>
      </c>
      <c r="F2016" s="79">
        <v>45657</v>
      </c>
      <c r="G2016">
        <v>2024</v>
      </c>
      <c r="H2016" t="s">
        <v>23</v>
      </c>
      <c r="I2016" t="s">
        <v>30</v>
      </c>
      <c r="J2016">
        <v>3</v>
      </c>
      <c r="K2016">
        <v>4.76</v>
      </c>
      <c r="L2016" s="39">
        <f>IFERROR(IF(OR(J2016=0,K2016=""),"",IF(E2016="Positivo",MIN(MAX(K2016/J2016,0),1.3),MIN(MAX(J2016/K2016,0),1.3))),"")</f>
        <v>1.3</v>
      </c>
      <c r="M2016" s="39">
        <f>IFERROR(IF(OR(J2016=0,K2016=""),"",IF(E2016="Positivo",MAX(K2016/J2016,0),MAX(J2016/K2016,0))),"")</f>
        <v>1.5866666666666667</v>
      </c>
      <c r="P2016">
        <v>0</v>
      </c>
      <c r="Q2016">
        <v>0</v>
      </c>
      <c r="R2016" t="s">
        <v>1116</v>
      </c>
    </row>
    <row r="2017" spans="1:19" x14ac:dyDescent="0.3">
      <c r="A2017">
        <v>402</v>
      </c>
      <c r="B2017" t="s">
        <v>1114</v>
      </c>
      <c r="C2017" t="s">
        <v>1110</v>
      </c>
      <c r="D2017" t="s">
        <v>71</v>
      </c>
      <c r="E2017" t="s">
        <v>22</v>
      </c>
      <c r="F2017" s="79">
        <v>46022</v>
      </c>
      <c r="G2017">
        <v>2025</v>
      </c>
      <c r="H2017" t="s">
        <v>23</v>
      </c>
      <c r="I2017" t="s">
        <v>32</v>
      </c>
      <c r="K2017">
        <v>22.73</v>
      </c>
      <c r="L2017" s="39"/>
      <c r="M2017" s="39"/>
      <c r="N2017" t="s">
        <v>128</v>
      </c>
      <c r="O2017" t="s">
        <v>128</v>
      </c>
      <c r="P2017">
        <v>0</v>
      </c>
      <c r="Q2017">
        <v>0</v>
      </c>
      <c r="R2017" t="s">
        <v>1117</v>
      </c>
    </row>
    <row r="2018" spans="1:19" x14ac:dyDescent="0.3">
      <c r="A2018">
        <v>403</v>
      </c>
      <c r="B2018" t="s">
        <v>1118</v>
      </c>
      <c r="C2018" t="s">
        <v>1110</v>
      </c>
      <c r="D2018" t="s">
        <v>27</v>
      </c>
      <c r="E2018" t="s">
        <v>22</v>
      </c>
      <c r="F2018" s="79">
        <v>45107</v>
      </c>
      <c r="G2018">
        <v>2023</v>
      </c>
      <c r="H2018" t="s">
        <v>699</v>
      </c>
      <c r="I2018" t="s">
        <v>1512</v>
      </c>
      <c r="K2018">
        <v>14370</v>
      </c>
      <c r="L2018" s="39"/>
      <c r="M2018" s="39"/>
      <c r="N2018" t="s">
        <v>263</v>
      </c>
      <c r="O2018" t="s">
        <v>128</v>
      </c>
      <c r="P2018">
        <v>0</v>
      </c>
      <c r="Q2018">
        <v>0</v>
      </c>
      <c r="R2018" t="s">
        <v>2852</v>
      </c>
    </row>
    <row r="2019" spans="1:19" x14ac:dyDescent="0.3">
      <c r="A2019">
        <v>403</v>
      </c>
      <c r="B2019" t="s">
        <v>1118</v>
      </c>
      <c r="C2019" t="s">
        <v>1110</v>
      </c>
      <c r="D2019" t="s">
        <v>27</v>
      </c>
      <c r="E2019" t="s">
        <v>22</v>
      </c>
      <c r="F2019" s="79">
        <v>45291</v>
      </c>
      <c r="G2019">
        <v>2023</v>
      </c>
      <c r="H2019" t="s">
        <v>23</v>
      </c>
      <c r="I2019" t="s">
        <v>28</v>
      </c>
      <c r="K2019">
        <v>28639</v>
      </c>
      <c r="L2019" s="39"/>
      <c r="M2019" s="39"/>
      <c r="N2019" t="s">
        <v>263</v>
      </c>
      <c r="O2019" t="s">
        <v>128</v>
      </c>
      <c r="P2019">
        <v>0</v>
      </c>
      <c r="Q2019">
        <v>0</v>
      </c>
      <c r="R2019" t="s">
        <v>1119</v>
      </c>
    </row>
    <row r="2020" spans="1:19" x14ac:dyDescent="0.3">
      <c r="A2020">
        <v>403</v>
      </c>
      <c r="B2020" t="s">
        <v>1118</v>
      </c>
      <c r="C2020" t="s">
        <v>1110</v>
      </c>
      <c r="D2020" t="s">
        <v>27</v>
      </c>
      <c r="E2020" t="s">
        <v>22</v>
      </c>
      <c r="F2020" s="79">
        <v>45473</v>
      </c>
      <c r="G2020">
        <v>2024</v>
      </c>
      <c r="H2020" t="s">
        <v>699</v>
      </c>
      <c r="I2020" t="s">
        <v>729</v>
      </c>
      <c r="K2020">
        <v>14923</v>
      </c>
      <c r="L2020" s="39"/>
      <c r="M2020" s="39"/>
      <c r="N2020" t="s">
        <v>263</v>
      </c>
      <c r="O2020" t="s">
        <v>128</v>
      </c>
      <c r="P2020">
        <v>0</v>
      </c>
      <c r="Q2020">
        <v>0</v>
      </c>
      <c r="R2020" t="s">
        <v>2853</v>
      </c>
    </row>
    <row r="2021" spans="1:19" x14ac:dyDescent="0.3">
      <c r="A2021">
        <v>403</v>
      </c>
      <c r="B2021" t="s">
        <v>1118</v>
      </c>
      <c r="C2021" t="s">
        <v>1110</v>
      </c>
      <c r="D2021" t="s">
        <v>27</v>
      </c>
      <c r="E2021" t="s">
        <v>22</v>
      </c>
      <c r="F2021" s="79">
        <v>45657</v>
      </c>
      <c r="G2021">
        <v>2024</v>
      </c>
      <c r="H2021" t="s">
        <v>23</v>
      </c>
      <c r="I2021" t="s">
        <v>30</v>
      </c>
      <c r="K2021">
        <v>14495</v>
      </c>
      <c r="L2021" s="39"/>
      <c r="M2021" s="39"/>
      <c r="N2021" t="s">
        <v>263</v>
      </c>
      <c r="O2021" t="s">
        <v>128</v>
      </c>
      <c r="P2021">
        <v>0</v>
      </c>
      <c r="Q2021">
        <v>0</v>
      </c>
      <c r="R2021" t="s">
        <v>1120</v>
      </c>
    </row>
    <row r="2022" spans="1:19" x14ac:dyDescent="0.3">
      <c r="A2022">
        <v>403</v>
      </c>
      <c r="B2022" t="s">
        <v>1118</v>
      </c>
      <c r="C2022" t="s">
        <v>1110</v>
      </c>
      <c r="D2022" t="s">
        <v>27</v>
      </c>
      <c r="E2022" t="s">
        <v>22</v>
      </c>
      <c r="F2022" s="79">
        <v>45838</v>
      </c>
      <c r="G2022">
        <v>2025</v>
      </c>
      <c r="H2022" t="s">
        <v>699</v>
      </c>
      <c r="I2022" t="s">
        <v>700</v>
      </c>
      <c r="K2022">
        <v>14410</v>
      </c>
      <c r="L2022" s="39"/>
      <c r="M2022" s="39"/>
      <c r="N2022" t="s">
        <v>263</v>
      </c>
      <c r="O2022" t="s">
        <v>128</v>
      </c>
      <c r="P2022">
        <v>0</v>
      </c>
      <c r="Q2022">
        <v>0</v>
      </c>
      <c r="R2022" t="s">
        <v>2854</v>
      </c>
    </row>
    <row r="2023" spans="1:19" x14ac:dyDescent="0.3">
      <c r="A2023">
        <v>403</v>
      </c>
      <c r="B2023" t="s">
        <v>1121</v>
      </c>
      <c r="C2023" t="s">
        <v>1110</v>
      </c>
      <c r="D2023" t="s">
        <v>21</v>
      </c>
      <c r="E2023" t="s">
        <v>22</v>
      </c>
      <c r="F2023" s="79">
        <v>46022</v>
      </c>
      <c r="G2023">
        <v>2025</v>
      </c>
      <c r="H2023" t="s">
        <v>23</v>
      </c>
      <c r="I2023" t="s">
        <v>32</v>
      </c>
      <c r="K2023">
        <v>12510</v>
      </c>
      <c r="L2023" s="39"/>
      <c r="M2023" s="39"/>
      <c r="N2023" t="s">
        <v>263</v>
      </c>
      <c r="O2023" t="s">
        <v>128</v>
      </c>
      <c r="P2023">
        <v>0</v>
      </c>
      <c r="Q2023">
        <v>0</v>
      </c>
      <c r="R2023" t="s">
        <v>1122</v>
      </c>
      <c r="S2023" t="s">
        <v>263</v>
      </c>
    </row>
    <row r="2024" spans="1:19" x14ac:dyDescent="0.3">
      <c r="A2024">
        <v>404</v>
      </c>
      <c r="B2024" t="s">
        <v>1123</v>
      </c>
      <c r="C2024" t="s">
        <v>1110</v>
      </c>
      <c r="D2024" t="s">
        <v>27</v>
      </c>
      <c r="E2024" t="s">
        <v>41</v>
      </c>
      <c r="F2024" s="79">
        <v>45107</v>
      </c>
      <c r="G2024">
        <v>2023</v>
      </c>
      <c r="H2024" t="s">
        <v>699</v>
      </c>
      <c r="I2024" t="s">
        <v>1512</v>
      </c>
      <c r="J2024">
        <v>20</v>
      </c>
      <c r="K2024">
        <v>2</v>
      </c>
      <c r="L2024" s="39">
        <f t="shared" ref="L2024:L2034" si="126">IFERROR(IF(OR(J2024=0,K2024=""),"",IF(E2024="Positivo",MIN(MAX(K2024/J2024,0),1.3),MIN(MAX(J2024/K2024,0),1.3))),"")</f>
        <v>1.3</v>
      </c>
      <c r="M2024" s="39">
        <f t="shared" ref="M2024:M2034" si="127">IFERROR(IF(OR(J2024=0,K2024=""),"",IF(E2024="Positivo",MAX(K2024/J2024,0),MAX(J2024/K2024,0))),"")</f>
        <v>10</v>
      </c>
      <c r="N2024">
        <v>0</v>
      </c>
      <c r="O2024" t="s">
        <v>128</v>
      </c>
      <c r="P2024">
        <v>0</v>
      </c>
      <c r="Q2024">
        <v>0</v>
      </c>
      <c r="R2024" t="s">
        <v>2855</v>
      </c>
    </row>
    <row r="2025" spans="1:19" x14ac:dyDescent="0.3">
      <c r="A2025">
        <v>404</v>
      </c>
      <c r="B2025" t="s">
        <v>1123</v>
      </c>
      <c r="C2025" t="s">
        <v>1110</v>
      </c>
      <c r="D2025" t="s">
        <v>27</v>
      </c>
      <c r="E2025" t="s">
        <v>41</v>
      </c>
      <c r="F2025" s="79">
        <v>45291</v>
      </c>
      <c r="G2025">
        <v>2023</v>
      </c>
      <c r="H2025" t="s">
        <v>23</v>
      </c>
      <c r="I2025" t="s">
        <v>28</v>
      </c>
      <c r="J2025">
        <v>20</v>
      </c>
      <c r="K2025">
        <v>1.31</v>
      </c>
      <c r="L2025" s="39">
        <f t="shared" si="126"/>
        <v>1.3</v>
      </c>
      <c r="M2025" s="39">
        <f t="shared" si="127"/>
        <v>15.267175572519083</v>
      </c>
      <c r="N2025">
        <v>0</v>
      </c>
      <c r="O2025" t="s">
        <v>128</v>
      </c>
      <c r="P2025">
        <v>0</v>
      </c>
      <c r="Q2025">
        <v>0</v>
      </c>
      <c r="R2025" t="s">
        <v>1124</v>
      </c>
    </row>
    <row r="2026" spans="1:19" x14ac:dyDescent="0.3">
      <c r="A2026">
        <v>404</v>
      </c>
      <c r="B2026" t="s">
        <v>1123</v>
      </c>
      <c r="C2026" t="s">
        <v>1110</v>
      </c>
      <c r="D2026" t="s">
        <v>27</v>
      </c>
      <c r="E2026" t="s">
        <v>41</v>
      </c>
      <c r="F2026" s="79">
        <v>45473</v>
      </c>
      <c r="G2026">
        <v>2024</v>
      </c>
      <c r="H2026" t="s">
        <v>699</v>
      </c>
      <c r="I2026" t="s">
        <v>729</v>
      </c>
      <c r="J2026">
        <v>10</v>
      </c>
      <c r="K2026">
        <v>5.85</v>
      </c>
      <c r="L2026" s="39">
        <f t="shared" si="126"/>
        <v>1.3</v>
      </c>
      <c r="M2026" s="39">
        <f t="shared" si="127"/>
        <v>1.7094017094017095</v>
      </c>
      <c r="N2026" t="s">
        <v>25</v>
      </c>
      <c r="O2026" t="s">
        <v>25</v>
      </c>
      <c r="P2026">
        <v>0</v>
      </c>
      <c r="Q2026">
        <v>0</v>
      </c>
      <c r="R2026" t="s">
        <v>2856</v>
      </c>
    </row>
    <row r="2027" spans="1:19" x14ac:dyDescent="0.3">
      <c r="A2027">
        <v>404</v>
      </c>
      <c r="B2027" t="s">
        <v>1123</v>
      </c>
      <c r="C2027" t="s">
        <v>1110</v>
      </c>
      <c r="D2027" t="s">
        <v>27</v>
      </c>
      <c r="E2027" t="s">
        <v>41</v>
      </c>
      <c r="F2027" s="79">
        <v>45657</v>
      </c>
      <c r="G2027">
        <v>2024</v>
      </c>
      <c r="H2027" t="s">
        <v>23</v>
      </c>
      <c r="I2027" t="s">
        <v>30</v>
      </c>
      <c r="J2027">
        <v>10</v>
      </c>
      <c r="K2027">
        <v>6.02</v>
      </c>
      <c r="L2027" s="39">
        <f t="shared" si="126"/>
        <v>1.3</v>
      </c>
      <c r="M2027" s="39">
        <f t="shared" si="127"/>
        <v>1.6611295681063125</v>
      </c>
      <c r="N2027" t="s">
        <v>25</v>
      </c>
      <c r="O2027" t="s">
        <v>25</v>
      </c>
      <c r="P2027">
        <v>0</v>
      </c>
      <c r="Q2027">
        <v>0</v>
      </c>
      <c r="R2027" t="s">
        <v>1125</v>
      </c>
    </row>
    <row r="2028" spans="1:19" x14ac:dyDescent="0.3">
      <c r="A2028">
        <v>405</v>
      </c>
      <c r="B2028" t="s">
        <v>2857</v>
      </c>
      <c r="C2028" t="s">
        <v>1110</v>
      </c>
      <c r="D2028" t="s">
        <v>27</v>
      </c>
      <c r="E2028" t="s">
        <v>22</v>
      </c>
      <c r="F2028" s="79">
        <v>45107</v>
      </c>
      <c r="G2028">
        <v>2023</v>
      </c>
      <c r="H2028" t="s">
        <v>699</v>
      </c>
      <c r="I2028" t="s">
        <v>1512</v>
      </c>
      <c r="J2028">
        <v>25</v>
      </c>
      <c r="K2028">
        <v>30</v>
      </c>
      <c r="L2028" s="39">
        <f t="shared" si="126"/>
        <v>1.2</v>
      </c>
      <c r="M2028" s="39">
        <f t="shared" si="127"/>
        <v>1.2</v>
      </c>
      <c r="N2028" t="s">
        <v>25</v>
      </c>
      <c r="O2028" t="s">
        <v>25</v>
      </c>
      <c r="P2028">
        <v>0</v>
      </c>
      <c r="Q2028">
        <v>0</v>
      </c>
      <c r="R2028" t="s">
        <v>2858</v>
      </c>
    </row>
    <row r="2029" spans="1:19" x14ac:dyDescent="0.3">
      <c r="A2029">
        <v>405</v>
      </c>
      <c r="B2029" t="s">
        <v>2857</v>
      </c>
      <c r="C2029" t="s">
        <v>1110</v>
      </c>
      <c r="D2029" t="s">
        <v>27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50</v>
      </c>
      <c r="K2029">
        <v>62</v>
      </c>
      <c r="L2029" s="39">
        <f t="shared" si="126"/>
        <v>1.24</v>
      </c>
      <c r="M2029" s="39">
        <f t="shared" si="127"/>
        <v>1.24</v>
      </c>
      <c r="N2029" t="s">
        <v>25</v>
      </c>
      <c r="O2029" t="s">
        <v>25</v>
      </c>
      <c r="P2029">
        <v>0</v>
      </c>
      <c r="Q2029">
        <v>0</v>
      </c>
      <c r="R2029" t="s">
        <v>1127</v>
      </c>
    </row>
    <row r="2030" spans="1:19" x14ac:dyDescent="0.3">
      <c r="A2030">
        <v>405</v>
      </c>
      <c r="B2030" t="s">
        <v>1126</v>
      </c>
      <c r="C2030" t="s">
        <v>1110</v>
      </c>
      <c r="D2030" t="s">
        <v>27</v>
      </c>
      <c r="E2030" t="s">
        <v>22</v>
      </c>
      <c r="F2030" s="79">
        <v>45473</v>
      </c>
      <c r="G2030">
        <v>2024</v>
      </c>
      <c r="H2030" t="s">
        <v>699</v>
      </c>
      <c r="I2030" t="s">
        <v>729</v>
      </c>
      <c r="J2030">
        <v>100</v>
      </c>
      <c r="K2030">
        <v>92</v>
      </c>
      <c r="L2030" s="39">
        <f t="shared" si="126"/>
        <v>0.92</v>
      </c>
      <c r="M2030" s="39">
        <f t="shared" si="127"/>
        <v>0.92</v>
      </c>
      <c r="N2030" t="s">
        <v>25</v>
      </c>
      <c r="O2030" t="s">
        <v>25</v>
      </c>
      <c r="P2030">
        <v>0</v>
      </c>
      <c r="Q2030">
        <v>0</v>
      </c>
      <c r="R2030" t="s">
        <v>2859</v>
      </c>
    </row>
    <row r="2031" spans="1:19" x14ac:dyDescent="0.3">
      <c r="A2031">
        <v>405</v>
      </c>
      <c r="B2031" t="s">
        <v>1126</v>
      </c>
      <c r="C2031" t="s">
        <v>1110</v>
      </c>
      <c r="D2031" t="s">
        <v>27</v>
      </c>
      <c r="E2031" t="s">
        <v>22</v>
      </c>
      <c r="F2031" s="79">
        <v>45657</v>
      </c>
      <c r="G2031">
        <v>2024</v>
      </c>
      <c r="H2031" t="s">
        <v>23</v>
      </c>
      <c r="I2031" t="s">
        <v>30</v>
      </c>
      <c r="J2031">
        <v>100</v>
      </c>
      <c r="K2031">
        <v>98</v>
      </c>
      <c r="L2031" s="39">
        <f t="shared" si="126"/>
        <v>0.98</v>
      </c>
      <c r="M2031" s="39">
        <f t="shared" si="127"/>
        <v>0.98</v>
      </c>
      <c r="N2031" t="s">
        <v>25</v>
      </c>
      <c r="O2031" t="s">
        <v>25</v>
      </c>
      <c r="P2031">
        <v>0</v>
      </c>
      <c r="Q2031">
        <v>0</v>
      </c>
      <c r="R2031" t="s">
        <v>1128</v>
      </c>
    </row>
    <row r="2032" spans="1:19" x14ac:dyDescent="0.3">
      <c r="A2032">
        <v>406</v>
      </c>
      <c r="B2032" t="s">
        <v>1129</v>
      </c>
      <c r="C2032" t="s">
        <v>819</v>
      </c>
      <c r="D2032" t="s">
        <v>27</v>
      </c>
      <c r="E2032" t="s">
        <v>22</v>
      </c>
      <c r="F2032" s="79">
        <v>45291</v>
      </c>
      <c r="G2032">
        <v>2023</v>
      </c>
      <c r="H2032" t="s">
        <v>23</v>
      </c>
      <c r="I2032" t="s">
        <v>28</v>
      </c>
      <c r="J2032">
        <v>5</v>
      </c>
      <c r="K2032">
        <v>5</v>
      </c>
      <c r="L2032" s="39">
        <f t="shared" si="126"/>
        <v>1</v>
      </c>
      <c r="M2032" s="39">
        <f t="shared" si="127"/>
        <v>1</v>
      </c>
      <c r="N2032" t="s">
        <v>25</v>
      </c>
      <c r="O2032" t="s">
        <v>25</v>
      </c>
      <c r="P2032">
        <v>0</v>
      </c>
      <c r="Q2032">
        <v>0</v>
      </c>
      <c r="R2032" t="s">
        <v>1130</v>
      </c>
    </row>
    <row r="2033" spans="1:19" x14ac:dyDescent="0.3">
      <c r="A2033">
        <v>406</v>
      </c>
      <c r="B2033" t="s">
        <v>1129</v>
      </c>
      <c r="C2033" t="s">
        <v>819</v>
      </c>
      <c r="D2033" t="s">
        <v>27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0</v>
      </c>
      <c r="K2033">
        <v>3</v>
      </c>
      <c r="L2033" s="39" t="str">
        <f t="shared" si="126"/>
        <v/>
      </c>
      <c r="M2033" s="39" t="str">
        <f t="shared" si="127"/>
        <v/>
      </c>
      <c r="N2033" t="s">
        <v>128</v>
      </c>
      <c r="O2033" t="s">
        <v>128</v>
      </c>
      <c r="P2033">
        <v>0</v>
      </c>
      <c r="Q2033">
        <v>0</v>
      </c>
      <c r="R2033" t="s">
        <v>2860</v>
      </c>
    </row>
    <row r="2034" spans="1:19" x14ac:dyDescent="0.3">
      <c r="A2034">
        <v>407</v>
      </c>
      <c r="B2034" t="s">
        <v>1132</v>
      </c>
      <c r="C2034" t="s">
        <v>819</v>
      </c>
      <c r="D2034" t="s">
        <v>27</v>
      </c>
      <c r="E2034" t="s">
        <v>22</v>
      </c>
      <c r="F2034" s="79">
        <v>45291</v>
      </c>
      <c r="G2034">
        <v>2023</v>
      </c>
      <c r="H2034" t="s">
        <v>23</v>
      </c>
      <c r="I2034" t="s">
        <v>28</v>
      </c>
      <c r="J2034">
        <v>3</v>
      </c>
      <c r="K2034">
        <v>3</v>
      </c>
      <c r="L2034" s="39">
        <f t="shared" si="126"/>
        <v>1</v>
      </c>
      <c r="M2034" s="39">
        <f t="shared" si="127"/>
        <v>1</v>
      </c>
      <c r="N2034" t="s">
        <v>128</v>
      </c>
      <c r="O2034" t="s">
        <v>128</v>
      </c>
      <c r="P2034">
        <v>0</v>
      </c>
      <c r="Q2034">
        <v>0</v>
      </c>
      <c r="R2034" t="s">
        <v>1133</v>
      </c>
    </row>
    <row r="2035" spans="1:19" x14ac:dyDescent="0.3">
      <c r="A2035">
        <v>408</v>
      </c>
      <c r="B2035" t="s">
        <v>1135</v>
      </c>
      <c r="C2035" t="s">
        <v>819</v>
      </c>
      <c r="D2035" t="s">
        <v>21</v>
      </c>
      <c r="E2035" t="s">
        <v>22</v>
      </c>
      <c r="F2035" s="79">
        <v>45107</v>
      </c>
      <c r="G2035">
        <v>2023</v>
      </c>
      <c r="H2035" t="s">
        <v>699</v>
      </c>
      <c r="I2035" t="s">
        <v>1512</v>
      </c>
      <c r="J2035">
        <v>100</v>
      </c>
      <c r="L2035" s="39"/>
      <c r="M2035" s="39"/>
      <c r="N2035" t="s">
        <v>128</v>
      </c>
      <c r="O2035" t="s">
        <v>302</v>
      </c>
      <c r="P2035">
        <v>0</v>
      </c>
      <c r="Q2035">
        <v>0</v>
      </c>
      <c r="R2035" t="s">
        <v>2861</v>
      </c>
      <c r="S2035" t="s">
        <v>302</v>
      </c>
    </row>
    <row r="2036" spans="1:19" x14ac:dyDescent="0.3">
      <c r="A2036">
        <v>408</v>
      </c>
      <c r="B2036" t="s">
        <v>1135</v>
      </c>
      <c r="C2036" t="s">
        <v>819</v>
      </c>
      <c r="D2036" t="s">
        <v>27</v>
      </c>
      <c r="E2036" t="s">
        <v>22</v>
      </c>
      <c r="F2036" s="79">
        <v>45291</v>
      </c>
      <c r="G2036">
        <v>2023</v>
      </c>
      <c r="H2036" t="s">
        <v>23</v>
      </c>
      <c r="I2036" t="s">
        <v>28</v>
      </c>
      <c r="J2036">
        <v>100</v>
      </c>
      <c r="K2036">
        <v>100</v>
      </c>
      <c r="L2036" s="39">
        <f>IFERROR(IF(OR(J2036=0,K2036=""),"",IF(E2036="Positivo",MIN(MAX(K2036/J2036,0),1.3),MIN(MAX(J2036/K2036,0),1.3))),"")</f>
        <v>1</v>
      </c>
      <c r="M2036" s="39">
        <f>IFERROR(IF(OR(J2036=0,K2036=""),"",IF(E2036="Positivo",MAX(K2036/J2036,0),MAX(J2036/K2036,0))),"")</f>
        <v>1</v>
      </c>
      <c r="N2036" t="s">
        <v>128</v>
      </c>
      <c r="O2036" t="s">
        <v>128</v>
      </c>
      <c r="P2036">
        <v>0</v>
      </c>
      <c r="Q2036">
        <v>0</v>
      </c>
      <c r="R2036" t="s">
        <v>1136</v>
      </c>
    </row>
    <row r="2037" spans="1:19" x14ac:dyDescent="0.3">
      <c r="A2037">
        <v>408</v>
      </c>
      <c r="B2037" t="s">
        <v>1135</v>
      </c>
      <c r="C2037" t="s">
        <v>819</v>
      </c>
      <c r="D2037" t="s">
        <v>21</v>
      </c>
      <c r="E2037" t="s">
        <v>22</v>
      </c>
      <c r="F2037" s="79">
        <v>45473</v>
      </c>
      <c r="G2037">
        <v>2024</v>
      </c>
      <c r="H2037" t="s">
        <v>699</v>
      </c>
      <c r="I2037" t="s">
        <v>729</v>
      </c>
      <c r="J2037">
        <v>100</v>
      </c>
      <c r="L2037" s="39"/>
      <c r="M2037" s="39"/>
      <c r="N2037" t="s">
        <v>128</v>
      </c>
      <c r="O2037" t="s">
        <v>302</v>
      </c>
      <c r="P2037">
        <v>0</v>
      </c>
      <c r="Q2037">
        <v>0</v>
      </c>
      <c r="R2037" t="s">
        <v>2862</v>
      </c>
      <c r="S2037" t="s">
        <v>302</v>
      </c>
    </row>
    <row r="2038" spans="1:19" x14ac:dyDescent="0.3">
      <c r="A2038">
        <v>408</v>
      </c>
      <c r="B2038" t="s">
        <v>1135</v>
      </c>
      <c r="C2038" t="s">
        <v>819</v>
      </c>
      <c r="D2038" t="s">
        <v>27</v>
      </c>
      <c r="E2038" t="s">
        <v>22</v>
      </c>
      <c r="F2038" s="79">
        <v>45657</v>
      </c>
      <c r="G2038">
        <v>2024</v>
      </c>
      <c r="H2038" t="s">
        <v>23</v>
      </c>
      <c r="I2038" t="s">
        <v>30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128</v>
      </c>
      <c r="O2038" t="s">
        <v>128</v>
      </c>
      <c r="P2038">
        <v>0</v>
      </c>
      <c r="Q2038">
        <v>0</v>
      </c>
      <c r="R2038" t="s">
        <v>1137</v>
      </c>
    </row>
    <row r="2039" spans="1:19" x14ac:dyDescent="0.3">
      <c r="A2039">
        <v>408</v>
      </c>
      <c r="B2039" t="s">
        <v>1135</v>
      </c>
      <c r="C2039" t="s">
        <v>819</v>
      </c>
      <c r="D2039" t="s">
        <v>21</v>
      </c>
      <c r="E2039" t="s">
        <v>22</v>
      </c>
      <c r="F2039" s="79">
        <v>45838</v>
      </c>
      <c r="G2039">
        <v>2025</v>
      </c>
      <c r="H2039" t="s">
        <v>699</v>
      </c>
      <c r="I2039" t="s">
        <v>700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128</v>
      </c>
      <c r="O2039" t="s">
        <v>128</v>
      </c>
      <c r="P2039">
        <v>0</v>
      </c>
      <c r="Q2039">
        <v>0</v>
      </c>
      <c r="R2039" t="s">
        <v>2863</v>
      </c>
    </row>
    <row r="2040" spans="1:19" x14ac:dyDescent="0.3">
      <c r="A2040">
        <v>408</v>
      </c>
      <c r="B2040" t="s">
        <v>1135</v>
      </c>
      <c r="C2040" t="s">
        <v>819</v>
      </c>
      <c r="D2040" t="s">
        <v>21</v>
      </c>
      <c r="E2040" t="s">
        <v>22</v>
      </c>
      <c r="F2040" s="79">
        <v>46022</v>
      </c>
      <c r="G2040">
        <v>2025</v>
      </c>
      <c r="H2040" t="s">
        <v>23</v>
      </c>
      <c r="I2040" t="s">
        <v>32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128</v>
      </c>
      <c r="O2040" t="s">
        <v>128</v>
      </c>
      <c r="P2040">
        <v>0</v>
      </c>
      <c r="Q2040">
        <v>0</v>
      </c>
      <c r="R2040" t="s">
        <v>1138</v>
      </c>
    </row>
    <row r="2041" spans="1:19" x14ac:dyDescent="0.3">
      <c r="A2041">
        <v>409</v>
      </c>
      <c r="B2041" t="s">
        <v>1139</v>
      </c>
      <c r="C2041" t="s">
        <v>595</v>
      </c>
      <c r="D2041" t="s">
        <v>27</v>
      </c>
      <c r="E2041" t="s">
        <v>22</v>
      </c>
      <c r="F2041" s="79">
        <v>45107</v>
      </c>
      <c r="G2041">
        <v>2023</v>
      </c>
      <c r="H2041" t="s">
        <v>699</v>
      </c>
      <c r="I2041" t="s">
        <v>1512</v>
      </c>
      <c r="L2041" s="39"/>
      <c r="M2041" s="39"/>
      <c r="N2041" t="s">
        <v>25</v>
      </c>
      <c r="O2041" t="s">
        <v>302</v>
      </c>
      <c r="P2041">
        <v>0</v>
      </c>
      <c r="Q2041">
        <v>0</v>
      </c>
      <c r="R2041" t="s">
        <v>2864</v>
      </c>
      <c r="S2041" t="s">
        <v>302</v>
      </c>
    </row>
    <row r="2042" spans="1:19" x14ac:dyDescent="0.3">
      <c r="A2042">
        <v>409</v>
      </c>
      <c r="B2042" t="s">
        <v>1139</v>
      </c>
      <c r="C2042" t="s">
        <v>595</v>
      </c>
      <c r="D2042" t="s">
        <v>21</v>
      </c>
      <c r="E2042" t="s">
        <v>22</v>
      </c>
      <c r="F2042" s="79">
        <v>45199</v>
      </c>
      <c r="G2042">
        <v>2023</v>
      </c>
      <c r="H2042" t="s">
        <v>162</v>
      </c>
      <c r="I2042" t="s">
        <v>28</v>
      </c>
      <c r="J2042">
        <v>80</v>
      </c>
      <c r="K2042">
        <v>103.71885459278541</v>
      </c>
      <c r="L2042" s="39">
        <f t="shared" ref="L2042:L2048" si="128">IFERROR(IF(OR(J2042=0,K2042=""),"",IF(E2042="Positivo",MIN(MAX(K2042/J2042,0),1.3),MIN(MAX(J2042/K2042,0),1.3))),"")</f>
        <v>1.2964856824098177</v>
      </c>
      <c r="M2042" s="39">
        <f t="shared" ref="M2042:M2048" si="129">IFERROR(IF(OR(J2042=0,K2042=""),"",IF(E2042="Positivo",MAX(K2042/J2042,0),MAX(J2042/K2042,0))),"")</f>
        <v>1.2964856824098177</v>
      </c>
      <c r="N2042" t="s">
        <v>25</v>
      </c>
      <c r="O2042" t="s">
        <v>25</v>
      </c>
      <c r="P2042">
        <v>0</v>
      </c>
      <c r="Q2042">
        <v>0</v>
      </c>
      <c r="R2042" t="s">
        <v>2865</v>
      </c>
    </row>
    <row r="2043" spans="1:19" x14ac:dyDescent="0.3">
      <c r="A2043">
        <v>409</v>
      </c>
      <c r="B2043" t="s">
        <v>1139</v>
      </c>
      <c r="C2043" t="s">
        <v>595</v>
      </c>
      <c r="D2043" t="s">
        <v>21</v>
      </c>
      <c r="E2043" t="s">
        <v>22</v>
      </c>
      <c r="F2043" s="79">
        <v>45291</v>
      </c>
      <c r="G2043">
        <v>2023</v>
      </c>
      <c r="H2043" t="s">
        <v>23</v>
      </c>
      <c r="I2043" t="s">
        <v>28</v>
      </c>
      <c r="J2043">
        <v>80</v>
      </c>
      <c r="K2043">
        <v>100</v>
      </c>
      <c r="L2043" s="39">
        <f t="shared" si="128"/>
        <v>1.25</v>
      </c>
      <c r="M2043" s="39">
        <f t="shared" si="129"/>
        <v>1.25</v>
      </c>
      <c r="N2043" t="s">
        <v>25</v>
      </c>
      <c r="O2043" t="s">
        <v>25</v>
      </c>
      <c r="P2043">
        <v>0</v>
      </c>
      <c r="Q2043">
        <v>0</v>
      </c>
      <c r="R2043" t="s">
        <v>1140</v>
      </c>
    </row>
    <row r="2044" spans="1:19" x14ac:dyDescent="0.3">
      <c r="A2044">
        <v>409</v>
      </c>
      <c r="B2044" t="s">
        <v>1139</v>
      </c>
      <c r="C2044" t="s">
        <v>595</v>
      </c>
      <c r="D2044" t="s">
        <v>21</v>
      </c>
      <c r="E2044" t="s">
        <v>22</v>
      </c>
      <c r="F2044" s="79">
        <v>45382</v>
      </c>
      <c r="G2044">
        <v>2024</v>
      </c>
      <c r="H2044" t="s">
        <v>1516</v>
      </c>
      <c r="I2044" t="s">
        <v>729</v>
      </c>
      <c r="J2044">
        <v>95</v>
      </c>
      <c r="K2044">
        <v>98.022598870056498</v>
      </c>
      <c r="L2044" s="39">
        <f t="shared" si="128"/>
        <v>1.031816830211121</v>
      </c>
      <c r="M2044" s="39">
        <f t="shared" si="129"/>
        <v>1.031816830211121</v>
      </c>
      <c r="N2044" t="s">
        <v>25</v>
      </c>
      <c r="O2044" t="s">
        <v>25</v>
      </c>
      <c r="P2044">
        <v>0</v>
      </c>
      <c r="Q2044">
        <v>0</v>
      </c>
      <c r="R2044" t="s">
        <v>2866</v>
      </c>
    </row>
    <row r="2045" spans="1:19" x14ac:dyDescent="0.3">
      <c r="A2045">
        <v>409</v>
      </c>
      <c r="B2045" t="s">
        <v>1139</v>
      </c>
      <c r="C2045" t="s">
        <v>595</v>
      </c>
      <c r="D2045" t="s">
        <v>21</v>
      </c>
      <c r="E2045" t="s">
        <v>22</v>
      </c>
      <c r="F2045" s="79">
        <v>45473</v>
      </c>
      <c r="G2045">
        <v>2024</v>
      </c>
      <c r="H2045" t="s">
        <v>699</v>
      </c>
      <c r="I2045" t="s">
        <v>729</v>
      </c>
      <c r="J2045">
        <v>95</v>
      </c>
      <c r="K2045">
        <v>98.496240601503757</v>
      </c>
      <c r="L2045" s="39">
        <f t="shared" si="128"/>
        <v>1.036802532647408</v>
      </c>
      <c r="M2045" s="39">
        <f t="shared" si="129"/>
        <v>1.036802532647408</v>
      </c>
      <c r="N2045" t="s">
        <v>25</v>
      </c>
      <c r="O2045" t="s">
        <v>25</v>
      </c>
      <c r="P2045">
        <v>0</v>
      </c>
      <c r="Q2045">
        <v>0</v>
      </c>
      <c r="R2045" t="s">
        <v>2867</v>
      </c>
    </row>
    <row r="2046" spans="1:19" x14ac:dyDescent="0.3">
      <c r="A2046">
        <v>409</v>
      </c>
      <c r="B2046" t="s">
        <v>1139</v>
      </c>
      <c r="C2046" t="s">
        <v>595</v>
      </c>
      <c r="D2046" t="s">
        <v>21</v>
      </c>
      <c r="E2046" t="s">
        <v>22</v>
      </c>
      <c r="F2046" s="79">
        <v>45565</v>
      </c>
      <c r="G2046">
        <v>2024</v>
      </c>
      <c r="H2046" t="s">
        <v>162</v>
      </c>
      <c r="I2046" t="s">
        <v>30</v>
      </c>
      <c r="J2046">
        <v>95</v>
      </c>
      <c r="K2046">
        <v>97.122302158273357</v>
      </c>
      <c r="L2046" s="39">
        <f t="shared" si="128"/>
        <v>1.022340022718667</v>
      </c>
      <c r="M2046" s="39">
        <f t="shared" si="129"/>
        <v>1.022340022718667</v>
      </c>
      <c r="N2046" t="s">
        <v>25</v>
      </c>
      <c r="O2046" t="s">
        <v>25</v>
      </c>
      <c r="P2046">
        <v>0</v>
      </c>
      <c r="Q2046">
        <v>0</v>
      </c>
      <c r="R2046" t="s">
        <v>2868</v>
      </c>
    </row>
    <row r="2047" spans="1:19" x14ac:dyDescent="0.3">
      <c r="A2047">
        <v>409</v>
      </c>
      <c r="B2047" t="s">
        <v>1139</v>
      </c>
      <c r="C2047" t="s">
        <v>595</v>
      </c>
      <c r="D2047" t="s">
        <v>21</v>
      </c>
      <c r="E2047" t="s">
        <v>22</v>
      </c>
      <c r="F2047" s="79">
        <v>45657</v>
      </c>
      <c r="G2047">
        <v>2024</v>
      </c>
      <c r="H2047" t="s">
        <v>23</v>
      </c>
      <c r="I2047" t="s">
        <v>30</v>
      </c>
      <c r="J2047">
        <v>95</v>
      </c>
      <c r="K2047">
        <v>96.457326892109478</v>
      </c>
      <c r="L2047" s="39">
        <f t="shared" si="128"/>
        <v>1.0153402830748366</v>
      </c>
      <c r="M2047" s="39">
        <f t="shared" si="129"/>
        <v>1.0153402830748366</v>
      </c>
      <c r="N2047" t="s">
        <v>25</v>
      </c>
      <c r="O2047" t="s">
        <v>25</v>
      </c>
      <c r="P2047">
        <v>0</v>
      </c>
      <c r="Q2047">
        <v>0</v>
      </c>
      <c r="R2047" t="s">
        <v>1141</v>
      </c>
    </row>
    <row r="2048" spans="1:19" x14ac:dyDescent="0.3">
      <c r="A2048">
        <v>409</v>
      </c>
      <c r="B2048" t="s">
        <v>1139</v>
      </c>
      <c r="C2048" t="s">
        <v>595</v>
      </c>
      <c r="D2048" t="s">
        <v>27</v>
      </c>
      <c r="E2048" t="s">
        <v>22</v>
      </c>
      <c r="F2048" s="79">
        <v>45747</v>
      </c>
      <c r="G2048">
        <v>2025</v>
      </c>
      <c r="H2048" t="s">
        <v>1516</v>
      </c>
      <c r="I2048" t="s">
        <v>700</v>
      </c>
      <c r="J2048">
        <v>95</v>
      </c>
      <c r="K2048">
        <v>100</v>
      </c>
      <c r="L2048" s="39">
        <f t="shared" si="128"/>
        <v>1.0526315789473684</v>
      </c>
      <c r="M2048" s="39">
        <f t="shared" si="129"/>
        <v>1.0526315789473684</v>
      </c>
      <c r="N2048" t="s">
        <v>25</v>
      </c>
      <c r="O2048" t="s">
        <v>25</v>
      </c>
      <c r="P2048">
        <v>0</v>
      </c>
      <c r="Q2048">
        <v>0</v>
      </c>
      <c r="R2048" t="s">
        <v>2869</v>
      </c>
    </row>
    <row r="2049" spans="1:19" x14ac:dyDescent="0.3">
      <c r="A2049">
        <v>409</v>
      </c>
      <c r="B2049" t="s">
        <v>1139</v>
      </c>
      <c r="C2049" t="s">
        <v>595</v>
      </c>
      <c r="D2049" t="s">
        <v>27</v>
      </c>
      <c r="E2049" t="s">
        <v>22</v>
      </c>
      <c r="F2049" s="79">
        <v>45838</v>
      </c>
      <c r="G2049">
        <v>2025</v>
      </c>
      <c r="H2049" t="s">
        <v>699</v>
      </c>
      <c r="I2049" t="s">
        <v>700</v>
      </c>
      <c r="J2049">
        <v>95</v>
      </c>
      <c r="L2049" s="39"/>
      <c r="M2049" s="39"/>
      <c r="N2049" t="s">
        <v>25</v>
      </c>
      <c r="O2049" t="s">
        <v>302</v>
      </c>
      <c r="P2049">
        <v>0</v>
      </c>
      <c r="Q2049">
        <v>0</v>
      </c>
      <c r="R2049" t="s">
        <v>1142</v>
      </c>
      <c r="S2049" t="s">
        <v>302</v>
      </c>
    </row>
    <row r="2050" spans="1:19" x14ac:dyDescent="0.3">
      <c r="A2050">
        <v>410</v>
      </c>
      <c r="B2050" t="s">
        <v>1143</v>
      </c>
      <c r="C2050" t="s">
        <v>595</v>
      </c>
      <c r="D2050" t="s">
        <v>21</v>
      </c>
      <c r="E2050" t="s">
        <v>22</v>
      </c>
      <c r="F2050" s="79">
        <v>45199</v>
      </c>
      <c r="G2050">
        <v>2023</v>
      </c>
      <c r="H2050" t="s">
        <v>162</v>
      </c>
      <c r="I2050" t="s">
        <v>28</v>
      </c>
      <c r="J2050">
        <v>90</v>
      </c>
      <c r="K2050">
        <v>90.31</v>
      </c>
      <c r="L2050" s="39">
        <f>IFERROR(IF(OR(J2050=0,K2050=""),"",IF(E2050="Positivo",MIN(MAX(K2050/J2050,0),1.3),MIN(MAX(J2050/K2050,0),1.3))),"")</f>
        <v>1.0034444444444444</v>
      </c>
      <c r="M2050" s="39">
        <f>IFERROR(IF(OR(J2050=0,K2050=""),"",IF(E2050="Positivo",MAX(K2050/J2050,0),MAX(J2050/K2050,0))),"")</f>
        <v>1.0034444444444444</v>
      </c>
      <c r="N2050" t="s">
        <v>25</v>
      </c>
      <c r="O2050" t="s">
        <v>25</v>
      </c>
      <c r="P2050">
        <v>0</v>
      </c>
      <c r="Q2050">
        <v>0</v>
      </c>
      <c r="R2050" t="s">
        <v>2870</v>
      </c>
    </row>
    <row r="2051" spans="1:19" x14ac:dyDescent="0.3">
      <c r="A2051">
        <v>411</v>
      </c>
      <c r="B2051" t="s">
        <v>1145</v>
      </c>
      <c r="C2051" t="s">
        <v>1078</v>
      </c>
      <c r="D2051" t="s">
        <v>27</v>
      </c>
      <c r="E2051" t="s">
        <v>22</v>
      </c>
      <c r="F2051" s="79">
        <v>45291</v>
      </c>
      <c r="G2051">
        <v>2023</v>
      </c>
      <c r="H2051" t="s">
        <v>23</v>
      </c>
      <c r="I2051" t="s">
        <v>28</v>
      </c>
      <c r="J2051">
        <v>100</v>
      </c>
      <c r="K2051">
        <v>100</v>
      </c>
      <c r="L2051" s="39">
        <f>IFERROR(IF(OR(J2051=0,K2051=""),"",IF(E2051="Positivo",MIN(MAX(K2051/J2051,0),1.3),MIN(MAX(J2051/K2051,0),1.3))),"")</f>
        <v>1</v>
      </c>
      <c r="M2051" s="39">
        <f>IFERROR(IF(OR(J2051=0,K2051=""),"",IF(E2051="Positivo",MAX(K2051/J2051,0),MAX(J2051/K2051,0))),"")</f>
        <v>1</v>
      </c>
      <c r="N2051" t="s">
        <v>25</v>
      </c>
      <c r="O2051" t="s">
        <v>25</v>
      </c>
      <c r="P2051">
        <v>0</v>
      </c>
      <c r="Q2051">
        <v>0</v>
      </c>
      <c r="R2051" t="s">
        <v>1146</v>
      </c>
    </row>
    <row r="2052" spans="1:19" x14ac:dyDescent="0.3">
      <c r="A2052">
        <v>412</v>
      </c>
      <c r="B2052" t="s">
        <v>1147</v>
      </c>
      <c r="C2052" t="s">
        <v>1078</v>
      </c>
      <c r="D2052" t="s">
        <v>71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100</v>
      </c>
      <c r="K2052">
        <v>100</v>
      </c>
      <c r="L2052" s="39">
        <f>IFERROR(IF(OR(J2052=0,K2052=""),"",IF(E2052="Positivo",MIN(MAX(K2052/J2052,0),1.3),MIN(MAX(J2052/K2052,0),1.3))),"")</f>
        <v>1</v>
      </c>
      <c r="M2052" s="39">
        <f>IFERROR(IF(OR(J2052=0,K2052=""),"",IF(E2052="Positivo",MAX(K2052/J2052,0),MAX(J2052/K2052,0))),"")</f>
        <v>1</v>
      </c>
      <c r="N2052" t="s">
        <v>25</v>
      </c>
      <c r="O2052" t="s">
        <v>25</v>
      </c>
      <c r="P2052">
        <v>0</v>
      </c>
      <c r="Q2052">
        <v>0</v>
      </c>
      <c r="R2052" t="s">
        <v>1148</v>
      </c>
    </row>
    <row r="2053" spans="1:19" x14ac:dyDescent="0.3">
      <c r="A2053">
        <v>412</v>
      </c>
      <c r="B2053" t="s">
        <v>1149</v>
      </c>
      <c r="C2053" t="s">
        <v>1078</v>
      </c>
      <c r="D2053" t="s">
        <v>71</v>
      </c>
      <c r="E2053" t="s">
        <v>22</v>
      </c>
      <c r="F2053" s="79">
        <v>45657</v>
      </c>
      <c r="G2053">
        <v>2024</v>
      </c>
      <c r="H2053" t="s">
        <v>23</v>
      </c>
      <c r="I2053" t="s">
        <v>30</v>
      </c>
      <c r="J2053">
        <v>100</v>
      </c>
      <c r="K2053">
        <v>100</v>
      </c>
      <c r="L2053" s="39">
        <f>IFERROR(IF(OR(J2053=0,K2053=""),"",IF(E2053="Positivo",MIN(MAX(K2053/J2053,0),1.3),MIN(MAX(J2053/K2053,0),1.3))),"")</f>
        <v>1</v>
      </c>
      <c r="M2053" s="39">
        <f>IFERROR(IF(OR(J2053=0,K2053=""),"",IF(E2053="Positivo",MAX(K2053/J2053,0),MAX(J2053/K2053,0))),"")</f>
        <v>1</v>
      </c>
      <c r="N2053" t="s">
        <v>25</v>
      </c>
      <c r="O2053" t="s">
        <v>25</v>
      </c>
      <c r="P2053">
        <v>0</v>
      </c>
      <c r="Q2053">
        <v>0</v>
      </c>
      <c r="R2053" t="s">
        <v>1150</v>
      </c>
    </row>
    <row r="2054" spans="1:19" x14ac:dyDescent="0.3">
      <c r="A2054">
        <v>413</v>
      </c>
      <c r="B2054" t="s">
        <v>1151</v>
      </c>
      <c r="C2054" t="s">
        <v>1078</v>
      </c>
      <c r="D2054" t="s">
        <v>71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K2054">
        <v>100</v>
      </c>
      <c r="L2054" s="39"/>
      <c r="M2054" s="39"/>
      <c r="N2054" t="s">
        <v>355</v>
      </c>
      <c r="O2054" t="s">
        <v>25</v>
      </c>
      <c r="P2054">
        <v>0</v>
      </c>
      <c r="Q2054">
        <v>0</v>
      </c>
      <c r="R2054" t="s">
        <v>1152</v>
      </c>
    </row>
    <row r="2055" spans="1:19" x14ac:dyDescent="0.3">
      <c r="A2055">
        <v>413</v>
      </c>
      <c r="B2055" t="s">
        <v>1153</v>
      </c>
      <c r="C2055" t="s">
        <v>1078</v>
      </c>
      <c r="D2055" t="s">
        <v>71</v>
      </c>
      <c r="E2055" t="s">
        <v>22</v>
      </c>
      <c r="F2055" s="79">
        <v>45657</v>
      </c>
      <c r="G2055">
        <v>2024</v>
      </c>
      <c r="H2055" t="s">
        <v>23</v>
      </c>
      <c r="I2055" t="s">
        <v>30</v>
      </c>
      <c r="J2055">
        <v>100</v>
      </c>
      <c r="K2055">
        <v>100</v>
      </c>
      <c r="L2055" s="39">
        <f>IFERROR(IF(OR(J2055=0,K2055=""),"",IF(E2055="Positivo",MIN(MAX(K2055/J2055,0),1.3),MIN(MAX(J2055/K2055,0),1.3))),"")</f>
        <v>1</v>
      </c>
      <c r="M2055" s="39">
        <f t="shared" ref="M2055:M2086" si="130">IFERROR(IF(OR(J2055=0,K2055=""),"",IF(E2055="Positivo",MAX(K2055/J2055,0),MAX(J2055/K2055,0))),"")</f>
        <v>1</v>
      </c>
      <c r="P2055">
        <v>0</v>
      </c>
      <c r="Q2055">
        <v>0</v>
      </c>
      <c r="R2055" t="s">
        <v>1154</v>
      </c>
    </row>
    <row r="2056" spans="1:19" x14ac:dyDescent="0.3">
      <c r="A2056">
        <v>413</v>
      </c>
      <c r="B2056" t="s">
        <v>1153</v>
      </c>
      <c r="C2056" t="s">
        <v>1078</v>
      </c>
      <c r="D2056" t="s">
        <v>71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 t="shared" si="130"/>
        <v>1</v>
      </c>
      <c r="N2056" t="s">
        <v>355</v>
      </c>
      <c r="O2056" t="s">
        <v>128</v>
      </c>
      <c r="P2056">
        <v>0</v>
      </c>
      <c r="Q2056">
        <v>0</v>
      </c>
      <c r="R2056" t="s">
        <v>1155</v>
      </c>
    </row>
    <row r="2057" spans="1:19" x14ac:dyDescent="0.3">
      <c r="A2057">
        <v>414</v>
      </c>
      <c r="B2057" t="s">
        <v>1156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ref="L2057:L2088" si="131">IFERROR(IF(OR(J2057=0,K2057=""),"",IF(E2057="Positivo",MIN(MAX(K2057/J2057,0),1),MIN(MAX(J2057/K2057,0),1))),"")</f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2871</v>
      </c>
    </row>
    <row r="2058" spans="1:19" x14ac:dyDescent="0.3">
      <c r="A2058">
        <v>414</v>
      </c>
      <c r="B2058" t="s">
        <v>1156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110.01</v>
      </c>
      <c r="L2058" s="39">
        <f t="shared" si="131"/>
        <v>1</v>
      </c>
      <c r="M2058" s="39">
        <f t="shared" si="130"/>
        <v>1.1001000000000001</v>
      </c>
      <c r="P2058">
        <v>0</v>
      </c>
      <c r="Q2058">
        <v>0</v>
      </c>
      <c r="R2058" t="s">
        <v>2872</v>
      </c>
    </row>
    <row r="2059" spans="1:19" x14ac:dyDescent="0.3">
      <c r="A2059">
        <v>414</v>
      </c>
      <c r="B2059" t="s">
        <v>1156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93.54</v>
      </c>
      <c r="L2059" s="39">
        <f t="shared" si="131"/>
        <v>0.93540000000000001</v>
      </c>
      <c r="M2059" s="39">
        <f t="shared" si="130"/>
        <v>0.93540000000000001</v>
      </c>
      <c r="P2059">
        <v>0</v>
      </c>
      <c r="Q2059">
        <v>0</v>
      </c>
      <c r="R2059" t="s">
        <v>2873</v>
      </c>
    </row>
    <row r="2060" spans="1:19" x14ac:dyDescent="0.3">
      <c r="A2060">
        <v>414</v>
      </c>
      <c r="B2060" t="s">
        <v>1156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96.28</v>
      </c>
      <c r="L2060" s="39">
        <f t="shared" si="131"/>
        <v>0.96279999999999999</v>
      </c>
      <c r="M2060" s="39">
        <f t="shared" si="130"/>
        <v>0.96279999999999999</v>
      </c>
      <c r="P2060">
        <v>0</v>
      </c>
      <c r="Q2060">
        <v>0</v>
      </c>
      <c r="R2060" t="s">
        <v>1157</v>
      </c>
    </row>
    <row r="2061" spans="1:19" x14ac:dyDescent="0.3">
      <c r="A2061">
        <v>414</v>
      </c>
      <c r="B2061" t="s">
        <v>1156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99.3</v>
      </c>
      <c r="L2061" s="39">
        <f t="shared" si="131"/>
        <v>0.99299999999999999</v>
      </c>
      <c r="M2061" s="39">
        <f t="shared" si="130"/>
        <v>0.99299999999999999</v>
      </c>
      <c r="P2061">
        <v>0</v>
      </c>
      <c r="Q2061">
        <v>0</v>
      </c>
      <c r="R2061" t="s">
        <v>2874</v>
      </c>
    </row>
    <row r="2062" spans="1:19" x14ac:dyDescent="0.3">
      <c r="A2062">
        <v>414</v>
      </c>
      <c r="B2062" t="s">
        <v>1156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100.06</v>
      </c>
      <c r="L2062" s="39">
        <f t="shared" si="131"/>
        <v>1</v>
      </c>
      <c r="M2062" s="39">
        <f t="shared" si="130"/>
        <v>1.0005999999999999</v>
      </c>
      <c r="P2062">
        <v>0</v>
      </c>
      <c r="Q2062">
        <v>0</v>
      </c>
      <c r="R2062" t="s">
        <v>2875</v>
      </c>
    </row>
    <row r="2063" spans="1:19" x14ac:dyDescent="0.3">
      <c r="A2063">
        <v>414</v>
      </c>
      <c r="B2063" t="s">
        <v>1156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99.38</v>
      </c>
      <c r="L2063" s="39">
        <f t="shared" si="131"/>
        <v>0.99379999999999991</v>
      </c>
      <c r="M2063" s="39">
        <f t="shared" si="130"/>
        <v>0.99379999999999991</v>
      </c>
      <c r="P2063">
        <v>0</v>
      </c>
      <c r="Q2063">
        <v>0</v>
      </c>
      <c r="R2063" t="s">
        <v>2876</v>
      </c>
    </row>
    <row r="2064" spans="1:19" x14ac:dyDescent="0.3">
      <c r="A2064">
        <v>414</v>
      </c>
      <c r="B2064" t="s">
        <v>1156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98.78</v>
      </c>
      <c r="L2064" s="39">
        <f t="shared" si="131"/>
        <v>0.98780000000000001</v>
      </c>
      <c r="M2064" s="39">
        <f t="shared" si="130"/>
        <v>0.98780000000000001</v>
      </c>
      <c r="P2064">
        <v>0</v>
      </c>
      <c r="Q2064">
        <v>0</v>
      </c>
      <c r="R2064" t="s">
        <v>1158</v>
      </c>
    </row>
    <row r="2065" spans="1:18" x14ac:dyDescent="0.3">
      <c r="A2065">
        <v>414</v>
      </c>
      <c r="B2065" t="s">
        <v>1156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110.79</v>
      </c>
      <c r="L2065" s="39">
        <f t="shared" si="131"/>
        <v>1</v>
      </c>
      <c r="M2065" s="39">
        <f t="shared" si="130"/>
        <v>1.1079000000000001</v>
      </c>
      <c r="N2065" t="s">
        <v>25</v>
      </c>
      <c r="O2065" t="s">
        <v>25</v>
      </c>
      <c r="P2065">
        <v>0</v>
      </c>
      <c r="Q2065">
        <v>0</v>
      </c>
      <c r="R2065" t="s">
        <v>2877</v>
      </c>
    </row>
    <row r="2066" spans="1:18" x14ac:dyDescent="0.3">
      <c r="A2066">
        <v>414</v>
      </c>
      <c r="B2066" t="s">
        <v>1156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108.55</v>
      </c>
      <c r="L2066" s="39">
        <f t="shared" si="131"/>
        <v>1</v>
      </c>
      <c r="M2066" s="39">
        <f t="shared" si="130"/>
        <v>1.0854999999999999</v>
      </c>
      <c r="N2066" t="s">
        <v>25</v>
      </c>
      <c r="O2066" t="s">
        <v>25</v>
      </c>
      <c r="P2066">
        <v>0</v>
      </c>
      <c r="Q2066">
        <v>0</v>
      </c>
      <c r="R2066" t="s">
        <v>2878</v>
      </c>
    </row>
    <row r="2067" spans="1:18" x14ac:dyDescent="0.3">
      <c r="A2067">
        <v>414</v>
      </c>
      <c r="B2067" t="s">
        <v>1156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93.6</v>
      </c>
      <c r="L2067" s="39">
        <f t="shared" si="131"/>
        <v>0.93599999999999994</v>
      </c>
      <c r="M2067" s="39">
        <f t="shared" si="130"/>
        <v>0.93599999999999994</v>
      </c>
      <c r="N2067" t="s">
        <v>25</v>
      </c>
      <c r="O2067" t="s">
        <v>25</v>
      </c>
      <c r="P2067">
        <v>0</v>
      </c>
      <c r="Q2067">
        <v>0</v>
      </c>
      <c r="R2067" t="s">
        <v>2879</v>
      </c>
    </row>
    <row r="2068" spans="1:18" x14ac:dyDescent="0.3">
      <c r="A2068">
        <v>414</v>
      </c>
      <c r="B2068" t="s">
        <v>1156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98.87</v>
      </c>
      <c r="L2068" s="39">
        <f t="shared" si="131"/>
        <v>0.98870000000000002</v>
      </c>
      <c r="M2068" s="39">
        <f t="shared" si="130"/>
        <v>0.98870000000000002</v>
      </c>
      <c r="N2068" t="s">
        <v>25</v>
      </c>
      <c r="O2068" t="s">
        <v>25</v>
      </c>
      <c r="P2068">
        <v>0</v>
      </c>
      <c r="Q2068">
        <v>0</v>
      </c>
      <c r="R2068" t="s">
        <v>1159</v>
      </c>
    </row>
    <row r="2069" spans="1:18" x14ac:dyDescent="0.3">
      <c r="A2069">
        <v>415</v>
      </c>
      <c r="B2069" t="s">
        <v>1160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2880</v>
      </c>
    </row>
    <row r="2070" spans="1:18" x14ac:dyDescent="0.3">
      <c r="A2070">
        <v>415</v>
      </c>
      <c r="B2070" t="s">
        <v>1160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94.04</v>
      </c>
      <c r="L2070" s="39">
        <f t="shared" si="131"/>
        <v>0.94040000000000001</v>
      </c>
      <c r="M2070" s="39">
        <f t="shared" si="130"/>
        <v>0.94040000000000001</v>
      </c>
      <c r="P2070">
        <v>0</v>
      </c>
      <c r="Q2070">
        <v>0</v>
      </c>
      <c r="R2070" t="s">
        <v>2881</v>
      </c>
    </row>
    <row r="2071" spans="1:18" x14ac:dyDescent="0.3">
      <c r="A2071">
        <v>415</v>
      </c>
      <c r="B2071" t="s">
        <v>1160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93.94</v>
      </c>
      <c r="L2071" s="39">
        <f t="shared" si="131"/>
        <v>0.93940000000000001</v>
      </c>
      <c r="M2071" s="39">
        <f t="shared" si="130"/>
        <v>0.93940000000000001</v>
      </c>
      <c r="P2071">
        <v>0</v>
      </c>
      <c r="Q2071">
        <v>0</v>
      </c>
      <c r="R2071" t="s">
        <v>2882</v>
      </c>
    </row>
    <row r="2072" spans="1:18" x14ac:dyDescent="0.3">
      <c r="A2072">
        <v>415</v>
      </c>
      <c r="B2072" t="s">
        <v>1160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96</v>
      </c>
      <c r="L2072" s="39">
        <f t="shared" si="131"/>
        <v>0.96</v>
      </c>
      <c r="M2072" s="39">
        <f t="shared" si="130"/>
        <v>0.96</v>
      </c>
      <c r="P2072">
        <v>0</v>
      </c>
      <c r="Q2072">
        <v>0</v>
      </c>
      <c r="R2072" t="s">
        <v>1161</v>
      </c>
    </row>
    <row r="2073" spans="1:18" x14ac:dyDescent="0.3">
      <c r="A2073">
        <v>415</v>
      </c>
      <c r="B2073" t="s">
        <v>1160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80.790000000000006</v>
      </c>
      <c r="L2073" s="39">
        <f t="shared" si="131"/>
        <v>0.80790000000000006</v>
      </c>
      <c r="M2073" s="39">
        <f t="shared" si="130"/>
        <v>0.80790000000000006</v>
      </c>
      <c r="P2073">
        <v>0</v>
      </c>
      <c r="Q2073">
        <v>0</v>
      </c>
      <c r="R2073" t="s">
        <v>2883</v>
      </c>
    </row>
    <row r="2074" spans="1:18" x14ac:dyDescent="0.3">
      <c r="A2074">
        <v>415</v>
      </c>
      <c r="B2074" t="s">
        <v>1160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93.04</v>
      </c>
      <c r="L2074" s="39">
        <f t="shared" si="131"/>
        <v>0.93040000000000012</v>
      </c>
      <c r="M2074" s="39">
        <f t="shared" si="130"/>
        <v>0.93040000000000012</v>
      </c>
      <c r="P2074">
        <v>0</v>
      </c>
      <c r="Q2074">
        <v>0</v>
      </c>
      <c r="R2074" t="s">
        <v>2884</v>
      </c>
    </row>
    <row r="2075" spans="1:18" x14ac:dyDescent="0.3">
      <c r="A2075">
        <v>415</v>
      </c>
      <c r="B2075" t="s">
        <v>1160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92.46</v>
      </c>
      <c r="L2075" s="39">
        <f t="shared" si="131"/>
        <v>0.92459999999999998</v>
      </c>
      <c r="M2075" s="39">
        <f t="shared" si="130"/>
        <v>0.92459999999999998</v>
      </c>
      <c r="P2075">
        <v>0</v>
      </c>
      <c r="Q2075">
        <v>0</v>
      </c>
      <c r="R2075" t="s">
        <v>2885</v>
      </c>
    </row>
    <row r="2076" spans="1:18" x14ac:dyDescent="0.3">
      <c r="A2076">
        <v>415</v>
      </c>
      <c r="B2076" t="s">
        <v>1160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98.36</v>
      </c>
      <c r="L2076" s="39">
        <f t="shared" si="131"/>
        <v>0.98360000000000003</v>
      </c>
      <c r="M2076" s="39">
        <f t="shared" si="130"/>
        <v>0.98360000000000003</v>
      </c>
      <c r="P2076">
        <v>0</v>
      </c>
      <c r="Q2076">
        <v>0</v>
      </c>
      <c r="R2076" t="s">
        <v>1162</v>
      </c>
    </row>
    <row r="2077" spans="1:18" x14ac:dyDescent="0.3">
      <c r="A2077">
        <v>415</v>
      </c>
      <c r="B2077" t="s">
        <v>1160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104.76</v>
      </c>
      <c r="L2077" s="39">
        <f t="shared" si="131"/>
        <v>1</v>
      </c>
      <c r="M2077" s="39">
        <f t="shared" si="130"/>
        <v>1.0476000000000001</v>
      </c>
      <c r="N2077" t="s">
        <v>25</v>
      </c>
      <c r="O2077" t="s">
        <v>25</v>
      </c>
      <c r="P2077">
        <v>0</v>
      </c>
      <c r="Q2077">
        <v>0</v>
      </c>
      <c r="R2077" t="s">
        <v>2886</v>
      </c>
    </row>
    <row r="2078" spans="1:18" x14ac:dyDescent="0.3">
      <c r="A2078">
        <v>415</v>
      </c>
      <c r="B2078" t="s">
        <v>1160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96.44</v>
      </c>
      <c r="L2078" s="39">
        <f t="shared" si="131"/>
        <v>0.96439999999999992</v>
      </c>
      <c r="M2078" s="39">
        <f t="shared" si="130"/>
        <v>0.96439999999999992</v>
      </c>
      <c r="N2078" t="s">
        <v>25</v>
      </c>
      <c r="O2078" t="s">
        <v>25</v>
      </c>
      <c r="P2078">
        <v>0</v>
      </c>
      <c r="Q2078">
        <v>0</v>
      </c>
      <c r="R2078" t="s">
        <v>2887</v>
      </c>
    </row>
    <row r="2079" spans="1:18" x14ac:dyDescent="0.3">
      <c r="A2079">
        <v>415</v>
      </c>
      <c r="B2079" t="s">
        <v>1160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95.56</v>
      </c>
      <c r="L2079" s="39">
        <f t="shared" si="131"/>
        <v>0.9556</v>
      </c>
      <c r="M2079" s="39">
        <f t="shared" si="130"/>
        <v>0.9556</v>
      </c>
      <c r="N2079" t="s">
        <v>25</v>
      </c>
      <c r="O2079" t="s">
        <v>25</v>
      </c>
      <c r="P2079">
        <v>0</v>
      </c>
      <c r="Q2079">
        <v>0</v>
      </c>
      <c r="R2079" t="s">
        <v>2888</v>
      </c>
    </row>
    <row r="2080" spans="1:18" x14ac:dyDescent="0.3">
      <c r="A2080">
        <v>415</v>
      </c>
      <c r="B2080" t="s">
        <v>1160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99.3</v>
      </c>
      <c r="L2080" s="39">
        <f t="shared" si="131"/>
        <v>0.99299999999999999</v>
      </c>
      <c r="M2080" s="39">
        <f t="shared" si="130"/>
        <v>0.99299999999999999</v>
      </c>
      <c r="N2080" t="s">
        <v>25</v>
      </c>
      <c r="O2080" t="s">
        <v>25</v>
      </c>
      <c r="P2080">
        <v>0</v>
      </c>
      <c r="Q2080">
        <v>0</v>
      </c>
      <c r="R2080" t="s">
        <v>1163</v>
      </c>
    </row>
    <row r="2081" spans="1:18" x14ac:dyDescent="0.3">
      <c r="A2081">
        <v>416</v>
      </c>
      <c r="B2081" t="s">
        <v>1164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1"/>
        <v>0</v>
      </c>
      <c r="M2081" s="39">
        <f t="shared" si="130"/>
        <v>0</v>
      </c>
      <c r="N2081" t="s">
        <v>25</v>
      </c>
      <c r="O2081" t="s">
        <v>25</v>
      </c>
      <c r="P2081">
        <v>0</v>
      </c>
      <c r="Q2081">
        <v>0</v>
      </c>
      <c r="R2081" t="s">
        <v>2889</v>
      </c>
    </row>
    <row r="2082" spans="1:18" x14ac:dyDescent="0.3">
      <c r="A2082">
        <v>416</v>
      </c>
      <c r="B2082" t="s">
        <v>1164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95.74</v>
      </c>
      <c r="L2082" s="39">
        <f t="shared" si="131"/>
        <v>0.95739999999999992</v>
      </c>
      <c r="M2082" s="39">
        <f t="shared" si="130"/>
        <v>0.95739999999999992</v>
      </c>
      <c r="P2082">
        <v>0</v>
      </c>
      <c r="Q2082">
        <v>0</v>
      </c>
      <c r="R2082" t="s">
        <v>2890</v>
      </c>
    </row>
    <row r="2083" spans="1:18" x14ac:dyDescent="0.3">
      <c r="A2083">
        <v>416</v>
      </c>
      <c r="B2083" t="s">
        <v>1164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87.94</v>
      </c>
      <c r="L2083" s="39">
        <f t="shared" si="131"/>
        <v>0.87939999999999996</v>
      </c>
      <c r="M2083" s="39">
        <f t="shared" si="130"/>
        <v>0.87939999999999996</v>
      </c>
      <c r="P2083">
        <v>0</v>
      </c>
      <c r="Q2083">
        <v>0</v>
      </c>
      <c r="R2083" t="s">
        <v>2891</v>
      </c>
    </row>
    <row r="2084" spans="1:18" x14ac:dyDescent="0.3">
      <c r="A2084">
        <v>416</v>
      </c>
      <c r="B2084" t="s">
        <v>1164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98</v>
      </c>
      <c r="L2084" s="39">
        <f t="shared" si="131"/>
        <v>0.98</v>
      </c>
      <c r="M2084" s="39">
        <f t="shared" si="130"/>
        <v>0.98</v>
      </c>
      <c r="P2084">
        <v>0</v>
      </c>
      <c r="Q2084">
        <v>0</v>
      </c>
      <c r="R2084" t="s">
        <v>1165</v>
      </c>
    </row>
    <row r="2085" spans="1:18" x14ac:dyDescent="0.3">
      <c r="A2085">
        <v>416</v>
      </c>
      <c r="B2085" t="s">
        <v>1164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120.07</v>
      </c>
      <c r="L2085" s="39">
        <f t="shared" si="131"/>
        <v>1</v>
      </c>
      <c r="M2085" s="39">
        <f t="shared" si="130"/>
        <v>1.2006999999999999</v>
      </c>
      <c r="P2085">
        <v>0</v>
      </c>
      <c r="Q2085">
        <v>0</v>
      </c>
      <c r="R2085" t="s">
        <v>2892</v>
      </c>
    </row>
    <row r="2086" spans="1:18" x14ac:dyDescent="0.3">
      <c r="A2086">
        <v>416</v>
      </c>
      <c r="B2086" t="s">
        <v>1164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117.1</v>
      </c>
      <c r="L2086" s="39">
        <f t="shared" si="131"/>
        <v>1</v>
      </c>
      <c r="M2086" s="39">
        <f t="shared" si="130"/>
        <v>1.171</v>
      </c>
      <c r="P2086">
        <v>0</v>
      </c>
      <c r="Q2086">
        <v>0</v>
      </c>
      <c r="R2086" t="s">
        <v>2893</v>
      </c>
    </row>
    <row r="2087" spans="1:18" x14ac:dyDescent="0.3">
      <c r="A2087">
        <v>416</v>
      </c>
      <c r="B2087" t="s">
        <v>1164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99.81</v>
      </c>
      <c r="L2087" s="39">
        <f t="shared" si="131"/>
        <v>0.99809999999999999</v>
      </c>
      <c r="M2087" s="39">
        <f t="shared" ref="M2087:M2118" si="132">IFERROR(IF(OR(J2087=0,K2087=""),"",IF(E2087="Positivo",MAX(K2087/J2087,0),MAX(J2087/K2087,0))),"")</f>
        <v>0.99809999999999999</v>
      </c>
      <c r="P2087">
        <v>0</v>
      </c>
      <c r="Q2087">
        <v>0</v>
      </c>
      <c r="R2087" t="s">
        <v>2894</v>
      </c>
    </row>
    <row r="2088" spans="1:18" x14ac:dyDescent="0.3">
      <c r="A2088">
        <v>416</v>
      </c>
      <c r="B2088" t="s">
        <v>1164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100</v>
      </c>
      <c r="L2088" s="39">
        <f t="shared" si="131"/>
        <v>1</v>
      </c>
      <c r="M2088" s="39">
        <f t="shared" si="132"/>
        <v>1</v>
      </c>
      <c r="P2088">
        <v>0</v>
      </c>
      <c r="Q2088">
        <v>0</v>
      </c>
      <c r="R2088" t="s">
        <v>1166</v>
      </c>
    </row>
    <row r="2089" spans="1:18" x14ac:dyDescent="0.3">
      <c r="A2089">
        <v>416</v>
      </c>
      <c r="B2089" t="s">
        <v>1164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170.92</v>
      </c>
      <c r="L2089" s="39">
        <f t="shared" ref="L2089:L2116" si="133">IFERROR(IF(OR(J2089=0,K2089=""),"",IF(E2089="Positivo",MIN(MAX(K2089/J2089,0),1),MIN(MAX(J2089/K2089,0),1))),"")</f>
        <v>1</v>
      </c>
      <c r="M2089" s="39">
        <f t="shared" si="132"/>
        <v>1.7091999999999998</v>
      </c>
      <c r="N2089" t="s">
        <v>25</v>
      </c>
      <c r="O2089" t="s">
        <v>25</v>
      </c>
      <c r="P2089">
        <v>0</v>
      </c>
      <c r="Q2089">
        <v>0</v>
      </c>
      <c r="R2089" t="s">
        <v>2895</v>
      </c>
    </row>
    <row r="2090" spans="1:18" x14ac:dyDescent="0.3">
      <c r="A2090">
        <v>416</v>
      </c>
      <c r="B2090" t="s">
        <v>1164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109.24</v>
      </c>
      <c r="L2090" s="39">
        <f t="shared" si="133"/>
        <v>1</v>
      </c>
      <c r="M2090" s="39">
        <f t="shared" si="132"/>
        <v>1.0924</v>
      </c>
      <c r="N2090" t="s">
        <v>25</v>
      </c>
      <c r="O2090" t="s">
        <v>25</v>
      </c>
      <c r="P2090">
        <v>0</v>
      </c>
      <c r="Q2090">
        <v>0</v>
      </c>
      <c r="R2090" t="s">
        <v>2896</v>
      </c>
    </row>
    <row r="2091" spans="1:18" x14ac:dyDescent="0.3">
      <c r="A2091">
        <v>416</v>
      </c>
      <c r="B2091" t="s">
        <v>1164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96.48</v>
      </c>
      <c r="L2091" s="39">
        <f t="shared" si="133"/>
        <v>0.96479999999999999</v>
      </c>
      <c r="M2091" s="39">
        <f t="shared" si="132"/>
        <v>0.96479999999999999</v>
      </c>
      <c r="N2091" t="s">
        <v>25</v>
      </c>
      <c r="O2091" t="s">
        <v>25</v>
      </c>
      <c r="P2091">
        <v>0</v>
      </c>
      <c r="Q2091">
        <v>0</v>
      </c>
      <c r="R2091" t="s">
        <v>2897</v>
      </c>
    </row>
    <row r="2092" spans="1:18" x14ac:dyDescent="0.3">
      <c r="A2092">
        <v>416</v>
      </c>
      <c r="B2092" t="s">
        <v>1164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100</v>
      </c>
      <c r="L2092" s="39">
        <f t="shared" si="133"/>
        <v>1</v>
      </c>
      <c r="M2092" s="39">
        <f t="shared" si="132"/>
        <v>1</v>
      </c>
      <c r="N2092" t="s">
        <v>25</v>
      </c>
      <c r="O2092" t="s">
        <v>25</v>
      </c>
      <c r="P2092">
        <v>0</v>
      </c>
      <c r="Q2092">
        <v>0</v>
      </c>
      <c r="R2092" t="s">
        <v>1167</v>
      </c>
    </row>
    <row r="2093" spans="1:18" x14ac:dyDescent="0.3">
      <c r="A2093">
        <v>417</v>
      </c>
      <c r="B2093" t="s">
        <v>1168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2898</v>
      </c>
    </row>
    <row r="2094" spans="1:18" x14ac:dyDescent="0.3">
      <c r="A2094">
        <v>417</v>
      </c>
      <c r="B2094" t="s">
        <v>1168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110.66833333333</v>
      </c>
      <c r="L2094" s="39">
        <f t="shared" si="133"/>
        <v>1</v>
      </c>
      <c r="M2094" s="39">
        <f t="shared" si="132"/>
        <v>1.1066833333332999</v>
      </c>
      <c r="P2094">
        <v>0</v>
      </c>
      <c r="Q2094">
        <v>0</v>
      </c>
      <c r="R2094" t="s">
        <v>2899</v>
      </c>
    </row>
    <row r="2095" spans="1:18" x14ac:dyDescent="0.3">
      <c r="A2095">
        <v>417</v>
      </c>
      <c r="B2095" t="s">
        <v>1168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93.756666666667002</v>
      </c>
      <c r="L2095" s="39">
        <f t="shared" si="133"/>
        <v>0.93756666666666999</v>
      </c>
      <c r="M2095" s="39">
        <f t="shared" si="132"/>
        <v>0.93756666666666999</v>
      </c>
      <c r="P2095">
        <v>0</v>
      </c>
      <c r="Q2095">
        <v>0</v>
      </c>
      <c r="R2095" t="s">
        <v>2900</v>
      </c>
    </row>
    <row r="2096" spans="1:18" x14ac:dyDescent="0.3">
      <c r="A2096">
        <v>417</v>
      </c>
      <c r="B2096" t="s">
        <v>1168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94.39</v>
      </c>
      <c r="L2096" s="39">
        <f t="shared" si="133"/>
        <v>0.94389999999999996</v>
      </c>
      <c r="M2096" s="39">
        <f t="shared" si="132"/>
        <v>0.94389999999999996</v>
      </c>
      <c r="P2096">
        <v>0</v>
      </c>
      <c r="Q2096">
        <v>0</v>
      </c>
      <c r="R2096" t="s">
        <v>1169</v>
      </c>
    </row>
    <row r="2097" spans="1:18" x14ac:dyDescent="0.3">
      <c r="A2097">
        <v>417</v>
      </c>
      <c r="B2097" t="s">
        <v>1168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99.01</v>
      </c>
      <c r="L2097" s="39">
        <f t="shared" si="133"/>
        <v>0.99010000000000009</v>
      </c>
      <c r="M2097" s="39">
        <f t="shared" si="132"/>
        <v>0.99010000000000009</v>
      </c>
      <c r="P2097">
        <v>0</v>
      </c>
      <c r="Q2097">
        <v>0</v>
      </c>
      <c r="R2097" t="s">
        <v>2901</v>
      </c>
    </row>
    <row r="2098" spans="1:18" x14ac:dyDescent="0.3">
      <c r="A2098">
        <v>417</v>
      </c>
      <c r="B2098" t="s">
        <v>1168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112.12</v>
      </c>
      <c r="L2098" s="39">
        <f t="shared" si="133"/>
        <v>1</v>
      </c>
      <c r="M2098" s="39">
        <f t="shared" si="132"/>
        <v>1.1212</v>
      </c>
      <c r="P2098">
        <v>0</v>
      </c>
      <c r="Q2098">
        <v>0</v>
      </c>
      <c r="R2098" t="s">
        <v>2902</v>
      </c>
    </row>
    <row r="2099" spans="1:18" x14ac:dyDescent="0.3">
      <c r="A2099">
        <v>417</v>
      </c>
      <c r="B2099" t="s">
        <v>1168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100.19</v>
      </c>
      <c r="L2099" s="39">
        <f t="shared" si="133"/>
        <v>1</v>
      </c>
      <c r="M2099" s="39">
        <f t="shared" si="132"/>
        <v>1.0019</v>
      </c>
      <c r="P2099">
        <v>0</v>
      </c>
      <c r="Q2099">
        <v>0</v>
      </c>
      <c r="R2099" t="s">
        <v>2903</v>
      </c>
    </row>
    <row r="2100" spans="1:18" x14ac:dyDescent="0.3">
      <c r="A2100">
        <v>417</v>
      </c>
      <c r="B2100" t="s">
        <v>1168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98.83</v>
      </c>
      <c r="L2100" s="39">
        <f t="shared" si="133"/>
        <v>0.98829999999999996</v>
      </c>
      <c r="M2100" s="39">
        <f t="shared" si="132"/>
        <v>0.98829999999999996</v>
      </c>
      <c r="P2100">
        <v>0</v>
      </c>
      <c r="Q2100">
        <v>0</v>
      </c>
      <c r="R2100" t="s">
        <v>1170</v>
      </c>
    </row>
    <row r="2101" spans="1:18" x14ac:dyDescent="0.3">
      <c r="A2101">
        <v>417</v>
      </c>
      <c r="B2101" t="s">
        <v>1168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93.68</v>
      </c>
      <c r="L2101" s="39">
        <f t="shared" si="133"/>
        <v>0.93680000000000008</v>
      </c>
      <c r="M2101" s="39">
        <f t="shared" si="132"/>
        <v>0.93680000000000008</v>
      </c>
      <c r="N2101" t="s">
        <v>25</v>
      </c>
      <c r="O2101" t="s">
        <v>25</v>
      </c>
      <c r="P2101">
        <v>0</v>
      </c>
      <c r="Q2101">
        <v>0</v>
      </c>
      <c r="R2101" t="s">
        <v>2904</v>
      </c>
    </row>
    <row r="2102" spans="1:18" x14ac:dyDescent="0.3">
      <c r="A2102">
        <v>417</v>
      </c>
      <c r="B2102" t="s">
        <v>1168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101.28</v>
      </c>
      <c r="L2102" s="39">
        <f t="shared" si="133"/>
        <v>1</v>
      </c>
      <c r="M2102" s="39">
        <f t="shared" si="132"/>
        <v>1.0127999999999999</v>
      </c>
      <c r="N2102" t="s">
        <v>25</v>
      </c>
      <c r="O2102" t="s">
        <v>25</v>
      </c>
      <c r="P2102">
        <v>0</v>
      </c>
      <c r="Q2102">
        <v>0</v>
      </c>
      <c r="R2102" t="s">
        <v>2905</v>
      </c>
    </row>
    <row r="2103" spans="1:18" x14ac:dyDescent="0.3">
      <c r="A2103">
        <v>417</v>
      </c>
      <c r="B2103" t="s">
        <v>1168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99.34</v>
      </c>
      <c r="L2103" s="39">
        <f t="shared" si="133"/>
        <v>0.99340000000000006</v>
      </c>
      <c r="M2103" s="39">
        <f t="shared" si="132"/>
        <v>0.99340000000000006</v>
      </c>
      <c r="N2103" t="s">
        <v>25</v>
      </c>
      <c r="O2103" t="s">
        <v>25</v>
      </c>
      <c r="P2103">
        <v>0</v>
      </c>
      <c r="Q2103">
        <v>0</v>
      </c>
      <c r="R2103" t="s">
        <v>2906</v>
      </c>
    </row>
    <row r="2104" spans="1:18" x14ac:dyDescent="0.3">
      <c r="A2104">
        <v>417</v>
      </c>
      <c r="B2104" t="s">
        <v>1168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97.99</v>
      </c>
      <c r="L2104" s="39">
        <f t="shared" si="133"/>
        <v>0.97989999999999999</v>
      </c>
      <c r="M2104" s="39">
        <f t="shared" si="132"/>
        <v>0.97989999999999999</v>
      </c>
      <c r="N2104" t="s">
        <v>25</v>
      </c>
      <c r="O2104" t="s">
        <v>25</v>
      </c>
      <c r="P2104">
        <v>0</v>
      </c>
      <c r="Q2104">
        <v>0</v>
      </c>
      <c r="R2104" t="s">
        <v>1171</v>
      </c>
    </row>
    <row r="2105" spans="1:18" x14ac:dyDescent="0.3">
      <c r="A2105">
        <v>418</v>
      </c>
      <c r="B2105" t="s">
        <v>1172</v>
      </c>
      <c r="C2105" t="s">
        <v>567</v>
      </c>
      <c r="D2105" t="s">
        <v>27</v>
      </c>
      <c r="E2105" t="s">
        <v>22</v>
      </c>
      <c r="F2105" s="79">
        <v>45016</v>
      </c>
      <c r="G2105">
        <v>2023</v>
      </c>
      <c r="H2105" t="s">
        <v>1516</v>
      </c>
      <c r="I2105" t="s">
        <v>1512</v>
      </c>
      <c r="J2105">
        <v>100</v>
      </c>
      <c r="K2105">
        <v>0</v>
      </c>
      <c r="L2105" s="39">
        <f t="shared" si="133"/>
        <v>0</v>
      </c>
      <c r="M2105" s="39">
        <f t="shared" si="132"/>
        <v>0</v>
      </c>
      <c r="N2105" t="s">
        <v>25</v>
      </c>
      <c r="O2105" t="s">
        <v>25</v>
      </c>
      <c r="P2105">
        <v>0</v>
      </c>
      <c r="Q2105">
        <v>0</v>
      </c>
      <c r="R2105" t="s">
        <v>2907</v>
      </c>
    </row>
    <row r="2106" spans="1:18" x14ac:dyDescent="0.3">
      <c r="A2106">
        <v>418</v>
      </c>
      <c r="B2106" t="s">
        <v>1172</v>
      </c>
      <c r="D2106" t="s">
        <v>21</v>
      </c>
      <c r="E2106" t="s">
        <v>22</v>
      </c>
      <c r="F2106" s="79">
        <v>45107</v>
      </c>
      <c r="G2106">
        <v>2023</v>
      </c>
      <c r="H2106" t="s">
        <v>699</v>
      </c>
      <c r="I2106" t="s">
        <v>1512</v>
      </c>
      <c r="J2106">
        <v>100</v>
      </c>
      <c r="K2106">
        <v>104.35666666666999</v>
      </c>
      <c r="L2106" s="39">
        <f t="shared" si="133"/>
        <v>1</v>
      </c>
      <c r="M2106" s="39">
        <f t="shared" si="132"/>
        <v>1.0435666666666998</v>
      </c>
      <c r="P2106">
        <v>0</v>
      </c>
      <c r="Q2106">
        <v>0</v>
      </c>
      <c r="R2106" t="s">
        <v>2908</v>
      </c>
    </row>
    <row r="2107" spans="1:18" x14ac:dyDescent="0.3">
      <c r="A2107">
        <v>418</v>
      </c>
      <c r="B2107" t="s">
        <v>1172</v>
      </c>
      <c r="D2107" t="s">
        <v>21</v>
      </c>
      <c r="E2107" t="s">
        <v>22</v>
      </c>
      <c r="F2107" s="79">
        <v>45199</v>
      </c>
      <c r="G2107">
        <v>2023</v>
      </c>
      <c r="H2107" t="s">
        <v>162</v>
      </c>
      <c r="I2107" t="s">
        <v>28</v>
      </c>
      <c r="J2107">
        <v>100</v>
      </c>
      <c r="K2107">
        <v>85.611111111111001</v>
      </c>
      <c r="L2107" s="39">
        <f t="shared" si="133"/>
        <v>0.85611111111111005</v>
      </c>
      <c r="M2107" s="39">
        <f t="shared" si="132"/>
        <v>0.85611111111111005</v>
      </c>
      <c r="P2107">
        <v>0</v>
      </c>
      <c r="Q2107">
        <v>0</v>
      </c>
      <c r="R2107" t="s">
        <v>2909</v>
      </c>
    </row>
    <row r="2108" spans="1:18" x14ac:dyDescent="0.3">
      <c r="A2108">
        <v>418</v>
      </c>
      <c r="B2108" t="s">
        <v>1172</v>
      </c>
      <c r="D2108" t="s">
        <v>21</v>
      </c>
      <c r="E2108" t="s">
        <v>22</v>
      </c>
      <c r="F2108" s="79">
        <v>45291</v>
      </c>
      <c r="G2108">
        <v>2023</v>
      </c>
      <c r="H2108" t="s">
        <v>23</v>
      </c>
      <c r="I2108" t="s">
        <v>28</v>
      </c>
      <c r="J2108">
        <v>100</v>
      </c>
      <c r="K2108">
        <v>95.802222222221999</v>
      </c>
      <c r="L2108" s="39">
        <f t="shared" si="133"/>
        <v>0.95802222222222</v>
      </c>
      <c r="M2108" s="39">
        <f t="shared" si="132"/>
        <v>0.95802222222222</v>
      </c>
      <c r="P2108">
        <v>0</v>
      </c>
      <c r="Q2108">
        <v>0</v>
      </c>
      <c r="R2108" t="s">
        <v>1173</v>
      </c>
    </row>
    <row r="2109" spans="1:18" x14ac:dyDescent="0.3">
      <c r="A2109">
        <v>418</v>
      </c>
      <c r="B2109" t="s">
        <v>1172</v>
      </c>
      <c r="C2109" t="s">
        <v>567</v>
      </c>
      <c r="D2109" t="s">
        <v>21</v>
      </c>
      <c r="E2109" t="s">
        <v>22</v>
      </c>
      <c r="F2109" s="79">
        <v>45382</v>
      </c>
      <c r="G2109">
        <v>2024</v>
      </c>
      <c r="H2109" t="s">
        <v>1516</v>
      </c>
      <c r="I2109" t="s">
        <v>729</v>
      </c>
      <c r="J2109">
        <v>100</v>
      </c>
      <c r="K2109">
        <v>105.5</v>
      </c>
      <c r="L2109" s="39">
        <f t="shared" si="133"/>
        <v>1</v>
      </c>
      <c r="M2109" s="39">
        <f t="shared" si="132"/>
        <v>1.0549999999999999</v>
      </c>
      <c r="P2109">
        <v>0</v>
      </c>
      <c r="Q2109">
        <v>0</v>
      </c>
      <c r="R2109" t="s">
        <v>2910</v>
      </c>
    </row>
    <row r="2110" spans="1:18" x14ac:dyDescent="0.3">
      <c r="A2110">
        <v>418</v>
      </c>
      <c r="B2110" t="s">
        <v>1172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100.79</v>
      </c>
      <c r="L2110" s="39">
        <f t="shared" si="133"/>
        <v>1</v>
      </c>
      <c r="M2110" s="39">
        <f t="shared" si="132"/>
        <v>1.0079</v>
      </c>
      <c r="P2110">
        <v>0</v>
      </c>
      <c r="Q2110">
        <v>0</v>
      </c>
      <c r="R2110" t="s">
        <v>2911</v>
      </c>
    </row>
    <row r="2111" spans="1:18" x14ac:dyDescent="0.3">
      <c r="A2111">
        <v>418</v>
      </c>
      <c r="B2111" t="s">
        <v>1172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97.2</v>
      </c>
      <c r="L2111" s="39">
        <f t="shared" si="133"/>
        <v>0.97199999999999998</v>
      </c>
      <c r="M2111" s="39">
        <f t="shared" si="132"/>
        <v>0.97199999999999998</v>
      </c>
      <c r="P2111">
        <v>0</v>
      </c>
      <c r="Q2111">
        <v>0</v>
      </c>
      <c r="R2111" t="s">
        <v>2912</v>
      </c>
    </row>
    <row r="2112" spans="1:18" x14ac:dyDescent="0.3">
      <c r="A2112">
        <v>418</v>
      </c>
      <c r="B2112" t="s">
        <v>1172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97.78</v>
      </c>
      <c r="L2112" s="39">
        <f t="shared" si="133"/>
        <v>0.9778</v>
      </c>
      <c r="M2112" s="39">
        <f t="shared" si="132"/>
        <v>0.9778</v>
      </c>
      <c r="P2112">
        <v>0</v>
      </c>
      <c r="Q2112">
        <v>0</v>
      </c>
      <c r="R2112" t="s">
        <v>1174</v>
      </c>
    </row>
    <row r="2113" spans="1:18" x14ac:dyDescent="0.3">
      <c r="A2113">
        <v>418</v>
      </c>
      <c r="B2113" t="s">
        <v>1172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246.7</v>
      </c>
      <c r="L2113" s="39">
        <f t="shared" si="133"/>
        <v>1</v>
      </c>
      <c r="M2113" s="39">
        <f t="shared" si="132"/>
        <v>2.4670000000000001</v>
      </c>
      <c r="N2113" t="s">
        <v>25</v>
      </c>
      <c r="O2113" t="s">
        <v>25</v>
      </c>
      <c r="P2113">
        <v>0</v>
      </c>
      <c r="Q2113">
        <v>0</v>
      </c>
      <c r="R2113" t="s">
        <v>2913</v>
      </c>
    </row>
    <row r="2114" spans="1:18" x14ac:dyDescent="0.3">
      <c r="A2114">
        <v>418</v>
      </c>
      <c r="B2114" t="s">
        <v>1172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105.83</v>
      </c>
      <c r="L2114" s="39">
        <f t="shared" si="133"/>
        <v>1</v>
      </c>
      <c r="M2114" s="39">
        <f t="shared" si="132"/>
        <v>1.0583</v>
      </c>
      <c r="N2114" t="s">
        <v>25</v>
      </c>
      <c r="O2114" t="s">
        <v>25</v>
      </c>
      <c r="P2114">
        <v>0</v>
      </c>
      <c r="Q2114">
        <v>0</v>
      </c>
      <c r="R2114" t="s">
        <v>2914</v>
      </c>
    </row>
    <row r="2115" spans="1:18" x14ac:dyDescent="0.3">
      <c r="A2115">
        <v>418</v>
      </c>
      <c r="B2115" t="s">
        <v>1172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93.96</v>
      </c>
      <c r="L2115" s="39">
        <f t="shared" si="133"/>
        <v>0.93959999999999999</v>
      </c>
      <c r="M2115" s="39">
        <f t="shared" si="132"/>
        <v>0.93959999999999999</v>
      </c>
      <c r="N2115" t="s">
        <v>25</v>
      </c>
      <c r="O2115" t="s">
        <v>25</v>
      </c>
      <c r="P2115">
        <v>0</v>
      </c>
      <c r="Q2115">
        <v>0</v>
      </c>
      <c r="R2115" t="s">
        <v>2915</v>
      </c>
    </row>
    <row r="2116" spans="1:18" x14ac:dyDescent="0.3">
      <c r="A2116">
        <v>418</v>
      </c>
      <c r="B2116" t="s">
        <v>1172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99.61</v>
      </c>
      <c r="L2116" s="39">
        <f t="shared" si="133"/>
        <v>0.99609999999999999</v>
      </c>
      <c r="M2116" s="39">
        <f t="shared" si="132"/>
        <v>0.99609999999999999</v>
      </c>
      <c r="N2116" t="s">
        <v>25</v>
      </c>
      <c r="O2116" t="s">
        <v>25</v>
      </c>
      <c r="P2116">
        <v>0</v>
      </c>
      <c r="Q2116">
        <v>0</v>
      </c>
      <c r="R2116" t="s">
        <v>1175</v>
      </c>
    </row>
    <row r="2117" spans="1:18" x14ac:dyDescent="0.3">
      <c r="A2117">
        <v>419</v>
      </c>
      <c r="B2117" t="s">
        <v>1176</v>
      </c>
      <c r="D2117" t="s">
        <v>21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100</v>
      </c>
      <c r="K2117">
        <v>108.3</v>
      </c>
      <c r="L2117" s="39">
        <f>IFERROR(IF(OR(J2117=0,K2117=""),"",IF(E2117="Positivo",MIN(MAX(K2117/J2117,0),1.3),MIN(MAX(J2117/K2117,0),1.3))),"")</f>
        <v>1.083</v>
      </c>
      <c r="M2117" s="39">
        <f t="shared" si="132"/>
        <v>1.083</v>
      </c>
      <c r="N2117" t="s">
        <v>25</v>
      </c>
      <c r="O2117" t="s">
        <v>25</v>
      </c>
      <c r="P2117">
        <v>0</v>
      </c>
      <c r="Q2117">
        <v>0</v>
      </c>
      <c r="R2117" t="s">
        <v>2916</v>
      </c>
    </row>
    <row r="2118" spans="1:18" x14ac:dyDescent="0.3">
      <c r="A2118">
        <v>419</v>
      </c>
      <c r="B2118" t="s">
        <v>1176</v>
      </c>
      <c r="D2118" t="s">
        <v>21</v>
      </c>
      <c r="E2118" t="s">
        <v>22</v>
      </c>
      <c r="F2118" s="79">
        <v>45199</v>
      </c>
      <c r="G2118">
        <v>2023</v>
      </c>
      <c r="H2118" t="s">
        <v>162</v>
      </c>
      <c r="I2118" t="s">
        <v>28</v>
      </c>
      <c r="J2118">
        <v>100</v>
      </c>
      <c r="K2118">
        <v>88.35</v>
      </c>
      <c r="L2118" s="39">
        <f>IFERROR(IF(OR(J2118=0,K2118=""),"",IF(E2118="Positivo",MIN(MAX(K2118/J2118,0),1.3),MIN(MAX(J2118/K2118,0),1.3))),"")</f>
        <v>0.88349999999999995</v>
      </c>
      <c r="M2118" s="39">
        <f t="shared" si="132"/>
        <v>0.88349999999999995</v>
      </c>
      <c r="N2118" t="s">
        <v>25</v>
      </c>
      <c r="O2118" t="s">
        <v>25</v>
      </c>
      <c r="P2118">
        <v>0</v>
      </c>
      <c r="Q2118">
        <v>0</v>
      </c>
      <c r="R2118" t="s">
        <v>2917</v>
      </c>
    </row>
    <row r="2119" spans="1:18" x14ac:dyDescent="0.3">
      <c r="A2119">
        <v>419</v>
      </c>
      <c r="B2119" t="s">
        <v>1176</v>
      </c>
      <c r="D2119" t="s">
        <v>21</v>
      </c>
      <c r="E2119" t="s">
        <v>22</v>
      </c>
      <c r="F2119" s="79">
        <v>45291</v>
      </c>
      <c r="G2119">
        <v>2023</v>
      </c>
      <c r="H2119" t="s">
        <v>23</v>
      </c>
      <c r="I2119" t="s">
        <v>28</v>
      </c>
      <c r="J2119">
        <v>100</v>
      </c>
      <c r="K2119">
        <v>93.56</v>
      </c>
      <c r="L2119" s="39">
        <f>IFERROR(IF(OR(J2119=0,K2119=""),"",IF(E2119="Positivo",MIN(MAX(K2119/J2119,0),1.3),MIN(MAX(J2119/K2119,0),1.3))),"")</f>
        <v>0.93559999999999999</v>
      </c>
      <c r="M2119" s="39">
        <f t="shared" ref="M2119:M2149" si="134">IFERROR(IF(OR(J2119=0,K2119=""),"",IF(E2119="Positivo",MAX(K2119/J2119,0),MAX(J2119/K2119,0))),"")</f>
        <v>0.93559999999999999</v>
      </c>
      <c r="N2119" t="s">
        <v>25</v>
      </c>
      <c r="O2119" t="s">
        <v>25</v>
      </c>
      <c r="P2119">
        <v>0</v>
      </c>
      <c r="Q2119">
        <v>0</v>
      </c>
      <c r="R2119" t="s">
        <v>1177</v>
      </c>
    </row>
    <row r="2120" spans="1:18" x14ac:dyDescent="0.3">
      <c r="A2120">
        <v>420</v>
      </c>
      <c r="B2120" t="s">
        <v>1178</v>
      </c>
      <c r="C2120" t="s">
        <v>567</v>
      </c>
      <c r="D2120" t="s">
        <v>27</v>
      </c>
      <c r="E2120" t="s">
        <v>22</v>
      </c>
      <c r="F2120" s="79">
        <v>45016</v>
      </c>
      <c r="G2120">
        <v>2023</v>
      </c>
      <c r="H2120" t="s">
        <v>1516</v>
      </c>
      <c r="I2120" t="s">
        <v>1512</v>
      </c>
      <c r="J2120">
        <v>100</v>
      </c>
      <c r="K2120">
        <v>0</v>
      </c>
      <c r="L2120" s="39">
        <f t="shared" ref="L2120:L2130" si="135">IFERROR(IF(OR(J2120=0,K2120=""),"",IF(E2120="Positivo",MIN(MAX(K2120/J2120,0),1),MIN(MAX(J2120/K2120,0),1))),"")</f>
        <v>0</v>
      </c>
      <c r="M2120" s="39">
        <f t="shared" si="134"/>
        <v>0</v>
      </c>
      <c r="N2120" t="s">
        <v>25</v>
      </c>
      <c r="O2120" t="s">
        <v>25</v>
      </c>
      <c r="P2120">
        <v>0</v>
      </c>
      <c r="Q2120">
        <v>0</v>
      </c>
      <c r="R2120" t="s">
        <v>2918</v>
      </c>
    </row>
    <row r="2121" spans="1:18" x14ac:dyDescent="0.3">
      <c r="A2121">
        <v>420</v>
      </c>
      <c r="B2121" t="s">
        <v>1178</v>
      </c>
      <c r="D2121" t="s">
        <v>21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100</v>
      </c>
      <c r="K2121">
        <v>106.53</v>
      </c>
      <c r="L2121" s="39">
        <f t="shared" si="135"/>
        <v>1</v>
      </c>
      <c r="M2121" s="39">
        <f t="shared" si="134"/>
        <v>1.0652999999999999</v>
      </c>
      <c r="N2121" t="s">
        <v>25</v>
      </c>
      <c r="O2121" t="s">
        <v>25</v>
      </c>
      <c r="P2121">
        <v>0</v>
      </c>
      <c r="Q2121">
        <v>0</v>
      </c>
      <c r="R2121" t="s">
        <v>2919</v>
      </c>
    </row>
    <row r="2122" spans="1:18" x14ac:dyDescent="0.3">
      <c r="A2122">
        <v>420</v>
      </c>
      <c r="B2122" t="s">
        <v>1178</v>
      </c>
      <c r="D2122" t="s">
        <v>21</v>
      </c>
      <c r="E2122" t="s">
        <v>22</v>
      </c>
      <c r="F2122" s="79">
        <v>45199</v>
      </c>
      <c r="G2122">
        <v>2023</v>
      </c>
      <c r="H2122" t="s">
        <v>162</v>
      </c>
      <c r="I2122" t="s">
        <v>28</v>
      </c>
      <c r="J2122">
        <v>100</v>
      </c>
      <c r="K2122">
        <v>94.69</v>
      </c>
      <c r="L2122" s="39">
        <f t="shared" si="135"/>
        <v>0.94689999999999996</v>
      </c>
      <c r="M2122" s="39">
        <f t="shared" si="134"/>
        <v>0.94689999999999996</v>
      </c>
      <c r="N2122" t="s">
        <v>25</v>
      </c>
      <c r="O2122" t="s">
        <v>25</v>
      </c>
      <c r="P2122">
        <v>0</v>
      </c>
      <c r="Q2122">
        <v>0</v>
      </c>
      <c r="R2122" t="s">
        <v>2920</v>
      </c>
    </row>
    <row r="2123" spans="1:18" x14ac:dyDescent="0.3">
      <c r="A2123">
        <v>420</v>
      </c>
      <c r="B2123" t="s">
        <v>1178</v>
      </c>
      <c r="D2123" t="s">
        <v>21</v>
      </c>
      <c r="E2123" t="s">
        <v>22</v>
      </c>
      <c r="F2123" s="79">
        <v>45291</v>
      </c>
      <c r="G2123">
        <v>2023</v>
      </c>
      <c r="H2123" t="s">
        <v>23</v>
      </c>
      <c r="I2123" t="s">
        <v>28</v>
      </c>
      <c r="J2123">
        <v>100</v>
      </c>
      <c r="K2123">
        <v>100</v>
      </c>
      <c r="L2123" s="39">
        <f t="shared" si="135"/>
        <v>1</v>
      </c>
      <c r="M2123" s="39">
        <f t="shared" si="134"/>
        <v>1</v>
      </c>
      <c r="N2123" t="s">
        <v>25</v>
      </c>
      <c r="O2123" t="s">
        <v>25</v>
      </c>
      <c r="P2123">
        <v>0</v>
      </c>
      <c r="Q2123">
        <v>0</v>
      </c>
      <c r="R2123" t="s">
        <v>1179</v>
      </c>
    </row>
    <row r="2124" spans="1:18" x14ac:dyDescent="0.3">
      <c r="A2124">
        <v>420</v>
      </c>
      <c r="B2124" t="s">
        <v>1178</v>
      </c>
      <c r="C2124" t="s">
        <v>567</v>
      </c>
      <c r="D2124" t="s">
        <v>21</v>
      </c>
      <c r="E2124" t="s">
        <v>22</v>
      </c>
      <c r="F2124" s="79">
        <v>45473</v>
      </c>
      <c r="G2124">
        <v>2024</v>
      </c>
      <c r="H2124" t="s">
        <v>699</v>
      </c>
      <c r="I2124" t="s">
        <v>729</v>
      </c>
      <c r="J2124">
        <v>100</v>
      </c>
      <c r="K2124">
        <v>89.33</v>
      </c>
      <c r="L2124" s="39">
        <f t="shared" si="135"/>
        <v>0.89329999999999998</v>
      </c>
      <c r="M2124" s="39">
        <f t="shared" si="134"/>
        <v>0.89329999999999998</v>
      </c>
      <c r="N2124" t="s">
        <v>25</v>
      </c>
      <c r="O2124" t="s">
        <v>25</v>
      </c>
      <c r="P2124">
        <v>0</v>
      </c>
      <c r="Q2124">
        <v>0</v>
      </c>
      <c r="R2124" t="s">
        <v>2921</v>
      </c>
    </row>
    <row r="2125" spans="1:18" x14ac:dyDescent="0.3">
      <c r="A2125">
        <v>420</v>
      </c>
      <c r="B2125" t="s">
        <v>1178</v>
      </c>
      <c r="C2125" t="s">
        <v>567</v>
      </c>
      <c r="D2125" t="s">
        <v>21</v>
      </c>
      <c r="E2125" t="s">
        <v>22</v>
      </c>
      <c r="F2125" s="79">
        <v>45565</v>
      </c>
      <c r="G2125">
        <v>2024</v>
      </c>
      <c r="H2125" t="s">
        <v>162</v>
      </c>
      <c r="I2125" t="s">
        <v>30</v>
      </c>
      <c r="J2125">
        <v>100</v>
      </c>
      <c r="K2125">
        <v>102.36</v>
      </c>
      <c r="L2125" s="39">
        <f t="shared" si="135"/>
        <v>1</v>
      </c>
      <c r="M2125" s="39">
        <f t="shared" si="134"/>
        <v>1.0236000000000001</v>
      </c>
      <c r="N2125" t="s">
        <v>25</v>
      </c>
      <c r="O2125" t="s">
        <v>25</v>
      </c>
      <c r="P2125">
        <v>0</v>
      </c>
      <c r="Q2125">
        <v>0</v>
      </c>
      <c r="R2125" t="s">
        <v>2922</v>
      </c>
    </row>
    <row r="2126" spans="1:18" x14ac:dyDescent="0.3">
      <c r="A2126">
        <v>420</v>
      </c>
      <c r="B2126" t="s">
        <v>1178</v>
      </c>
      <c r="C2126" t="s">
        <v>567</v>
      </c>
      <c r="D2126" t="s">
        <v>21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100</v>
      </c>
      <c r="K2126">
        <v>96.67</v>
      </c>
      <c r="L2126" s="39">
        <f t="shared" si="135"/>
        <v>0.9667</v>
      </c>
      <c r="M2126" s="39">
        <f t="shared" si="134"/>
        <v>0.9667</v>
      </c>
      <c r="N2126" t="s">
        <v>25</v>
      </c>
      <c r="O2126" t="s">
        <v>25</v>
      </c>
      <c r="P2126">
        <v>0</v>
      </c>
      <c r="Q2126">
        <v>0</v>
      </c>
      <c r="R2126" t="s">
        <v>1180</v>
      </c>
    </row>
    <row r="2127" spans="1:18" x14ac:dyDescent="0.3">
      <c r="A2127">
        <v>420</v>
      </c>
      <c r="B2127" t="s">
        <v>1178</v>
      </c>
      <c r="C2127" t="s">
        <v>567</v>
      </c>
      <c r="D2127" t="s">
        <v>27</v>
      </c>
      <c r="E2127" t="s">
        <v>22</v>
      </c>
      <c r="F2127" s="79">
        <v>45747</v>
      </c>
      <c r="G2127">
        <v>2025</v>
      </c>
      <c r="H2127" t="s">
        <v>1516</v>
      </c>
      <c r="I2127" t="s">
        <v>700</v>
      </c>
      <c r="J2127">
        <v>100</v>
      </c>
      <c r="K2127">
        <v>122.2</v>
      </c>
      <c r="L2127" s="39">
        <f t="shared" si="135"/>
        <v>1</v>
      </c>
      <c r="M2127" s="39">
        <f t="shared" si="134"/>
        <v>1.222</v>
      </c>
      <c r="N2127" t="s">
        <v>25</v>
      </c>
      <c r="O2127" t="s">
        <v>25</v>
      </c>
      <c r="P2127">
        <v>0</v>
      </c>
      <c r="Q2127">
        <v>0</v>
      </c>
      <c r="R2127" t="s">
        <v>2923</v>
      </c>
    </row>
    <row r="2128" spans="1:18" x14ac:dyDescent="0.3">
      <c r="A2128">
        <v>420</v>
      </c>
      <c r="B2128" t="s">
        <v>1178</v>
      </c>
      <c r="C2128" t="s">
        <v>567</v>
      </c>
      <c r="D2128" t="s">
        <v>27</v>
      </c>
      <c r="E2128" t="s">
        <v>22</v>
      </c>
      <c r="F2128" s="79">
        <v>45838</v>
      </c>
      <c r="G2128">
        <v>2025</v>
      </c>
      <c r="H2128" t="s">
        <v>699</v>
      </c>
      <c r="I2128" t="s">
        <v>700</v>
      </c>
      <c r="J2128">
        <v>100</v>
      </c>
      <c r="K2128">
        <v>108.52</v>
      </c>
      <c r="L2128" s="39">
        <f t="shared" si="135"/>
        <v>1</v>
      </c>
      <c r="M2128" s="39">
        <f t="shared" si="134"/>
        <v>1.0851999999999999</v>
      </c>
      <c r="N2128" t="s">
        <v>25</v>
      </c>
      <c r="O2128" t="s">
        <v>25</v>
      </c>
      <c r="P2128">
        <v>0</v>
      </c>
      <c r="Q2128">
        <v>0</v>
      </c>
      <c r="R2128" t="s">
        <v>2924</v>
      </c>
    </row>
    <row r="2129" spans="1:18" x14ac:dyDescent="0.3">
      <c r="A2129">
        <v>420</v>
      </c>
      <c r="B2129" t="s">
        <v>1178</v>
      </c>
      <c r="C2129" t="s">
        <v>567</v>
      </c>
      <c r="D2129" t="s">
        <v>27</v>
      </c>
      <c r="E2129" t="s">
        <v>22</v>
      </c>
      <c r="F2129" s="79">
        <v>45930</v>
      </c>
      <c r="G2129">
        <v>2025</v>
      </c>
      <c r="H2129" t="s">
        <v>162</v>
      </c>
      <c r="I2129" t="s">
        <v>32</v>
      </c>
      <c r="J2129">
        <v>100</v>
      </c>
      <c r="K2129">
        <v>100.3</v>
      </c>
      <c r="L2129" s="39">
        <f t="shared" si="135"/>
        <v>1</v>
      </c>
      <c r="M2129" s="39">
        <f t="shared" si="134"/>
        <v>1.0029999999999999</v>
      </c>
      <c r="N2129" t="s">
        <v>25</v>
      </c>
      <c r="O2129" t="s">
        <v>25</v>
      </c>
      <c r="P2129">
        <v>0</v>
      </c>
      <c r="Q2129">
        <v>0</v>
      </c>
      <c r="R2129" t="s">
        <v>2925</v>
      </c>
    </row>
    <row r="2130" spans="1:18" x14ac:dyDescent="0.3">
      <c r="A2130">
        <v>420</v>
      </c>
      <c r="B2130" t="s">
        <v>1178</v>
      </c>
      <c r="C2130" t="s">
        <v>567</v>
      </c>
      <c r="D2130" t="s">
        <v>27</v>
      </c>
      <c r="E2130" t="s">
        <v>22</v>
      </c>
      <c r="F2130" s="79">
        <v>46022</v>
      </c>
      <c r="G2130">
        <v>2025</v>
      </c>
      <c r="H2130" t="s">
        <v>23</v>
      </c>
      <c r="I2130" t="s">
        <v>32</v>
      </c>
      <c r="J2130">
        <v>100</v>
      </c>
      <c r="K2130">
        <v>100</v>
      </c>
      <c r="L2130" s="39">
        <f t="shared" si="135"/>
        <v>1</v>
      </c>
      <c r="M2130" s="39">
        <f t="shared" si="134"/>
        <v>1</v>
      </c>
      <c r="N2130" t="s">
        <v>25</v>
      </c>
      <c r="O2130" t="s">
        <v>25</v>
      </c>
      <c r="P2130">
        <v>0</v>
      </c>
      <c r="Q2130">
        <v>0</v>
      </c>
      <c r="R2130" t="s">
        <v>1181</v>
      </c>
    </row>
    <row r="2131" spans="1:18" x14ac:dyDescent="0.3">
      <c r="A2131">
        <v>421</v>
      </c>
      <c r="B2131" t="s">
        <v>1182</v>
      </c>
      <c r="C2131" t="s">
        <v>1183</v>
      </c>
      <c r="D2131" t="s">
        <v>27</v>
      </c>
      <c r="E2131" t="s">
        <v>22</v>
      </c>
      <c r="F2131" s="79">
        <v>45107</v>
      </c>
      <c r="G2131">
        <v>2023</v>
      </c>
      <c r="H2131" t="s">
        <v>699</v>
      </c>
      <c r="I2131" t="s">
        <v>1512</v>
      </c>
      <c r="J2131">
        <v>104072</v>
      </c>
      <c r="K2131">
        <v>140002</v>
      </c>
      <c r="L2131" s="39">
        <f t="shared" ref="L2131:L2149" si="136">IFERROR(IF(OR(J2131=0,K2131=""),"",IF(E2131="Positivo",MIN(MAX(K2131/J2131,0),1.3),MIN(MAX(J2131/K2131,0),1.3))),"")</f>
        <v>1.3</v>
      </c>
      <c r="M2131" s="39">
        <f t="shared" si="134"/>
        <v>1.3452417557075871</v>
      </c>
      <c r="N2131" t="s">
        <v>25</v>
      </c>
      <c r="O2131" t="s">
        <v>25</v>
      </c>
      <c r="P2131">
        <v>0</v>
      </c>
      <c r="Q2131">
        <v>0</v>
      </c>
      <c r="R2131" t="s">
        <v>2926</v>
      </c>
    </row>
    <row r="2132" spans="1:18" x14ac:dyDescent="0.3">
      <c r="A2132">
        <v>421</v>
      </c>
      <c r="B2132" t="s">
        <v>1182</v>
      </c>
      <c r="C2132" t="s">
        <v>1183</v>
      </c>
      <c r="D2132" t="s">
        <v>27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97200</v>
      </c>
      <c r="K2132">
        <v>136199</v>
      </c>
      <c r="L2132" s="39">
        <f t="shared" si="136"/>
        <v>1.3</v>
      </c>
      <c r="M2132" s="39">
        <f t="shared" si="134"/>
        <v>1.4012242798353909</v>
      </c>
      <c r="N2132" t="s">
        <v>25</v>
      </c>
      <c r="O2132" t="s">
        <v>25</v>
      </c>
      <c r="P2132">
        <v>0</v>
      </c>
      <c r="Q2132">
        <v>0</v>
      </c>
      <c r="R2132" t="s">
        <v>1184</v>
      </c>
    </row>
    <row r="2133" spans="1:18" x14ac:dyDescent="0.3">
      <c r="A2133">
        <v>421</v>
      </c>
      <c r="B2133" t="s">
        <v>1182</v>
      </c>
      <c r="C2133" t="s">
        <v>1183</v>
      </c>
      <c r="D2133" t="s">
        <v>27</v>
      </c>
      <c r="E2133" t="s">
        <v>22</v>
      </c>
      <c r="F2133" s="79">
        <v>45473</v>
      </c>
      <c r="G2133">
        <v>2024</v>
      </c>
      <c r="H2133" t="s">
        <v>699</v>
      </c>
      <c r="I2133" t="s">
        <v>729</v>
      </c>
      <c r="J2133">
        <v>147043</v>
      </c>
      <c r="K2133">
        <v>177740</v>
      </c>
      <c r="L2133" s="39">
        <f t="shared" si="136"/>
        <v>1.2087620627979572</v>
      </c>
      <c r="M2133" s="39">
        <f t="shared" si="134"/>
        <v>1.2087620627979572</v>
      </c>
      <c r="N2133" t="s">
        <v>25</v>
      </c>
      <c r="O2133" t="s">
        <v>25</v>
      </c>
      <c r="P2133">
        <v>0</v>
      </c>
      <c r="Q2133">
        <v>0</v>
      </c>
      <c r="R2133" t="s">
        <v>2927</v>
      </c>
    </row>
    <row r="2134" spans="1:18" x14ac:dyDescent="0.3">
      <c r="A2134">
        <v>421</v>
      </c>
      <c r="B2134" t="s">
        <v>1182</v>
      </c>
      <c r="C2134" t="s">
        <v>1183</v>
      </c>
      <c r="D2134" t="s">
        <v>27</v>
      </c>
      <c r="E2134" t="s">
        <v>22</v>
      </c>
      <c r="F2134" s="79">
        <v>45657</v>
      </c>
      <c r="G2134">
        <v>2024</v>
      </c>
      <c r="H2134" t="s">
        <v>23</v>
      </c>
      <c r="I2134" t="s">
        <v>30</v>
      </c>
      <c r="J2134">
        <v>100</v>
      </c>
      <c r="K2134">
        <v>121.44</v>
      </c>
      <c r="L2134" s="39">
        <f t="shared" si="136"/>
        <v>1.2143999999999999</v>
      </c>
      <c r="M2134" s="39">
        <f t="shared" si="134"/>
        <v>1.2143999999999999</v>
      </c>
      <c r="P2134">
        <v>0</v>
      </c>
      <c r="Q2134">
        <v>0</v>
      </c>
      <c r="R2134" t="s">
        <v>1185</v>
      </c>
    </row>
    <row r="2135" spans="1:18" x14ac:dyDescent="0.3">
      <c r="A2135">
        <v>422</v>
      </c>
      <c r="B2135" t="s">
        <v>1186</v>
      </c>
      <c r="C2135" t="s">
        <v>1183</v>
      </c>
      <c r="D2135" t="s">
        <v>27</v>
      </c>
      <c r="E2135" t="s">
        <v>22</v>
      </c>
      <c r="F2135" s="79">
        <v>45107</v>
      </c>
      <c r="G2135">
        <v>2023</v>
      </c>
      <c r="H2135" t="s">
        <v>699</v>
      </c>
      <c r="I2135" t="s">
        <v>1512</v>
      </c>
      <c r="J2135">
        <v>11.7</v>
      </c>
      <c r="K2135">
        <v>11.973211368834001</v>
      </c>
      <c r="L2135" s="39">
        <f t="shared" si="136"/>
        <v>1.0233513990456411</v>
      </c>
      <c r="M2135" s="39">
        <f t="shared" si="134"/>
        <v>1.0233513990456411</v>
      </c>
      <c r="N2135" t="s">
        <v>25</v>
      </c>
      <c r="O2135" t="s">
        <v>25</v>
      </c>
      <c r="P2135">
        <v>2</v>
      </c>
      <c r="Q2135">
        <v>2</v>
      </c>
      <c r="R2135" t="s">
        <v>2928</v>
      </c>
    </row>
    <row r="2136" spans="1:18" x14ac:dyDescent="0.3">
      <c r="A2136">
        <v>422</v>
      </c>
      <c r="B2136" t="s">
        <v>1186</v>
      </c>
      <c r="C2136" t="s">
        <v>1183</v>
      </c>
      <c r="D2136" t="s">
        <v>27</v>
      </c>
      <c r="E2136" t="s">
        <v>22</v>
      </c>
      <c r="F2136" s="79">
        <v>45291</v>
      </c>
      <c r="G2136">
        <v>2023</v>
      </c>
      <c r="H2136" t="s">
        <v>23</v>
      </c>
      <c r="I2136" t="s">
        <v>28</v>
      </c>
      <c r="J2136">
        <v>10.5</v>
      </c>
      <c r="K2136">
        <v>11.04</v>
      </c>
      <c r="L2136" s="39">
        <f t="shared" si="136"/>
        <v>1.0514285714285714</v>
      </c>
      <c r="M2136" s="39">
        <f t="shared" si="134"/>
        <v>1.0514285714285714</v>
      </c>
      <c r="N2136" t="s">
        <v>25</v>
      </c>
      <c r="O2136" t="s">
        <v>25</v>
      </c>
      <c r="P2136">
        <v>2</v>
      </c>
      <c r="Q2136">
        <v>2</v>
      </c>
      <c r="R2136" t="s">
        <v>1187</v>
      </c>
    </row>
    <row r="2137" spans="1:18" x14ac:dyDescent="0.3">
      <c r="A2137">
        <v>422</v>
      </c>
      <c r="B2137" t="s">
        <v>1186</v>
      </c>
      <c r="C2137" t="s">
        <v>1183</v>
      </c>
      <c r="D2137" t="s">
        <v>27</v>
      </c>
      <c r="E2137" t="s">
        <v>22</v>
      </c>
      <c r="F2137" s="79">
        <v>45473</v>
      </c>
      <c r="G2137">
        <v>2024</v>
      </c>
      <c r="H2137" t="s">
        <v>699</v>
      </c>
      <c r="I2137" t="s">
        <v>729</v>
      </c>
      <c r="J2137">
        <v>9.25</v>
      </c>
      <c r="K2137">
        <v>8.86</v>
      </c>
      <c r="L2137" s="39">
        <f t="shared" si="136"/>
        <v>0.95783783783783782</v>
      </c>
      <c r="M2137" s="39">
        <f t="shared" si="134"/>
        <v>0.95783783783783782</v>
      </c>
      <c r="N2137" t="s">
        <v>25</v>
      </c>
      <c r="O2137" t="s">
        <v>25</v>
      </c>
      <c r="P2137">
        <v>2</v>
      </c>
      <c r="Q2137">
        <v>2</v>
      </c>
      <c r="R2137" t="s">
        <v>2929</v>
      </c>
    </row>
    <row r="2138" spans="1:18" x14ac:dyDescent="0.3">
      <c r="A2138">
        <v>422</v>
      </c>
      <c r="B2138" t="s">
        <v>1186</v>
      </c>
      <c r="C2138" t="s">
        <v>1183</v>
      </c>
      <c r="D2138" t="s">
        <v>27</v>
      </c>
      <c r="E2138" t="s">
        <v>22</v>
      </c>
      <c r="F2138" s="79">
        <v>45657</v>
      </c>
      <c r="G2138">
        <v>2024</v>
      </c>
      <c r="H2138" t="s">
        <v>23</v>
      </c>
      <c r="I2138" t="s">
        <v>30</v>
      </c>
      <c r="J2138">
        <v>8.01</v>
      </c>
      <c r="K2138">
        <v>7.91</v>
      </c>
      <c r="L2138" s="39">
        <f t="shared" si="136"/>
        <v>0.98751560549313366</v>
      </c>
      <c r="M2138" s="39">
        <f t="shared" si="134"/>
        <v>0.98751560549313366</v>
      </c>
      <c r="N2138" t="s">
        <v>25</v>
      </c>
      <c r="O2138" t="s">
        <v>25</v>
      </c>
      <c r="P2138">
        <v>2</v>
      </c>
      <c r="Q2138">
        <v>2</v>
      </c>
      <c r="R2138" t="s">
        <v>1188</v>
      </c>
    </row>
    <row r="2139" spans="1:18" x14ac:dyDescent="0.3">
      <c r="A2139">
        <v>422</v>
      </c>
      <c r="B2139" t="s">
        <v>1186</v>
      </c>
      <c r="C2139" t="s">
        <v>1183</v>
      </c>
      <c r="D2139" t="s">
        <v>21</v>
      </c>
      <c r="E2139" t="s">
        <v>22</v>
      </c>
      <c r="F2139" s="79">
        <v>45838</v>
      </c>
      <c r="G2139">
        <v>2025</v>
      </c>
      <c r="H2139" t="s">
        <v>699</v>
      </c>
      <c r="I2139" t="s">
        <v>700</v>
      </c>
      <c r="J2139">
        <v>7.83</v>
      </c>
      <c r="K2139">
        <v>8.1999999999999993</v>
      </c>
      <c r="L2139" s="39">
        <f t="shared" si="136"/>
        <v>1.0472541507024264</v>
      </c>
      <c r="M2139" s="39">
        <f t="shared" si="134"/>
        <v>1.0472541507024264</v>
      </c>
      <c r="N2139" t="s">
        <v>25</v>
      </c>
      <c r="O2139" t="s">
        <v>25</v>
      </c>
      <c r="P2139">
        <v>2</v>
      </c>
      <c r="Q2139">
        <v>2</v>
      </c>
      <c r="R2139" t="s">
        <v>2930</v>
      </c>
    </row>
    <row r="2140" spans="1:18" x14ac:dyDescent="0.3">
      <c r="A2140">
        <v>422</v>
      </c>
      <c r="B2140" t="s">
        <v>1186</v>
      </c>
      <c r="C2140" t="s">
        <v>1183</v>
      </c>
      <c r="D2140" t="s">
        <v>21</v>
      </c>
      <c r="E2140" t="s">
        <v>22</v>
      </c>
      <c r="F2140" s="79">
        <v>46022</v>
      </c>
      <c r="G2140">
        <v>2025</v>
      </c>
      <c r="H2140" t="s">
        <v>23</v>
      </c>
      <c r="I2140" t="s">
        <v>32</v>
      </c>
      <c r="J2140">
        <v>7.68</v>
      </c>
      <c r="K2140">
        <v>7.87</v>
      </c>
      <c r="L2140" s="39">
        <f t="shared" si="136"/>
        <v>1.0247395833333335</v>
      </c>
      <c r="M2140" s="39">
        <f t="shared" si="134"/>
        <v>1.0247395833333335</v>
      </c>
      <c r="N2140" t="s">
        <v>25</v>
      </c>
      <c r="O2140" t="s">
        <v>25</v>
      </c>
      <c r="P2140">
        <v>2</v>
      </c>
      <c r="Q2140">
        <v>2</v>
      </c>
      <c r="R2140" t="s">
        <v>1189</v>
      </c>
    </row>
    <row r="2141" spans="1:18" x14ac:dyDescent="0.3">
      <c r="A2141">
        <v>423</v>
      </c>
      <c r="B2141" t="s">
        <v>1190</v>
      </c>
      <c r="C2141" t="s">
        <v>1183</v>
      </c>
      <c r="D2141" t="s">
        <v>71</v>
      </c>
      <c r="E2141" t="s">
        <v>22</v>
      </c>
      <c r="F2141" s="79">
        <v>45291</v>
      </c>
      <c r="G2141">
        <v>2023</v>
      </c>
      <c r="H2141" t="s">
        <v>23</v>
      </c>
      <c r="I2141" t="s">
        <v>28</v>
      </c>
      <c r="J2141">
        <v>8.4</v>
      </c>
      <c r="K2141">
        <v>7.9</v>
      </c>
      <c r="L2141" s="39">
        <f t="shared" si="136"/>
        <v>0.94047619047619047</v>
      </c>
      <c r="M2141" s="39">
        <f t="shared" si="134"/>
        <v>0.94047619047619047</v>
      </c>
      <c r="N2141" t="s">
        <v>25</v>
      </c>
      <c r="O2141" t="s">
        <v>25</v>
      </c>
      <c r="P2141">
        <v>1</v>
      </c>
      <c r="Q2141">
        <v>1</v>
      </c>
      <c r="R2141" t="s">
        <v>1191</v>
      </c>
    </row>
    <row r="2142" spans="1:18" x14ac:dyDescent="0.3">
      <c r="A2142">
        <v>423</v>
      </c>
      <c r="B2142" t="s">
        <v>1190</v>
      </c>
      <c r="C2142" t="s">
        <v>1183</v>
      </c>
      <c r="D2142" t="s">
        <v>71</v>
      </c>
      <c r="E2142" t="s">
        <v>22</v>
      </c>
      <c r="F2142" s="79">
        <v>45657</v>
      </c>
      <c r="G2142">
        <v>2024</v>
      </c>
      <c r="H2142" t="s">
        <v>23</v>
      </c>
      <c r="I2142" t="s">
        <v>30</v>
      </c>
      <c r="J2142">
        <v>8.3000000000000007</v>
      </c>
      <c r="K2142">
        <v>12.3</v>
      </c>
      <c r="L2142" s="39">
        <f t="shared" si="136"/>
        <v>1.3</v>
      </c>
      <c r="M2142" s="39">
        <f t="shared" si="134"/>
        <v>1.4819277108433735</v>
      </c>
      <c r="P2142">
        <v>1</v>
      </c>
      <c r="Q2142">
        <v>1</v>
      </c>
      <c r="R2142" t="s">
        <v>1192</v>
      </c>
    </row>
    <row r="2143" spans="1:18" x14ac:dyDescent="0.3">
      <c r="A2143">
        <v>423</v>
      </c>
      <c r="B2143" t="s">
        <v>1190</v>
      </c>
      <c r="C2143" t="s">
        <v>1183</v>
      </c>
      <c r="D2143" t="s">
        <v>71</v>
      </c>
      <c r="E2143" t="s">
        <v>22</v>
      </c>
      <c r="F2143" s="79">
        <v>46022</v>
      </c>
      <c r="G2143">
        <v>2025</v>
      </c>
      <c r="H2143" t="s">
        <v>23</v>
      </c>
      <c r="I2143" t="s">
        <v>32</v>
      </c>
      <c r="J2143">
        <v>12.3</v>
      </c>
      <c r="K2143">
        <v>15.1</v>
      </c>
      <c r="L2143" s="39">
        <f t="shared" si="136"/>
        <v>1.2276422764227641</v>
      </c>
      <c r="M2143" s="39">
        <f t="shared" si="134"/>
        <v>1.2276422764227641</v>
      </c>
      <c r="N2143" t="s">
        <v>136</v>
      </c>
      <c r="O2143" t="s">
        <v>136</v>
      </c>
      <c r="P2143">
        <v>1</v>
      </c>
      <c r="Q2143">
        <v>1</v>
      </c>
      <c r="R2143" t="s">
        <v>1193</v>
      </c>
    </row>
    <row r="2144" spans="1:18" x14ac:dyDescent="0.3">
      <c r="A2144">
        <v>424</v>
      </c>
      <c r="B2144" t="s">
        <v>1194</v>
      </c>
      <c r="C2144" t="s">
        <v>1183</v>
      </c>
      <c r="D2144" t="s">
        <v>71</v>
      </c>
      <c r="E2144" t="s">
        <v>22</v>
      </c>
      <c r="F2144" s="79">
        <v>45291</v>
      </c>
      <c r="G2144">
        <v>2023</v>
      </c>
      <c r="H2144" t="s">
        <v>23</v>
      </c>
      <c r="I2144" t="s">
        <v>28</v>
      </c>
      <c r="J2144">
        <v>92</v>
      </c>
      <c r="K2144">
        <v>6</v>
      </c>
      <c r="L2144" s="39">
        <f t="shared" si="136"/>
        <v>6.5217391304347824E-2</v>
      </c>
      <c r="M2144" s="39">
        <f t="shared" si="134"/>
        <v>6.5217391304347824E-2</v>
      </c>
      <c r="P2144">
        <v>0</v>
      </c>
      <c r="Q2144">
        <v>0</v>
      </c>
      <c r="R2144" t="s">
        <v>1195</v>
      </c>
    </row>
    <row r="2145" spans="1:18" x14ac:dyDescent="0.3">
      <c r="A2145">
        <v>424</v>
      </c>
      <c r="B2145" t="s">
        <v>1194</v>
      </c>
      <c r="C2145" t="s">
        <v>1183</v>
      </c>
      <c r="D2145" t="s">
        <v>71</v>
      </c>
      <c r="E2145" t="s">
        <v>22</v>
      </c>
      <c r="F2145" s="79">
        <v>45657</v>
      </c>
      <c r="G2145">
        <v>2024</v>
      </c>
      <c r="H2145" t="s">
        <v>23</v>
      </c>
      <c r="I2145" t="s">
        <v>30</v>
      </c>
      <c r="J2145">
        <v>7</v>
      </c>
      <c r="K2145">
        <v>9</v>
      </c>
      <c r="L2145" s="39">
        <f t="shared" si="136"/>
        <v>1.2857142857142858</v>
      </c>
      <c r="M2145" s="39">
        <f t="shared" si="134"/>
        <v>1.2857142857142858</v>
      </c>
      <c r="P2145">
        <v>0</v>
      </c>
      <c r="Q2145">
        <v>0</v>
      </c>
      <c r="R2145" t="s">
        <v>1196</v>
      </c>
    </row>
    <row r="2146" spans="1:18" x14ac:dyDescent="0.3">
      <c r="A2146">
        <v>424</v>
      </c>
      <c r="B2146" t="s">
        <v>2931</v>
      </c>
      <c r="C2146" t="s">
        <v>1183</v>
      </c>
      <c r="D2146" t="s">
        <v>71</v>
      </c>
      <c r="E2146" t="s">
        <v>22</v>
      </c>
      <c r="F2146" s="79">
        <v>46022</v>
      </c>
      <c r="G2146">
        <v>2025</v>
      </c>
      <c r="H2146" t="s">
        <v>23</v>
      </c>
      <c r="I2146" t="s">
        <v>32</v>
      </c>
      <c r="J2146">
        <v>9</v>
      </c>
      <c r="K2146">
        <v>11</v>
      </c>
      <c r="L2146" s="39">
        <f t="shared" si="136"/>
        <v>1.2222222222222223</v>
      </c>
      <c r="M2146" s="39">
        <f t="shared" si="134"/>
        <v>1.2222222222222223</v>
      </c>
      <c r="N2146" t="s">
        <v>128</v>
      </c>
      <c r="O2146" t="s">
        <v>128</v>
      </c>
      <c r="P2146">
        <v>0</v>
      </c>
      <c r="Q2146">
        <v>0</v>
      </c>
      <c r="R2146" t="s">
        <v>1197</v>
      </c>
    </row>
    <row r="2147" spans="1:18" x14ac:dyDescent="0.3">
      <c r="A2147">
        <v>425</v>
      </c>
      <c r="B2147" t="s">
        <v>1198</v>
      </c>
      <c r="C2147" t="s">
        <v>1044</v>
      </c>
      <c r="D2147" t="s">
        <v>71</v>
      </c>
      <c r="E2147" t="s">
        <v>22</v>
      </c>
      <c r="F2147" s="79">
        <v>45291</v>
      </c>
      <c r="G2147">
        <v>2023</v>
      </c>
      <c r="H2147" t="s">
        <v>23</v>
      </c>
      <c r="I2147" t="s">
        <v>28</v>
      </c>
      <c r="J2147">
        <v>5500</v>
      </c>
      <c r="K2147">
        <v>5785</v>
      </c>
      <c r="L2147" s="39">
        <f t="shared" si="136"/>
        <v>1.0518181818181818</v>
      </c>
      <c r="M2147" s="39">
        <f t="shared" si="134"/>
        <v>1.0518181818181818</v>
      </c>
      <c r="N2147" t="s">
        <v>205</v>
      </c>
      <c r="O2147" t="s">
        <v>205</v>
      </c>
      <c r="P2147">
        <v>0</v>
      </c>
      <c r="Q2147">
        <v>0</v>
      </c>
      <c r="R2147" t="s">
        <v>1199</v>
      </c>
    </row>
    <row r="2148" spans="1:18" x14ac:dyDescent="0.3">
      <c r="A2148">
        <v>425</v>
      </c>
      <c r="B2148" t="s">
        <v>1198</v>
      </c>
      <c r="C2148" t="s">
        <v>1044</v>
      </c>
      <c r="D2148" t="s">
        <v>27</v>
      </c>
      <c r="E2148" t="s">
        <v>22</v>
      </c>
      <c r="F2148" s="79">
        <v>45473</v>
      </c>
      <c r="G2148">
        <v>2024</v>
      </c>
      <c r="H2148" t="s">
        <v>699</v>
      </c>
      <c r="I2148" t="s">
        <v>729</v>
      </c>
      <c r="J2148">
        <v>100</v>
      </c>
      <c r="K2148">
        <v>60.69</v>
      </c>
      <c r="L2148" s="39">
        <f t="shared" si="136"/>
        <v>0.6069</v>
      </c>
      <c r="M2148" s="39">
        <f t="shared" si="134"/>
        <v>0.6069</v>
      </c>
      <c r="N2148" t="s">
        <v>128</v>
      </c>
      <c r="O2148" t="s">
        <v>128</v>
      </c>
      <c r="P2148">
        <v>0</v>
      </c>
      <c r="Q2148">
        <v>0</v>
      </c>
      <c r="R2148" t="s">
        <v>2932</v>
      </c>
    </row>
    <row r="2149" spans="1:18" x14ac:dyDescent="0.3">
      <c r="A2149">
        <v>425</v>
      </c>
      <c r="B2149" t="s">
        <v>1198</v>
      </c>
      <c r="C2149" t="s">
        <v>1044</v>
      </c>
      <c r="D2149" t="s">
        <v>27</v>
      </c>
      <c r="E2149" t="s">
        <v>22</v>
      </c>
      <c r="F2149" s="79">
        <v>45657</v>
      </c>
      <c r="G2149">
        <v>2024</v>
      </c>
      <c r="H2149" t="s">
        <v>23</v>
      </c>
      <c r="I2149" t="s">
        <v>30</v>
      </c>
      <c r="J2149">
        <v>100</v>
      </c>
      <c r="K2149">
        <v>164.69</v>
      </c>
      <c r="L2149" s="39">
        <f t="shared" si="136"/>
        <v>1.3</v>
      </c>
      <c r="M2149" s="39">
        <f t="shared" si="134"/>
        <v>1.6469</v>
      </c>
      <c r="N2149" t="s">
        <v>128</v>
      </c>
      <c r="O2149" t="s">
        <v>128</v>
      </c>
      <c r="P2149">
        <v>0</v>
      </c>
      <c r="Q2149">
        <v>0</v>
      </c>
      <c r="R2149" t="s">
        <v>1200</v>
      </c>
    </row>
    <row r="2150" spans="1:18" x14ac:dyDescent="0.3">
      <c r="A2150">
        <v>426</v>
      </c>
      <c r="B2150" t="s">
        <v>1201</v>
      </c>
      <c r="C2150" t="s">
        <v>149</v>
      </c>
      <c r="D2150" t="s">
        <v>27</v>
      </c>
      <c r="E2150" t="s">
        <v>22</v>
      </c>
      <c r="F2150" s="79">
        <v>45107</v>
      </c>
      <c r="G2150">
        <v>2023</v>
      </c>
      <c r="H2150" t="s">
        <v>699</v>
      </c>
      <c r="I2150" t="s">
        <v>1512</v>
      </c>
      <c r="K2150">
        <v>86.98</v>
      </c>
      <c r="L2150" s="39"/>
      <c r="M2150" s="39"/>
      <c r="N2150" t="s">
        <v>355</v>
      </c>
      <c r="O2150" t="s">
        <v>25</v>
      </c>
      <c r="P2150">
        <v>0</v>
      </c>
      <c r="Q2150">
        <v>0</v>
      </c>
      <c r="R2150" t="s">
        <v>2933</v>
      </c>
    </row>
    <row r="2151" spans="1:18" x14ac:dyDescent="0.3">
      <c r="A2151">
        <v>426</v>
      </c>
      <c r="B2151" t="s">
        <v>1201</v>
      </c>
      <c r="C2151" t="s">
        <v>149</v>
      </c>
      <c r="D2151" t="s">
        <v>27</v>
      </c>
      <c r="E2151" t="s">
        <v>22</v>
      </c>
      <c r="F2151" s="79">
        <v>45291</v>
      </c>
      <c r="G2151">
        <v>2023</v>
      </c>
      <c r="H2151" t="s">
        <v>23</v>
      </c>
      <c r="I2151" t="s">
        <v>28</v>
      </c>
      <c r="K2151">
        <v>92.31</v>
      </c>
      <c r="L2151" s="39"/>
      <c r="M2151" s="39"/>
      <c r="N2151" t="s">
        <v>355</v>
      </c>
      <c r="O2151" t="s">
        <v>25</v>
      </c>
      <c r="P2151">
        <v>0</v>
      </c>
      <c r="Q2151">
        <v>0</v>
      </c>
      <c r="R2151" t="s">
        <v>1202</v>
      </c>
    </row>
    <row r="2152" spans="1:18" x14ac:dyDescent="0.3">
      <c r="A2152">
        <v>426</v>
      </c>
      <c r="B2152" t="s">
        <v>1201</v>
      </c>
      <c r="C2152" t="s">
        <v>149</v>
      </c>
      <c r="D2152" t="s">
        <v>27</v>
      </c>
      <c r="E2152" t="s">
        <v>22</v>
      </c>
      <c r="F2152" s="79">
        <v>45473</v>
      </c>
      <c r="G2152">
        <v>2024</v>
      </c>
      <c r="H2152" t="s">
        <v>699</v>
      </c>
      <c r="I2152" t="s">
        <v>729</v>
      </c>
      <c r="J2152">
        <v>80</v>
      </c>
      <c r="K2152">
        <v>60.27</v>
      </c>
      <c r="L2152" s="39">
        <f t="shared" ref="L2152:L2187" si="137">IFERROR(IF(OR(J2152=0,K2152=""),"",IF(E2152="Positivo",MIN(MAX(K2152/J2152,0),1.3),MIN(MAX(J2152/K2152,0),1.3))),"")</f>
        <v>0.75337500000000002</v>
      </c>
      <c r="M2152" s="39">
        <f t="shared" ref="M2152:M2187" si="138">IFERROR(IF(OR(J2152=0,K2152=""),"",IF(E2152="Positivo",MAX(K2152/J2152,0),MAX(J2152/K2152,0))),"")</f>
        <v>0.75337500000000002</v>
      </c>
      <c r="N2152" t="s">
        <v>355</v>
      </c>
      <c r="O2152" t="s">
        <v>25</v>
      </c>
      <c r="P2152">
        <v>0</v>
      </c>
      <c r="Q2152">
        <v>0</v>
      </c>
      <c r="R2152" t="s">
        <v>2934</v>
      </c>
    </row>
    <row r="2153" spans="1:18" x14ac:dyDescent="0.3">
      <c r="A2153">
        <v>426</v>
      </c>
      <c r="B2153" t="s">
        <v>1201</v>
      </c>
      <c r="C2153" t="s">
        <v>149</v>
      </c>
      <c r="D2153" t="s">
        <v>27</v>
      </c>
      <c r="E2153" t="s">
        <v>22</v>
      </c>
      <c r="F2153" s="79">
        <v>45657</v>
      </c>
      <c r="G2153">
        <v>2024</v>
      </c>
      <c r="H2153" t="s">
        <v>23</v>
      </c>
      <c r="I2153" t="s">
        <v>30</v>
      </c>
      <c r="J2153">
        <v>80</v>
      </c>
      <c r="K2153">
        <v>86.72</v>
      </c>
      <c r="L2153" s="39">
        <f t="shared" si="137"/>
        <v>1.0840000000000001</v>
      </c>
      <c r="M2153" s="39">
        <f t="shared" si="138"/>
        <v>1.0840000000000001</v>
      </c>
      <c r="N2153" t="s">
        <v>355</v>
      </c>
      <c r="O2153" t="s">
        <v>25</v>
      </c>
      <c r="P2153">
        <v>0</v>
      </c>
      <c r="Q2153">
        <v>0</v>
      </c>
      <c r="R2153" t="s">
        <v>1203</v>
      </c>
    </row>
    <row r="2154" spans="1:18" x14ac:dyDescent="0.3">
      <c r="A2154">
        <v>427</v>
      </c>
      <c r="B2154" t="s">
        <v>1204</v>
      </c>
      <c r="C2154" t="s">
        <v>190</v>
      </c>
      <c r="D2154" t="s">
        <v>27</v>
      </c>
      <c r="E2154" t="s">
        <v>41</v>
      </c>
      <c r="F2154" s="79">
        <v>45107</v>
      </c>
      <c r="G2154">
        <v>2023</v>
      </c>
      <c r="H2154" t="s">
        <v>699</v>
      </c>
      <c r="I2154" t="s">
        <v>1512</v>
      </c>
      <c r="J2154">
        <v>0.2</v>
      </c>
      <c r="K2154">
        <v>0.13666666666666999</v>
      </c>
      <c r="L2154" s="39">
        <f t="shared" si="137"/>
        <v>1.3</v>
      </c>
      <c r="M2154" s="39">
        <f t="shared" si="138"/>
        <v>1.4634146341463059</v>
      </c>
      <c r="N2154" t="s">
        <v>136</v>
      </c>
      <c r="O2154" t="s">
        <v>136</v>
      </c>
      <c r="P2154">
        <v>1</v>
      </c>
      <c r="Q2154">
        <v>2</v>
      </c>
      <c r="R2154" t="s">
        <v>2935</v>
      </c>
    </row>
    <row r="2155" spans="1:18" x14ac:dyDescent="0.3">
      <c r="A2155">
        <v>427</v>
      </c>
      <c r="B2155" t="s">
        <v>1204</v>
      </c>
      <c r="C2155" t="s">
        <v>190</v>
      </c>
      <c r="D2155" t="s">
        <v>27</v>
      </c>
      <c r="E2155" t="s">
        <v>41</v>
      </c>
      <c r="F2155" s="79">
        <v>45291</v>
      </c>
      <c r="G2155">
        <v>2023</v>
      </c>
      <c r="H2155" t="s">
        <v>23</v>
      </c>
      <c r="I2155" t="s">
        <v>28</v>
      </c>
      <c r="J2155">
        <v>0.2</v>
      </c>
      <c r="K2155">
        <v>0.2</v>
      </c>
      <c r="L2155" s="39">
        <f t="shared" si="137"/>
        <v>1</v>
      </c>
      <c r="M2155" s="39">
        <f t="shared" si="138"/>
        <v>1</v>
      </c>
      <c r="N2155" t="s">
        <v>136</v>
      </c>
      <c r="O2155" t="s">
        <v>136</v>
      </c>
      <c r="P2155">
        <v>1</v>
      </c>
      <c r="Q2155">
        <v>2</v>
      </c>
      <c r="R2155" t="s">
        <v>1205</v>
      </c>
    </row>
    <row r="2156" spans="1:18" x14ac:dyDescent="0.3">
      <c r="A2156">
        <v>427</v>
      </c>
      <c r="B2156" t="s">
        <v>1204</v>
      </c>
      <c r="C2156" t="s">
        <v>190</v>
      </c>
      <c r="D2156" t="s">
        <v>27</v>
      </c>
      <c r="E2156" t="s">
        <v>41</v>
      </c>
      <c r="F2156" s="79">
        <v>45473</v>
      </c>
      <c r="G2156">
        <v>2024</v>
      </c>
      <c r="H2156" t="s">
        <v>699</v>
      </c>
      <c r="I2156" t="s">
        <v>729</v>
      </c>
      <c r="J2156">
        <v>0.2</v>
      </c>
      <c r="K2156">
        <v>0.17</v>
      </c>
      <c r="L2156" s="39">
        <f t="shared" si="137"/>
        <v>1.1764705882352942</v>
      </c>
      <c r="M2156" s="39">
        <f t="shared" si="138"/>
        <v>1.1764705882352942</v>
      </c>
      <c r="N2156" t="s">
        <v>136</v>
      </c>
      <c r="O2156" t="s">
        <v>136</v>
      </c>
      <c r="P2156">
        <v>1</v>
      </c>
      <c r="Q2156">
        <v>2</v>
      </c>
      <c r="R2156" t="s">
        <v>2936</v>
      </c>
    </row>
    <row r="2157" spans="1:18" x14ac:dyDescent="0.3">
      <c r="A2157">
        <v>427</v>
      </c>
      <c r="B2157" t="s">
        <v>1204</v>
      </c>
      <c r="C2157" t="s">
        <v>190</v>
      </c>
      <c r="D2157" t="s">
        <v>27</v>
      </c>
      <c r="E2157" t="s">
        <v>41</v>
      </c>
      <c r="F2157" s="79">
        <v>45657</v>
      </c>
      <c r="G2157">
        <v>2024</v>
      </c>
      <c r="H2157" t="s">
        <v>23</v>
      </c>
      <c r="I2157" t="s">
        <v>30</v>
      </c>
      <c r="J2157">
        <v>0.2</v>
      </c>
      <c r="K2157">
        <v>0.17</v>
      </c>
      <c r="L2157" s="39">
        <f t="shared" si="137"/>
        <v>1.1764705882352942</v>
      </c>
      <c r="M2157" s="39">
        <f t="shared" si="138"/>
        <v>1.1764705882352942</v>
      </c>
      <c r="N2157" t="s">
        <v>136</v>
      </c>
      <c r="O2157" t="s">
        <v>136</v>
      </c>
      <c r="P2157">
        <v>1</v>
      </c>
      <c r="Q2157">
        <v>2</v>
      </c>
      <c r="R2157" t="s">
        <v>1206</v>
      </c>
    </row>
    <row r="2158" spans="1:18" x14ac:dyDescent="0.3">
      <c r="A2158">
        <v>427</v>
      </c>
      <c r="B2158" t="s">
        <v>1204</v>
      </c>
      <c r="C2158" t="s">
        <v>190</v>
      </c>
      <c r="D2158" t="s">
        <v>27</v>
      </c>
      <c r="E2158" t="s">
        <v>41</v>
      </c>
      <c r="F2158" s="79">
        <v>45838</v>
      </c>
      <c r="G2158">
        <v>2025</v>
      </c>
      <c r="H2158" t="s">
        <v>699</v>
      </c>
      <c r="I2158" t="s">
        <v>700</v>
      </c>
      <c r="J2158">
        <v>0.2</v>
      </c>
      <c r="K2158">
        <v>0.14000000000000001</v>
      </c>
      <c r="L2158" s="39">
        <f t="shared" si="137"/>
        <v>1.3</v>
      </c>
      <c r="M2158" s="39">
        <f t="shared" si="138"/>
        <v>1.4285714285714286</v>
      </c>
      <c r="N2158" t="s">
        <v>136</v>
      </c>
      <c r="O2158" t="s">
        <v>136</v>
      </c>
      <c r="P2158">
        <v>1</v>
      </c>
      <c r="Q2158">
        <v>2</v>
      </c>
      <c r="R2158" t="s">
        <v>2937</v>
      </c>
    </row>
    <row r="2159" spans="1:18" x14ac:dyDescent="0.3">
      <c r="A2159">
        <v>427</v>
      </c>
      <c r="B2159" t="s">
        <v>1204</v>
      </c>
      <c r="C2159" t="s">
        <v>190</v>
      </c>
      <c r="D2159" t="s">
        <v>21</v>
      </c>
      <c r="E2159" t="s">
        <v>41</v>
      </c>
      <c r="F2159" s="79">
        <v>46022</v>
      </c>
      <c r="G2159">
        <v>2025</v>
      </c>
      <c r="H2159" t="s">
        <v>23</v>
      </c>
      <c r="I2159" t="s">
        <v>32</v>
      </c>
      <c r="J2159">
        <v>0.2</v>
      </c>
      <c r="K2159">
        <v>0.15</v>
      </c>
      <c r="L2159" s="39">
        <f t="shared" si="137"/>
        <v>1.3</v>
      </c>
      <c r="M2159" s="39">
        <f t="shared" si="138"/>
        <v>1.3333333333333335</v>
      </c>
      <c r="N2159" t="s">
        <v>136</v>
      </c>
      <c r="O2159" t="s">
        <v>136</v>
      </c>
      <c r="P2159">
        <v>2</v>
      </c>
      <c r="Q2159">
        <v>2</v>
      </c>
      <c r="R2159" t="s">
        <v>1207</v>
      </c>
    </row>
    <row r="2160" spans="1:18" x14ac:dyDescent="0.3">
      <c r="A2160">
        <v>428</v>
      </c>
      <c r="B2160" t="s">
        <v>1208</v>
      </c>
      <c r="C2160" t="s">
        <v>190</v>
      </c>
      <c r="D2160" t="s">
        <v>27</v>
      </c>
      <c r="E2160" t="s">
        <v>41</v>
      </c>
      <c r="F2160" s="79">
        <v>45107</v>
      </c>
      <c r="G2160">
        <v>2023</v>
      </c>
      <c r="H2160" t="s">
        <v>699</v>
      </c>
      <c r="I2160" t="s">
        <v>1512</v>
      </c>
      <c r="J2160">
        <v>1</v>
      </c>
      <c r="K2160">
        <v>17.59</v>
      </c>
      <c r="L2160" s="39">
        <f t="shared" si="137"/>
        <v>5.6850483229107449E-2</v>
      </c>
      <c r="M2160" s="39">
        <f t="shared" si="138"/>
        <v>5.6850483229107449E-2</v>
      </c>
      <c r="N2160" t="s">
        <v>424</v>
      </c>
      <c r="O2160" t="s">
        <v>424</v>
      </c>
      <c r="P2160">
        <v>0</v>
      </c>
      <c r="Q2160">
        <v>1</v>
      </c>
      <c r="R2160" t="s">
        <v>2938</v>
      </c>
    </row>
    <row r="2161" spans="1:18" x14ac:dyDescent="0.3">
      <c r="A2161">
        <v>428</v>
      </c>
      <c r="B2161" t="s">
        <v>1208</v>
      </c>
      <c r="C2161" t="s">
        <v>190</v>
      </c>
      <c r="D2161" t="s">
        <v>27</v>
      </c>
      <c r="E2161" t="s">
        <v>41</v>
      </c>
      <c r="F2161" s="79">
        <v>45291</v>
      </c>
      <c r="G2161">
        <v>2023</v>
      </c>
      <c r="H2161" t="s">
        <v>23</v>
      </c>
      <c r="I2161" t="s">
        <v>28</v>
      </c>
      <c r="J2161">
        <v>1</v>
      </c>
      <c r="K2161">
        <v>18.63</v>
      </c>
      <c r="L2161" s="39">
        <f t="shared" si="137"/>
        <v>5.3676865271068172E-2</v>
      </c>
      <c r="M2161" s="39">
        <f t="shared" si="138"/>
        <v>5.3676865271068172E-2</v>
      </c>
      <c r="N2161" t="s">
        <v>424</v>
      </c>
      <c r="O2161" t="s">
        <v>424</v>
      </c>
      <c r="P2161">
        <v>0</v>
      </c>
      <c r="Q2161">
        <v>1</v>
      </c>
      <c r="R2161" t="s">
        <v>1209</v>
      </c>
    </row>
    <row r="2162" spans="1:18" x14ac:dyDescent="0.3">
      <c r="A2162">
        <v>428</v>
      </c>
      <c r="B2162" t="s">
        <v>1208</v>
      </c>
      <c r="C2162" t="s">
        <v>190</v>
      </c>
      <c r="D2162" t="s">
        <v>27</v>
      </c>
      <c r="E2162" t="s">
        <v>41</v>
      </c>
      <c r="F2162" s="79">
        <v>45473</v>
      </c>
      <c r="G2162">
        <v>2024</v>
      </c>
      <c r="H2162" t="s">
        <v>699</v>
      </c>
      <c r="I2162" t="s">
        <v>729</v>
      </c>
      <c r="J2162">
        <v>1</v>
      </c>
      <c r="K2162">
        <v>16.579999999999998</v>
      </c>
      <c r="L2162" s="39">
        <f t="shared" si="137"/>
        <v>6.0313630880579019E-2</v>
      </c>
      <c r="M2162" s="39">
        <f t="shared" si="138"/>
        <v>6.0313630880579019E-2</v>
      </c>
      <c r="N2162" t="s">
        <v>424</v>
      </c>
      <c r="O2162" t="s">
        <v>424</v>
      </c>
      <c r="P2162">
        <v>0</v>
      </c>
      <c r="Q2162">
        <v>1</v>
      </c>
      <c r="R2162" t="s">
        <v>2939</v>
      </c>
    </row>
    <row r="2163" spans="1:18" x14ac:dyDescent="0.3">
      <c r="A2163">
        <v>428</v>
      </c>
      <c r="B2163" t="s">
        <v>1208</v>
      </c>
      <c r="C2163" t="s">
        <v>190</v>
      </c>
      <c r="D2163" t="s">
        <v>27</v>
      </c>
      <c r="E2163" t="s">
        <v>41</v>
      </c>
      <c r="F2163" s="79">
        <v>45657</v>
      </c>
      <c r="G2163">
        <v>2024</v>
      </c>
      <c r="H2163" t="s">
        <v>23</v>
      </c>
      <c r="I2163" t="s">
        <v>30</v>
      </c>
      <c r="J2163">
        <v>1</v>
      </c>
      <c r="K2163">
        <v>18.53</v>
      </c>
      <c r="L2163" s="39">
        <f t="shared" si="137"/>
        <v>5.3966540744738258E-2</v>
      </c>
      <c r="M2163" s="39">
        <f t="shared" si="138"/>
        <v>5.3966540744738258E-2</v>
      </c>
      <c r="N2163" t="s">
        <v>424</v>
      </c>
      <c r="O2163" t="s">
        <v>424</v>
      </c>
      <c r="P2163">
        <v>0</v>
      </c>
      <c r="Q2163">
        <v>1</v>
      </c>
      <c r="R2163" t="s">
        <v>1210</v>
      </c>
    </row>
    <row r="2164" spans="1:18" x14ac:dyDescent="0.3">
      <c r="A2164">
        <v>428</v>
      </c>
      <c r="B2164" t="s">
        <v>1208</v>
      </c>
      <c r="C2164" t="s">
        <v>190</v>
      </c>
      <c r="D2164" t="s">
        <v>27</v>
      </c>
      <c r="E2164" t="s">
        <v>41</v>
      </c>
      <c r="F2164" s="79">
        <v>45838</v>
      </c>
      <c r="G2164">
        <v>2025</v>
      </c>
      <c r="H2164" t="s">
        <v>699</v>
      </c>
      <c r="I2164" t="s">
        <v>700</v>
      </c>
      <c r="J2164">
        <v>1</v>
      </c>
      <c r="K2164">
        <v>15.12</v>
      </c>
      <c r="L2164" s="39">
        <f t="shared" si="137"/>
        <v>6.6137566137566148E-2</v>
      </c>
      <c r="M2164" s="39">
        <f t="shared" si="138"/>
        <v>6.6137566137566148E-2</v>
      </c>
      <c r="N2164" t="s">
        <v>424</v>
      </c>
      <c r="O2164" t="s">
        <v>424</v>
      </c>
      <c r="P2164">
        <v>0</v>
      </c>
      <c r="Q2164">
        <v>1</v>
      </c>
      <c r="R2164" t="s">
        <v>2940</v>
      </c>
    </row>
    <row r="2165" spans="1:18" x14ac:dyDescent="0.3">
      <c r="A2165">
        <v>428</v>
      </c>
      <c r="B2165" t="s">
        <v>1208</v>
      </c>
      <c r="C2165" t="s">
        <v>190</v>
      </c>
      <c r="D2165" t="s">
        <v>21</v>
      </c>
      <c r="E2165" t="s">
        <v>41</v>
      </c>
      <c r="F2165" s="79">
        <v>46022</v>
      </c>
      <c r="G2165">
        <v>2025</v>
      </c>
      <c r="H2165" t="s">
        <v>23</v>
      </c>
      <c r="I2165" t="s">
        <v>32</v>
      </c>
      <c r="J2165">
        <v>1</v>
      </c>
      <c r="K2165">
        <v>17.88</v>
      </c>
      <c r="L2165" s="39">
        <f t="shared" si="137"/>
        <v>5.5928411633109625E-2</v>
      </c>
      <c r="M2165" s="39">
        <f t="shared" si="138"/>
        <v>5.5928411633109625E-2</v>
      </c>
      <c r="N2165" t="s">
        <v>424</v>
      </c>
      <c r="O2165" t="s">
        <v>424</v>
      </c>
      <c r="P2165">
        <v>0</v>
      </c>
      <c r="Q2165">
        <v>1</v>
      </c>
      <c r="R2165" t="s">
        <v>1211</v>
      </c>
    </row>
    <row r="2166" spans="1:18" x14ac:dyDescent="0.3">
      <c r="A2166">
        <v>429</v>
      </c>
      <c r="B2166" t="s">
        <v>1212</v>
      </c>
      <c r="C2166" t="s">
        <v>190</v>
      </c>
      <c r="D2166" t="s">
        <v>27</v>
      </c>
      <c r="E2166" t="s">
        <v>41</v>
      </c>
      <c r="F2166" s="79">
        <v>45107</v>
      </c>
      <c r="G2166">
        <v>2023</v>
      </c>
      <c r="H2166" t="s">
        <v>699</v>
      </c>
      <c r="I2166" t="s">
        <v>1512</v>
      </c>
      <c r="J2166">
        <v>0.76</v>
      </c>
      <c r="K2166">
        <v>0.3</v>
      </c>
      <c r="L2166" s="39">
        <f t="shared" si="137"/>
        <v>1.3</v>
      </c>
      <c r="M2166" s="39">
        <f t="shared" si="138"/>
        <v>2.5333333333333337</v>
      </c>
      <c r="N2166" t="s">
        <v>136</v>
      </c>
      <c r="O2166" t="s">
        <v>136</v>
      </c>
      <c r="P2166">
        <v>1</v>
      </c>
      <c r="Q2166">
        <v>1</v>
      </c>
      <c r="R2166" t="s">
        <v>2941</v>
      </c>
    </row>
    <row r="2167" spans="1:18" x14ac:dyDescent="0.3">
      <c r="A2167">
        <v>429</v>
      </c>
      <c r="B2167" t="s">
        <v>1212</v>
      </c>
      <c r="C2167" t="s">
        <v>190</v>
      </c>
      <c r="D2167" t="s">
        <v>27</v>
      </c>
      <c r="E2167" t="s">
        <v>41</v>
      </c>
      <c r="F2167" s="79">
        <v>45291</v>
      </c>
      <c r="G2167">
        <v>2023</v>
      </c>
      <c r="H2167" t="s">
        <v>23</v>
      </c>
      <c r="I2167" t="s">
        <v>28</v>
      </c>
      <c r="J2167">
        <v>0.76</v>
      </c>
      <c r="K2167">
        <v>0.76</v>
      </c>
      <c r="L2167" s="39">
        <f t="shared" si="137"/>
        <v>1</v>
      </c>
      <c r="M2167" s="39">
        <f t="shared" si="138"/>
        <v>1</v>
      </c>
      <c r="N2167" t="s">
        <v>136</v>
      </c>
      <c r="O2167" t="s">
        <v>136</v>
      </c>
      <c r="P2167">
        <v>0</v>
      </c>
      <c r="Q2167">
        <v>0</v>
      </c>
      <c r="R2167" t="s">
        <v>1213</v>
      </c>
    </row>
    <row r="2168" spans="1:18" x14ac:dyDescent="0.3">
      <c r="A2168">
        <v>429</v>
      </c>
      <c r="B2168" t="s">
        <v>1212</v>
      </c>
      <c r="C2168" t="s">
        <v>190</v>
      </c>
      <c r="D2168" t="s">
        <v>27</v>
      </c>
      <c r="E2168" t="s">
        <v>41</v>
      </c>
      <c r="F2168" s="79">
        <v>45473</v>
      </c>
      <c r="G2168">
        <v>2024</v>
      </c>
      <c r="H2168" t="s">
        <v>699</v>
      </c>
      <c r="I2168" t="s">
        <v>729</v>
      </c>
      <c r="J2168">
        <v>0.76</v>
      </c>
      <c r="K2168">
        <v>0.66</v>
      </c>
      <c r="L2168" s="39">
        <f t="shared" si="137"/>
        <v>1.1515151515151514</v>
      </c>
      <c r="M2168" s="39">
        <f t="shared" si="138"/>
        <v>1.1515151515151514</v>
      </c>
      <c r="N2168" t="s">
        <v>136</v>
      </c>
      <c r="O2168" t="s">
        <v>136</v>
      </c>
      <c r="P2168">
        <v>1</v>
      </c>
      <c r="Q2168">
        <v>1</v>
      </c>
      <c r="R2168" t="s">
        <v>2942</v>
      </c>
    </row>
    <row r="2169" spans="1:18" x14ac:dyDescent="0.3">
      <c r="A2169">
        <v>429</v>
      </c>
      <c r="B2169" t="s">
        <v>1212</v>
      </c>
      <c r="C2169" t="s">
        <v>190</v>
      </c>
      <c r="D2169" t="s">
        <v>27</v>
      </c>
      <c r="E2169" t="s">
        <v>41</v>
      </c>
      <c r="F2169" s="79">
        <v>45657</v>
      </c>
      <c r="G2169">
        <v>2024</v>
      </c>
      <c r="H2169" t="s">
        <v>23</v>
      </c>
      <c r="I2169" t="s">
        <v>30</v>
      </c>
      <c r="J2169">
        <v>0.76</v>
      </c>
      <c r="K2169">
        <v>0.67</v>
      </c>
      <c r="L2169" s="39">
        <f t="shared" si="137"/>
        <v>1.1343283582089552</v>
      </c>
      <c r="M2169" s="39">
        <f t="shared" si="138"/>
        <v>1.1343283582089552</v>
      </c>
      <c r="N2169" t="s">
        <v>136</v>
      </c>
      <c r="O2169" t="s">
        <v>136</v>
      </c>
      <c r="P2169">
        <v>1</v>
      </c>
      <c r="Q2169">
        <v>1</v>
      </c>
      <c r="R2169" t="s">
        <v>1214</v>
      </c>
    </row>
    <row r="2170" spans="1:18" x14ac:dyDescent="0.3">
      <c r="A2170">
        <v>429</v>
      </c>
      <c r="B2170" t="s">
        <v>1212</v>
      </c>
      <c r="C2170" t="s">
        <v>190</v>
      </c>
      <c r="D2170" t="s">
        <v>27</v>
      </c>
      <c r="E2170" t="s">
        <v>41</v>
      </c>
      <c r="F2170" s="79">
        <v>45838</v>
      </c>
      <c r="G2170">
        <v>2025</v>
      </c>
      <c r="H2170" t="s">
        <v>699</v>
      </c>
      <c r="I2170" t="s">
        <v>700</v>
      </c>
      <c r="J2170">
        <v>0.76</v>
      </c>
      <c r="K2170">
        <v>0.59</v>
      </c>
      <c r="L2170" s="39">
        <f t="shared" si="137"/>
        <v>1.2881355932203391</v>
      </c>
      <c r="M2170" s="39">
        <f t="shared" si="138"/>
        <v>1.2881355932203391</v>
      </c>
      <c r="N2170" t="s">
        <v>136</v>
      </c>
      <c r="O2170" t="s">
        <v>136</v>
      </c>
      <c r="P2170">
        <v>1</v>
      </c>
      <c r="Q2170">
        <v>1</v>
      </c>
      <c r="R2170" t="s">
        <v>2943</v>
      </c>
    </row>
    <row r="2171" spans="1:18" x14ac:dyDescent="0.3">
      <c r="A2171">
        <v>429</v>
      </c>
      <c r="B2171" t="s">
        <v>1212</v>
      </c>
      <c r="C2171" t="s">
        <v>190</v>
      </c>
      <c r="D2171" t="s">
        <v>21</v>
      </c>
      <c r="E2171" t="s">
        <v>41</v>
      </c>
      <c r="F2171" s="79">
        <v>46022</v>
      </c>
      <c r="G2171">
        <v>2025</v>
      </c>
      <c r="H2171" t="s">
        <v>23</v>
      </c>
      <c r="I2171" t="s">
        <v>32</v>
      </c>
      <c r="J2171">
        <v>0.76</v>
      </c>
      <c r="K2171">
        <v>0.52</v>
      </c>
      <c r="L2171" s="39">
        <f t="shared" si="137"/>
        <v>1.3</v>
      </c>
      <c r="M2171" s="39">
        <f t="shared" si="138"/>
        <v>1.4615384615384615</v>
      </c>
      <c r="N2171" t="s">
        <v>136</v>
      </c>
      <c r="O2171" t="s">
        <v>136</v>
      </c>
      <c r="P2171">
        <v>2</v>
      </c>
      <c r="Q2171">
        <v>2</v>
      </c>
      <c r="R2171" t="s">
        <v>1215</v>
      </c>
    </row>
    <row r="2172" spans="1:18" x14ac:dyDescent="0.3">
      <c r="A2172">
        <v>430</v>
      </c>
      <c r="B2172" t="s">
        <v>1216</v>
      </c>
      <c r="C2172" t="s">
        <v>159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J2172">
        <v>95</v>
      </c>
      <c r="K2172">
        <v>104.59563552424</v>
      </c>
      <c r="L2172" s="39">
        <f t="shared" si="137"/>
        <v>1.101006689728842</v>
      </c>
      <c r="M2172" s="39">
        <f t="shared" si="138"/>
        <v>1.101006689728842</v>
      </c>
      <c r="N2172" t="s">
        <v>25</v>
      </c>
      <c r="O2172" t="s">
        <v>25</v>
      </c>
      <c r="P2172">
        <v>0</v>
      </c>
      <c r="Q2172">
        <v>0</v>
      </c>
      <c r="R2172" t="s">
        <v>2944</v>
      </c>
    </row>
    <row r="2173" spans="1:18" x14ac:dyDescent="0.3">
      <c r="A2173">
        <v>430</v>
      </c>
      <c r="B2173" t="s">
        <v>1216</v>
      </c>
      <c r="C2173" t="s">
        <v>159</v>
      </c>
      <c r="D2173" t="s">
        <v>27</v>
      </c>
      <c r="E2173" t="s">
        <v>22</v>
      </c>
      <c r="F2173" s="79">
        <v>45291</v>
      </c>
      <c r="G2173">
        <v>2023</v>
      </c>
      <c r="H2173" t="s">
        <v>23</v>
      </c>
      <c r="I2173" t="s">
        <v>28</v>
      </c>
      <c r="J2173">
        <v>95</v>
      </c>
      <c r="K2173">
        <v>101.39526345983001</v>
      </c>
      <c r="L2173" s="39">
        <f t="shared" si="137"/>
        <v>1.0673185627350528</v>
      </c>
      <c r="M2173" s="39">
        <f t="shared" si="138"/>
        <v>1.0673185627350528</v>
      </c>
      <c r="N2173" t="s">
        <v>25</v>
      </c>
      <c r="O2173" t="s">
        <v>25</v>
      </c>
      <c r="P2173">
        <v>0</v>
      </c>
      <c r="Q2173">
        <v>0</v>
      </c>
      <c r="R2173" t="s">
        <v>1217</v>
      </c>
    </row>
    <row r="2174" spans="1:18" x14ac:dyDescent="0.3">
      <c r="A2174">
        <v>430</v>
      </c>
      <c r="B2174" t="s">
        <v>1216</v>
      </c>
      <c r="C2174" t="s">
        <v>159</v>
      </c>
      <c r="D2174" t="s">
        <v>27</v>
      </c>
      <c r="E2174" t="s">
        <v>22</v>
      </c>
      <c r="F2174" s="79">
        <v>45473</v>
      </c>
      <c r="G2174">
        <v>2024</v>
      </c>
      <c r="H2174" t="s">
        <v>699</v>
      </c>
      <c r="I2174" t="s">
        <v>729</v>
      </c>
      <c r="J2174">
        <v>95</v>
      </c>
      <c r="K2174">
        <v>101.88</v>
      </c>
      <c r="L2174" s="39">
        <f t="shared" si="137"/>
        <v>1.0724210526315789</v>
      </c>
      <c r="M2174" s="39">
        <f t="shared" si="138"/>
        <v>1.0724210526315789</v>
      </c>
      <c r="N2174" t="s">
        <v>25</v>
      </c>
      <c r="O2174" t="s">
        <v>25</v>
      </c>
      <c r="P2174">
        <v>0</v>
      </c>
      <c r="Q2174">
        <v>0</v>
      </c>
      <c r="R2174" t="s">
        <v>2945</v>
      </c>
    </row>
    <row r="2175" spans="1:18" x14ac:dyDescent="0.3">
      <c r="A2175">
        <v>430</v>
      </c>
      <c r="B2175" t="s">
        <v>1216</v>
      </c>
      <c r="C2175" t="s">
        <v>159</v>
      </c>
      <c r="D2175" t="s">
        <v>27</v>
      </c>
      <c r="E2175" t="s">
        <v>22</v>
      </c>
      <c r="F2175" s="79">
        <v>45657</v>
      </c>
      <c r="G2175">
        <v>2024</v>
      </c>
      <c r="H2175" t="s">
        <v>23</v>
      </c>
      <c r="I2175" t="s">
        <v>30</v>
      </c>
      <c r="J2175">
        <v>95</v>
      </c>
      <c r="K2175">
        <v>102.9374919710379</v>
      </c>
      <c r="L2175" s="39">
        <f t="shared" si="137"/>
        <v>1.0835525470635567</v>
      </c>
      <c r="M2175" s="39">
        <f t="shared" si="138"/>
        <v>1.0835525470635567</v>
      </c>
      <c r="N2175" t="s">
        <v>25</v>
      </c>
      <c r="O2175" t="s">
        <v>25</v>
      </c>
      <c r="P2175">
        <v>0</v>
      </c>
      <c r="Q2175">
        <v>0</v>
      </c>
      <c r="R2175" t="s">
        <v>1218</v>
      </c>
    </row>
    <row r="2176" spans="1:18" x14ac:dyDescent="0.3">
      <c r="A2176">
        <v>430</v>
      </c>
      <c r="B2176" t="s">
        <v>1216</v>
      </c>
      <c r="C2176" t="s">
        <v>159</v>
      </c>
      <c r="D2176" t="s">
        <v>27</v>
      </c>
      <c r="E2176" t="s">
        <v>22</v>
      </c>
      <c r="F2176" s="79">
        <v>45838</v>
      </c>
      <c r="G2176">
        <v>2025</v>
      </c>
      <c r="H2176" t="s">
        <v>699</v>
      </c>
      <c r="I2176" t="s">
        <v>700</v>
      </c>
      <c r="J2176">
        <v>95</v>
      </c>
      <c r="K2176">
        <v>110.79</v>
      </c>
      <c r="L2176" s="39">
        <f t="shared" si="137"/>
        <v>1.1662105263157896</v>
      </c>
      <c r="M2176" s="39">
        <f t="shared" si="138"/>
        <v>1.1662105263157896</v>
      </c>
      <c r="N2176" t="s">
        <v>25</v>
      </c>
      <c r="O2176" t="s">
        <v>25</v>
      </c>
      <c r="P2176">
        <v>0</v>
      </c>
      <c r="Q2176">
        <v>0</v>
      </c>
      <c r="R2176" t="s">
        <v>2946</v>
      </c>
    </row>
    <row r="2177" spans="1:19" x14ac:dyDescent="0.3">
      <c r="A2177">
        <v>430</v>
      </c>
      <c r="B2177" t="s">
        <v>1216</v>
      </c>
      <c r="C2177" t="s">
        <v>159</v>
      </c>
      <c r="D2177" t="s">
        <v>21</v>
      </c>
      <c r="E2177" t="s">
        <v>22</v>
      </c>
      <c r="F2177" s="79">
        <v>46022</v>
      </c>
      <c r="G2177">
        <v>2025</v>
      </c>
      <c r="H2177" t="s">
        <v>23</v>
      </c>
      <c r="I2177" t="s">
        <v>32</v>
      </c>
      <c r="J2177">
        <v>95</v>
      </c>
      <c r="K2177">
        <v>111.76</v>
      </c>
      <c r="L2177" s="39">
        <f t="shared" si="137"/>
        <v>1.176421052631579</v>
      </c>
      <c r="M2177" s="39">
        <f t="shared" si="138"/>
        <v>1.176421052631579</v>
      </c>
      <c r="N2177" t="s">
        <v>25</v>
      </c>
      <c r="O2177" t="s">
        <v>25</v>
      </c>
      <c r="P2177">
        <v>0</v>
      </c>
      <c r="Q2177">
        <v>0</v>
      </c>
      <c r="R2177" t="s">
        <v>1219</v>
      </c>
    </row>
    <row r="2178" spans="1:19" x14ac:dyDescent="0.3">
      <c r="A2178">
        <v>431</v>
      </c>
      <c r="B2178" t="s">
        <v>1220</v>
      </c>
      <c r="C2178" t="s">
        <v>70</v>
      </c>
      <c r="D2178" t="s">
        <v>21</v>
      </c>
      <c r="E2178" t="s">
        <v>22</v>
      </c>
      <c r="F2178" s="79">
        <v>45199</v>
      </c>
      <c r="G2178">
        <v>2023</v>
      </c>
      <c r="H2178" t="s">
        <v>162</v>
      </c>
      <c r="I2178" t="s">
        <v>28</v>
      </c>
      <c r="J2178">
        <v>100</v>
      </c>
      <c r="K2178">
        <v>100</v>
      </c>
      <c r="L2178" s="39">
        <f t="shared" si="137"/>
        <v>1</v>
      </c>
      <c r="M2178" s="39">
        <f t="shared" si="138"/>
        <v>1</v>
      </c>
      <c r="N2178" t="s">
        <v>25</v>
      </c>
      <c r="O2178" t="s">
        <v>25</v>
      </c>
      <c r="P2178">
        <v>0</v>
      </c>
      <c r="Q2178">
        <v>0</v>
      </c>
      <c r="R2178" t="s">
        <v>2947</v>
      </c>
    </row>
    <row r="2179" spans="1:19" x14ac:dyDescent="0.3">
      <c r="A2179">
        <v>431</v>
      </c>
      <c r="B2179" t="s">
        <v>1220</v>
      </c>
      <c r="C2179" t="s">
        <v>70</v>
      </c>
      <c r="D2179" t="s">
        <v>21</v>
      </c>
      <c r="E2179" t="s">
        <v>22</v>
      </c>
      <c r="F2179" s="79">
        <v>45291</v>
      </c>
      <c r="G2179">
        <v>2023</v>
      </c>
      <c r="H2179" t="s">
        <v>23</v>
      </c>
      <c r="I2179" t="s">
        <v>28</v>
      </c>
      <c r="J2179">
        <v>100</v>
      </c>
      <c r="K2179">
        <v>100</v>
      </c>
      <c r="L2179" s="39">
        <f t="shared" si="137"/>
        <v>1</v>
      </c>
      <c r="M2179" s="39">
        <f t="shared" si="138"/>
        <v>1</v>
      </c>
      <c r="N2179" t="s">
        <v>25</v>
      </c>
      <c r="O2179" t="s">
        <v>25</v>
      </c>
      <c r="P2179">
        <v>0</v>
      </c>
      <c r="Q2179">
        <v>0</v>
      </c>
      <c r="R2179" t="s">
        <v>1221</v>
      </c>
    </row>
    <row r="2180" spans="1:19" x14ac:dyDescent="0.3">
      <c r="A2180">
        <v>431</v>
      </c>
      <c r="B2180" t="s">
        <v>1220</v>
      </c>
      <c r="C2180" t="s">
        <v>70</v>
      </c>
      <c r="D2180" t="s">
        <v>21</v>
      </c>
      <c r="E2180" t="s">
        <v>22</v>
      </c>
      <c r="F2180" s="79">
        <v>45382</v>
      </c>
      <c r="G2180">
        <v>2024</v>
      </c>
      <c r="H2180" t="s">
        <v>1516</v>
      </c>
      <c r="I2180" t="s">
        <v>729</v>
      </c>
      <c r="J2180">
        <v>100</v>
      </c>
      <c r="K2180">
        <v>100</v>
      </c>
      <c r="L2180" s="39">
        <f t="shared" si="137"/>
        <v>1</v>
      </c>
      <c r="M2180" s="39">
        <f t="shared" si="138"/>
        <v>1</v>
      </c>
      <c r="N2180" t="s">
        <v>25</v>
      </c>
      <c r="O2180" t="s">
        <v>25</v>
      </c>
      <c r="P2180">
        <v>0</v>
      </c>
      <c r="Q2180">
        <v>0</v>
      </c>
      <c r="R2180" t="s">
        <v>2948</v>
      </c>
    </row>
    <row r="2181" spans="1:19" x14ac:dyDescent="0.3">
      <c r="A2181">
        <v>431</v>
      </c>
      <c r="B2181" t="s">
        <v>1220</v>
      </c>
      <c r="C2181" t="s">
        <v>70</v>
      </c>
      <c r="D2181" t="s">
        <v>21</v>
      </c>
      <c r="E2181" t="s">
        <v>22</v>
      </c>
      <c r="F2181" s="79">
        <v>45473</v>
      </c>
      <c r="G2181">
        <v>2024</v>
      </c>
      <c r="H2181" t="s">
        <v>699</v>
      </c>
      <c r="I2181" t="s">
        <v>729</v>
      </c>
      <c r="J2181">
        <v>100</v>
      </c>
      <c r="K2181">
        <v>100</v>
      </c>
      <c r="L2181" s="39">
        <f t="shared" si="137"/>
        <v>1</v>
      </c>
      <c r="M2181" s="39">
        <f t="shared" si="138"/>
        <v>1</v>
      </c>
      <c r="N2181" t="s">
        <v>25</v>
      </c>
      <c r="O2181" t="s">
        <v>25</v>
      </c>
      <c r="P2181">
        <v>0</v>
      </c>
      <c r="Q2181">
        <v>0</v>
      </c>
      <c r="R2181" t="s">
        <v>2949</v>
      </c>
    </row>
    <row r="2182" spans="1:19" x14ac:dyDescent="0.3">
      <c r="A2182">
        <v>431</v>
      </c>
      <c r="B2182" t="s">
        <v>1220</v>
      </c>
      <c r="C2182" t="s">
        <v>70</v>
      </c>
      <c r="D2182" t="s">
        <v>21</v>
      </c>
      <c r="E2182" t="s">
        <v>22</v>
      </c>
      <c r="F2182" s="79">
        <v>45565</v>
      </c>
      <c r="G2182">
        <v>2024</v>
      </c>
      <c r="H2182" t="s">
        <v>162</v>
      </c>
      <c r="I2182" t="s">
        <v>30</v>
      </c>
      <c r="J2182">
        <v>100</v>
      </c>
      <c r="K2182">
        <v>100</v>
      </c>
      <c r="L2182" s="39">
        <f t="shared" si="137"/>
        <v>1</v>
      </c>
      <c r="M2182" s="39">
        <f t="shared" si="138"/>
        <v>1</v>
      </c>
      <c r="N2182" t="s">
        <v>25</v>
      </c>
      <c r="O2182" t="s">
        <v>25</v>
      </c>
      <c r="P2182">
        <v>0</v>
      </c>
      <c r="Q2182">
        <v>0</v>
      </c>
      <c r="R2182" t="s">
        <v>2950</v>
      </c>
    </row>
    <row r="2183" spans="1:19" x14ac:dyDescent="0.3">
      <c r="A2183">
        <v>431</v>
      </c>
      <c r="B2183" t="s">
        <v>1220</v>
      </c>
      <c r="C2183" t="s">
        <v>70</v>
      </c>
      <c r="D2183" t="s">
        <v>21</v>
      </c>
      <c r="E2183" t="s">
        <v>22</v>
      </c>
      <c r="F2183" s="79">
        <v>45657</v>
      </c>
      <c r="G2183">
        <v>2024</v>
      </c>
      <c r="H2183" t="s">
        <v>23</v>
      </c>
      <c r="I2183" t="s">
        <v>30</v>
      </c>
      <c r="J2183">
        <v>100</v>
      </c>
      <c r="K2183">
        <v>100</v>
      </c>
      <c r="L2183" s="39">
        <f t="shared" si="137"/>
        <v>1</v>
      </c>
      <c r="M2183" s="39">
        <f t="shared" si="138"/>
        <v>1</v>
      </c>
      <c r="N2183" t="s">
        <v>25</v>
      </c>
      <c r="O2183" t="s">
        <v>25</v>
      </c>
      <c r="P2183">
        <v>0</v>
      </c>
      <c r="Q2183">
        <v>0</v>
      </c>
      <c r="R2183" t="s">
        <v>1222</v>
      </c>
    </row>
    <row r="2184" spans="1:19" x14ac:dyDescent="0.3">
      <c r="A2184">
        <v>431</v>
      </c>
      <c r="B2184" t="s">
        <v>1220</v>
      </c>
      <c r="C2184" t="s">
        <v>70</v>
      </c>
      <c r="D2184" t="s">
        <v>21</v>
      </c>
      <c r="E2184" t="s">
        <v>22</v>
      </c>
      <c r="F2184" s="79">
        <v>45747</v>
      </c>
      <c r="G2184">
        <v>2025</v>
      </c>
      <c r="H2184" t="s">
        <v>1516</v>
      </c>
      <c r="I2184" t="s">
        <v>700</v>
      </c>
      <c r="J2184">
        <v>100</v>
      </c>
      <c r="K2184">
        <v>100</v>
      </c>
      <c r="L2184" s="39">
        <f t="shared" si="137"/>
        <v>1</v>
      </c>
      <c r="M2184" s="39">
        <f t="shared" si="138"/>
        <v>1</v>
      </c>
      <c r="N2184" t="s">
        <v>25</v>
      </c>
      <c r="O2184" t="s">
        <v>25</v>
      </c>
      <c r="P2184">
        <v>0</v>
      </c>
      <c r="Q2184">
        <v>0</v>
      </c>
      <c r="R2184" t="s">
        <v>2951</v>
      </c>
    </row>
    <row r="2185" spans="1:19" x14ac:dyDescent="0.3">
      <c r="A2185">
        <v>431</v>
      </c>
      <c r="B2185" t="s">
        <v>1220</v>
      </c>
      <c r="C2185" t="s">
        <v>70</v>
      </c>
      <c r="D2185" t="s">
        <v>21</v>
      </c>
      <c r="E2185" t="s">
        <v>22</v>
      </c>
      <c r="F2185" s="79">
        <v>45838</v>
      </c>
      <c r="G2185">
        <v>2025</v>
      </c>
      <c r="H2185" t="s">
        <v>699</v>
      </c>
      <c r="I2185" t="s">
        <v>700</v>
      </c>
      <c r="J2185">
        <v>100</v>
      </c>
      <c r="K2185">
        <v>100</v>
      </c>
      <c r="L2185" s="39">
        <f t="shared" si="137"/>
        <v>1</v>
      </c>
      <c r="M2185" s="39">
        <f t="shared" si="138"/>
        <v>1</v>
      </c>
      <c r="N2185" t="s">
        <v>25</v>
      </c>
      <c r="O2185" t="s">
        <v>25</v>
      </c>
      <c r="P2185">
        <v>0</v>
      </c>
      <c r="Q2185">
        <v>0</v>
      </c>
      <c r="R2185" t="s">
        <v>2952</v>
      </c>
    </row>
    <row r="2186" spans="1:19" x14ac:dyDescent="0.3">
      <c r="A2186">
        <v>431</v>
      </c>
      <c r="B2186" t="s">
        <v>1220</v>
      </c>
      <c r="C2186" t="s">
        <v>70</v>
      </c>
      <c r="D2186" t="s">
        <v>27</v>
      </c>
      <c r="E2186" t="s">
        <v>22</v>
      </c>
      <c r="F2186" s="79">
        <v>45930</v>
      </c>
      <c r="G2186">
        <v>2025</v>
      </c>
      <c r="H2186" t="s">
        <v>162</v>
      </c>
      <c r="I2186" t="s">
        <v>32</v>
      </c>
      <c r="J2186">
        <v>100</v>
      </c>
      <c r="K2186">
        <v>100</v>
      </c>
      <c r="L2186" s="39">
        <f t="shared" si="137"/>
        <v>1</v>
      </c>
      <c r="M2186" s="39">
        <f t="shared" si="138"/>
        <v>1</v>
      </c>
      <c r="N2186" t="s">
        <v>25</v>
      </c>
      <c r="O2186" t="s">
        <v>25</v>
      </c>
      <c r="P2186">
        <v>0</v>
      </c>
      <c r="Q2186">
        <v>0</v>
      </c>
      <c r="R2186" t="s">
        <v>2953</v>
      </c>
    </row>
    <row r="2187" spans="1:19" x14ac:dyDescent="0.3">
      <c r="A2187">
        <v>431</v>
      </c>
      <c r="B2187" t="s">
        <v>1220</v>
      </c>
      <c r="C2187" t="s">
        <v>70</v>
      </c>
      <c r="D2187" t="s">
        <v>27</v>
      </c>
      <c r="E2187" t="s">
        <v>22</v>
      </c>
      <c r="F2187" s="79">
        <v>46022</v>
      </c>
      <c r="G2187">
        <v>2025</v>
      </c>
      <c r="H2187" t="s">
        <v>23</v>
      </c>
      <c r="I2187" t="s">
        <v>32</v>
      </c>
      <c r="J2187">
        <v>100</v>
      </c>
      <c r="K2187">
        <v>100</v>
      </c>
      <c r="L2187" s="39">
        <f t="shared" si="137"/>
        <v>1</v>
      </c>
      <c r="M2187" s="39">
        <f t="shared" si="138"/>
        <v>1</v>
      </c>
      <c r="N2187" t="s">
        <v>25</v>
      </c>
      <c r="O2187" t="s">
        <v>25</v>
      </c>
      <c r="P2187">
        <v>0</v>
      </c>
      <c r="Q2187">
        <v>0</v>
      </c>
      <c r="R2187" t="s">
        <v>1223</v>
      </c>
    </row>
    <row r="2188" spans="1:19" x14ac:dyDescent="0.3">
      <c r="A2188">
        <v>432</v>
      </c>
      <c r="B2188" t="s">
        <v>1224</v>
      </c>
      <c r="C2188" t="s">
        <v>70</v>
      </c>
      <c r="D2188" t="s">
        <v>27</v>
      </c>
      <c r="E2188" t="s">
        <v>22</v>
      </c>
      <c r="F2188" s="79">
        <v>45107</v>
      </c>
      <c r="G2188">
        <v>2023</v>
      </c>
      <c r="H2188" t="s">
        <v>699</v>
      </c>
      <c r="I2188" t="s">
        <v>1512</v>
      </c>
      <c r="N2188" t="s">
        <v>25</v>
      </c>
      <c r="O2188" t="s">
        <v>302</v>
      </c>
      <c r="P2188">
        <v>0</v>
      </c>
      <c r="Q2188">
        <v>0</v>
      </c>
      <c r="R2188" t="s">
        <v>2954</v>
      </c>
      <c r="S2188" t="s">
        <v>302</v>
      </c>
    </row>
    <row r="2189" spans="1:19" x14ac:dyDescent="0.3">
      <c r="A2189">
        <v>432</v>
      </c>
      <c r="B2189" t="s">
        <v>1224</v>
      </c>
      <c r="C2189" t="s">
        <v>70</v>
      </c>
      <c r="D2189" t="s">
        <v>21</v>
      </c>
      <c r="E2189" t="s">
        <v>22</v>
      </c>
      <c r="F2189" s="79">
        <v>45199</v>
      </c>
      <c r="G2189">
        <v>2023</v>
      </c>
      <c r="H2189" t="s">
        <v>162</v>
      </c>
      <c r="I2189" t="s">
        <v>28</v>
      </c>
      <c r="J2189">
        <v>90</v>
      </c>
      <c r="K2189">
        <v>100</v>
      </c>
      <c r="L2189" s="39">
        <f t="shared" ref="L2189:L2220" si="139">IFERROR(IF(OR(J2189=0,K2189=""),"",IF(E2189="Positivo",MIN(MAX(K2189/J2189,0),1.3),MIN(MAX(J2189/K2189,0),1.3))),"")</f>
        <v>1.1111111111111112</v>
      </c>
      <c r="M2189" s="39">
        <f t="shared" ref="M2189:M2220" si="140">IFERROR(IF(OR(J2189=0,K2189=""),"",IF(E2189="Positivo",MAX(K2189/J2189,0),MAX(J2189/K2189,0))),"")</f>
        <v>1.1111111111111112</v>
      </c>
      <c r="N2189" t="s">
        <v>25</v>
      </c>
      <c r="O2189" t="s">
        <v>25</v>
      </c>
      <c r="P2189">
        <v>0</v>
      </c>
      <c r="Q2189">
        <v>0</v>
      </c>
      <c r="R2189" t="s">
        <v>2955</v>
      </c>
    </row>
    <row r="2190" spans="1:19" x14ac:dyDescent="0.3">
      <c r="A2190">
        <v>432</v>
      </c>
      <c r="B2190" t="s">
        <v>1224</v>
      </c>
      <c r="C2190" t="s">
        <v>70</v>
      </c>
      <c r="D2190" t="s">
        <v>21</v>
      </c>
      <c r="E2190" t="s">
        <v>22</v>
      </c>
      <c r="F2190" s="79">
        <v>45291</v>
      </c>
      <c r="G2190">
        <v>2023</v>
      </c>
      <c r="H2190" t="s">
        <v>23</v>
      </c>
      <c r="I2190" t="s">
        <v>28</v>
      </c>
      <c r="J2190">
        <v>90</v>
      </c>
      <c r="K2190">
        <v>98.765555555556006</v>
      </c>
      <c r="L2190" s="39">
        <f t="shared" si="139"/>
        <v>1.0973950617284001</v>
      </c>
      <c r="M2190" s="39">
        <f t="shared" si="140"/>
        <v>1.0973950617284001</v>
      </c>
      <c r="N2190" t="s">
        <v>25</v>
      </c>
      <c r="O2190" t="s">
        <v>25</v>
      </c>
      <c r="P2190">
        <v>0</v>
      </c>
      <c r="Q2190">
        <v>0</v>
      </c>
      <c r="R2190" t="s">
        <v>1225</v>
      </c>
    </row>
    <row r="2191" spans="1:19" x14ac:dyDescent="0.3">
      <c r="A2191">
        <v>432</v>
      </c>
      <c r="B2191" t="s">
        <v>1224</v>
      </c>
      <c r="C2191" t="s">
        <v>70</v>
      </c>
      <c r="D2191" t="s">
        <v>21</v>
      </c>
      <c r="E2191" t="s">
        <v>22</v>
      </c>
      <c r="F2191" s="79">
        <v>45382</v>
      </c>
      <c r="G2191">
        <v>2024</v>
      </c>
      <c r="H2191" t="s">
        <v>1516</v>
      </c>
      <c r="I2191" t="s">
        <v>729</v>
      </c>
      <c r="J2191">
        <v>90</v>
      </c>
      <c r="K2191">
        <v>100</v>
      </c>
      <c r="L2191" s="39">
        <f t="shared" si="139"/>
        <v>1.1111111111111112</v>
      </c>
      <c r="M2191" s="39">
        <f t="shared" si="140"/>
        <v>1.1111111111111112</v>
      </c>
      <c r="N2191" t="s">
        <v>25</v>
      </c>
      <c r="O2191" t="s">
        <v>25</v>
      </c>
      <c r="P2191">
        <v>0</v>
      </c>
      <c r="Q2191">
        <v>0</v>
      </c>
      <c r="R2191" t="s">
        <v>2956</v>
      </c>
    </row>
    <row r="2192" spans="1:19" x14ac:dyDescent="0.3">
      <c r="A2192">
        <v>432</v>
      </c>
      <c r="B2192" t="s">
        <v>1224</v>
      </c>
      <c r="C2192" t="s">
        <v>70</v>
      </c>
      <c r="D2192" t="s">
        <v>21</v>
      </c>
      <c r="E2192" t="s">
        <v>22</v>
      </c>
      <c r="F2192" s="79">
        <v>45473</v>
      </c>
      <c r="G2192">
        <v>2024</v>
      </c>
      <c r="H2192" t="s">
        <v>699</v>
      </c>
      <c r="I2192" t="s">
        <v>729</v>
      </c>
      <c r="J2192">
        <v>90</v>
      </c>
      <c r="K2192">
        <v>100</v>
      </c>
      <c r="L2192" s="39">
        <f t="shared" si="139"/>
        <v>1.1111111111111112</v>
      </c>
      <c r="M2192" s="39">
        <f t="shared" si="140"/>
        <v>1.1111111111111112</v>
      </c>
      <c r="N2192" t="s">
        <v>25</v>
      </c>
      <c r="O2192" t="s">
        <v>25</v>
      </c>
      <c r="P2192">
        <v>0</v>
      </c>
      <c r="Q2192">
        <v>0</v>
      </c>
      <c r="R2192" t="s">
        <v>2957</v>
      </c>
    </row>
    <row r="2193" spans="1:18" x14ac:dyDescent="0.3">
      <c r="A2193">
        <v>432</v>
      </c>
      <c r="B2193" t="s">
        <v>1224</v>
      </c>
      <c r="C2193" t="s">
        <v>70</v>
      </c>
      <c r="D2193" t="s">
        <v>21</v>
      </c>
      <c r="E2193" t="s">
        <v>22</v>
      </c>
      <c r="F2193" s="79">
        <v>45565</v>
      </c>
      <c r="G2193">
        <v>2024</v>
      </c>
      <c r="H2193" t="s">
        <v>162</v>
      </c>
      <c r="I2193" t="s">
        <v>30</v>
      </c>
      <c r="J2193">
        <v>90</v>
      </c>
      <c r="K2193">
        <v>0</v>
      </c>
      <c r="L2193" s="39">
        <f t="shared" si="139"/>
        <v>0</v>
      </c>
      <c r="M2193" s="39">
        <f t="shared" si="140"/>
        <v>0</v>
      </c>
      <c r="N2193" t="s">
        <v>25</v>
      </c>
      <c r="O2193" t="s">
        <v>25</v>
      </c>
      <c r="P2193">
        <v>0</v>
      </c>
      <c r="Q2193">
        <v>0</v>
      </c>
      <c r="R2193" t="s">
        <v>2958</v>
      </c>
    </row>
    <row r="2194" spans="1:18" x14ac:dyDescent="0.3">
      <c r="A2194">
        <v>432</v>
      </c>
      <c r="B2194" t="s">
        <v>1224</v>
      </c>
      <c r="C2194" t="s">
        <v>70</v>
      </c>
      <c r="D2194" t="s">
        <v>21</v>
      </c>
      <c r="E2194" t="s">
        <v>22</v>
      </c>
      <c r="F2194" s="79">
        <v>45657</v>
      </c>
      <c r="G2194">
        <v>2024</v>
      </c>
      <c r="H2194" t="s">
        <v>23</v>
      </c>
      <c r="I2194" t="s">
        <v>30</v>
      </c>
      <c r="J2194">
        <v>90</v>
      </c>
      <c r="K2194">
        <v>100</v>
      </c>
      <c r="L2194" s="39">
        <f t="shared" si="139"/>
        <v>1.1111111111111112</v>
      </c>
      <c r="M2194" s="39">
        <f t="shared" si="140"/>
        <v>1.1111111111111112</v>
      </c>
      <c r="N2194" t="s">
        <v>25</v>
      </c>
      <c r="O2194" t="s">
        <v>25</v>
      </c>
      <c r="P2194">
        <v>0</v>
      </c>
      <c r="Q2194">
        <v>0</v>
      </c>
      <c r="R2194" t="s">
        <v>1226</v>
      </c>
    </row>
    <row r="2195" spans="1:18" x14ac:dyDescent="0.3">
      <c r="A2195">
        <v>432</v>
      </c>
      <c r="B2195" t="s">
        <v>1224</v>
      </c>
      <c r="C2195" t="s">
        <v>70</v>
      </c>
      <c r="D2195" t="s">
        <v>21</v>
      </c>
      <c r="E2195" t="s">
        <v>22</v>
      </c>
      <c r="F2195" s="79">
        <v>45747</v>
      </c>
      <c r="G2195">
        <v>2025</v>
      </c>
      <c r="H2195" t="s">
        <v>1516</v>
      </c>
      <c r="I2195" t="s">
        <v>700</v>
      </c>
      <c r="J2195">
        <v>90</v>
      </c>
      <c r="K2195">
        <v>100</v>
      </c>
      <c r="L2195" s="39">
        <f t="shared" si="139"/>
        <v>1.1111111111111112</v>
      </c>
      <c r="M2195" s="39">
        <f t="shared" si="140"/>
        <v>1.1111111111111112</v>
      </c>
      <c r="N2195" t="s">
        <v>25</v>
      </c>
      <c r="O2195" t="s">
        <v>25</v>
      </c>
      <c r="P2195">
        <v>0</v>
      </c>
      <c r="Q2195">
        <v>0</v>
      </c>
      <c r="R2195" t="s">
        <v>2959</v>
      </c>
    </row>
    <row r="2196" spans="1:18" x14ac:dyDescent="0.3">
      <c r="A2196">
        <v>432</v>
      </c>
      <c r="B2196" t="s">
        <v>1224</v>
      </c>
      <c r="C2196" t="s">
        <v>70</v>
      </c>
      <c r="D2196" t="s">
        <v>21</v>
      </c>
      <c r="E2196" t="s">
        <v>22</v>
      </c>
      <c r="F2196" s="79">
        <v>45838</v>
      </c>
      <c r="G2196">
        <v>2025</v>
      </c>
      <c r="H2196" t="s">
        <v>699</v>
      </c>
      <c r="I2196" t="s">
        <v>700</v>
      </c>
      <c r="J2196">
        <v>90</v>
      </c>
      <c r="K2196">
        <v>100</v>
      </c>
      <c r="L2196" s="39">
        <f t="shared" si="139"/>
        <v>1.1111111111111112</v>
      </c>
      <c r="M2196" s="39">
        <f t="shared" si="140"/>
        <v>1.1111111111111112</v>
      </c>
      <c r="N2196" t="s">
        <v>25</v>
      </c>
      <c r="O2196" t="s">
        <v>25</v>
      </c>
      <c r="P2196">
        <v>0</v>
      </c>
      <c r="Q2196">
        <v>0</v>
      </c>
      <c r="R2196" t="s">
        <v>2960</v>
      </c>
    </row>
    <row r="2197" spans="1:18" x14ac:dyDescent="0.3">
      <c r="A2197">
        <v>432</v>
      </c>
      <c r="B2197" t="s">
        <v>1224</v>
      </c>
      <c r="C2197" t="s">
        <v>70</v>
      </c>
      <c r="D2197" t="s">
        <v>27</v>
      </c>
      <c r="E2197" t="s">
        <v>22</v>
      </c>
      <c r="F2197" s="79">
        <v>45930</v>
      </c>
      <c r="G2197">
        <v>2025</v>
      </c>
      <c r="H2197" t="s">
        <v>162</v>
      </c>
      <c r="I2197" t="s">
        <v>32</v>
      </c>
      <c r="J2197">
        <v>90</v>
      </c>
      <c r="K2197">
        <v>100</v>
      </c>
      <c r="L2197" s="39">
        <f t="shared" si="139"/>
        <v>1.1111111111111112</v>
      </c>
      <c r="M2197" s="39">
        <f t="shared" si="140"/>
        <v>1.1111111111111112</v>
      </c>
      <c r="N2197" t="s">
        <v>25</v>
      </c>
      <c r="O2197" t="s">
        <v>25</v>
      </c>
      <c r="P2197">
        <v>0</v>
      </c>
      <c r="Q2197">
        <v>0</v>
      </c>
      <c r="R2197" t="s">
        <v>2961</v>
      </c>
    </row>
    <row r="2198" spans="1:18" x14ac:dyDescent="0.3">
      <c r="A2198">
        <v>432</v>
      </c>
      <c r="B2198" t="s">
        <v>1224</v>
      </c>
      <c r="C2198" t="s">
        <v>70</v>
      </c>
      <c r="D2198" t="s">
        <v>27</v>
      </c>
      <c r="E2198" t="s">
        <v>22</v>
      </c>
      <c r="F2198" s="79">
        <v>46022</v>
      </c>
      <c r="G2198">
        <v>2025</v>
      </c>
      <c r="H2198" t="s">
        <v>23</v>
      </c>
      <c r="I2198" t="s">
        <v>32</v>
      </c>
      <c r="J2198">
        <v>90</v>
      </c>
      <c r="K2198">
        <v>100</v>
      </c>
      <c r="L2198" s="39">
        <f t="shared" si="139"/>
        <v>1.1111111111111112</v>
      </c>
      <c r="M2198" s="39">
        <f t="shared" si="140"/>
        <v>1.1111111111111112</v>
      </c>
      <c r="N2198" t="s">
        <v>25</v>
      </c>
      <c r="O2198" t="s">
        <v>25</v>
      </c>
      <c r="P2198">
        <v>0</v>
      </c>
      <c r="Q2198">
        <v>0</v>
      </c>
      <c r="R2198" t="s">
        <v>1227</v>
      </c>
    </row>
    <row r="2199" spans="1:18" x14ac:dyDescent="0.3">
      <c r="A2199">
        <v>433</v>
      </c>
      <c r="B2199" t="s">
        <v>1228</v>
      </c>
      <c r="C2199" t="s">
        <v>190</v>
      </c>
      <c r="D2199" t="s">
        <v>27</v>
      </c>
      <c r="E2199" t="s">
        <v>41</v>
      </c>
      <c r="F2199" s="79">
        <v>45107</v>
      </c>
      <c r="G2199">
        <v>2023</v>
      </c>
      <c r="H2199" t="s">
        <v>699</v>
      </c>
      <c r="I2199" t="s">
        <v>1512</v>
      </c>
      <c r="J2199">
        <v>0.05</v>
      </c>
      <c r="K2199">
        <v>0.02</v>
      </c>
      <c r="L2199" s="39">
        <f t="shared" si="139"/>
        <v>1.3</v>
      </c>
      <c r="M2199" s="39">
        <f t="shared" si="140"/>
        <v>2.5</v>
      </c>
      <c r="N2199" t="s">
        <v>136</v>
      </c>
      <c r="O2199" t="s">
        <v>136</v>
      </c>
      <c r="P2199">
        <v>1</v>
      </c>
      <c r="Q2199">
        <v>2</v>
      </c>
      <c r="R2199" t="s">
        <v>2962</v>
      </c>
    </row>
    <row r="2200" spans="1:18" x14ac:dyDescent="0.3">
      <c r="A2200">
        <v>433</v>
      </c>
      <c r="B2200" t="s">
        <v>1228</v>
      </c>
      <c r="C2200" t="s">
        <v>190</v>
      </c>
      <c r="D2200" t="s">
        <v>27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0.05</v>
      </c>
      <c r="K2200">
        <v>0.05</v>
      </c>
      <c r="L2200" s="39">
        <f t="shared" si="139"/>
        <v>1</v>
      </c>
      <c r="M2200" s="39">
        <f t="shared" si="140"/>
        <v>1</v>
      </c>
      <c r="N2200" t="s">
        <v>136</v>
      </c>
      <c r="O2200" t="s">
        <v>136</v>
      </c>
      <c r="P2200">
        <v>0</v>
      </c>
      <c r="Q2200">
        <v>0</v>
      </c>
      <c r="R2200" t="s">
        <v>1229</v>
      </c>
    </row>
    <row r="2201" spans="1:18" x14ac:dyDescent="0.3">
      <c r="A2201">
        <v>433</v>
      </c>
      <c r="B2201" t="s">
        <v>1228</v>
      </c>
      <c r="C2201" t="s">
        <v>190</v>
      </c>
      <c r="D2201" t="s">
        <v>27</v>
      </c>
      <c r="E2201" t="s">
        <v>41</v>
      </c>
      <c r="F2201" s="79">
        <v>45473</v>
      </c>
      <c r="G2201">
        <v>2024</v>
      </c>
      <c r="H2201" t="s">
        <v>699</v>
      </c>
      <c r="I2201" t="s">
        <v>729</v>
      </c>
      <c r="J2201">
        <v>0.05</v>
      </c>
      <c r="K2201">
        <v>7.0000000000000007E-2</v>
      </c>
      <c r="L2201" s="39">
        <f t="shared" si="139"/>
        <v>0.7142857142857143</v>
      </c>
      <c r="M2201" s="39">
        <f t="shared" si="140"/>
        <v>0.7142857142857143</v>
      </c>
      <c r="N2201" t="s">
        <v>136</v>
      </c>
      <c r="O2201" t="s">
        <v>136</v>
      </c>
      <c r="P2201">
        <v>2</v>
      </c>
      <c r="Q2201">
        <v>2</v>
      </c>
      <c r="R2201" t="s">
        <v>2963</v>
      </c>
    </row>
    <row r="2202" spans="1:18" x14ac:dyDescent="0.3">
      <c r="A2202">
        <v>433</v>
      </c>
      <c r="B2202" t="s">
        <v>1228</v>
      </c>
      <c r="C2202" t="s">
        <v>190</v>
      </c>
      <c r="D2202" t="s">
        <v>27</v>
      </c>
      <c r="E2202" t="s">
        <v>41</v>
      </c>
      <c r="F2202" s="79">
        <v>45657</v>
      </c>
      <c r="G2202">
        <v>2024</v>
      </c>
      <c r="H2202" t="s">
        <v>23</v>
      </c>
      <c r="I2202" t="s">
        <v>30</v>
      </c>
      <c r="J2202">
        <v>0.05</v>
      </c>
      <c r="K2202">
        <v>0.14000000000000001</v>
      </c>
      <c r="L2202" s="39">
        <f t="shared" si="139"/>
        <v>0.35714285714285715</v>
      </c>
      <c r="M2202" s="39">
        <f t="shared" si="140"/>
        <v>0.35714285714285715</v>
      </c>
      <c r="N2202" t="s">
        <v>136</v>
      </c>
      <c r="O2202" t="s">
        <v>136</v>
      </c>
      <c r="P2202">
        <v>2</v>
      </c>
      <c r="Q2202">
        <v>2</v>
      </c>
      <c r="R2202" t="s">
        <v>1230</v>
      </c>
    </row>
    <row r="2203" spans="1:18" x14ac:dyDescent="0.3">
      <c r="A2203">
        <v>433</v>
      </c>
      <c r="B2203" t="s">
        <v>1228</v>
      </c>
      <c r="C2203" t="s">
        <v>190</v>
      </c>
      <c r="D2203" t="s">
        <v>27</v>
      </c>
      <c r="E2203" t="s">
        <v>41</v>
      </c>
      <c r="F2203" s="79">
        <v>45838</v>
      </c>
      <c r="G2203">
        <v>2025</v>
      </c>
      <c r="H2203" t="s">
        <v>699</v>
      </c>
      <c r="I2203" t="s">
        <v>700</v>
      </c>
      <c r="J2203">
        <v>0.05</v>
      </c>
      <c r="K2203">
        <v>0.02</v>
      </c>
      <c r="L2203" s="39">
        <f t="shared" si="139"/>
        <v>1.3</v>
      </c>
      <c r="M2203" s="39">
        <f t="shared" si="140"/>
        <v>2.5</v>
      </c>
      <c r="N2203" t="s">
        <v>136</v>
      </c>
      <c r="O2203" t="s">
        <v>136</v>
      </c>
      <c r="P2203">
        <v>2</v>
      </c>
      <c r="Q2203">
        <v>2</v>
      </c>
      <c r="R2203" t="s">
        <v>2964</v>
      </c>
    </row>
    <row r="2204" spans="1:18" x14ac:dyDescent="0.3">
      <c r="A2204">
        <v>433</v>
      </c>
      <c r="B2204" t="s">
        <v>1228</v>
      </c>
      <c r="C2204" t="s">
        <v>190</v>
      </c>
      <c r="D2204" t="s">
        <v>21</v>
      </c>
      <c r="E2204" t="s">
        <v>41</v>
      </c>
      <c r="F2204" s="79">
        <v>46022</v>
      </c>
      <c r="G2204">
        <v>2025</v>
      </c>
      <c r="H2204" t="s">
        <v>23</v>
      </c>
      <c r="I2204" t="s">
        <v>32</v>
      </c>
      <c r="J2204">
        <v>0.05</v>
      </c>
      <c r="K2204">
        <v>0.17</v>
      </c>
      <c r="L2204" s="39">
        <f t="shared" si="139"/>
        <v>0.29411764705882354</v>
      </c>
      <c r="M2204" s="39">
        <f t="shared" si="140"/>
        <v>0.29411764705882354</v>
      </c>
      <c r="N2204" t="s">
        <v>136</v>
      </c>
      <c r="O2204" t="s">
        <v>136</v>
      </c>
      <c r="P2204">
        <v>2</v>
      </c>
      <c r="Q2204">
        <v>2</v>
      </c>
      <c r="R2204" t="s">
        <v>1231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44957</v>
      </c>
      <c r="G2205">
        <v>2023</v>
      </c>
      <c r="H2205" t="s">
        <v>59</v>
      </c>
      <c r="I2205" t="s">
        <v>1512</v>
      </c>
      <c r="J2205">
        <v>200</v>
      </c>
      <c r="K2205">
        <v>7</v>
      </c>
      <c r="L2205" s="39">
        <f t="shared" si="139"/>
        <v>1.3</v>
      </c>
      <c r="M2205" s="39">
        <f t="shared" si="140"/>
        <v>28.571428571428573</v>
      </c>
      <c r="N2205" t="s">
        <v>403</v>
      </c>
      <c r="O2205" t="s">
        <v>403</v>
      </c>
      <c r="P2205">
        <v>0</v>
      </c>
      <c r="Q2205">
        <v>0</v>
      </c>
      <c r="R2205" t="s">
        <v>2965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44985</v>
      </c>
      <c r="G2206">
        <v>2023</v>
      </c>
      <c r="H2206" t="s">
        <v>210</v>
      </c>
      <c r="I2206" t="s">
        <v>1512</v>
      </c>
      <c r="J2206">
        <v>200</v>
      </c>
      <c r="K2206">
        <v>0</v>
      </c>
      <c r="L2206" s="39" t="str">
        <f t="shared" si="139"/>
        <v/>
      </c>
      <c r="M2206" s="39" t="str">
        <f t="shared" si="140"/>
        <v/>
      </c>
      <c r="N2206" t="s">
        <v>403</v>
      </c>
      <c r="O2206" t="s">
        <v>403</v>
      </c>
      <c r="P2206">
        <v>0</v>
      </c>
      <c r="Q2206">
        <v>0</v>
      </c>
      <c r="R2206" t="s">
        <v>2966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45016</v>
      </c>
      <c r="G2207">
        <v>2023</v>
      </c>
      <c r="H2207" t="s">
        <v>1516</v>
      </c>
      <c r="I2207" t="s">
        <v>1512</v>
      </c>
      <c r="J2207">
        <v>200</v>
      </c>
      <c r="K2207">
        <v>1</v>
      </c>
      <c r="L2207" s="39">
        <f t="shared" si="139"/>
        <v>1.3</v>
      </c>
      <c r="M2207" s="39">
        <f t="shared" si="140"/>
        <v>200</v>
      </c>
      <c r="N2207" t="s">
        <v>403</v>
      </c>
      <c r="O2207" t="s">
        <v>403</v>
      </c>
      <c r="P2207">
        <v>0</v>
      </c>
      <c r="Q2207">
        <v>0</v>
      </c>
      <c r="R2207" t="s">
        <v>2967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45046</v>
      </c>
      <c r="G2208">
        <v>2023</v>
      </c>
      <c r="H2208" t="s">
        <v>1540</v>
      </c>
      <c r="I2208" t="s">
        <v>1512</v>
      </c>
      <c r="J2208">
        <v>200</v>
      </c>
      <c r="K2208">
        <v>0.8</v>
      </c>
      <c r="L2208" s="39">
        <f t="shared" si="139"/>
        <v>1.3</v>
      </c>
      <c r="M2208" s="39">
        <f t="shared" si="140"/>
        <v>250</v>
      </c>
      <c r="N2208" t="s">
        <v>403</v>
      </c>
      <c r="O2208" t="s">
        <v>403</v>
      </c>
      <c r="P2208">
        <v>0</v>
      </c>
      <c r="Q2208">
        <v>0</v>
      </c>
      <c r="R2208" t="s">
        <v>2968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45077</v>
      </c>
      <c r="G2209">
        <v>2023</v>
      </c>
      <c r="H2209" t="s">
        <v>1542</v>
      </c>
      <c r="I2209" t="s">
        <v>1512</v>
      </c>
      <c r="J2209">
        <v>200</v>
      </c>
      <c r="K2209">
        <v>4.5999999999999996</v>
      </c>
      <c r="L2209" s="39">
        <f t="shared" si="139"/>
        <v>1.3</v>
      </c>
      <c r="M2209" s="39">
        <f t="shared" si="140"/>
        <v>43.478260869565219</v>
      </c>
      <c r="N2209" t="s">
        <v>403</v>
      </c>
      <c r="O2209" t="s">
        <v>403</v>
      </c>
      <c r="P2209">
        <v>0</v>
      </c>
      <c r="Q2209">
        <v>0</v>
      </c>
      <c r="R2209" t="s">
        <v>2969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45107</v>
      </c>
      <c r="G2210">
        <v>2023</v>
      </c>
      <c r="H2210" t="s">
        <v>699</v>
      </c>
      <c r="I2210" t="s">
        <v>1512</v>
      </c>
      <c r="J2210">
        <v>200</v>
      </c>
      <c r="K2210">
        <v>5.0999999999999996</v>
      </c>
      <c r="L2210" s="39">
        <f t="shared" si="139"/>
        <v>1.3</v>
      </c>
      <c r="M2210" s="39">
        <f t="shared" si="140"/>
        <v>39.215686274509807</v>
      </c>
      <c r="N2210" t="s">
        <v>403</v>
      </c>
      <c r="O2210" t="s">
        <v>403</v>
      </c>
      <c r="P2210">
        <v>0</v>
      </c>
      <c r="Q2210">
        <v>0</v>
      </c>
      <c r="R2210" t="s">
        <v>2970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45138</v>
      </c>
      <c r="G2211">
        <v>2023</v>
      </c>
      <c r="H2211" t="s">
        <v>260</v>
      </c>
      <c r="I2211" t="s">
        <v>28</v>
      </c>
      <c r="J2211">
        <v>200</v>
      </c>
      <c r="K2211">
        <v>18.899999999999999</v>
      </c>
      <c r="L2211" s="39">
        <f t="shared" si="139"/>
        <v>1.3</v>
      </c>
      <c r="M2211" s="39">
        <f t="shared" si="140"/>
        <v>10.582010582010582</v>
      </c>
      <c r="N2211" t="s">
        <v>403</v>
      </c>
      <c r="O2211" t="s">
        <v>403</v>
      </c>
      <c r="P2211">
        <v>0</v>
      </c>
      <c r="Q2211">
        <v>0</v>
      </c>
      <c r="R2211" t="s">
        <v>2971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45169</v>
      </c>
      <c r="G2212">
        <v>2023</v>
      </c>
      <c r="H2212" t="s">
        <v>1546</v>
      </c>
      <c r="I2212" t="s">
        <v>28</v>
      </c>
      <c r="J2212">
        <v>200</v>
      </c>
      <c r="K2212">
        <v>20.9</v>
      </c>
      <c r="L2212" s="39">
        <f t="shared" si="139"/>
        <v>1.3</v>
      </c>
      <c r="M2212" s="39">
        <f t="shared" si="140"/>
        <v>9.5693779904306222</v>
      </c>
      <c r="N2212" t="s">
        <v>403</v>
      </c>
      <c r="O2212" t="s">
        <v>403</v>
      </c>
      <c r="P2212">
        <v>0</v>
      </c>
      <c r="Q2212">
        <v>0</v>
      </c>
      <c r="R2212" t="s">
        <v>2972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45199</v>
      </c>
      <c r="G2213">
        <v>2023</v>
      </c>
      <c r="H2213" t="s">
        <v>162</v>
      </c>
      <c r="I2213" t="s">
        <v>28</v>
      </c>
      <c r="J2213">
        <v>200</v>
      </c>
      <c r="K2213">
        <v>1803.72</v>
      </c>
      <c r="L2213" s="39">
        <f t="shared" si="139"/>
        <v>0.11088195507063181</v>
      </c>
      <c r="M2213" s="39">
        <f t="shared" si="140"/>
        <v>0.11088195507063181</v>
      </c>
      <c r="N2213" t="s">
        <v>403</v>
      </c>
      <c r="O2213" t="s">
        <v>403</v>
      </c>
      <c r="P2213">
        <v>0</v>
      </c>
      <c r="Q2213">
        <v>1</v>
      </c>
      <c r="R2213" t="s">
        <v>2973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45230</v>
      </c>
      <c r="G2214">
        <v>2023</v>
      </c>
      <c r="H2214" t="s">
        <v>150</v>
      </c>
      <c r="I2214" t="s">
        <v>28</v>
      </c>
      <c r="J2214">
        <v>200</v>
      </c>
      <c r="K2214">
        <v>2.1</v>
      </c>
      <c r="L2214" s="39">
        <f t="shared" si="139"/>
        <v>1.3</v>
      </c>
      <c r="M2214" s="39">
        <f t="shared" si="140"/>
        <v>95.238095238095241</v>
      </c>
      <c r="N2214" t="s">
        <v>403</v>
      </c>
      <c r="O2214" t="s">
        <v>403</v>
      </c>
      <c r="P2214">
        <v>0</v>
      </c>
      <c r="Q2214">
        <v>0</v>
      </c>
      <c r="R2214" t="s">
        <v>2974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45260</v>
      </c>
      <c r="G2215">
        <v>2023</v>
      </c>
      <c r="H2215" t="s">
        <v>1550</v>
      </c>
      <c r="I2215" t="s">
        <v>28</v>
      </c>
      <c r="J2215">
        <v>200</v>
      </c>
      <c r="K2215">
        <v>14.31</v>
      </c>
      <c r="L2215" s="39">
        <f t="shared" si="139"/>
        <v>1.3</v>
      </c>
      <c r="M2215" s="39">
        <f t="shared" si="140"/>
        <v>13.976240391334731</v>
      </c>
      <c r="N2215" t="s">
        <v>403</v>
      </c>
      <c r="O2215" t="s">
        <v>403</v>
      </c>
      <c r="P2215">
        <v>0</v>
      </c>
      <c r="Q2215">
        <v>0</v>
      </c>
      <c r="R2215" t="s">
        <v>2975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45291</v>
      </c>
      <c r="G2216">
        <v>2023</v>
      </c>
      <c r="H2216" t="s">
        <v>23</v>
      </c>
      <c r="I2216" t="s">
        <v>28</v>
      </c>
      <c r="J2216">
        <v>200</v>
      </c>
      <c r="K2216">
        <v>415.7</v>
      </c>
      <c r="L2216" s="39">
        <f t="shared" si="139"/>
        <v>0.4811161895597787</v>
      </c>
      <c r="M2216" s="39">
        <f t="shared" si="140"/>
        <v>0.4811161895597787</v>
      </c>
      <c r="N2216" t="s">
        <v>403</v>
      </c>
      <c r="O2216" t="s">
        <v>403</v>
      </c>
      <c r="P2216">
        <v>0</v>
      </c>
      <c r="Q2216">
        <v>0</v>
      </c>
      <c r="R2216" t="s">
        <v>1233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45322</v>
      </c>
      <c r="G2217">
        <v>2024</v>
      </c>
      <c r="H2217" t="s">
        <v>59</v>
      </c>
      <c r="I2217" t="s">
        <v>729</v>
      </c>
      <c r="J2217">
        <v>200</v>
      </c>
      <c r="K2217">
        <v>9.65</v>
      </c>
      <c r="L2217" s="39">
        <f t="shared" si="139"/>
        <v>1.3</v>
      </c>
      <c r="M2217" s="39">
        <f t="shared" si="140"/>
        <v>20.725388601036268</v>
      </c>
      <c r="N2217" t="s">
        <v>403</v>
      </c>
      <c r="O2217" t="s">
        <v>403</v>
      </c>
      <c r="P2217">
        <v>0</v>
      </c>
      <c r="Q2217">
        <v>1</v>
      </c>
      <c r="R2217" t="s">
        <v>2976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45351</v>
      </c>
      <c r="G2218">
        <v>2024</v>
      </c>
      <c r="H2218" t="s">
        <v>210</v>
      </c>
      <c r="I2218" t="s">
        <v>729</v>
      </c>
      <c r="J2218">
        <v>200</v>
      </c>
      <c r="K2218">
        <v>107.7</v>
      </c>
      <c r="L2218" s="39">
        <f t="shared" si="139"/>
        <v>1.3</v>
      </c>
      <c r="M2218" s="39">
        <f t="shared" si="140"/>
        <v>1.8570102135561746</v>
      </c>
      <c r="N2218" t="s">
        <v>403</v>
      </c>
      <c r="O2218" t="s">
        <v>403</v>
      </c>
      <c r="P2218">
        <v>0</v>
      </c>
      <c r="Q2218">
        <v>1</v>
      </c>
      <c r="R2218" t="s">
        <v>2977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45382</v>
      </c>
      <c r="G2219">
        <v>2024</v>
      </c>
      <c r="H2219" t="s">
        <v>1516</v>
      </c>
      <c r="I2219" t="s">
        <v>729</v>
      </c>
      <c r="J2219">
        <v>200</v>
      </c>
      <c r="K2219">
        <v>22.02</v>
      </c>
      <c r="L2219" s="39">
        <f t="shared" si="139"/>
        <v>1.3</v>
      </c>
      <c r="M2219" s="39">
        <f t="shared" si="140"/>
        <v>9.0826521344232525</v>
      </c>
      <c r="N2219" t="s">
        <v>403</v>
      </c>
      <c r="O2219" t="s">
        <v>403</v>
      </c>
      <c r="P2219">
        <v>0</v>
      </c>
      <c r="Q2219">
        <v>1</v>
      </c>
      <c r="R2219" t="s">
        <v>2978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45412</v>
      </c>
      <c r="G2220">
        <v>2024</v>
      </c>
      <c r="H2220" t="s">
        <v>1540</v>
      </c>
      <c r="I2220" t="s">
        <v>729</v>
      </c>
      <c r="J2220">
        <v>200</v>
      </c>
      <c r="K2220">
        <v>89.04</v>
      </c>
      <c r="L2220" s="39">
        <f t="shared" si="139"/>
        <v>1.3</v>
      </c>
      <c r="M2220" s="39">
        <f t="shared" si="140"/>
        <v>2.24618149146451</v>
      </c>
      <c r="N2220" t="s">
        <v>403</v>
      </c>
      <c r="O2220" t="s">
        <v>403</v>
      </c>
      <c r="P2220">
        <v>0</v>
      </c>
      <c r="Q2220">
        <v>1</v>
      </c>
      <c r="R2220" t="s">
        <v>2979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45443</v>
      </c>
      <c r="G2221">
        <v>2024</v>
      </c>
      <c r="H2221" t="s">
        <v>1542</v>
      </c>
      <c r="I2221" t="s">
        <v>729</v>
      </c>
      <c r="J2221">
        <v>200</v>
      </c>
      <c r="K2221">
        <v>42</v>
      </c>
      <c r="L2221" s="39">
        <f t="shared" ref="L2221:L2240" si="141">IFERROR(IF(OR(J2221=0,K2221=""),"",IF(E2221="Positivo",MIN(MAX(K2221/J2221,0),1.3),MIN(MAX(J2221/K2221,0),1.3))),"")</f>
        <v>1.3</v>
      </c>
      <c r="M2221" s="39">
        <f t="shared" ref="M2221:M2240" si="142">IFERROR(IF(OR(J2221=0,K2221=""),"",IF(E2221="Positivo",MAX(K2221/J2221,0),MAX(J2221/K2221,0))),"")</f>
        <v>4.7619047619047619</v>
      </c>
      <c r="N2221" t="s">
        <v>403</v>
      </c>
      <c r="O2221" t="s">
        <v>403</v>
      </c>
      <c r="P2221">
        <v>0</v>
      </c>
      <c r="Q2221">
        <v>0</v>
      </c>
      <c r="R2221" t="s">
        <v>2980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45473</v>
      </c>
      <c r="G2222">
        <v>2024</v>
      </c>
      <c r="H2222" t="s">
        <v>699</v>
      </c>
      <c r="I2222" t="s">
        <v>729</v>
      </c>
      <c r="J2222">
        <v>200</v>
      </c>
      <c r="K2222">
        <v>3219.1</v>
      </c>
      <c r="L2222" s="39">
        <f t="shared" si="141"/>
        <v>6.2129166537230905E-2</v>
      </c>
      <c r="M2222" s="39">
        <f t="shared" si="142"/>
        <v>6.2129166537230905E-2</v>
      </c>
      <c r="N2222" t="s">
        <v>403</v>
      </c>
      <c r="O2222" t="s">
        <v>403</v>
      </c>
      <c r="P2222">
        <v>0</v>
      </c>
      <c r="Q2222">
        <v>1</v>
      </c>
      <c r="R2222" t="s">
        <v>2981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45504</v>
      </c>
      <c r="G2223">
        <v>2024</v>
      </c>
      <c r="H2223" t="s">
        <v>260</v>
      </c>
      <c r="I2223" t="s">
        <v>30</v>
      </c>
      <c r="J2223">
        <v>200</v>
      </c>
      <c r="K2223">
        <v>1689.599975585938</v>
      </c>
      <c r="L2223" s="39">
        <f t="shared" si="141"/>
        <v>0.11837121383163006</v>
      </c>
      <c r="M2223" s="39">
        <f t="shared" si="142"/>
        <v>0.11837121383163006</v>
      </c>
      <c r="N2223" t="s">
        <v>403</v>
      </c>
      <c r="O2223" t="s">
        <v>403</v>
      </c>
      <c r="P2223">
        <v>0</v>
      </c>
      <c r="Q2223">
        <v>1</v>
      </c>
      <c r="R2223" t="s">
        <v>2982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45535</v>
      </c>
      <c r="G2224">
        <v>2024</v>
      </c>
      <c r="H2224" t="s">
        <v>1546</v>
      </c>
      <c r="I2224" t="s">
        <v>30</v>
      </c>
      <c r="J2224">
        <v>200</v>
      </c>
      <c r="K2224">
        <v>855.1</v>
      </c>
      <c r="L2224" s="39">
        <f t="shared" si="141"/>
        <v>0.23389077300900479</v>
      </c>
      <c r="M2224" s="39">
        <f t="shared" si="142"/>
        <v>0.23389077300900479</v>
      </c>
      <c r="N2224" t="s">
        <v>403</v>
      </c>
      <c r="O2224" t="s">
        <v>403</v>
      </c>
      <c r="P2224">
        <v>0</v>
      </c>
      <c r="Q2224">
        <v>1</v>
      </c>
      <c r="R2224" t="s">
        <v>2983</v>
      </c>
    </row>
    <row r="2225" spans="1:18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45565</v>
      </c>
      <c r="G2225">
        <v>2024</v>
      </c>
      <c r="H2225" t="s">
        <v>162</v>
      </c>
      <c r="I2225" t="s">
        <v>30</v>
      </c>
      <c r="J2225">
        <v>200</v>
      </c>
      <c r="K2225">
        <v>16.37</v>
      </c>
      <c r="L2225" s="39">
        <f t="shared" si="141"/>
        <v>1.3</v>
      </c>
      <c r="M2225" s="39">
        <f t="shared" si="142"/>
        <v>12.217470983506413</v>
      </c>
      <c r="N2225" t="s">
        <v>403</v>
      </c>
      <c r="O2225" t="s">
        <v>403</v>
      </c>
      <c r="P2225">
        <v>0</v>
      </c>
      <c r="Q2225">
        <v>1</v>
      </c>
      <c r="R2225" t="s">
        <v>2984</v>
      </c>
    </row>
    <row r="2226" spans="1:18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45596</v>
      </c>
      <c r="G2226">
        <v>2024</v>
      </c>
      <c r="H2226" t="s">
        <v>150</v>
      </c>
      <c r="I2226" t="s">
        <v>30</v>
      </c>
      <c r="J2226">
        <v>200</v>
      </c>
      <c r="K2226">
        <v>992.38</v>
      </c>
      <c r="L2226" s="39">
        <f t="shared" si="141"/>
        <v>0.2015357020496181</v>
      </c>
      <c r="M2226" s="39">
        <f t="shared" si="142"/>
        <v>0.2015357020496181</v>
      </c>
      <c r="N2226" t="s">
        <v>403</v>
      </c>
      <c r="O2226" t="s">
        <v>403</v>
      </c>
      <c r="P2226">
        <v>0</v>
      </c>
      <c r="Q2226">
        <v>1</v>
      </c>
      <c r="R2226" t="s">
        <v>2985</v>
      </c>
    </row>
    <row r="2227" spans="1:18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45626</v>
      </c>
      <c r="G2227">
        <v>2024</v>
      </c>
      <c r="H2227" t="s">
        <v>1550</v>
      </c>
      <c r="I2227" t="s">
        <v>30</v>
      </c>
      <c r="J2227">
        <v>200</v>
      </c>
      <c r="K2227">
        <v>73.88</v>
      </c>
      <c r="L2227" s="39">
        <f t="shared" si="141"/>
        <v>1.3</v>
      </c>
      <c r="M2227" s="39">
        <f t="shared" si="142"/>
        <v>2.7070925825663239</v>
      </c>
      <c r="N2227" t="s">
        <v>403</v>
      </c>
      <c r="O2227" t="s">
        <v>403</v>
      </c>
      <c r="P2227">
        <v>0</v>
      </c>
      <c r="Q2227">
        <v>1</v>
      </c>
      <c r="R2227" t="s">
        <v>2986</v>
      </c>
    </row>
    <row r="2228" spans="1:18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45657</v>
      </c>
      <c r="G2228">
        <v>2024</v>
      </c>
      <c r="H2228" t="s">
        <v>23</v>
      </c>
      <c r="I2228" t="s">
        <v>30</v>
      </c>
      <c r="J2228">
        <v>200</v>
      </c>
      <c r="K2228">
        <v>2364.4900977164511</v>
      </c>
      <c r="L2228" s="39">
        <f t="shared" si="141"/>
        <v>8.4584832980757071E-2</v>
      </c>
      <c r="M2228" s="39">
        <f t="shared" si="142"/>
        <v>8.4584832980757071E-2</v>
      </c>
      <c r="N2228" t="s">
        <v>403</v>
      </c>
      <c r="O2228" t="s">
        <v>403</v>
      </c>
      <c r="P2228">
        <v>0</v>
      </c>
      <c r="Q2228">
        <v>1</v>
      </c>
      <c r="R2228" t="s">
        <v>1235</v>
      </c>
    </row>
    <row r="2229" spans="1:18" x14ac:dyDescent="0.3">
      <c r="A2229">
        <v>434</v>
      </c>
      <c r="B2229" t="s">
        <v>1234</v>
      </c>
      <c r="C2229" t="s">
        <v>190</v>
      </c>
      <c r="D2229" t="s">
        <v>54</v>
      </c>
      <c r="E2229" t="s">
        <v>41</v>
      </c>
      <c r="F2229" s="79">
        <v>45688</v>
      </c>
      <c r="G2229">
        <v>2025</v>
      </c>
      <c r="H2229" t="s">
        <v>59</v>
      </c>
      <c r="I2229" t="s">
        <v>700</v>
      </c>
      <c r="J2229">
        <v>200</v>
      </c>
      <c r="K2229">
        <v>2072.4699999999998</v>
      </c>
      <c r="L2229" s="39">
        <f t="shared" si="141"/>
        <v>9.6503206319029963E-2</v>
      </c>
      <c r="M2229" s="39">
        <f t="shared" si="142"/>
        <v>9.6503206319029963E-2</v>
      </c>
      <c r="N2229" t="s">
        <v>403</v>
      </c>
      <c r="O2229" t="s">
        <v>403</v>
      </c>
      <c r="P2229">
        <v>0</v>
      </c>
      <c r="Q2229">
        <v>1</v>
      </c>
      <c r="R2229" t="s">
        <v>2987</v>
      </c>
    </row>
    <row r="2230" spans="1:18" x14ac:dyDescent="0.3">
      <c r="A2230">
        <v>434</v>
      </c>
      <c r="B2230" t="s">
        <v>1234</v>
      </c>
      <c r="C2230" t="s">
        <v>190</v>
      </c>
      <c r="D2230" t="s">
        <v>54</v>
      </c>
      <c r="E2230" t="s">
        <v>41</v>
      </c>
      <c r="F2230" s="79">
        <v>45716</v>
      </c>
      <c r="G2230">
        <v>2025</v>
      </c>
      <c r="H2230" t="s">
        <v>210</v>
      </c>
      <c r="I2230" t="s">
        <v>700</v>
      </c>
      <c r="J2230">
        <v>200</v>
      </c>
      <c r="K2230">
        <v>71.680000000000007</v>
      </c>
      <c r="L2230" s="39">
        <f t="shared" si="141"/>
        <v>1.3</v>
      </c>
      <c r="M2230" s="39">
        <f t="shared" si="142"/>
        <v>2.7901785714285712</v>
      </c>
      <c r="N2230" t="s">
        <v>403</v>
      </c>
      <c r="O2230" t="s">
        <v>403</v>
      </c>
      <c r="P2230">
        <v>0</v>
      </c>
      <c r="Q2230">
        <v>1</v>
      </c>
      <c r="R2230" t="s">
        <v>2988</v>
      </c>
    </row>
    <row r="2231" spans="1:18" x14ac:dyDescent="0.3">
      <c r="A2231">
        <v>434</v>
      </c>
      <c r="B2231" t="s">
        <v>1234</v>
      </c>
      <c r="C2231" t="s">
        <v>190</v>
      </c>
      <c r="D2231" t="s">
        <v>54</v>
      </c>
      <c r="E2231" t="s">
        <v>41</v>
      </c>
      <c r="F2231" s="79">
        <v>45747</v>
      </c>
      <c r="G2231">
        <v>2025</v>
      </c>
      <c r="H2231" t="s">
        <v>1516</v>
      </c>
      <c r="I2231" t="s">
        <v>700</v>
      </c>
      <c r="J2231">
        <v>200</v>
      </c>
      <c r="K2231">
        <v>53.29</v>
      </c>
      <c r="L2231" s="39">
        <f t="shared" si="141"/>
        <v>1.3</v>
      </c>
      <c r="M2231" s="39">
        <f t="shared" si="142"/>
        <v>3.7530493525989868</v>
      </c>
      <c r="N2231" t="s">
        <v>403</v>
      </c>
      <c r="O2231" t="s">
        <v>403</v>
      </c>
      <c r="P2231">
        <v>0</v>
      </c>
      <c r="Q2231">
        <v>1</v>
      </c>
      <c r="R2231" t="s">
        <v>2989</v>
      </c>
    </row>
    <row r="2232" spans="1:18" x14ac:dyDescent="0.3">
      <c r="A2232">
        <v>434</v>
      </c>
      <c r="B2232" t="s">
        <v>1234</v>
      </c>
      <c r="C2232" t="s">
        <v>190</v>
      </c>
      <c r="D2232" t="s">
        <v>54</v>
      </c>
      <c r="E2232" t="s">
        <v>41</v>
      </c>
      <c r="F2232" s="79">
        <v>45777</v>
      </c>
      <c r="G2232">
        <v>2025</v>
      </c>
      <c r="H2232" t="s">
        <v>1540</v>
      </c>
      <c r="I2232" t="s">
        <v>700</v>
      </c>
      <c r="J2232">
        <v>200</v>
      </c>
      <c r="K2232">
        <v>126.74</v>
      </c>
      <c r="L2232" s="39">
        <f t="shared" si="141"/>
        <v>1.3</v>
      </c>
      <c r="M2232" s="39">
        <f t="shared" si="142"/>
        <v>1.5780337699226763</v>
      </c>
      <c r="N2232" t="s">
        <v>403</v>
      </c>
      <c r="O2232" t="s">
        <v>403</v>
      </c>
      <c r="P2232">
        <v>0</v>
      </c>
      <c r="Q2232">
        <v>1</v>
      </c>
      <c r="R2232" t="s">
        <v>2990</v>
      </c>
    </row>
    <row r="2233" spans="1:18" x14ac:dyDescent="0.3">
      <c r="A2233">
        <v>434</v>
      </c>
      <c r="B2233" t="s">
        <v>1234</v>
      </c>
      <c r="C2233" t="s">
        <v>190</v>
      </c>
      <c r="D2233" t="s">
        <v>54</v>
      </c>
      <c r="E2233" t="s">
        <v>41</v>
      </c>
      <c r="F2233" s="79">
        <v>45808</v>
      </c>
      <c r="G2233">
        <v>2025</v>
      </c>
      <c r="H2233" t="s">
        <v>1542</v>
      </c>
      <c r="I2233" t="s">
        <v>700</v>
      </c>
      <c r="J2233">
        <v>200</v>
      </c>
      <c r="K2233">
        <v>12.6</v>
      </c>
      <c r="L2233" s="39">
        <f t="shared" si="141"/>
        <v>1.3</v>
      </c>
      <c r="M2233" s="39">
        <f t="shared" si="142"/>
        <v>15.873015873015873</v>
      </c>
      <c r="N2233" t="s">
        <v>403</v>
      </c>
      <c r="O2233" t="s">
        <v>403</v>
      </c>
      <c r="P2233">
        <v>0</v>
      </c>
      <c r="Q2233">
        <v>1</v>
      </c>
      <c r="R2233" t="s">
        <v>2991</v>
      </c>
    </row>
    <row r="2234" spans="1:18" x14ac:dyDescent="0.3">
      <c r="A2234">
        <v>434</v>
      </c>
      <c r="B2234" t="s">
        <v>1234</v>
      </c>
      <c r="C2234" t="s">
        <v>190</v>
      </c>
      <c r="D2234" t="s">
        <v>54</v>
      </c>
      <c r="E2234" t="s">
        <v>41</v>
      </c>
      <c r="F2234" s="79">
        <v>45838</v>
      </c>
      <c r="G2234">
        <v>2025</v>
      </c>
      <c r="H2234" t="s">
        <v>699</v>
      </c>
      <c r="I2234" t="s">
        <v>700</v>
      </c>
      <c r="J2234">
        <v>200</v>
      </c>
      <c r="K2234">
        <v>130.58000000000001</v>
      </c>
      <c r="L2234" s="39">
        <f t="shared" si="141"/>
        <v>1.3</v>
      </c>
      <c r="M2234" s="39">
        <f t="shared" si="142"/>
        <v>1.5316281206922957</v>
      </c>
      <c r="N2234" t="s">
        <v>403</v>
      </c>
      <c r="O2234" t="s">
        <v>403</v>
      </c>
      <c r="P2234">
        <v>0</v>
      </c>
      <c r="Q2234">
        <v>1</v>
      </c>
      <c r="R2234" t="s">
        <v>2992</v>
      </c>
    </row>
    <row r="2235" spans="1:18" x14ac:dyDescent="0.3">
      <c r="A2235">
        <v>434</v>
      </c>
      <c r="B2235" t="s">
        <v>1234</v>
      </c>
      <c r="C2235" t="s">
        <v>190</v>
      </c>
      <c r="D2235" t="s">
        <v>54</v>
      </c>
      <c r="E2235" t="s">
        <v>41</v>
      </c>
      <c r="F2235" s="79">
        <v>45869</v>
      </c>
      <c r="G2235">
        <v>2025</v>
      </c>
      <c r="H2235" t="s">
        <v>260</v>
      </c>
      <c r="I2235" t="s">
        <v>32</v>
      </c>
      <c r="J2235">
        <v>200</v>
      </c>
      <c r="K2235">
        <v>312.11</v>
      </c>
      <c r="L2235" s="39">
        <f t="shared" si="141"/>
        <v>0.64079971804812408</v>
      </c>
      <c r="M2235" s="39">
        <f t="shared" si="142"/>
        <v>0.64079971804812408</v>
      </c>
      <c r="N2235" t="s">
        <v>403</v>
      </c>
      <c r="O2235" t="s">
        <v>403</v>
      </c>
      <c r="P2235">
        <v>0</v>
      </c>
      <c r="Q2235">
        <v>0</v>
      </c>
      <c r="R2235" t="s">
        <v>2993</v>
      </c>
    </row>
    <row r="2236" spans="1:18" x14ac:dyDescent="0.3">
      <c r="A2236">
        <v>434</v>
      </c>
      <c r="B2236" t="s">
        <v>1234</v>
      </c>
      <c r="C2236" t="s">
        <v>190</v>
      </c>
      <c r="D2236" t="s">
        <v>54</v>
      </c>
      <c r="E2236" t="s">
        <v>41</v>
      </c>
      <c r="F2236" s="79">
        <v>45900</v>
      </c>
      <c r="G2236">
        <v>2025</v>
      </c>
      <c r="H2236" t="s">
        <v>1546</v>
      </c>
      <c r="I2236" t="s">
        <v>32</v>
      </c>
      <c r="J2236">
        <v>200</v>
      </c>
      <c r="K2236">
        <v>84.75</v>
      </c>
      <c r="L2236" s="39">
        <f t="shared" si="141"/>
        <v>1.3</v>
      </c>
      <c r="M2236" s="39">
        <f t="shared" si="142"/>
        <v>2.359882005899705</v>
      </c>
      <c r="N2236" t="s">
        <v>403</v>
      </c>
      <c r="O2236" t="s">
        <v>403</v>
      </c>
      <c r="P2236">
        <v>0</v>
      </c>
      <c r="Q2236">
        <v>0</v>
      </c>
      <c r="R2236" t="s">
        <v>2994</v>
      </c>
    </row>
    <row r="2237" spans="1:18" x14ac:dyDescent="0.3">
      <c r="A2237">
        <v>434</v>
      </c>
      <c r="B2237" t="s">
        <v>1234</v>
      </c>
      <c r="C2237" t="s">
        <v>190</v>
      </c>
      <c r="D2237" t="s">
        <v>54</v>
      </c>
      <c r="E2237" t="s">
        <v>41</v>
      </c>
      <c r="F2237" s="79">
        <v>45930</v>
      </c>
      <c r="G2237">
        <v>2025</v>
      </c>
      <c r="H2237" t="s">
        <v>162</v>
      </c>
      <c r="I2237" t="s">
        <v>32</v>
      </c>
      <c r="J2237">
        <v>200</v>
      </c>
      <c r="K2237">
        <v>109.73</v>
      </c>
      <c r="L2237" s="39">
        <f t="shared" si="141"/>
        <v>1.3</v>
      </c>
      <c r="M2237" s="39">
        <f t="shared" si="142"/>
        <v>1.8226556092226374</v>
      </c>
      <c r="N2237" t="s">
        <v>403</v>
      </c>
      <c r="O2237" t="s">
        <v>403</v>
      </c>
      <c r="P2237">
        <v>0</v>
      </c>
      <c r="Q2237">
        <v>0</v>
      </c>
      <c r="R2237" t="s">
        <v>2995</v>
      </c>
    </row>
    <row r="2238" spans="1:18" x14ac:dyDescent="0.3">
      <c r="A2238">
        <v>434</v>
      </c>
      <c r="B2238" t="s">
        <v>1234</v>
      </c>
      <c r="C2238" t="s">
        <v>190</v>
      </c>
      <c r="D2238" t="s">
        <v>54</v>
      </c>
      <c r="E2238" t="s">
        <v>41</v>
      </c>
      <c r="F2238" s="79">
        <v>45961</v>
      </c>
      <c r="G2238">
        <v>2025</v>
      </c>
      <c r="H2238" t="s">
        <v>150</v>
      </c>
      <c r="I2238" t="s">
        <v>32</v>
      </c>
      <c r="J2238">
        <v>200</v>
      </c>
      <c r="K2238">
        <v>4524.46</v>
      </c>
      <c r="L2238" s="39">
        <f t="shared" si="141"/>
        <v>4.420417022141869E-2</v>
      </c>
      <c r="M2238" s="39">
        <f t="shared" si="142"/>
        <v>4.420417022141869E-2</v>
      </c>
      <c r="N2238" t="s">
        <v>403</v>
      </c>
      <c r="O2238" t="s">
        <v>403</v>
      </c>
      <c r="P2238">
        <v>0</v>
      </c>
      <c r="Q2238">
        <v>0</v>
      </c>
      <c r="R2238" t="s">
        <v>2996</v>
      </c>
    </row>
    <row r="2239" spans="1:18" x14ac:dyDescent="0.3">
      <c r="A2239">
        <v>434</v>
      </c>
      <c r="B2239" t="s">
        <v>1234</v>
      </c>
      <c r="C2239" t="s">
        <v>190</v>
      </c>
      <c r="D2239" t="s">
        <v>54</v>
      </c>
      <c r="E2239" t="s">
        <v>41</v>
      </c>
      <c r="F2239" s="79">
        <v>45991</v>
      </c>
      <c r="G2239">
        <v>2025</v>
      </c>
      <c r="H2239" t="s">
        <v>1550</v>
      </c>
      <c r="I2239" t="s">
        <v>32</v>
      </c>
      <c r="J2239">
        <v>200</v>
      </c>
      <c r="K2239">
        <v>285.14999999999998</v>
      </c>
      <c r="L2239" s="39">
        <f t="shared" si="141"/>
        <v>0.7013852358407856</v>
      </c>
      <c r="M2239" s="39">
        <f t="shared" si="142"/>
        <v>0.7013852358407856</v>
      </c>
      <c r="N2239" t="s">
        <v>403</v>
      </c>
      <c r="O2239" t="s">
        <v>403</v>
      </c>
      <c r="P2239">
        <v>0</v>
      </c>
      <c r="Q2239">
        <v>0</v>
      </c>
      <c r="R2239" t="s">
        <v>2997</v>
      </c>
    </row>
    <row r="2240" spans="1:18" x14ac:dyDescent="0.3">
      <c r="A2240">
        <v>434</v>
      </c>
      <c r="B2240" t="s">
        <v>1234</v>
      </c>
      <c r="C2240" t="s">
        <v>190</v>
      </c>
      <c r="D2240" t="s">
        <v>54</v>
      </c>
      <c r="E2240" t="s">
        <v>41</v>
      </c>
      <c r="F2240" s="79">
        <v>46022</v>
      </c>
      <c r="G2240">
        <v>2025</v>
      </c>
      <c r="H2240" t="s">
        <v>23</v>
      </c>
      <c r="I2240" t="s">
        <v>32</v>
      </c>
      <c r="J2240">
        <v>200</v>
      </c>
      <c r="K2240">
        <v>150.1299935057759</v>
      </c>
      <c r="L2240" s="39">
        <f t="shared" si="141"/>
        <v>1.3</v>
      </c>
      <c r="M2240" s="39">
        <f t="shared" si="142"/>
        <v>1.33217883601857</v>
      </c>
      <c r="N2240" t="s">
        <v>403</v>
      </c>
      <c r="O2240" t="s">
        <v>403</v>
      </c>
      <c r="P2240">
        <v>0</v>
      </c>
      <c r="Q2240">
        <v>0</v>
      </c>
      <c r="R2240" t="s">
        <v>1236</v>
      </c>
    </row>
    <row r="2241" spans="1:19" x14ac:dyDescent="0.3">
      <c r="A2241">
        <v>435</v>
      </c>
      <c r="B2241" t="s">
        <v>1237</v>
      </c>
      <c r="C2241" t="s">
        <v>190</v>
      </c>
      <c r="D2241" t="s">
        <v>21</v>
      </c>
      <c r="E2241" t="s">
        <v>22</v>
      </c>
      <c r="F2241" s="79">
        <v>45107</v>
      </c>
      <c r="G2241">
        <v>2023</v>
      </c>
      <c r="H2241" t="s">
        <v>699</v>
      </c>
      <c r="I2241" t="s">
        <v>1512</v>
      </c>
      <c r="J2241">
        <v>100</v>
      </c>
      <c r="L2241" s="39"/>
      <c r="M2241" s="39"/>
      <c r="N2241" t="s">
        <v>25</v>
      </c>
      <c r="O2241" t="s">
        <v>302</v>
      </c>
      <c r="P2241">
        <v>2</v>
      </c>
      <c r="Q2241">
        <v>2</v>
      </c>
      <c r="R2241" t="s">
        <v>2998</v>
      </c>
      <c r="S2241" t="s">
        <v>302</v>
      </c>
    </row>
    <row r="2242" spans="1:19" x14ac:dyDescent="0.3">
      <c r="A2242">
        <v>435</v>
      </c>
      <c r="B2242" t="s">
        <v>1237</v>
      </c>
      <c r="C2242" t="s">
        <v>190</v>
      </c>
      <c r="D2242" t="s">
        <v>21</v>
      </c>
      <c r="E2242" t="s">
        <v>22</v>
      </c>
      <c r="F2242" s="79">
        <v>45291</v>
      </c>
      <c r="G2242">
        <v>2023</v>
      </c>
      <c r="H2242" t="s">
        <v>23</v>
      </c>
      <c r="I2242" t="s">
        <v>28</v>
      </c>
      <c r="J2242">
        <v>100</v>
      </c>
      <c r="K2242">
        <v>-111.57</v>
      </c>
      <c r="L2242" s="39">
        <f>IFERROR(IF(OR(J2242=0,K2242=""),"",IF(E2242="Positivo",MIN(MAX(K2242/J2242,0),1.3),MIN(MAX(J2242/K2242,0),1.3))),"")</f>
        <v>0</v>
      </c>
      <c r="M2242" s="39">
        <f>IFERROR(IF(OR(J2242=0,K2242=""),"",IF(E2242="Positivo",MAX(K2242/J2242,0),MAX(J2242/K2242,0))),"")</f>
        <v>0</v>
      </c>
      <c r="N2242" t="s">
        <v>25</v>
      </c>
      <c r="O2242" t="s">
        <v>25</v>
      </c>
      <c r="P2242">
        <v>2</v>
      </c>
      <c r="Q2242">
        <v>2</v>
      </c>
      <c r="R2242" t="s">
        <v>1238</v>
      </c>
    </row>
    <row r="2243" spans="1:19" x14ac:dyDescent="0.3">
      <c r="A2243">
        <v>435</v>
      </c>
      <c r="B2243" t="s">
        <v>1237</v>
      </c>
      <c r="C2243" t="s">
        <v>190</v>
      </c>
      <c r="D2243" t="s">
        <v>27</v>
      </c>
      <c r="E2243" t="s">
        <v>22</v>
      </c>
      <c r="F2243" s="79">
        <v>45473</v>
      </c>
      <c r="G2243">
        <v>2024</v>
      </c>
      <c r="H2243" t="s">
        <v>699</v>
      </c>
      <c r="I2243" t="s">
        <v>729</v>
      </c>
      <c r="J2243">
        <v>100</v>
      </c>
      <c r="K2243">
        <v>-20.67</v>
      </c>
      <c r="L2243" s="39">
        <f>IFERROR(IF(OR(J2243=0,K2243=""),"",IF(E2243="Positivo",MIN(MAX(K2243/J2243,0),1.3),MIN(MAX(J2243/K2243,0),1.3))),"")</f>
        <v>0</v>
      </c>
      <c r="M2243" s="39">
        <f>IFERROR(IF(OR(J2243=0,K2243=""),"",IF(E2243="Positivo",MAX(K2243/J2243,0),MAX(J2243/K2243,0))),"")</f>
        <v>0</v>
      </c>
      <c r="N2243" t="s">
        <v>25</v>
      </c>
      <c r="O2243" t="s">
        <v>25</v>
      </c>
      <c r="P2243">
        <v>2</v>
      </c>
      <c r="Q2243">
        <v>2</v>
      </c>
      <c r="R2243" t="s">
        <v>2999</v>
      </c>
    </row>
    <row r="2244" spans="1:19" x14ac:dyDescent="0.3">
      <c r="A2244">
        <v>435</v>
      </c>
      <c r="B2244" t="s">
        <v>1237</v>
      </c>
      <c r="C2244" t="s">
        <v>190</v>
      </c>
      <c r="D2244" t="s">
        <v>27</v>
      </c>
      <c r="E2244" t="s">
        <v>22</v>
      </c>
      <c r="F2244" s="79">
        <v>45657</v>
      </c>
      <c r="G2244">
        <v>2024</v>
      </c>
      <c r="H2244" t="s">
        <v>23</v>
      </c>
      <c r="I2244" t="s">
        <v>30</v>
      </c>
      <c r="J2244">
        <v>100</v>
      </c>
      <c r="K2244">
        <v>71.09</v>
      </c>
      <c r="L2244" s="39">
        <f>IFERROR(IF(OR(J2244=0,K2244=""),"",IF(E2244="Positivo",MIN(MAX(K2244/J2244,0),1.3),MIN(MAX(J2244/K2244,0),1.3))),"")</f>
        <v>0.71090000000000009</v>
      </c>
      <c r="M2244" s="39">
        <f>IFERROR(IF(OR(J2244=0,K2244=""),"",IF(E2244="Positivo",MAX(K2244/J2244,0),MAX(J2244/K2244,0))),"")</f>
        <v>0.71090000000000009</v>
      </c>
      <c r="N2244" t="s">
        <v>25</v>
      </c>
      <c r="O2244" t="s">
        <v>25</v>
      </c>
      <c r="P2244">
        <v>2</v>
      </c>
      <c r="Q2244">
        <v>2</v>
      </c>
      <c r="R2244" t="s">
        <v>1239</v>
      </c>
    </row>
    <row r="2245" spans="1:19" x14ac:dyDescent="0.3">
      <c r="A2245">
        <v>435</v>
      </c>
      <c r="B2245" t="s">
        <v>1237</v>
      </c>
      <c r="C2245" t="s">
        <v>190</v>
      </c>
      <c r="D2245" t="s">
        <v>27</v>
      </c>
      <c r="E2245" t="s">
        <v>22</v>
      </c>
      <c r="F2245" s="79">
        <v>45838</v>
      </c>
      <c r="G2245">
        <v>2025</v>
      </c>
      <c r="H2245" t="s">
        <v>699</v>
      </c>
      <c r="I2245" t="s">
        <v>700</v>
      </c>
      <c r="J2245">
        <v>1</v>
      </c>
      <c r="K2245">
        <v>96.09</v>
      </c>
      <c r="L2245" s="39">
        <f>IFERROR(IF(OR(J2245=0,K2245=""),"",IF(E2245="Positivo",MIN(MAX(K2245/J2245,0),1.3),MIN(MAX(J2245/K2245,0),1.3))),"")</f>
        <v>1.3</v>
      </c>
      <c r="M2245" s="39">
        <f>IFERROR(IF(OR(J2245=0,K2245=""),"",IF(E2245="Positivo",MAX(K2245/J2245,0),MAX(J2245/K2245,0))),"")</f>
        <v>96.09</v>
      </c>
      <c r="N2245" t="s">
        <v>25</v>
      </c>
      <c r="O2245" t="s">
        <v>25</v>
      </c>
      <c r="P2245">
        <v>2</v>
      </c>
      <c r="Q2245">
        <v>2</v>
      </c>
      <c r="R2245" t="s">
        <v>3000</v>
      </c>
    </row>
    <row r="2246" spans="1:19" x14ac:dyDescent="0.3">
      <c r="A2246">
        <v>435</v>
      </c>
      <c r="B2246" t="s">
        <v>1237</v>
      </c>
      <c r="C2246" t="s">
        <v>190</v>
      </c>
      <c r="D2246" t="s">
        <v>21</v>
      </c>
      <c r="E2246" t="s">
        <v>22</v>
      </c>
      <c r="F2246" s="79">
        <v>46022</v>
      </c>
      <c r="G2246">
        <v>2025</v>
      </c>
      <c r="H2246" t="s">
        <v>23</v>
      </c>
      <c r="I2246" t="s">
        <v>32</v>
      </c>
      <c r="J2246">
        <v>1</v>
      </c>
      <c r="K2246">
        <v>-732.08</v>
      </c>
      <c r="L2246" s="39">
        <f>IFERROR(IF(OR(J2246=0,K2246=""),"",IF(E2246="Positivo",MIN(MAX(K2246/J2246,0),1.3),MIN(MAX(J2246/K2246,0),1.3))),"")</f>
        <v>0</v>
      </c>
      <c r="M2246" s="39">
        <f>IFERROR(IF(OR(J2246=0,K2246=""),"",IF(E2246="Positivo",MAX(K2246/J2246,0),MAX(J2246/K2246,0))),"")</f>
        <v>0</v>
      </c>
      <c r="N2246" t="s">
        <v>25</v>
      </c>
      <c r="O2246" t="s">
        <v>25</v>
      </c>
      <c r="P2246">
        <v>2</v>
      </c>
      <c r="Q2246">
        <v>2</v>
      </c>
      <c r="R2246" t="s">
        <v>1240</v>
      </c>
    </row>
    <row r="2247" spans="1:19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44957</v>
      </c>
      <c r="G2247">
        <v>2023</v>
      </c>
      <c r="H2247" t="s">
        <v>59</v>
      </c>
      <c r="I2247" t="s">
        <v>1512</v>
      </c>
      <c r="J2247">
        <v>14</v>
      </c>
      <c r="L2247" s="39"/>
      <c r="M2247" s="39"/>
      <c r="N2247" t="s">
        <v>42</v>
      </c>
      <c r="O2247" t="s">
        <v>302</v>
      </c>
      <c r="P2247">
        <v>0</v>
      </c>
      <c r="Q2247">
        <v>1</v>
      </c>
      <c r="R2247" t="s">
        <v>3001</v>
      </c>
      <c r="S2247" t="s">
        <v>302</v>
      </c>
    </row>
    <row r="2248" spans="1:19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44985</v>
      </c>
      <c r="G2248">
        <v>2023</v>
      </c>
      <c r="H2248" t="s">
        <v>210</v>
      </c>
      <c r="I2248" t="s">
        <v>1512</v>
      </c>
      <c r="J2248">
        <v>14</v>
      </c>
      <c r="L2248" s="39"/>
      <c r="M2248" s="39"/>
      <c r="N2248" t="s">
        <v>42</v>
      </c>
      <c r="O2248" t="s">
        <v>302</v>
      </c>
      <c r="P2248">
        <v>0</v>
      </c>
      <c r="Q2248">
        <v>1</v>
      </c>
      <c r="R2248" t="s">
        <v>3002</v>
      </c>
      <c r="S2248" t="s">
        <v>302</v>
      </c>
    </row>
    <row r="2249" spans="1:19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45016</v>
      </c>
      <c r="G2249">
        <v>2023</v>
      </c>
      <c r="H2249" t="s">
        <v>1516</v>
      </c>
      <c r="I2249" t="s">
        <v>1512</v>
      </c>
      <c r="J2249">
        <v>14</v>
      </c>
      <c r="L2249" s="39"/>
      <c r="M2249" s="39"/>
      <c r="N2249" t="s">
        <v>42</v>
      </c>
      <c r="O2249" t="s">
        <v>302</v>
      </c>
      <c r="P2249">
        <v>0</v>
      </c>
      <c r="Q2249">
        <v>1</v>
      </c>
      <c r="R2249" t="s">
        <v>3003</v>
      </c>
      <c r="S2249" t="s">
        <v>302</v>
      </c>
    </row>
    <row r="2250" spans="1:19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45046</v>
      </c>
      <c r="G2250">
        <v>2023</v>
      </c>
      <c r="H2250" t="s">
        <v>1540</v>
      </c>
      <c r="I2250" t="s">
        <v>1512</v>
      </c>
      <c r="J2250">
        <v>14</v>
      </c>
      <c r="N2250" t="s">
        <v>42</v>
      </c>
      <c r="O2250" t="s">
        <v>302</v>
      </c>
      <c r="P2250">
        <v>0</v>
      </c>
      <c r="Q2250">
        <v>1</v>
      </c>
      <c r="R2250" t="s">
        <v>3004</v>
      </c>
      <c r="S2250" t="s">
        <v>302</v>
      </c>
    </row>
    <row r="2251" spans="1:19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45077</v>
      </c>
      <c r="G2251">
        <v>2023</v>
      </c>
      <c r="H2251" t="s">
        <v>1542</v>
      </c>
      <c r="I2251" t="s">
        <v>1512</v>
      </c>
      <c r="J2251">
        <v>14</v>
      </c>
      <c r="N2251" t="s">
        <v>42</v>
      </c>
      <c r="O2251" t="s">
        <v>302</v>
      </c>
      <c r="P2251">
        <v>0</v>
      </c>
      <c r="Q2251">
        <v>1</v>
      </c>
      <c r="R2251" t="s">
        <v>3005</v>
      </c>
      <c r="S2251" t="s">
        <v>302</v>
      </c>
    </row>
    <row r="2252" spans="1:19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45107</v>
      </c>
      <c r="G2252">
        <v>2023</v>
      </c>
      <c r="H2252" t="s">
        <v>699</v>
      </c>
      <c r="I2252" t="s">
        <v>1512</v>
      </c>
      <c r="J2252">
        <v>14</v>
      </c>
      <c r="L2252" s="39"/>
      <c r="M2252" s="39"/>
      <c r="N2252" t="s">
        <v>42</v>
      </c>
      <c r="O2252" t="s">
        <v>302</v>
      </c>
      <c r="P2252">
        <v>0</v>
      </c>
      <c r="Q2252">
        <v>1</v>
      </c>
      <c r="R2252" t="s">
        <v>3006</v>
      </c>
      <c r="S2252" t="s">
        <v>302</v>
      </c>
    </row>
    <row r="2253" spans="1:19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45138</v>
      </c>
      <c r="G2253">
        <v>2023</v>
      </c>
      <c r="H2253" t="s">
        <v>260</v>
      </c>
      <c r="I2253" t="s">
        <v>28</v>
      </c>
      <c r="J2253">
        <v>21</v>
      </c>
      <c r="K2253">
        <v>11.7</v>
      </c>
      <c r="L2253" s="39">
        <f t="shared" ref="L2253:L2287" si="143">IFERROR(IF(OR(J2253=0,K2253=""),"",IF(E2253="Positivo",MIN(MAX(K2253/J2253,0),1.3),MIN(MAX(J2253/K2253,0),1.3))),"")</f>
        <v>1.3</v>
      </c>
      <c r="M2253" s="39">
        <f t="shared" ref="M2253:M2287" si="144">IFERROR(IF(OR(J2253=0,K2253=""),"",IF(E2253="Positivo",MAX(K2253/J2253,0),MAX(J2253/K2253,0))),"")</f>
        <v>1.7948717948717949</v>
      </c>
      <c r="N2253" t="s">
        <v>42</v>
      </c>
      <c r="O2253" t="s">
        <v>42</v>
      </c>
      <c r="P2253">
        <v>0</v>
      </c>
      <c r="Q2253">
        <v>0</v>
      </c>
      <c r="R2253" t="s">
        <v>3007</v>
      </c>
    </row>
    <row r="2254" spans="1:19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45169</v>
      </c>
      <c r="G2254">
        <v>2023</v>
      </c>
      <c r="H2254" t="s">
        <v>1546</v>
      </c>
      <c r="I2254" t="s">
        <v>28</v>
      </c>
      <c r="J2254">
        <v>21</v>
      </c>
      <c r="K2254">
        <v>8.6999999999999993</v>
      </c>
      <c r="L2254" s="39">
        <f t="shared" si="143"/>
        <v>1.3</v>
      </c>
      <c r="M2254" s="39">
        <f t="shared" si="144"/>
        <v>2.4137931034482762</v>
      </c>
      <c r="N2254" t="s">
        <v>42</v>
      </c>
      <c r="O2254" t="s">
        <v>42</v>
      </c>
      <c r="P2254">
        <v>0</v>
      </c>
      <c r="Q2254">
        <v>0</v>
      </c>
      <c r="R2254" t="s">
        <v>3008</v>
      </c>
    </row>
    <row r="2255" spans="1:19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45199</v>
      </c>
      <c r="G2255">
        <v>2023</v>
      </c>
      <c r="H2255" t="s">
        <v>162</v>
      </c>
      <c r="I2255" t="s">
        <v>28</v>
      </c>
      <c r="J2255">
        <v>21</v>
      </c>
      <c r="K2255">
        <v>17.3</v>
      </c>
      <c r="L2255" s="39">
        <f t="shared" si="143"/>
        <v>1.2138728323699421</v>
      </c>
      <c r="M2255" s="39">
        <f t="shared" si="144"/>
        <v>1.2138728323699421</v>
      </c>
      <c r="N2255" t="s">
        <v>42</v>
      </c>
      <c r="O2255" t="s">
        <v>42</v>
      </c>
      <c r="P2255">
        <v>0</v>
      </c>
      <c r="Q2255">
        <v>0</v>
      </c>
      <c r="R2255" t="s">
        <v>3009</v>
      </c>
    </row>
    <row r="2256" spans="1:19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45230</v>
      </c>
      <c r="G2256">
        <v>2023</v>
      </c>
      <c r="H2256" t="s">
        <v>150</v>
      </c>
      <c r="I2256" t="s">
        <v>28</v>
      </c>
      <c r="J2256">
        <v>21</v>
      </c>
      <c r="K2256">
        <v>5.0999999999999996</v>
      </c>
      <c r="L2256" s="39">
        <f t="shared" si="143"/>
        <v>1.3</v>
      </c>
      <c r="M2256" s="39">
        <f t="shared" si="144"/>
        <v>4.1176470588235299</v>
      </c>
      <c r="N2256" t="s">
        <v>42</v>
      </c>
      <c r="O2256" t="s">
        <v>42</v>
      </c>
      <c r="P2256">
        <v>0</v>
      </c>
      <c r="Q2256">
        <v>0</v>
      </c>
      <c r="R2256" t="s">
        <v>3010</v>
      </c>
    </row>
    <row r="2257" spans="1:18" s="2" customFormat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45260</v>
      </c>
      <c r="G2257">
        <v>2023</v>
      </c>
      <c r="H2257" t="s">
        <v>1550</v>
      </c>
      <c r="I2257" t="s">
        <v>28</v>
      </c>
      <c r="J2257">
        <v>21</v>
      </c>
      <c r="K2257">
        <v>10.91</v>
      </c>
      <c r="L2257" s="39">
        <f t="shared" si="143"/>
        <v>1.3</v>
      </c>
      <c r="M2257" s="39">
        <f t="shared" si="144"/>
        <v>1.9248395967002749</v>
      </c>
      <c r="N2257" t="s">
        <v>42</v>
      </c>
      <c r="O2257" t="s">
        <v>42</v>
      </c>
      <c r="P2257">
        <v>0</v>
      </c>
      <c r="Q2257">
        <v>0</v>
      </c>
      <c r="R2257" t="s">
        <v>3011</v>
      </c>
    </row>
    <row r="2258" spans="1:18" s="2" customFormat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45291</v>
      </c>
      <c r="G2258">
        <v>2023</v>
      </c>
      <c r="H2258" t="s">
        <v>23</v>
      </c>
      <c r="I2258" t="s">
        <v>28</v>
      </c>
      <c r="J2258">
        <v>21</v>
      </c>
      <c r="K2258">
        <v>12.7</v>
      </c>
      <c r="L2258" s="39">
        <f t="shared" si="143"/>
        <v>1.3</v>
      </c>
      <c r="M2258" s="39">
        <f t="shared" si="144"/>
        <v>1.6535433070866143</v>
      </c>
      <c r="N2258" t="s">
        <v>42</v>
      </c>
      <c r="O2258" t="s">
        <v>42</v>
      </c>
      <c r="P2258">
        <v>0</v>
      </c>
      <c r="Q2258">
        <v>0</v>
      </c>
      <c r="R2258" t="s">
        <v>1242</v>
      </c>
    </row>
    <row r="2259" spans="1:18" s="2" customFormat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45322</v>
      </c>
      <c r="G2259">
        <v>2024</v>
      </c>
      <c r="H2259" t="s">
        <v>59</v>
      </c>
      <c r="I2259" t="s">
        <v>729</v>
      </c>
      <c r="J2259">
        <v>14</v>
      </c>
      <c r="K2259">
        <v>9.6999999999999993</v>
      </c>
      <c r="L2259" s="39">
        <f t="shared" si="143"/>
        <v>1.3</v>
      </c>
      <c r="M2259" s="39">
        <f t="shared" si="144"/>
        <v>1.4432989690721651</v>
      </c>
      <c r="N2259" t="s">
        <v>42</v>
      </c>
      <c r="O2259" t="s">
        <v>42</v>
      </c>
      <c r="P2259">
        <v>0</v>
      </c>
      <c r="Q2259">
        <v>0</v>
      </c>
      <c r="R2259" t="s">
        <v>3012</v>
      </c>
    </row>
    <row r="2260" spans="1:18" s="2" customFormat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45351</v>
      </c>
      <c r="G2260">
        <v>2024</v>
      </c>
      <c r="H2260" t="s">
        <v>210</v>
      </c>
      <c r="I2260" t="s">
        <v>729</v>
      </c>
      <c r="J2260">
        <v>14</v>
      </c>
      <c r="K2260">
        <v>13.5</v>
      </c>
      <c r="L2260" s="39">
        <f t="shared" si="143"/>
        <v>1.037037037037037</v>
      </c>
      <c r="M2260" s="39">
        <f t="shared" si="144"/>
        <v>1.037037037037037</v>
      </c>
      <c r="N2260" t="s">
        <v>42</v>
      </c>
      <c r="O2260" t="s">
        <v>42</v>
      </c>
      <c r="P2260">
        <v>0</v>
      </c>
      <c r="Q2260">
        <v>0</v>
      </c>
      <c r="R2260" t="s">
        <v>3013</v>
      </c>
    </row>
    <row r="2261" spans="1:18" s="2" customFormat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45382</v>
      </c>
      <c r="G2261">
        <v>2024</v>
      </c>
      <c r="H2261" t="s">
        <v>1516</v>
      </c>
      <c r="I2261" t="s">
        <v>729</v>
      </c>
      <c r="J2261">
        <v>14</v>
      </c>
      <c r="K2261">
        <v>15.7</v>
      </c>
      <c r="L2261" s="39">
        <f t="shared" si="143"/>
        <v>0.89171974522292996</v>
      </c>
      <c r="M2261" s="39">
        <f t="shared" si="144"/>
        <v>0.89171974522292996</v>
      </c>
      <c r="N2261" t="s">
        <v>42</v>
      </c>
      <c r="O2261" t="s">
        <v>42</v>
      </c>
      <c r="P2261">
        <v>0</v>
      </c>
      <c r="Q2261">
        <v>0</v>
      </c>
      <c r="R2261" t="s">
        <v>3014</v>
      </c>
    </row>
    <row r="2262" spans="1:18" s="2" customFormat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45412</v>
      </c>
      <c r="G2262">
        <v>2024</v>
      </c>
      <c r="H2262" t="s">
        <v>1540</v>
      </c>
      <c r="I2262" t="s">
        <v>729</v>
      </c>
      <c r="J2262">
        <v>14</v>
      </c>
      <c r="K2262">
        <v>11.1</v>
      </c>
      <c r="L2262" s="39">
        <f t="shared" si="143"/>
        <v>1.2612612612612613</v>
      </c>
      <c r="M2262" s="39">
        <f t="shared" si="144"/>
        <v>1.2612612612612613</v>
      </c>
      <c r="N2262" t="s">
        <v>42</v>
      </c>
      <c r="O2262" t="s">
        <v>42</v>
      </c>
      <c r="P2262">
        <v>0</v>
      </c>
      <c r="Q2262">
        <v>0</v>
      </c>
      <c r="R2262" t="s">
        <v>3015</v>
      </c>
    </row>
    <row r="2263" spans="1:18" s="2" customFormat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45443</v>
      </c>
      <c r="G2263">
        <v>2024</v>
      </c>
      <c r="H2263" t="s">
        <v>1542</v>
      </c>
      <c r="I2263" t="s">
        <v>729</v>
      </c>
      <c r="J2263">
        <v>14</v>
      </c>
      <c r="K2263">
        <v>10.6</v>
      </c>
      <c r="L2263" s="39">
        <f t="shared" si="143"/>
        <v>1.3</v>
      </c>
      <c r="M2263" s="39">
        <f t="shared" si="144"/>
        <v>1.3207547169811322</v>
      </c>
      <c r="N2263" t="s">
        <v>42</v>
      </c>
      <c r="O2263" t="s">
        <v>42</v>
      </c>
      <c r="P2263">
        <v>0</v>
      </c>
      <c r="Q2263">
        <v>0</v>
      </c>
      <c r="R2263" t="s">
        <v>3016</v>
      </c>
    </row>
    <row r="2264" spans="1:18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45473</v>
      </c>
      <c r="G2264">
        <v>2024</v>
      </c>
      <c r="H2264" t="s">
        <v>699</v>
      </c>
      <c r="I2264" t="s">
        <v>729</v>
      </c>
      <c r="J2264">
        <v>14</v>
      </c>
      <c r="K2264">
        <v>8.8000000000000007</v>
      </c>
      <c r="L2264" s="39">
        <f t="shared" si="143"/>
        <v>1.3</v>
      </c>
      <c r="M2264" s="39">
        <f t="shared" si="144"/>
        <v>1.5909090909090908</v>
      </c>
      <c r="N2264" t="s">
        <v>42</v>
      </c>
      <c r="O2264" t="s">
        <v>42</v>
      </c>
      <c r="P2264">
        <v>0</v>
      </c>
      <c r="Q2264">
        <v>0</v>
      </c>
      <c r="R2264" t="s">
        <v>3017</v>
      </c>
    </row>
    <row r="2265" spans="1:18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45504</v>
      </c>
      <c r="G2265">
        <v>2024</v>
      </c>
      <c r="H2265" t="s">
        <v>260</v>
      </c>
      <c r="I2265" t="s">
        <v>30</v>
      </c>
      <c r="J2265">
        <v>14</v>
      </c>
      <c r="K2265">
        <v>9.4</v>
      </c>
      <c r="L2265" s="39">
        <f t="shared" si="143"/>
        <v>1.3</v>
      </c>
      <c r="M2265" s="39">
        <f t="shared" si="144"/>
        <v>1.4893617021276595</v>
      </c>
      <c r="N2265" t="s">
        <v>42</v>
      </c>
      <c r="O2265" t="s">
        <v>42</v>
      </c>
      <c r="P2265">
        <v>0</v>
      </c>
      <c r="Q2265">
        <v>0</v>
      </c>
      <c r="R2265" t="s">
        <v>3018</v>
      </c>
    </row>
    <row r="2266" spans="1:18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45535</v>
      </c>
      <c r="G2266">
        <v>2024</v>
      </c>
      <c r="H2266" t="s">
        <v>1546</v>
      </c>
      <c r="I2266" t="s">
        <v>30</v>
      </c>
      <c r="J2266">
        <v>14</v>
      </c>
      <c r="K2266">
        <v>8.5</v>
      </c>
      <c r="L2266" s="39">
        <f t="shared" si="143"/>
        <v>1.3</v>
      </c>
      <c r="M2266" s="39">
        <f t="shared" si="144"/>
        <v>1.6470588235294117</v>
      </c>
      <c r="N2266" t="s">
        <v>42</v>
      </c>
      <c r="O2266" t="s">
        <v>42</v>
      </c>
      <c r="P2266">
        <v>0</v>
      </c>
      <c r="Q2266">
        <v>0</v>
      </c>
      <c r="R2266" t="s">
        <v>3019</v>
      </c>
    </row>
    <row r="2267" spans="1:18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45565</v>
      </c>
      <c r="G2267">
        <v>2024</v>
      </c>
      <c r="H2267" t="s">
        <v>162</v>
      </c>
      <c r="I2267" t="s">
        <v>30</v>
      </c>
      <c r="J2267">
        <v>14</v>
      </c>
      <c r="K2267">
        <v>10.5</v>
      </c>
      <c r="L2267" s="39">
        <f t="shared" si="143"/>
        <v>1.3</v>
      </c>
      <c r="M2267" s="39">
        <f t="shared" si="144"/>
        <v>1.3333333333333333</v>
      </c>
      <c r="N2267" t="s">
        <v>42</v>
      </c>
      <c r="O2267" t="s">
        <v>42</v>
      </c>
      <c r="P2267">
        <v>0</v>
      </c>
      <c r="Q2267">
        <v>0</v>
      </c>
      <c r="R2267" t="s">
        <v>3020</v>
      </c>
    </row>
    <row r="2268" spans="1:18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45596</v>
      </c>
      <c r="G2268">
        <v>2024</v>
      </c>
      <c r="H2268" t="s">
        <v>150</v>
      </c>
      <c r="I2268" t="s">
        <v>30</v>
      </c>
      <c r="J2268">
        <v>14</v>
      </c>
      <c r="K2268">
        <v>8</v>
      </c>
      <c r="L2268" s="39">
        <f t="shared" si="143"/>
        <v>1.3</v>
      </c>
      <c r="M2268" s="39">
        <f t="shared" si="144"/>
        <v>1.75</v>
      </c>
      <c r="N2268" t="s">
        <v>42</v>
      </c>
      <c r="O2268" t="s">
        <v>42</v>
      </c>
      <c r="P2268">
        <v>0</v>
      </c>
      <c r="Q2268">
        <v>0</v>
      </c>
      <c r="R2268" t="s">
        <v>3021</v>
      </c>
    </row>
    <row r="2269" spans="1:18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45626</v>
      </c>
      <c r="G2269">
        <v>2024</v>
      </c>
      <c r="H2269" t="s">
        <v>1550</v>
      </c>
      <c r="I2269" t="s">
        <v>30</v>
      </c>
      <c r="J2269">
        <v>14</v>
      </c>
      <c r="K2269">
        <v>10</v>
      </c>
      <c r="L2269" s="39">
        <f t="shared" si="143"/>
        <v>1.3</v>
      </c>
      <c r="M2269" s="39">
        <f t="shared" si="144"/>
        <v>1.4</v>
      </c>
      <c r="N2269" t="s">
        <v>42</v>
      </c>
      <c r="O2269" t="s">
        <v>42</v>
      </c>
      <c r="P2269">
        <v>0</v>
      </c>
      <c r="Q2269">
        <v>0</v>
      </c>
      <c r="R2269" t="s">
        <v>3022</v>
      </c>
    </row>
    <row r="2270" spans="1:18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45657</v>
      </c>
      <c r="G2270">
        <v>2024</v>
      </c>
      <c r="H2270" t="s">
        <v>23</v>
      </c>
      <c r="I2270" t="s">
        <v>30</v>
      </c>
      <c r="J2270">
        <v>14</v>
      </c>
      <c r="K2270">
        <v>16.97</v>
      </c>
      <c r="L2270" s="39">
        <f t="shared" si="143"/>
        <v>0.82498526812021222</v>
      </c>
      <c r="M2270" s="39">
        <f t="shared" si="144"/>
        <v>0.82498526812021222</v>
      </c>
      <c r="N2270" t="s">
        <v>42</v>
      </c>
      <c r="O2270" t="s">
        <v>42</v>
      </c>
      <c r="P2270">
        <v>0</v>
      </c>
      <c r="Q2270">
        <v>0</v>
      </c>
      <c r="R2270" t="s">
        <v>1243</v>
      </c>
    </row>
    <row r="2271" spans="1:18" x14ac:dyDescent="0.3">
      <c r="A2271">
        <v>436</v>
      </c>
      <c r="B2271" t="s">
        <v>1241</v>
      </c>
      <c r="C2271" t="s">
        <v>198</v>
      </c>
      <c r="D2271" t="s">
        <v>54</v>
      </c>
      <c r="E2271" t="s">
        <v>41</v>
      </c>
      <c r="F2271" s="79">
        <v>45688</v>
      </c>
      <c r="G2271">
        <v>2025</v>
      </c>
      <c r="H2271" t="s">
        <v>59</v>
      </c>
      <c r="I2271" t="s">
        <v>700</v>
      </c>
      <c r="J2271">
        <v>14</v>
      </c>
      <c r="K2271">
        <v>9.1999999999999993</v>
      </c>
      <c r="L2271" s="39">
        <f t="shared" si="143"/>
        <v>1.3</v>
      </c>
      <c r="M2271" s="39">
        <f t="shared" si="144"/>
        <v>1.5217391304347827</v>
      </c>
      <c r="N2271" t="s">
        <v>42</v>
      </c>
      <c r="O2271" t="s">
        <v>42</v>
      </c>
      <c r="P2271">
        <v>0</v>
      </c>
      <c r="Q2271">
        <v>0</v>
      </c>
      <c r="R2271" t="s">
        <v>3023</v>
      </c>
    </row>
    <row r="2272" spans="1:18" x14ac:dyDescent="0.3">
      <c r="A2272">
        <v>436</v>
      </c>
      <c r="B2272" t="s">
        <v>1241</v>
      </c>
      <c r="C2272" t="s">
        <v>198</v>
      </c>
      <c r="D2272" t="s">
        <v>54</v>
      </c>
      <c r="E2272" t="s">
        <v>41</v>
      </c>
      <c r="F2272" s="79">
        <v>45716</v>
      </c>
      <c r="G2272">
        <v>2025</v>
      </c>
      <c r="H2272" t="s">
        <v>210</v>
      </c>
      <c r="I2272" t="s">
        <v>700</v>
      </c>
      <c r="J2272">
        <v>14</v>
      </c>
      <c r="K2272">
        <v>3.34</v>
      </c>
      <c r="L2272" s="39">
        <f t="shared" si="143"/>
        <v>1.3</v>
      </c>
      <c r="M2272" s="39">
        <f t="shared" si="144"/>
        <v>4.1916167664670656</v>
      </c>
      <c r="N2272" t="s">
        <v>42</v>
      </c>
      <c r="O2272" t="s">
        <v>42</v>
      </c>
      <c r="P2272">
        <v>0</v>
      </c>
      <c r="Q2272">
        <v>0</v>
      </c>
      <c r="R2272" t="s">
        <v>3024</v>
      </c>
    </row>
    <row r="2273" spans="1:19" x14ac:dyDescent="0.3">
      <c r="A2273">
        <v>436</v>
      </c>
      <c r="B2273" t="s">
        <v>1241</v>
      </c>
      <c r="C2273" t="s">
        <v>198</v>
      </c>
      <c r="D2273" t="s">
        <v>54</v>
      </c>
      <c r="E2273" t="s">
        <v>41</v>
      </c>
      <c r="F2273" s="79">
        <v>45747</v>
      </c>
      <c r="G2273">
        <v>2025</v>
      </c>
      <c r="H2273" t="s">
        <v>1516</v>
      </c>
      <c r="I2273" t="s">
        <v>700</v>
      </c>
      <c r="J2273">
        <v>14</v>
      </c>
      <c r="K2273">
        <v>10.6</v>
      </c>
      <c r="L2273" s="39">
        <f t="shared" si="143"/>
        <v>1.3</v>
      </c>
      <c r="M2273" s="39">
        <f t="shared" si="144"/>
        <v>1.3207547169811322</v>
      </c>
      <c r="N2273" t="s">
        <v>42</v>
      </c>
      <c r="O2273" t="s">
        <v>42</v>
      </c>
      <c r="P2273">
        <v>0</v>
      </c>
      <c r="Q2273">
        <v>0</v>
      </c>
      <c r="R2273" t="s">
        <v>3025</v>
      </c>
    </row>
    <row r="2274" spans="1:19" x14ac:dyDescent="0.3">
      <c r="A2274">
        <v>436</v>
      </c>
      <c r="B2274" t="s">
        <v>1241</v>
      </c>
      <c r="C2274" t="s">
        <v>198</v>
      </c>
      <c r="D2274" t="s">
        <v>54</v>
      </c>
      <c r="E2274" t="s">
        <v>41</v>
      </c>
      <c r="F2274" s="79">
        <v>45777</v>
      </c>
      <c r="G2274">
        <v>2025</v>
      </c>
      <c r="H2274" t="s">
        <v>1540</v>
      </c>
      <c r="I2274" t="s">
        <v>700</v>
      </c>
      <c r="J2274">
        <v>14</v>
      </c>
      <c r="K2274">
        <v>6.4</v>
      </c>
      <c r="L2274" s="39">
        <f t="shared" si="143"/>
        <v>1.3</v>
      </c>
      <c r="M2274" s="39">
        <f t="shared" si="144"/>
        <v>2.1875</v>
      </c>
      <c r="N2274" t="s">
        <v>42</v>
      </c>
      <c r="O2274" t="s">
        <v>42</v>
      </c>
      <c r="P2274">
        <v>0</v>
      </c>
      <c r="Q2274">
        <v>0</v>
      </c>
      <c r="R2274" t="s">
        <v>3026</v>
      </c>
    </row>
    <row r="2275" spans="1:19" x14ac:dyDescent="0.3">
      <c r="A2275">
        <v>436</v>
      </c>
      <c r="B2275" t="s">
        <v>1241</v>
      </c>
      <c r="C2275" t="s">
        <v>198</v>
      </c>
      <c r="D2275" t="s">
        <v>54</v>
      </c>
      <c r="E2275" t="s">
        <v>41</v>
      </c>
      <c r="F2275" s="79">
        <v>45808</v>
      </c>
      <c r="G2275">
        <v>2025</v>
      </c>
      <c r="H2275" t="s">
        <v>1542</v>
      </c>
      <c r="I2275" t="s">
        <v>700</v>
      </c>
      <c r="J2275">
        <v>14</v>
      </c>
      <c r="K2275">
        <v>10.17</v>
      </c>
      <c r="L2275" s="39">
        <f t="shared" si="143"/>
        <v>1.3</v>
      </c>
      <c r="M2275" s="39">
        <f t="shared" si="144"/>
        <v>1.3765978367748279</v>
      </c>
      <c r="N2275" t="s">
        <v>42</v>
      </c>
      <c r="O2275" t="s">
        <v>42</v>
      </c>
      <c r="P2275">
        <v>0</v>
      </c>
      <c r="Q2275">
        <v>0</v>
      </c>
      <c r="R2275" t="s">
        <v>3027</v>
      </c>
    </row>
    <row r="2276" spans="1:19" x14ac:dyDescent="0.3">
      <c r="A2276">
        <v>436</v>
      </c>
      <c r="B2276" t="s">
        <v>1241</v>
      </c>
      <c r="C2276" t="s">
        <v>198</v>
      </c>
      <c r="D2276" t="s">
        <v>54</v>
      </c>
      <c r="E2276" t="s">
        <v>41</v>
      </c>
      <c r="F2276" s="79">
        <v>45838</v>
      </c>
      <c r="G2276">
        <v>2025</v>
      </c>
      <c r="H2276" t="s">
        <v>699</v>
      </c>
      <c r="I2276" t="s">
        <v>700</v>
      </c>
      <c r="J2276">
        <v>14</v>
      </c>
      <c r="K2276">
        <v>11.93</v>
      </c>
      <c r="L2276" s="39">
        <f t="shared" si="143"/>
        <v>1.173512154233026</v>
      </c>
      <c r="M2276" s="39">
        <f t="shared" si="144"/>
        <v>1.173512154233026</v>
      </c>
      <c r="N2276" t="s">
        <v>42</v>
      </c>
      <c r="O2276" t="s">
        <v>42</v>
      </c>
      <c r="P2276">
        <v>0</v>
      </c>
      <c r="Q2276">
        <v>0</v>
      </c>
      <c r="R2276" t="s">
        <v>3028</v>
      </c>
    </row>
    <row r="2277" spans="1:19" x14ac:dyDescent="0.3">
      <c r="A2277">
        <v>436</v>
      </c>
      <c r="B2277" t="s">
        <v>1241</v>
      </c>
      <c r="C2277" t="s">
        <v>198</v>
      </c>
      <c r="D2277" t="s">
        <v>54</v>
      </c>
      <c r="E2277" t="s">
        <v>41</v>
      </c>
      <c r="F2277" s="79">
        <v>45869</v>
      </c>
      <c r="G2277">
        <v>2025</v>
      </c>
      <c r="H2277" t="s">
        <v>260</v>
      </c>
      <c r="I2277" t="s">
        <v>32</v>
      </c>
      <c r="J2277">
        <v>14</v>
      </c>
      <c r="K2277">
        <v>13.41</v>
      </c>
      <c r="L2277" s="39">
        <f t="shared" si="143"/>
        <v>1.0439970171513795</v>
      </c>
      <c r="M2277" s="39">
        <f t="shared" si="144"/>
        <v>1.0439970171513795</v>
      </c>
      <c r="N2277" t="s">
        <v>42</v>
      </c>
      <c r="O2277" t="s">
        <v>42</v>
      </c>
      <c r="P2277">
        <v>0</v>
      </c>
      <c r="Q2277">
        <v>0</v>
      </c>
      <c r="R2277" t="s">
        <v>3029</v>
      </c>
    </row>
    <row r="2278" spans="1:19" x14ac:dyDescent="0.3">
      <c r="A2278">
        <v>436</v>
      </c>
      <c r="B2278" t="s">
        <v>1241</v>
      </c>
      <c r="C2278" t="s">
        <v>198</v>
      </c>
      <c r="D2278" t="s">
        <v>54</v>
      </c>
      <c r="E2278" t="s">
        <v>41</v>
      </c>
      <c r="F2278" s="79">
        <v>45900</v>
      </c>
      <c r="G2278">
        <v>2025</v>
      </c>
      <c r="H2278" t="s">
        <v>1546</v>
      </c>
      <c r="I2278" t="s">
        <v>32</v>
      </c>
      <c r="J2278">
        <v>14</v>
      </c>
      <c r="K2278">
        <v>14.17</v>
      </c>
      <c r="L2278" s="39">
        <f t="shared" si="143"/>
        <v>0.98800282286520824</v>
      </c>
      <c r="M2278" s="39">
        <f t="shared" si="144"/>
        <v>0.98800282286520824</v>
      </c>
      <c r="N2278" t="s">
        <v>42</v>
      </c>
      <c r="O2278" t="s">
        <v>42</v>
      </c>
      <c r="P2278">
        <v>0</v>
      </c>
      <c r="Q2278">
        <v>0</v>
      </c>
      <c r="R2278" t="s">
        <v>3030</v>
      </c>
    </row>
    <row r="2279" spans="1:19" x14ac:dyDescent="0.3">
      <c r="A2279">
        <v>436</v>
      </c>
      <c r="B2279" t="s">
        <v>1241</v>
      </c>
      <c r="C2279" t="s">
        <v>198</v>
      </c>
      <c r="D2279" t="s">
        <v>54</v>
      </c>
      <c r="E2279" t="s">
        <v>41</v>
      </c>
      <c r="F2279" s="79">
        <v>45930</v>
      </c>
      <c r="G2279">
        <v>2025</v>
      </c>
      <c r="H2279" t="s">
        <v>162</v>
      </c>
      <c r="I2279" t="s">
        <v>32</v>
      </c>
      <c r="J2279">
        <v>14</v>
      </c>
      <c r="K2279">
        <v>7.08</v>
      </c>
      <c r="L2279" s="39">
        <f t="shared" si="143"/>
        <v>1.3</v>
      </c>
      <c r="M2279" s="39">
        <f t="shared" si="144"/>
        <v>1.9774011299435028</v>
      </c>
      <c r="N2279" t="s">
        <v>42</v>
      </c>
      <c r="O2279" t="s">
        <v>42</v>
      </c>
      <c r="P2279">
        <v>0</v>
      </c>
      <c r="Q2279">
        <v>1</v>
      </c>
      <c r="R2279" t="s">
        <v>3031</v>
      </c>
    </row>
    <row r="2280" spans="1:19" x14ac:dyDescent="0.3">
      <c r="A2280">
        <v>436</v>
      </c>
      <c r="B2280" t="s">
        <v>1241</v>
      </c>
      <c r="C2280" t="s">
        <v>198</v>
      </c>
      <c r="D2280" t="s">
        <v>54</v>
      </c>
      <c r="E2280" t="s">
        <v>41</v>
      </c>
      <c r="F2280" s="79">
        <v>45961</v>
      </c>
      <c r="G2280">
        <v>2025</v>
      </c>
      <c r="H2280" t="s">
        <v>150</v>
      </c>
      <c r="I2280" t="s">
        <v>32</v>
      </c>
      <c r="J2280">
        <v>14</v>
      </c>
      <c r="K2280">
        <v>15.49</v>
      </c>
      <c r="L2280" s="39">
        <f t="shared" si="143"/>
        <v>0.90380890897353128</v>
      </c>
      <c r="M2280" s="39">
        <f t="shared" si="144"/>
        <v>0.90380890897353128</v>
      </c>
      <c r="N2280" t="s">
        <v>42</v>
      </c>
      <c r="O2280" t="s">
        <v>42</v>
      </c>
      <c r="P2280">
        <v>0</v>
      </c>
      <c r="Q2280">
        <v>1</v>
      </c>
      <c r="R2280" t="s">
        <v>3032</v>
      </c>
    </row>
    <row r="2281" spans="1:19" x14ac:dyDescent="0.3">
      <c r="A2281">
        <v>436</v>
      </c>
      <c r="B2281" t="s">
        <v>1241</v>
      </c>
      <c r="C2281" t="s">
        <v>198</v>
      </c>
      <c r="D2281" t="s">
        <v>54</v>
      </c>
      <c r="E2281" t="s">
        <v>41</v>
      </c>
      <c r="F2281" s="79">
        <v>45991</v>
      </c>
      <c r="G2281">
        <v>2025</v>
      </c>
      <c r="H2281" t="s">
        <v>1550</v>
      </c>
      <c r="I2281" t="s">
        <v>32</v>
      </c>
      <c r="J2281">
        <v>14</v>
      </c>
      <c r="K2281">
        <v>8.1199999999999992</v>
      </c>
      <c r="L2281" s="39">
        <f t="shared" si="143"/>
        <v>1.3</v>
      </c>
      <c r="M2281" s="39">
        <f t="shared" si="144"/>
        <v>1.7241379310344829</v>
      </c>
      <c r="N2281" t="s">
        <v>42</v>
      </c>
      <c r="O2281" t="s">
        <v>42</v>
      </c>
      <c r="P2281">
        <v>0</v>
      </c>
      <c r="Q2281">
        <v>1</v>
      </c>
      <c r="R2281" t="s">
        <v>3033</v>
      </c>
    </row>
    <row r="2282" spans="1:19" x14ac:dyDescent="0.3">
      <c r="A2282">
        <v>436</v>
      </c>
      <c r="B2282" t="s">
        <v>1241</v>
      </c>
      <c r="C2282" t="s">
        <v>198</v>
      </c>
      <c r="D2282" t="s">
        <v>54</v>
      </c>
      <c r="E2282" t="s">
        <v>41</v>
      </c>
      <c r="F2282" s="79">
        <v>46022</v>
      </c>
      <c r="G2282">
        <v>2025</v>
      </c>
      <c r="H2282" t="s">
        <v>23</v>
      </c>
      <c r="I2282" t="s">
        <v>32</v>
      </c>
      <c r="J2282">
        <v>14</v>
      </c>
      <c r="K2282">
        <v>11.77</v>
      </c>
      <c r="L2282" s="39">
        <f t="shared" si="143"/>
        <v>1.1894647408666101</v>
      </c>
      <c r="M2282" s="39">
        <f t="shared" si="144"/>
        <v>1.1894647408666101</v>
      </c>
      <c r="N2282" t="s">
        <v>42</v>
      </c>
      <c r="O2282" t="s">
        <v>42</v>
      </c>
      <c r="P2282">
        <v>0</v>
      </c>
      <c r="Q2282">
        <v>1</v>
      </c>
      <c r="R2282" t="s">
        <v>1244</v>
      </c>
    </row>
    <row r="2283" spans="1:19" x14ac:dyDescent="0.3">
      <c r="A2283">
        <v>437</v>
      </c>
      <c r="B2283" t="s">
        <v>146</v>
      </c>
      <c r="C2283" t="s">
        <v>732</v>
      </c>
      <c r="D2283" t="s">
        <v>71</v>
      </c>
      <c r="E2283" t="s">
        <v>22</v>
      </c>
      <c r="F2283" s="79">
        <v>45230</v>
      </c>
      <c r="G2283">
        <v>2023</v>
      </c>
      <c r="H2283" t="s">
        <v>150</v>
      </c>
      <c r="I2283" t="s">
        <v>28</v>
      </c>
      <c r="J2283">
        <v>80</v>
      </c>
      <c r="K2283">
        <v>96.239806704922998</v>
      </c>
      <c r="L2283" s="39">
        <f t="shared" si="143"/>
        <v>1.2029975838115374</v>
      </c>
      <c r="M2283" s="39">
        <f t="shared" si="144"/>
        <v>1.2029975838115374</v>
      </c>
      <c r="N2283" t="s">
        <v>25</v>
      </c>
      <c r="O2283" t="s">
        <v>25</v>
      </c>
      <c r="P2283">
        <v>0</v>
      </c>
      <c r="Q2283">
        <v>0</v>
      </c>
      <c r="R2283" t="s">
        <v>3034</v>
      </c>
    </row>
    <row r="2284" spans="1:19" x14ac:dyDescent="0.3">
      <c r="A2284">
        <v>437</v>
      </c>
      <c r="B2284" t="s">
        <v>1246</v>
      </c>
      <c r="C2284" t="s">
        <v>732</v>
      </c>
      <c r="D2284" t="s">
        <v>71</v>
      </c>
      <c r="E2284" t="s">
        <v>22</v>
      </c>
      <c r="F2284" s="79">
        <v>45291</v>
      </c>
      <c r="G2284">
        <v>2023</v>
      </c>
      <c r="H2284" t="s">
        <v>23</v>
      </c>
      <c r="I2284" t="s">
        <v>28</v>
      </c>
      <c r="J2284">
        <v>80</v>
      </c>
      <c r="K2284">
        <v>96</v>
      </c>
      <c r="L2284" s="39">
        <f t="shared" si="143"/>
        <v>1.2</v>
      </c>
      <c r="M2284" s="39">
        <f t="shared" si="144"/>
        <v>1.2</v>
      </c>
      <c r="N2284" t="s">
        <v>25</v>
      </c>
      <c r="O2284" t="s">
        <v>25</v>
      </c>
      <c r="P2284">
        <v>0</v>
      </c>
      <c r="Q2284">
        <v>0</v>
      </c>
      <c r="R2284" t="s">
        <v>1247</v>
      </c>
    </row>
    <row r="2285" spans="1:19" x14ac:dyDescent="0.3">
      <c r="A2285">
        <v>437</v>
      </c>
      <c r="B2285" t="s">
        <v>1246</v>
      </c>
      <c r="C2285" t="s">
        <v>732</v>
      </c>
      <c r="D2285" t="s">
        <v>71</v>
      </c>
      <c r="E2285" t="s">
        <v>22</v>
      </c>
      <c r="F2285" s="79">
        <v>45657</v>
      </c>
      <c r="G2285">
        <v>2024</v>
      </c>
      <c r="H2285" t="s">
        <v>23</v>
      </c>
      <c r="I2285" t="s">
        <v>30</v>
      </c>
      <c r="J2285">
        <v>80</v>
      </c>
      <c r="K2285">
        <v>84</v>
      </c>
      <c r="L2285" s="39">
        <f t="shared" si="143"/>
        <v>1.05</v>
      </c>
      <c r="M2285" s="39">
        <f t="shared" si="144"/>
        <v>1.05</v>
      </c>
      <c r="N2285" t="s">
        <v>25</v>
      </c>
      <c r="O2285" t="s">
        <v>25</v>
      </c>
      <c r="P2285">
        <v>0</v>
      </c>
      <c r="Q2285">
        <v>0</v>
      </c>
      <c r="R2285" t="s">
        <v>1248</v>
      </c>
    </row>
    <row r="2286" spans="1:19" x14ac:dyDescent="0.3">
      <c r="A2286">
        <v>437</v>
      </c>
      <c r="B2286" t="s">
        <v>1246</v>
      </c>
      <c r="C2286" t="s">
        <v>732</v>
      </c>
      <c r="D2286" t="s">
        <v>71</v>
      </c>
      <c r="E2286" t="s">
        <v>22</v>
      </c>
      <c r="F2286" s="79">
        <v>46022</v>
      </c>
      <c r="G2286">
        <v>2025</v>
      </c>
      <c r="H2286" t="s">
        <v>23</v>
      </c>
      <c r="I2286" t="s">
        <v>32</v>
      </c>
      <c r="J2286">
        <v>80</v>
      </c>
      <c r="K2286">
        <v>99</v>
      </c>
      <c r="L2286" s="39">
        <f t="shared" si="143"/>
        <v>1.2375</v>
      </c>
      <c r="M2286" s="39">
        <f t="shared" si="144"/>
        <v>1.2375</v>
      </c>
      <c r="N2286" t="s">
        <v>25</v>
      </c>
      <c r="O2286" t="s">
        <v>25</v>
      </c>
      <c r="P2286">
        <v>0</v>
      </c>
      <c r="Q2286">
        <v>0</v>
      </c>
      <c r="R2286" t="s">
        <v>1249</v>
      </c>
    </row>
    <row r="2287" spans="1:19" x14ac:dyDescent="0.3">
      <c r="A2287">
        <v>438</v>
      </c>
      <c r="B2287" t="s">
        <v>1250</v>
      </c>
      <c r="C2287" t="s">
        <v>956</v>
      </c>
      <c r="D2287" t="s">
        <v>27</v>
      </c>
      <c r="E2287" t="s">
        <v>22</v>
      </c>
      <c r="F2287" s="79">
        <v>45291</v>
      </c>
      <c r="G2287">
        <v>2023</v>
      </c>
      <c r="H2287" t="s">
        <v>23</v>
      </c>
      <c r="I2287" t="s">
        <v>28</v>
      </c>
      <c r="J2287">
        <v>100</v>
      </c>
      <c r="K2287">
        <v>100</v>
      </c>
      <c r="L2287" s="39">
        <f t="shared" si="143"/>
        <v>1</v>
      </c>
      <c r="M2287" s="39">
        <f t="shared" si="144"/>
        <v>1</v>
      </c>
      <c r="N2287" t="s">
        <v>25</v>
      </c>
      <c r="O2287" t="s">
        <v>25</v>
      </c>
      <c r="P2287">
        <v>0</v>
      </c>
      <c r="Q2287">
        <v>0</v>
      </c>
      <c r="R2287" t="s">
        <v>1251</v>
      </c>
    </row>
    <row r="2288" spans="1:19" x14ac:dyDescent="0.3">
      <c r="A2288">
        <v>439</v>
      </c>
      <c r="B2288" t="s">
        <v>1252</v>
      </c>
      <c r="C2288" t="s">
        <v>956</v>
      </c>
      <c r="D2288" t="s">
        <v>21</v>
      </c>
      <c r="E2288" t="s">
        <v>22</v>
      </c>
      <c r="F2288" s="79">
        <v>45016</v>
      </c>
      <c r="G2288">
        <v>2023</v>
      </c>
      <c r="H2288" t="s">
        <v>1516</v>
      </c>
      <c r="I2288" t="s">
        <v>1512</v>
      </c>
      <c r="N2288" t="s">
        <v>25</v>
      </c>
      <c r="O2288" t="s">
        <v>302</v>
      </c>
      <c r="P2288">
        <v>0</v>
      </c>
      <c r="Q2288">
        <v>0</v>
      </c>
      <c r="R2288" t="s">
        <v>3035</v>
      </c>
      <c r="S2288" t="s">
        <v>302</v>
      </c>
    </row>
    <row r="2289" spans="1:19" x14ac:dyDescent="0.3">
      <c r="A2289">
        <v>439</v>
      </c>
      <c r="B2289" t="s">
        <v>1252</v>
      </c>
      <c r="C2289" t="s">
        <v>956</v>
      </c>
      <c r="D2289" t="s">
        <v>21</v>
      </c>
      <c r="E2289" t="s">
        <v>22</v>
      </c>
      <c r="F2289" s="79">
        <v>45107</v>
      </c>
      <c r="G2289">
        <v>2023</v>
      </c>
      <c r="H2289" t="s">
        <v>699</v>
      </c>
      <c r="I2289" t="s">
        <v>1512</v>
      </c>
      <c r="L2289" s="39"/>
      <c r="M2289" s="39"/>
      <c r="N2289" t="s">
        <v>25</v>
      </c>
      <c r="O2289" t="s">
        <v>302</v>
      </c>
      <c r="P2289">
        <v>0</v>
      </c>
      <c r="Q2289">
        <v>0</v>
      </c>
      <c r="R2289" t="s">
        <v>3036</v>
      </c>
      <c r="S2289" t="s">
        <v>302</v>
      </c>
    </row>
    <row r="2290" spans="1:19" x14ac:dyDescent="0.3">
      <c r="A2290">
        <v>439</v>
      </c>
      <c r="B2290" t="s">
        <v>1252</v>
      </c>
      <c r="C2290" t="s">
        <v>956</v>
      </c>
      <c r="D2290" t="s">
        <v>27</v>
      </c>
      <c r="E2290" t="s">
        <v>22</v>
      </c>
      <c r="F2290" s="79">
        <v>45291</v>
      </c>
      <c r="G2290">
        <v>2023</v>
      </c>
      <c r="H2290" t="s">
        <v>23</v>
      </c>
      <c r="I2290" t="s">
        <v>28</v>
      </c>
      <c r="J2290">
        <v>100</v>
      </c>
      <c r="K2290">
        <v>100</v>
      </c>
      <c r="L2290" s="39">
        <f>IFERROR(IF(OR(J2290=0,K2290=""),"",IF(E2290="Positivo",MIN(MAX(K2290/J2290,0),1.3),MIN(MAX(J2290/K2290,0),1.3))),"")</f>
        <v>1</v>
      </c>
      <c r="M2290" s="39">
        <f>IFERROR(IF(OR(J2290=0,K2290=""),"",IF(E2290="Positivo",MAX(K2290/J2290,0),MAX(J2290/K2290,0))),"")</f>
        <v>1</v>
      </c>
      <c r="N2290" t="s">
        <v>25</v>
      </c>
      <c r="O2290" t="s">
        <v>25</v>
      </c>
      <c r="P2290">
        <v>0</v>
      </c>
      <c r="Q2290">
        <v>0</v>
      </c>
      <c r="R2290" t="s">
        <v>1253</v>
      </c>
    </row>
    <row r="2291" spans="1:19" x14ac:dyDescent="0.3">
      <c r="A2291">
        <v>439</v>
      </c>
      <c r="B2291" t="s">
        <v>1252</v>
      </c>
      <c r="C2291" t="s">
        <v>956</v>
      </c>
      <c r="D2291" t="s">
        <v>27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100</v>
      </c>
      <c r="K2291">
        <v>100</v>
      </c>
      <c r="L2291" s="39">
        <f>IFERROR(IF(OR(J2291=0,K2291=""),"",IF(E2291="Positivo",MIN(MAX(K2291/J2291,0),1.3),MIN(MAX(J2291/K2291,0),1.3))),"")</f>
        <v>1</v>
      </c>
      <c r="M2291" s="39">
        <f>IFERROR(IF(OR(J2291=0,K2291=""),"",IF(E2291="Positivo",MAX(K2291/J2291,0),MAX(J2291/K2291,0))),"")</f>
        <v>1</v>
      </c>
      <c r="N2291" t="s">
        <v>25</v>
      </c>
      <c r="O2291" t="s">
        <v>25</v>
      </c>
      <c r="P2291">
        <v>0</v>
      </c>
      <c r="Q2291">
        <v>0</v>
      </c>
      <c r="R2291" t="s">
        <v>3037</v>
      </c>
    </row>
    <row r="2292" spans="1:19" x14ac:dyDescent="0.3">
      <c r="A2292">
        <v>439</v>
      </c>
      <c r="B2292" t="s">
        <v>1252</v>
      </c>
      <c r="C2292" t="s">
        <v>956</v>
      </c>
      <c r="D2292" t="s">
        <v>27</v>
      </c>
      <c r="E2292" t="s">
        <v>22</v>
      </c>
      <c r="F2292" s="79">
        <v>45657</v>
      </c>
      <c r="G2292">
        <v>2024</v>
      </c>
      <c r="H2292" t="s">
        <v>23</v>
      </c>
      <c r="I2292" t="s">
        <v>30</v>
      </c>
      <c r="J2292">
        <v>100</v>
      </c>
      <c r="K2292">
        <v>100</v>
      </c>
      <c r="L2292" s="39">
        <f>IFERROR(IF(OR(J2292=0,K2292=""),"",IF(E2292="Positivo",MIN(MAX(K2292/J2292,0),1.3),MIN(MAX(J2292/K2292,0),1.3))),"")</f>
        <v>1</v>
      </c>
      <c r="M2292" s="39">
        <f>IFERROR(IF(OR(J2292=0,K2292=""),"",IF(E2292="Positivo",MAX(K2292/J2292,0),MAX(J2292/K2292,0))),"")</f>
        <v>1</v>
      </c>
      <c r="N2292" t="s">
        <v>25</v>
      </c>
      <c r="O2292" t="s">
        <v>25</v>
      </c>
      <c r="P2292">
        <v>0</v>
      </c>
      <c r="Q2292">
        <v>0</v>
      </c>
      <c r="R2292" t="s">
        <v>1254</v>
      </c>
    </row>
    <row r="2293" spans="1:19" x14ac:dyDescent="0.3">
      <c r="A2293">
        <v>439</v>
      </c>
      <c r="B2293" t="s">
        <v>1252</v>
      </c>
      <c r="C2293" t="s">
        <v>956</v>
      </c>
      <c r="D2293" t="s">
        <v>27</v>
      </c>
      <c r="E2293" t="s">
        <v>22</v>
      </c>
      <c r="F2293" s="79">
        <v>45838</v>
      </c>
      <c r="G2293">
        <v>2025</v>
      </c>
      <c r="H2293" t="s">
        <v>699</v>
      </c>
      <c r="I2293" t="s">
        <v>700</v>
      </c>
      <c r="J2293">
        <v>100</v>
      </c>
      <c r="K2293">
        <v>100</v>
      </c>
      <c r="L2293" s="39">
        <f>IFERROR(IF(OR(J2293=0,K2293=""),"",IF(E2293="Positivo",MIN(MAX(K2293/J2293,0),1.3),MIN(MAX(J2293/K2293,0),1.3))),"")</f>
        <v>1</v>
      </c>
      <c r="M2293" s="39">
        <f>IFERROR(IF(OR(J2293=0,K2293=""),"",IF(E2293="Positivo",MAX(K2293/J2293,0),MAX(J2293/K2293,0))),"")</f>
        <v>1</v>
      </c>
      <c r="N2293" t="s">
        <v>25</v>
      </c>
      <c r="O2293" t="s">
        <v>25</v>
      </c>
      <c r="P2293">
        <v>0</v>
      </c>
      <c r="Q2293">
        <v>0</v>
      </c>
      <c r="R2293" t="s">
        <v>3038</v>
      </c>
    </row>
    <row r="2294" spans="1:19" x14ac:dyDescent="0.3">
      <c r="A2294">
        <v>439</v>
      </c>
      <c r="B2294" t="s">
        <v>1252</v>
      </c>
      <c r="C2294" t="s">
        <v>956</v>
      </c>
      <c r="D2294" t="s">
        <v>21</v>
      </c>
      <c r="E2294" t="s">
        <v>22</v>
      </c>
      <c r="F2294" s="79">
        <v>46022</v>
      </c>
      <c r="G2294">
        <v>2025</v>
      </c>
      <c r="H2294" t="s">
        <v>23</v>
      </c>
      <c r="I2294" t="s">
        <v>32</v>
      </c>
      <c r="J2294">
        <v>100</v>
      </c>
      <c r="K2294">
        <v>100</v>
      </c>
      <c r="L2294" s="39">
        <f>IFERROR(IF(OR(J2294=0,K2294=""),"",IF(E2294="Positivo",MIN(MAX(K2294/J2294,0),1.3),MIN(MAX(J2294/K2294,0),1.3))),"")</f>
        <v>1</v>
      </c>
      <c r="M2294" s="39">
        <f>IFERROR(IF(OR(J2294=0,K2294=""),"",IF(E2294="Positivo",MAX(K2294/J2294,0),MAX(J2294/K2294,0))),"")</f>
        <v>1</v>
      </c>
      <c r="N2294" t="s">
        <v>25</v>
      </c>
      <c r="O2294" t="s">
        <v>25</v>
      </c>
      <c r="P2294">
        <v>0</v>
      </c>
      <c r="Q2294">
        <v>0</v>
      </c>
      <c r="R2294" t="s">
        <v>1255</v>
      </c>
    </row>
    <row r="2295" spans="1:19" x14ac:dyDescent="0.3">
      <c r="A2295">
        <v>440</v>
      </c>
      <c r="B2295" t="s">
        <v>1256</v>
      </c>
      <c r="C2295" t="s">
        <v>956</v>
      </c>
      <c r="D2295" t="s">
        <v>21</v>
      </c>
      <c r="E2295" t="s">
        <v>22</v>
      </c>
      <c r="F2295" s="79">
        <v>45016</v>
      </c>
      <c r="G2295">
        <v>2023</v>
      </c>
      <c r="H2295" t="s">
        <v>1516</v>
      </c>
      <c r="I2295" t="s">
        <v>1512</v>
      </c>
      <c r="L2295" s="39"/>
      <c r="M2295" s="39"/>
      <c r="N2295" t="s">
        <v>25</v>
      </c>
      <c r="O2295" t="s">
        <v>302</v>
      </c>
      <c r="P2295">
        <v>0</v>
      </c>
      <c r="Q2295">
        <v>1</v>
      </c>
      <c r="R2295" t="s">
        <v>3039</v>
      </c>
      <c r="S2295" t="s">
        <v>302</v>
      </c>
    </row>
    <row r="2296" spans="1:19" x14ac:dyDescent="0.3">
      <c r="A2296">
        <v>440</v>
      </c>
      <c r="B2296" t="s">
        <v>1256</v>
      </c>
      <c r="C2296" t="s">
        <v>956</v>
      </c>
      <c r="D2296" t="s">
        <v>21</v>
      </c>
      <c r="E2296" t="s">
        <v>22</v>
      </c>
      <c r="F2296" s="79">
        <v>45107</v>
      </c>
      <c r="G2296">
        <v>2023</v>
      </c>
      <c r="H2296" t="s">
        <v>699</v>
      </c>
      <c r="I2296" t="s">
        <v>1512</v>
      </c>
      <c r="L2296" s="39"/>
      <c r="M2296" s="39"/>
      <c r="N2296" t="s">
        <v>25</v>
      </c>
      <c r="O2296" t="s">
        <v>302</v>
      </c>
      <c r="P2296">
        <v>0</v>
      </c>
      <c r="Q2296">
        <v>1</v>
      </c>
      <c r="R2296" t="s">
        <v>3040</v>
      </c>
      <c r="S2296" t="s">
        <v>302</v>
      </c>
    </row>
    <row r="2297" spans="1:19" x14ac:dyDescent="0.3">
      <c r="A2297">
        <v>440</v>
      </c>
      <c r="B2297" t="s">
        <v>1256</v>
      </c>
      <c r="C2297" t="s">
        <v>956</v>
      </c>
      <c r="D2297" t="s">
        <v>27</v>
      </c>
      <c r="E2297" t="s">
        <v>22</v>
      </c>
      <c r="F2297" s="79">
        <v>45291</v>
      </c>
      <c r="G2297">
        <v>2023</v>
      </c>
      <c r="H2297" t="s">
        <v>23</v>
      </c>
      <c r="I2297" t="s">
        <v>28</v>
      </c>
      <c r="J2297">
        <v>98</v>
      </c>
      <c r="K2297">
        <v>97.746062537526996</v>
      </c>
      <c r="L2297" s="39">
        <f t="shared" ref="L2297:L2317" si="145">IFERROR(IF(OR(J2297=0,K2297=""),"",IF(E2297="Positivo",MIN(MAX(K2297/J2297,0),1.3),MIN(MAX(J2297/K2297,0),1.3))),"")</f>
        <v>0.99740880140333665</v>
      </c>
      <c r="M2297" s="39">
        <f t="shared" ref="M2297:M2317" si="146">IFERROR(IF(OR(J2297=0,K2297=""),"",IF(E2297="Positivo",MAX(K2297/J2297,0),MAX(J2297/K2297,0))),"")</f>
        <v>0.99740880140333665</v>
      </c>
      <c r="N2297" t="s">
        <v>25</v>
      </c>
      <c r="O2297" t="s">
        <v>25</v>
      </c>
      <c r="P2297">
        <v>0</v>
      </c>
      <c r="Q2297">
        <v>1</v>
      </c>
      <c r="R2297" t="s">
        <v>1257</v>
      </c>
    </row>
    <row r="2298" spans="1:19" x14ac:dyDescent="0.3">
      <c r="A2298">
        <v>440</v>
      </c>
      <c r="B2298" t="s">
        <v>1256</v>
      </c>
      <c r="C2298" t="s">
        <v>956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98</v>
      </c>
      <c r="K2298">
        <v>99.73</v>
      </c>
      <c r="L2298" s="39">
        <f t="shared" si="145"/>
        <v>1.0176530612244898</v>
      </c>
      <c r="M2298" s="39">
        <f t="shared" si="146"/>
        <v>1.0176530612244898</v>
      </c>
      <c r="N2298" t="s">
        <v>25</v>
      </c>
      <c r="O2298" t="s">
        <v>25</v>
      </c>
      <c r="P2298">
        <v>0</v>
      </c>
      <c r="Q2298">
        <v>1</v>
      </c>
      <c r="R2298" t="s">
        <v>3041</v>
      </c>
    </row>
    <row r="2299" spans="1:19" x14ac:dyDescent="0.3">
      <c r="A2299">
        <v>440</v>
      </c>
      <c r="B2299" t="s">
        <v>1256</v>
      </c>
      <c r="C2299" t="s">
        <v>956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98</v>
      </c>
      <c r="K2299">
        <v>99.24</v>
      </c>
      <c r="L2299" s="39">
        <f t="shared" si="145"/>
        <v>1.0126530612244897</v>
      </c>
      <c r="M2299" s="39">
        <f t="shared" si="146"/>
        <v>1.0126530612244897</v>
      </c>
      <c r="N2299" t="s">
        <v>25</v>
      </c>
      <c r="O2299" t="s">
        <v>25</v>
      </c>
      <c r="P2299">
        <v>0</v>
      </c>
      <c r="Q2299">
        <v>1</v>
      </c>
      <c r="R2299" t="s">
        <v>1258</v>
      </c>
    </row>
    <row r="2300" spans="1:19" x14ac:dyDescent="0.3">
      <c r="A2300">
        <v>440</v>
      </c>
      <c r="B2300" t="s">
        <v>1256</v>
      </c>
      <c r="C2300" t="s">
        <v>956</v>
      </c>
      <c r="D2300" t="s">
        <v>27</v>
      </c>
      <c r="E2300" t="s">
        <v>22</v>
      </c>
      <c r="F2300" s="79">
        <v>45838</v>
      </c>
      <c r="G2300">
        <v>2025</v>
      </c>
      <c r="H2300" t="s">
        <v>699</v>
      </c>
      <c r="I2300" t="s">
        <v>700</v>
      </c>
      <c r="J2300">
        <v>98</v>
      </c>
      <c r="K2300">
        <v>99.77</v>
      </c>
      <c r="L2300" s="39">
        <f t="shared" si="145"/>
        <v>1.018061224489796</v>
      </c>
      <c r="M2300" s="39">
        <f t="shared" si="146"/>
        <v>1.018061224489796</v>
      </c>
      <c r="N2300" t="s">
        <v>25</v>
      </c>
      <c r="O2300" t="s">
        <v>25</v>
      </c>
      <c r="P2300">
        <v>0</v>
      </c>
      <c r="Q2300">
        <v>1</v>
      </c>
      <c r="R2300" t="s">
        <v>3042</v>
      </c>
    </row>
    <row r="2301" spans="1:19" x14ac:dyDescent="0.3">
      <c r="A2301">
        <v>440</v>
      </c>
      <c r="B2301" t="s">
        <v>1256</v>
      </c>
      <c r="C2301" t="s">
        <v>956</v>
      </c>
      <c r="D2301" t="s">
        <v>21</v>
      </c>
      <c r="E2301" t="s">
        <v>22</v>
      </c>
      <c r="F2301" s="79">
        <v>46022</v>
      </c>
      <c r="G2301">
        <v>2025</v>
      </c>
      <c r="H2301" t="s">
        <v>23</v>
      </c>
      <c r="I2301" t="s">
        <v>32</v>
      </c>
      <c r="J2301">
        <v>98</v>
      </c>
      <c r="K2301">
        <v>99.74</v>
      </c>
      <c r="L2301" s="39">
        <f t="shared" si="145"/>
        <v>1.0177551020408162</v>
      </c>
      <c r="M2301" s="39">
        <f t="shared" si="146"/>
        <v>1.0177551020408162</v>
      </c>
      <c r="N2301" t="s">
        <v>25</v>
      </c>
      <c r="O2301" t="s">
        <v>25</v>
      </c>
      <c r="P2301">
        <v>0</v>
      </c>
      <c r="Q2301">
        <v>1</v>
      </c>
      <c r="R2301" t="s">
        <v>1259</v>
      </c>
    </row>
    <row r="2302" spans="1:19" x14ac:dyDescent="0.3">
      <c r="A2302">
        <v>441</v>
      </c>
      <c r="B2302" t="s">
        <v>1260</v>
      </c>
      <c r="C2302" t="s">
        <v>511</v>
      </c>
      <c r="D2302" t="s">
        <v>54</v>
      </c>
      <c r="E2302" t="s">
        <v>22</v>
      </c>
      <c r="F2302" s="79">
        <v>45322</v>
      </c>
      <c r="G2302">
        <v>2024</v>
      </c>
      <c r="H2302" t="s">
        <v>59</v>
      </c>
      <c r="I2302" t="s">
        <v>729</v>
      </c>
      <c r="J2302">
        <v>90</v>
      </c>
      <c r="K2302">
        <v>87.82</v>
      </c>
      <c r="L2302" s="39">
        <f t="shared" si="145"/>
        <v>0.97577777777777774</v>
      </c>
      <c r="M2302" s="39">
        <f t="shared" si="146"/>
        <v>0.97577777777777774</v>
      </c>
      <c r="N2302" t="s">
        <v>25</v>
      </c>
      <c r="O2302" t="s">
        <v>25</v>
      </c>
      <c r="P2302">
        <v>0</v>
      </c>
      <c r="Q2302">
        <v>1</v>
      </c>
      <c r="R2302" t="s">
        <v>3043</v>
      </c>
    </row>
    <row r="2303" spans="1:19" x14ac:dyDescent="0.3">
      <c r="A2303">
        <v>441</v>
      </c>
      <c r="B2303" t="s">
        <v>1260</v>
      </c>
      <c r="C2303" t="s">
        <v>511</v>
      </c>
      <c r="D2303" t="s">
        <v>54</v>
      </c>
      <c r="E2303" t="s">
        <v>22</v>
      </c>
      <c r="F2303" s="79">
        <v>45351</v>
      </c>
      <c r="G2303">
        <v>2024</v>
      </c>
      <c r="H2303" t="s">
        <v>210</v>
      </c>
      <c r="I2303" t="s">
        <v>729</v>
      </c>
      <c r="J2303">
        <v>90</v>
      </c>
      <c r="K2303">
        <v>90.88</v>
      </c>
      <c r="L2303" s="39">
        <f t="shared" si="145"/>
        <v>1.0097777777777777</v>
      </c>
      <c r="M2303" s="39">
        <f t="shared" si="146"/>
        <v>1.0097777777777777</v>
      </c>
      <c r="N2303" t="s">
        <v>25</v>
      </c>
      <c r="O2303" t="s">
        <v>25</v>
      </c>
      <c r="P2303">
        <v>0</v>
      </c>
      <c r="Q2303">
        <v>1</v>
      </c>
      <c r="R2303" t="s">
        <v>3044</v>
      </c>
    </row>
    <row r="2304" spans="1:19" x14ac:dyDescent="0.3">
      <c r="A2304">
        <v>441</v>
      </c>
      <c r="B2304" t="s">
        <v>1260</v>
      </c>
      <c r="C2304" t="s">
        <v>511</v>
      </c>
      <c r="D2304" t="s">
        <v>54</v>
      </c>
      <c r="E2304" t="s">
        <v>22</v>
      </c>
      <c r="F2304" s="79">
        <v>45382</v>
      </c>
      <c r="G2304">
        <v>2024</v>
      </c>
      <c r="H2304" t="s">
        <v>1516</v>
      </c>
      <c r="I2304" t="s">
        <v>729</v>
      </c>
      <c r="J2304">
        <v>90</v>
      </c>
      <c r="K2304">
        <v>91.52</v>
      </c>
      <c r="L2304" s="39">
        <f t="shared" si="145"/>
        <v>1.016888888888889</v>
      </c>
      <c r="M2304" s="39">
        <f t="shared" si="146"/>
        <v>1.016888888888889</v>
      </c>
      <c r="N2304" t="s">
        <v>25</v>
      </c>
      <c r="O2304" t="s">
        <v>25</v>
      </c>
      <c r="P2304">
        <v>0</v>
      </c>
      <c r="Q2304">
        <v>1</v>
      </c>
      <c r="R2304" t="s">
        <v>3045</v>
      </c>
    </row>
    <row r="2305" spans="1:18" x14ac:dyDescent="0.3">
      <c r="A2305">
        <v>441</v>
      </c>
      <c r="B2305" t="s">
        <v>1260</v>
      </c>
      <c r="C2305" t="s">
        <v>511</v>
      </c>
      <c r="D2305" t="s">
        <v>54</v>
      </c>
      <c r="E2305" t="s">
        <v>22</v>
      </c>
      <c r="F2305" s="79">
        <v>45412</v>
      </c>
      <c r="G2305">
        <v>2024</v>
      </c>
      <c r="H2305" t="s">
        <v>1540</v>
      </c>
      <c r="I2305" t="s">
        <v>729</v>
      </c>
      <c r="J2305">
        <v>90</v>
      </c>
      <c r="K2305">
        <v>95.82</v>
      </c>
      <c r="L2305" s="39">
        <f t="shared" si="145"/>
        <v>1.0646666666666667</v>
      </c>
      <c r="M2305" s="39">
        <f t="shared" si="146"/>
        <v>1.0646666666666667</v>
      </c>
      <c r="N2305" t="s">
        <v>25</v>
      </c>
      <c r="O2305" t="s">
        <v>25</v>
      </c>
      <c r="P2305">
        <v>0</v>
      </c>
      <c r="Q2305">
        <v>1</v>
      </c>
      <c r="R2305" t="s">
        <v>3046</v>
      </c>
    </row>
    <row r="2306" spans="1:18" x14ac:dyDescent="0.3">
      <c r="A2306">
        <v>441</v>
      </c>
      <c r="B2306" t="s">
        <v>1260</v>
      </c>
      <c r="C2306" t="s">
        <v>511</v>
      </c>
      <c r="D2306" t="s">
        <v>54</v>
      </c>
      <c r="E2306" t="s">
        <v>22</v>
      </c>
      <c r="F2306" s="79">
        <v>45443</v>
      </c>
      <c r="G2306">
        <v>2024</v>
      </c>
      <c r="H2306" t="s">
        <v>1542</v>
      </c>
      <c r="I2306" t="s">
        <v>729</v>
      </c>
      <c r="J2306">
        <v>90</v>
      </c>
      <c r="K2306">
        <v>96.89</v>
      </c>
      <c r="L2306" s="39">
        <f t="shared" si="145"/>
        <v>1.0765555555555555</v>
      </c>
      <c r="M2306" s="39">
        <f t="shared" si="146"/>
        <v>1.0765555555555555</v>
      </c>
      <c r="N2306" t="s">
        <v>25</v>
      </c>
      <c r="O2306" t="s">
        <v>25</v>
      </c>
      <c r="P2306">
        <v>0</v>
      </c>
      <c r="Q2306">
        <v>1</v>
      </c>
      <c r="R2306" t="s">
        <v>3047</v>
      </c>
    </row>
    <row r="2307" spans="1:18" x14ac:dyDescent="0.3">
      <c r="A2307">
        <v>441</v>
      </c>
      <c r="B2307" t="s">
        <v>1260</v>
      </c>
      <c r="C2307" t="s">
        <v>511</v>
      </c>
      <c r="D2307" t="s">
        <v>54</v>
      </c>
      <c r="E2307" t="s">
        <v>22</v>
      </c>
      <c r="F2307" s="79">
        <v>45473</v>
      </c>
      <c r="G2307">
        <v>2024</v>
      </c>
      <c r="H2307" t="s">
        <v>699</v>
      </c>
      <c r="I2307" t="s">
        <v>729</v>
      </c>
      <c r="J2307">
        <v>90</v>
      </c>
      <c r="K2307">
        <v>101.44927536231801</v>
      </c>
      <c r="L2307" s="39">
        <f t="shared" si="145"/>
        <v>1.1272141706924224</v>
      </c>
      <c r="M2307" s="39">
        <f t="shared" si="146"/>
        <v>1.1272141706924224</v>
      </c>
      <c r="N2307" t="s">
        <v>25</v>
      </c>
      <c r="O2307" t="s">
        <v>25</v>
      </c>
      <c r="P2307">
        <v>0</v>
      </c>
      <c r="Q2307">
        <v>0</v>
      </c>
      <c r="R2307" t="s">
        <v>3048</v>
      </c>
    </row>
    <row r="2308" spans="1:18" x14ac:dyDescent="0.3">
      <c r="A2308">
        <v>441</v>
      </c>
      <c r="B2308" t="s">
        <v>1260</v>
      </c>
      <c r="C2308" t="s">
        <v>511</v>
      </c>
      <c r="D2308" t="s">
        <v>54</v>
      </c>
      <c r="E2308" t="s">
        <v>22</v>
      </c>
      <c r="F2308" s="79">
        <v>45504</v>
      </c>
      <c r="G2308">
        <v>2024</v>
      </c>
      <c r="H2308" t="s">
        <v>260</v>
      </c>
      <c r="I2308" t="s">
        <v>30</v>
      </c>
      <c r="J2308">
        <v>90</v>
      </c>
      <c r="K2308">
        <v>91.2</v>
      </c>
      <c r="L2308" s="39">
        <f t="shared" si="145"/>
        <v>1.0133333333333334</v>
      </c>
      <c r="M2308" s="39">
        <f t="shared" si="146"/>
        <v>1.0133333333333334</v>
      </c>
      <c r="N2308" t="s">
        <v>25</v>
      </c>
      <c r="O2308" t="s">
        <v>25</v>
      </c>
      <c r="P2308">
        <v>0</v>
      </c>
      <c r="Q2308">
        <v>0</v>
      </c>
      <c r="R2308" t="s">
        <v>3049</v>
      </c>
    </row>
    <row r="2309" spans="1:18" x14ac:dyDescent="0.3">
      <c r="A2309">
        <v>441</v>
      </c>
      <c r="B2309" t="s">
        <v>1260</v>
      </c>
      <c r="C2309" t="s">
        <v>511</v>
      </c>
      <c r="D2309" t="s">
        <v>54</v>
      </c>
      <c r="E2309" t="s">
        <v>22</v>
      </c>
      <c r="F2309" s="79">
        <v>45535</v>
      </c>
      <c r="G2309">
        <v>2024</v>
      </c>
      <c r="H2309" t="s">
        <v>1546</v>
      </c>
      <c r="I2309" t="s">
        <v>30</v>
      </c>
      <c r="J2309">
        <v>90</v>
      </c>
      <c r="K2309">
        <v>98.160535117056796</v>
      </c>
      <c r="L2309" s="39">
        <f t="shared" si="145"/>
        <v>1.0906726124117421</v>
      </c>
      <c r="M2309" s="39">
        <f t="shared" si="146"/>
        <v>1.0906726124117421</v>
      </c>
      <c r="N2309" t="s">
        <v>25</v>
      </c>
      <c r="O2309" t="s">
        <v>25</v>
      </c>
      <c r="P2309">
        <v>0</v>
      </c>
      <c r="Q2309">
        <v>0</v>
      </c>
      <c r="R2309" t="s">
        <v>3050</v>
      </c>
    </row>
    <row r="2310" spans="1:18" x14ac:dyDescent="0.3">
      <c r="A2310">
        <v>441</v>
      </c>
      <c r="B2310" t="s">
        <v>1260</v>
      </c>
      <c r="C2310" t="s">
        <v>511</v>
      </c>
      <c r="D2310" t="s">
        <v>54</v>
      </c>
      <c r="E2310" t="s">
        <v>22</v>
      </c>
      <c r="F2310" s="79">
        <v>45565</v>
      </c>
      <c r="G2310">
        <v>2024</v>
      </c>
      <c r="H2310" t="s">
        <v>162</v>
      </c>
      <c r="I2310" t="s">
        <v>30</v>
      </c>
      <c r="J2310">
        <v>90</v>
      </c>
      <c r="K2310">
        <v>97.789566755083996</v>
      </c>
      <c r="L2310" s="39">
        <f t="shared" si="145"/>
        <v>1.0865507417231555</v>
      </c>
      <c r="M2310" s="39">
        <f t="shared" si="146"/>
        <v>1.0865507417231555</v>
      </c>
      <c r="N2310" t="s">
        <v>25</v>
      </c>
      <c r="O2310" t="s">
        <v>25</v>
      </c>
      <c r="P2310">
        <v>0</v>
      </c>
      <c r="Q2310">
        <v>0</v>
      </c>
      <c r="R2310" t="s">
        <v>3051</v>
      </c>
    </row>
    <row r="2311" spans="1:18" x14ac:dyDescent="0.3">
      <c r="A2311">
        <v>441</v>
      </c>
      <c r="B2311" t="s">
        <v>1260</v>
      </c>
      <c r="C2311" t="s">
        <v>511</v>
      </c>
      <c r="D2311" t="s">
        <v>54</v>
      </c>
      <c r="E2311" t="s">
        <v>22</v>
      </c>
      <c r="F2311" s="79">
        <v>45596</v>
      </c>
      <c r="G2311">
        <v>2024</v>
      </c>
      <c r="H2311" t="s">
        <v>150</v>
      </c>
      <c r="I2311" t="s">
        <v>30</v>
      </c>
      <c r="J2311">
        <v>90</v>
      </c>
      <c r="K2311">
        <v>96.619083395942894</v>
      </c>
      <c r="L2311" s="39">
        <f t="shared" si="145"/>
        <v>1.0735453710660321</v>
      </c>
      <c r="M2311" s="39">
        <f t="shared" si="146"/>
        <v>1.0735453710660321</v>
      </c>
      <c r="N2311" t="s">
        <v>25</v>
      </c>
      <c r="O2311" t="s">
        <v>25</v>
      </c>
      <c r="P2311">
        <v>0</v>
      </c>
      <c r="Q2311">
        <v>0</v>
      </c>
      <c r="R2311" t="s">
        <v>3052</v>
      </c>
    </row>
    <row r="2312" spans="1:18" x14ac:dyDescent="0.3">
      <c r="A2312">
        <v>441</v>
      </c>
      <c r="B2312" t="s">
        <v>1260</v>
      </c>
      <c r="C2312" t="s">
        <v>511</v>
      </c>
      <c r="D2312" t="s">
        <v>54</v>
      </c>
      <c r="E2312" t="s">
        <v>22</v>
      </c>
      <c r="F2312" s="79">
        <v>45626</v>
      </c>
      <c r="G2312">
        <v>2024</v>
      </c>
      <c r="H2312" t="s">
        <v>1550</v>
      </c>
      <c r="I2312" t="s">
        <v>30</v>
      </c>
      <c r="J2312">
        <v>90</v>
      </c>
      <c r="K2312">
        <v>97.5359342915811</v>
      </c>
      <c r="L2312" s="39">
        <f t="shared" si="145"/>
        <v>1.08373260323979</v>
      </c>
      <c r="M2312" s="39">
        <f t="shared" si="146"/>
        <v>1.08373260323979</v>
      </c>
      <c r="N2312" t="s">
        <v>25</v>
      </c>
      <c r="O2312" t="s">
        <v>25</v>
      </c>
      <c r="P2312">
        <v>0</v>
      </c>
      <c r="Q2312">
        <v>0</v>
      </c>
      <c r="R2312" t="s">
        <v>3053</v>
      </c>
    </row>
    <row r="2313" spans="1:18" x14ac:dyDescent="0.3">
      <c r="A2313">
        <v>441</v>
      </c>
      <c r="B2313" t="s">
        <v>1260</v>
      </c>
      <c r="C2313" t="s">
        <v>511</v>
      </c>
      <c r="D2313" t="s">
        <v>54</v>
      </c>
      <c r="E2313" t="s">
        <v>22</v>
      </c>
      <c r="F2313" s="79">
        <v>45657</v>
      </c>
      <c r="G2313">
        <v>2024</v>
      </c>
      <c r="H2313" t="s">
        <v>23</v>
      </c>
      <c r="I2313" t="s">
        <v>30</v>
      </c>
      <c r="J2313">
        <v>90</v>
      </c>
      <c r="K2313">
        <v>99.919935948759004</v>
      </c>
      <c r="L2313" s="39">
        <f t="shared" si="145"/>
        <v>1.1102215105417668</v>
      </c>
      <c r="M2313" s="39">
        <f t="shared" si="146"/>
        <v>1.1102215105417668</v>
      </c>
      <c r="N2313" t="s">
        <v>25</v>
      </c>
      <c r="O2313" t="s">
        <v>25</v>
      </c>
      <c r="P2313">
        <v>0</v>
      </c>
      <c r="Q2313">
        <v>0</v>
      </c>
      <c r="R2313" t="s">
        <v>1261</v>
      </c>
    </row>
    <row r="2314" spans="1:18" x14ac:dyDescent="0.3">
      <c r="A2314">
        <v>442</v>
      </c>
      <c r="B2314" t="s">
        <v>1262</v>
      </c>
      <c r="C2314" t="s">
        <v>246</v>
      </c>
      <c r="D2314" t="s">
        <v>27</v>
      </c>
      <c r="E2314" t="s">
        <v>22</v>
      </c>
      <c r="F2314" s="79">
        <v>45473</v>
      </c>
      <c r="G2314">
        <v>2024</v>
      </c>
      <c r="H2314" t="s">
        <v>699</v>
      </c>
      <c r="I2314" t="s">
        <v>729</v>
      </c>
      <c r="J2314">
        <v>100</v>
      </c>
      <c r="K2314">
        <v>80</v>
      </c>
      <c r="L2314" s="39">
        <f t="shared" si="145"/>
        <v>0.8</v>
      </c>
      <c r="M2314" s="39">
        <f t="shared" si="146"/>
        <v>0.8</v>
      </c>
      <c r="P2314">
        <v>0</v>
      </c>
      <c r="Q2314">
        <v>0</v>
      </c>
      <c r="R2314" t="s">
        <v>3054</v>
      </c>
    </row>
    <row r="2315" spans="1:18" x14ac:dyDescent="0.3">
      <c r="A2315">
        <v>442</v>
      </c>
      <c r="B2315" t="s">
        <v>1262</v>
      </c>
      <c r="C2315" t="s">
        <v>246</v>
      </c>
      <c r="D2315" t="s">
        <v>27</v>
      </c>
      <c r="E2315" t="s">
        <v>22</v>
      </c>
      <c r="F2315" s="79">
        <v>45657</v>
      </c>
      <c r="G2315">
        <v>2024</v>
      </c>
      <c r="H2315" t="s">
        <v>23</v>
      </c>
      <c r="I2315" t="s">
        <v>30</v>
      </c>
      <c r="J2315">
        <v>100</v>
      </c>
      <c r="K2315">
        <v>145</v>
      </c>
      <c r="L2315" s="39">
        <f t="shared" si="145"/>
        <v>1.3</v>
      </c>
      <c r="M2315" s="39">
        <f t="shared" si="146"/>
        <v>1.45</v>
      </c>
      <c r="P2315">
        <v>0</v>
      </c>
      <c r="Q2315">
        <v>0</v>
      </c>
      <c r="R2315" t="s">
        <v>1263</v>
      </c>
    </row>
    <row r="2316" spans="1:18" x14ac:dyDescent="0.3">
      <c r="A2316">
        <v>443</v>
      </c>
      <c r="B2316" t="s">
        <v>1264</v>
      </c>
      <c r="C2316" t="s">
        <v>246</v>
      </c>
      <c r="D2316" t="s">
        <v>27</v>
      </c>
      <c r="E2316" t="s">
        <v>22</v>
      </c>
      <c r="F2316" s="79">
        <v>45473</v>
      </c>
      <c r="G2316">
        <v>2024</v>
      </c>
      <c r="H2316" t="s">
        <v>699</v>
      </c>
      <c r="I2316" t="s">
        <v>729</v>
      </c>
      <c r="J2316">
        <v>100</v>
      </c>
      <c r="K2316">
        <v>114.33</v>
      </c>
      <c r="L2316" s="39">
        <f t="shared" si="145"/>
        <v>1.1433</v>
      </c>
      <c r="M2316" s="39">
        <f t="shared" si="146"/>
        <v>1.1433</v>
      </c>
      <c r="P2316">
        <v>0</v>
      </c>
      <c r="Q2316">
        <v>0</v>
      </c>
      <c r="R2316" t="s">
        <v>3055</v>
      </c>
    </row>
    <row r="2317" spans="1:18" x14ac:dyDescent="0.3">
      <c r="A2317">
        <v>443</v>
      </c>
      <c r="B2317" t="s">
        <v>1264</v>
      </c>
      <c r="C2317" t="s">
        <v>246</v>
      </c>
      <c r="D2317" t="s">
        <v>27</v>
      </c>
      <c r="E2317" t="s">
        <v>22</v>
      </c>
      <c r="F2317" s="79">
        <v>45657</v>
      </c>
      <c r="G2317">
        <v>2024</v>
      </c>
      <c r="H2317" t="s">
        <v>23</v>
      </c>
      <c r="I2317" t="s">
        <v>30</v>
      </c>
      <c r="J2317">
        <v>100</v>
      </c>
      <c r="K2317">
        <v>209</v>
      </c>
      <c r="L2317" s="39">
        <f t="shared" si="145"/>
        <v>1.3</v>
      </c>
      <c r="M2317" s="39">
        <f t="shared" si="146"/>
        <v>2.09</v>
      </c>
      <c r="P2317">
        <v>0</v>
      </c>
      <c r="Q2317">
        <v>0</v>
      </c>
      <c r="R2317" t="s">
        <v>1265</v>
      </c>
    </row>
    <row r="2318" spans="1:18" x14ac:dyDescent="0.3">
      <c r="A2318">
        <v>444</v>
      </c>
      <c r="B2318" t="s">
        <v>1266</v>
      </c>
      <c r="C2318" t="s">
        <v>541</v>
      </c>
      <c r="D2318" t="s">
        <v>27</v>
      </c>
      <c r="E2318" t="s">
        <v>22</v>
      </c>
      <c r="F2318" s="79">
        <v>45657</v>
      </c>
      <c r="G2318">
        <v>2024</v>
      </c>
      <c r="H2318" t="s">
        <v>23</v>
      </c>
      <c r="I2318" t="s">
        <v>30</v>
      </c>
      <c r="K2318">
        <v>2.1</v>
      </c>
      <c r="L2318" s="39"/>
      <c r="M2318" s="39"/>
      <c r="N2318" t="s">
        <v>355</v>
      </c>
      <c r="P2318">
        <v>0</v>
      </c>
      <c r="Q2318">
        <v>1</v>
      </c>
      <c r="R2318" t="s">
        <v>1267</v>
      </c>
    </row>
    <row r="2319" spans="1:18" x14ac:dyDescent="0.3">
      <c r="A2319">
        <v>444</v>
      </c>
      <c r="B2319" t="s">
        <v>1266</v>
      </c>
      <c r="C2319" t="s">
        <v>541</v>
      </c>
      <c r="D2319" t="s">
        <v>27</v>
      </c>
      <c r="E2319" t="s">
        <v>22</v>
      </c>
      <c r="F2319" s="79">
        <v>45838</v>
      </c>
      <c r="G2319">
        <v>2025</v>
      </c>
      <c r="H2319" t="s">
        <v>699</v>
      </c>
      <c r="I2319" t="s">
        <v>700</v>
      </c>
      <c r="J2319">
        <v>3</v>
      </c>
      <c r="K2319">
        <v>1.6</v>
      </c>
      <c r="L2319" s="39">
        <f t="shared" ref="L2319:L2350" si="147">IFERROR(IF(OR(J2319=0,K2319=""),"",IF(E2319="Positivo",MIN(MAX(K2319/J2319,0),1.3),MIN(MAX(J2319/K2319,0),1.3))),"")</f>
        <v>0.53333333333333333</v>
      </c>
      <c r="M2319" s="39">
        <f t="shared" ref="M2319:M2350" si="148">IFERROR(IF(OR(J2319=0,K2319=""),"",IF(E2319="Positivo",MAX(K2319/J2319,0),MAX(J2319/K2319,0))),"")</f>
        <v>0.53333333333333333</v>
      </c>
      <c r="N2319" t="s">
        <v>136</v>
      </c>
      <c r="O2319" t="s">
        <v>136</v>
      </c>
      <c r="P2319">
        <v>0</v>
      </c>
      <c r="Q2319">
        <v>1</v>
      </c>
      <c r="R2319" t="s">
        <v>3056</v>
      </c>
    </row>
    <row r="2320" spans="1:18" x14ac:dyDescent="0.3">
      <c r="A2320">
        <v>444</v>
      </c>
      <c r="B2320" t="s">
        <v>1266</v>
      </c>
      <c r="C2320" t="s">
        <v>541</v>
      </c>
      <c r="D2320" t="s">
        <v>21</v>
      </c>
      <c r="E2320" t="s">
        <v>41</v>
      </c>
      <c r="F2320" s="79">
        <v>46022</v>
      </c>
      <c r="G2320">
        <v>2025</v>
      </c>
      <c r="H2320" t="s">
        <v>23</v>
      </c>
      <c r="I2320" t="s">
        <v>32</v>
      </c>
      <c r="J2320">
        <v>3</v>
      </c>
      <c r="K2320">
        <v>1.7</v>
      </c>
      <c r="L2320" s="39">
        <f t="shared" si="147"/>
        <v>1.3</v>
      </c>
      <c r="M2320" s="39">
        <f t="shared" si="148"/>
        <v>1.7647058823529411</v>
      </c>
      <c r="N2320" t="s">
        <v>128</v>
      </c>
      <c r="O2320" t="s">
        <v>136</v>
      </c>
      <c r="P2320">
        <v>0</v>
      </c>
      <c r="Q2320">
        <v>1</v>
      </c>
      <c r="R2320" t="s">
        <v>1268</v>
      </c>
    </row>
    <row r="2321" spans="1:18" x14ac:dyDescent="0.3">
      <c r="A2321">
        <v>445</v>
      </c>
      <c r="B2321" t="s">
        <v>1269</v>
      </c>
      <c r="C2321" t="s">
        <v>541</v>
      </c>
      <c r="D2321" t="s">
        <v>27</v>
      </c>
      <c r="E2321" t="s">
        <v>22</v>
      </c>
      <c r="F2321" s="79">
        <v>45473</v>
      </c>
      <c r="G2321">
        <v>2024</v>
      </c>
      <c r="H2321" t="s">
        <v>699</v>
      </c>
      <c r="I2321" t="s">
        <v>729</v>
      </c>
      <c r="J2321">
        <v>67.5</v>
      </c>
      <c r="K2321">
        <v>55.2</v>
      </c>
      <c r="L2321" s="39">
        <f t="shared" si="147"/>
        <v>0.81777777777777783</v>
      </c>
      <c r="M2321" s="39">
        <f t="shared" si="148"/>
        <v>0.81777777777777783</v>
      </c>
      <c r="N2321" t="s">
        <v>25</v>
      </c>
      <c r="O2321" t="s">
        <v>25</v>
      </c>
      <c r="P2321">
        <v>0</v>
      </c>
      <c r="Q2321">
        <v>0</v>
      </c>
      <c r="R2321" t="s">
        <v>3057</v>
      </c>
    </row>
    <row r="2322" spans="1:18" x14ac:dyDescent="0.3">
      <c r="A2322">
        <v>445</v>
      </c>
      <c r="B2322" t="s">
        <v>1269</v>
      </c>
      <c r="C2322" t="s">
        <v>541</v>
      </c>
      <c r="D2322" t="s">
        <v>27</v>
      </c>
      <c r="E2322" t="s">
        <v>22</v>
      </c>
      <c r="F2322" s="79">
        <v>45657</v>
      </c>
      <c r="G2322">
        <v>2024</v>
      </c>
      <c r="H2322" t="s">
        <v>23</v>
      </c>
      <c r="I2322" t="s">
        <v>30</v>
      </c>
      <c r="J2322">
        <v>67.5</v>
      </c>
      <c r="K2322">
        <v>86.5</v>
      </c>
      <c r="L2322" s="39">
        <f t="shared" si="147"/>
        <v>1.2814814814814814</v>
      </c>
      <c r="M2322" s="39">
        <f t="shared" si="148"/>
        <v>1.2814814814814814</v>
      </c>
      <c r="N2322" t="s">
        <v>25</v>
      </c>
      <c r="O2322" t="s">
        <v>25</v>
      </c>
      <c r="P2322">
        <v>0</v>
      </c>
      <c r="Q2322">
        <v>0</v>
      </c>
      <c r="R2322" t="s">
        <v>1270</v>
      </c>
    </row>
    <row r="2323" spans="1:18" x14ac:dyDescent="0.3">
      <c r="A2323">
        <v>445</v>
      </c>
      <c r="B2323" t="s">
        <v>1269</v>
      </c>
      <c r="C2323" t="s">
        <v>541</v>
      </c>
      <c r="D2323" t="s">
        <v>21</v>
      </c>
      <c r="E2323" t="s">
        <v>22</v>
      </c>
      <c r="F2323" s="79">
        <v>45838</v>
      </c>
      <c r="G2323">
        <v>2025</v>
      </c>
      <c r="H2323" t="s">
        <v>699</v>
      </c>
      <c r="I2323" t="s">
        <v>700</v>
      </c>
      <c r="J2323">
        <v>70</v>
      </c>
      <c r="K2323">
        <v>75.7</v>
      </c>
      <c r="L2323" s="39">
        <f t="shared" si="147"/>
        <v>1.0814285714285714</v>
      </c>
      <c r="M2323" s="39">
        <f t="shared" si="148"/>
        <v>1.0814285714285714</v>
      </c>
      <c r="N2323" t="s">
        <v>25</v>
      </c>
      <c r="O2323" t="s">
        <v>25</v>
      </c>
      <c r="P2323">
        <v>0</v>
      </c>
      <c r="Q2323">
        <v>0</v>
      </c>
      <c r="R2323" t="s">
        <v>3058</v>
      </c>
    </row>
    <row r="2324" spans="1:18" x14ac:dyDescent="0.3">
      <c r="A2324">
        <v>445</v>
      </c>
      <c r="B2324" t="s">
        <v>1269</v>
      </c>
      <c r="C2324" t="s">
        <v>541</v>
      </c>
      <c r="D2324" t="s">
        <v>21</v>
      </c>
      <c r="E2324" t="s">
        <v>22</v>
      </c>
      <c r="F2324" s="79">
        <v>46022</v>
      </c>
      <c r="G2324">
        <v>2025</v>
      </c>
      <c r="H2324" t="s">
        <v>23</v>
      </c>
      <c r="I2324" t="s">
        <v>32</v>
      </c>
      <c r="J2324">
        <v>70</v>
      </c>
      <c r="K2324">
        <v>85.3</v>
      </c>
      <c r="L2324" s="39">
        <f t="shared" si="147"/>
        <v>1.2185714285714286</v>
      </c>
      <c r="M2324" s="39">
        <f t="shared" si="148"/>
        <v>1.2185714285714286</v>
      </c>
      <c r="N2324" t="s">
        <v>25</v>
      </c>
      <c r="O2324" t="s">
        <v>25</v>
      </c>
      <c r="P2324">
        <v>0</v>
      </c>
      <c r="Q2324">
        <v>0</v>
      </c>
      <c r="R2324" t="s">
        <v>1271</v>
      </c>
    </row>
    <row r="2325" spans="1:18" x14ac:dyDescent="0.3">
      <c r="A2325">
        <v>447</v>
      </c>
      <c r="B2325" t="s">
        <v>724</v>
      </c>
      <c r="C2325" t="s">
        <v>254</v>
      </c>
      <c r="D2325" t="s">
        <v>27</v>
      </c>
      <c r="E2325" t="s">
        <v>22</v>
      </c>
      <c r="F2325" s="79">
        <v>45473</v>
      </c>
      <c r="G2325">
        <v>2024</v>
      </c>
      <c r="H2325" t="s">
        <v>699</v>
      </c>
      <c r="I2325" t="s">
        <v>729</v>
      </c>
      <c r="J2325">
        <v>15</v>
      </c>
      <c r="K2325">
        <v>31.04</v>
      </c>
      <c r="L2325" s="39">
        <f t="shared" si="147"/>
        <v>1.3</v>
      </c>
      <c r="M2325" s="39">
        <f t="shared" si="148"/>
        <v>2.0693333333333332</v>
      </c>
      <c r="N2325" t="s">
        <v>25</v>
      </c>
      <c r="O2325" t="s">
        <v>25</v>
      </c>
      <c r="P2325">
        <v>0</v>
      </c>
      <c r="Q2325">
        <v>0</v>
      </c>
      <c r="R2325" t="s">
        <v>3059</v>
      </c>
    </row>
    <row r="2326" spans="1:18" x14ac:dyDescent="0.3">
      <c r="A2326">
        <v>447</v>
      </c>
      <c r="B2326" t="s">
        <v>724</v>
      </c>
      <c r="C2326" t="s">
        <v>254</v>
      </c>
      <c r="D2326" t="s">
        <v>27</v>
      </c>
      <c r="E2326" t="s">
        <v>22</v>
      </c>
      <c r="F2326" s="79">
        <v>45657</v>
      </c>
      <c r="G2326">
        <v>2024</v>
      </c>
      <c r="H2326" t="s">
        <v>23</v>
      </c>
      <c r="I2326" t="s">
        <v>30</v>
      </c>
      <c r="J2326">
        <v>15</v>
      </c>
      <c r="K2326">
        <v>16.16</v>
      </c>
      <c r="L2326" s="39">
        <f t="shared" si="147"/>
        <v>1.0773333333333333</v>
      </c>
      <c r="M2326" s="39">
        <f t="shared" si="148"/>
        <v>1.0773333333333333</v>
      </c>
      <c r="N2326" t="s">
        <v>25</v>
      </c>
      <c r="O2326" t="s">
        <v>25</v>
      </c>
      <c r="P2326">
        <v>0</v>
      </c>
      <c r="Q2326">
        <v>0</v>
      </c>
      <c r="R2326" t="s">
        <v>1272</v>
      </c>
    </row>
    <row r="2327" spans="1:18" x14ac:dyDescent="0.3">
      <c r="A2327">
        <v>447</v>
      </c>
      <c r="B2327" t="s">
        <v>724</v>
      </c>
      <c r="C2327" t="s">
        <v>254</v>
      </c>
      <c r="D2327" t="s">
        <v>27</v>
      </c>
      <c r="E2327" t="s">
        <v>22</v>
      </c>
      <c r="F2327" s="79">
        <v>45838</v>
      </c>
      <c r="G2327">
        <v>2025</v>
      </c>
      <c r="H2327" t="s">
        <v>699</v>
      </c>
      <c r="I2327" t="s">
        <v>700</v>
      </c>
      <c r="J2327">
        <v>15</v>
      </c>
      <c r="K2327">
        <v>16.54</v>
      </c>
      <c r="L2327" s="39">
        <f t="shared" si="147"/>
        <v>1.1026666666666667</v>
      </c>
      <c r="M2327" s="39">
        <f t="shared" si="148"/>
        <v>1.1026666666666667</v>
      </c>
      <c r="N2327" t="s">
        <v>25</v>
      </c>
      <c r="O2327" t="s">
        <v>25</v>
      </c>
      <c r="P2327">
        <v>0</v>
      </c>
      <c r="Q2327">
        <v>0</v>
      </c>
      <c r="R2327" t="s">
        <v>3060</v>
      </c>
    </row>
    <row r="2328" spans="1:18" x14ac:dyDescent="0.3">
      <c r="A2328">
        <v>447</v>
      </c>
      <c r="B2328" t="s">
        <v>724</v>
      </c>
      <c r="C2328" t="s">
        <v>254</v>
      </c>
      <c r="D2328" t="s">
        <v>21</v>
      </c>
      <c r="E2328" t="s">
        <v>22</v>
      </c>
      <c r="F2328" s="79">
        <v>46022</v>
      </c>
      <c r="G2328">
        <v>2025</v>
      </c>
      <c r="H2328" t="s">
        <v>23</v>
      </c>
      <c r="I2328" t="s">
        <v>32</v>
      </c>
      <c r="J2328">
        <v>15</v>
      </c>
      <c r="K2328">
        <v>15.01</v>
      </c>
      <c r="L2328" s="39">
        <f t="shared" si="147"/>
        <v>1.0006666666666666</v>
      </c>
      <c r="M2328" s="39">
        <f t="shared" si="148"/>
        <v>1.0006666666666666</v>
      </c>
      <c r="N2328" t="s">
        <v>25</v>
      </c>
      <c r="O2328" t="s">
        <v>25</v>
      </c>
      <c r="P2328">
        <v>0</v>
      </c>
      <c r="Q2328">
        <v>0</v>
      </c>
      <c r="R2328" t="s">
        <v>1273</v>
      </c>
    </row>
    <row r="2329" spans="1:18" x14ac:dyDescent="0.3">
      <c r="A2329">
        <v>448</v>
      </c>
      <c r="B2329" t="s">
        <v>1274</v>
      </c>
      <c r="C2329" t="s">
        <v>254</v>
      </c>
      <c r="D2329" t="s">
        <v>27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9</v>
      </c>
      <c r="K2329">
        <v>18.93</v>
      </c>
      <c r="L2329" s="39">
        <f t="shared" si="147"/>
        <v>1.3</v>
      </c>
      <c r="M2329" s="39">
        <f t="shared" si="148"/>
        <v>2.1033333333333335</v>
      </c>
      <c r="N2329" t="s">
        <v>25</v>
      </c>
      <c r="O2329" t="s">
        <v>25</v>
      </c>
      <c r="P2329">
        <v>0</v>
      </c>
      <c r="Q2329">
        <v>0</v>
      </c>
      <c r="R2329" t="s">
        <v>3061</v>
      </c>
    </row>
    <row r="2330" spans="1:18" x14ac:dyDescent="0.3">
      <c r="A2330">
        <v>448</v>
      </c>
      <c r="B2330" t="s">
        <v>1274</v>
      </c>
      <c r="C2330" t="s">
        <v>254</v>
      </c>
      <c r="D2330" t="s">
        <v>27</v>
      </c>
      <c r="E2330" t="s">
        <v>22</v>
      </c>
      <c r="F2330" s="79">
        <v>45657</v>
      </c>
      <c r="G2330">
        <v>2024</v>
      </c>
      <c r="H2330" t="s">
        <v>23</v>
      </c>
      <c r="I2330" t="s">
        <v>30</v>
      </c>
      <c r="J2330">
        <v>9</v>
      </c>
      <c r="K2330">
        <v>9.32</v>
      </c>
      <c r="L2330" s="39">
        <f t="shared" si="147"/>
        <v>1.0355555555555556</v>
      </c>
      <c r="M2330" s="39">
        <f t="shared" si="148"/>
        <v>1.0355555555555556</v>
      </c>
      <c r="N2330" t="s">
        <v>25</v>
      </c>
      <c r="O2330" t="s">
        <v>25</v>
      </c>
      <c r="P2330">
        <v>0</v>
      </c>
      <c r="Q2330">
        <v>0</v>
      </c>
      <c r="R2330" t="s">
        <v>1275</v>
      </c>
    </row>
    <row r="2331" spans="1:18" x14ac:dyDescent="0.3">
      <c r="A2331">
        <v>448</v>
      </c>
      <c r="B2331" t="s">
        <v>1274</v>
      </c>
      <c r="C2331" t="s">
        <v>254</v>
      </c>
      <c r="D2331" t="s">
        <v>27</v>
      </c>
      <c r="E2331" t="s">
        <v>22</v>
      </c>
      <c r="F2331" s="79">
        <v>45838</v>
      </c>
      <c r="G2331">
        <v>2025</v>
      </c>
      <c r="H2331" t="s">
        <v>699</v>
      </c>
      <c r="I2331" t="s">
        <v>700</v>
      </c>
      <c r="J2331">
        <v>17</v>
      </c>
      <c r="K2331">
        <v>39.619999999999997</v>
      </c>
      <c r="L2331" s="39">
        <f t="shared" si="147"/>
        <v>1.3</v>
      </c>
      <c r="M2331" s="39">
        <f t="shared" si="148"/>
        <v>2.3305882352941176</v>
      </c>
      <c r="N2331" t="s">
        <v>25</v>
      </c>
      <c r="O2331" t="s">
        <v>25</v>
      </c>
      <c r="P2331">
        <v>0</v>
      </c>
      <c r="Q2331">
        <v>0</v>
      </c>
      <c r="R2331" t="s">
        <v>3062</v>
      </c>
    </row>
    <row r="2332" spans="1:18" x14ac:dyDescent="0.3">
      <c r="A2332">
        <v>448</v>
      </c>
      <c r="B2332" t="s">
        <v>1274</v>
      </c>
      <c r="C2332" t="s">
        <v>254</v>
      </c>
      <c r="D2332" t="s">
        <v>21</v>
      </c>
      <c r="E2332" t="s">
        <v>22</v>
      </c>
      <c r="F2332" s="79">
        <v>46022</v>
      </c>
      <c r="G2332">
        <v>2025</v>
      </c>
      <c r="H2332" t="s">
        <v>23</v>
      </c>
      <c r="I2332" t="s">
        <v>32</v>
      </c>
      <c r="J2332">
        <v>17</v>
      </c>
      <c r="K2332">
        <v>59.36</v>
      </c>
      <c r="L2332" s="39">
        <f t="shared" si="147"/>
        <v>1.3</v>
      </c>
      <c r="M2332" s="39">
        <f t="shared" si="148"/>
        <v>3.4917647058823529</v>
      </c>
      <c r="N2332" t="s">
        <v>25</v>
      </c>
      <c r="O2332" t="s">
        <v>25</v>
      </c>
      <c r="P2332">
        <v>0</v>
      </c>
      <c r="Q2332">
        <v>1</v>
      </c>
      <c r="R2332" t="s">
        <v>1276</v>
      </c>
    </row>
    <row r="2333" spans="1:18" x14ac:dyDescent="0.3">
      <c r="A2333">
        <v>449</v>
      </c>
      <c r="B2333" t="s">
        <v>1277</v>
      </c>
      <c r="C2333" t="s">
        <v>732</v>
      </c>
      <c r="D2333" t="s">
        <v>21</v>
      </c>
      <c r="E2333" t="s">
        <v>22</v>
      </c>
      <c r="F2333" s="79">
        <v>45382</v>
      </c>
      <c r="G2333">
        <v>2024</v>
      </c>
      <c r="H2333" t="s">
        <v>1516</v>
      </c>
      <c r="I2333" t="s">
        <v>729</v>
      </c>
      <c r="J2333">
        <v>20</v>
      </c>
      <c r="K2333">
        <v>51.28</v>
      </c>
      <c r="L2333" s="39">
        <f t="shared" si="147"/>
        <v>1.3</v>
      </c>
      <c r="M2333" s="39">
        <f t="shared" si="148"/>
        <v>2.5640000000000001</v>
      </c>
      <c r="P2333">
        <v>0</v>
      </c>
      <c r="Q2333">
        <v>0</v>
      </c>
      <c r="R2333" t="s">
        <v>3063</v>
      </c>
    </row>
    <row r="2334" spans="1:18" x14ac:dyDescent="0.3">
      <c r="A2334">
        <v>449</v>
      </c>
      <c r="B2334" t="s">
        <v>1277</v>
      </c>
      <c r="C2334" t="s">
        <v>732</v>
      </c>
      <c r="D2334" t="s">
        <v>21</v>
      </c>
      <c r="E2334" t="s">
        <v>22</v>
      </c>
      <c r="F2334" s="79">
        <v>45565</v>
      </c>
      <c r="G2334">
        <v>2024</v>
      </c>
      <c r="H2334" t="s">
        <v>162</v>
      </c>
      <c r="I2334" t="s">
        <v>30</v>
      </c>
      <c r="J2334">
        <v>70</v>
      </c>
      <c r="K2334">
        <v>84.615384615384599</v>
      </c>
      <c r="L2334" s="39">
        <f t="shared" si="147"/>
        <v>1.2087912087912085</v>
      </c>
      <c r="M2334" s="39">
        <f t="shared" si="148"/>
        <v>1.2087912087912085</v>
      </c>
      <c r="P2334">
        <v>0</v>
      </c>
      <c r="Q2334">
        <v>0</v>
      </c>
      <c r="R2334" t="s">
        <v>3064</v>
      </c>
    </row>
    <row r="2335" spans="1:18" x14ac:dyDescent="0.3">
      <c r="A2335">
        <v>449</v>
      </c>
      <c r="B2335" t="s">
        <v>1277</v>
      </c>
      <c r="C2335" t="s">
        <v>732</v>
      </c>
      <c r="D2335" t="s">
        <v>21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100</v>
      </c>
      <c r="K2335">
        <v>100</v>
      </c>
      <c r="L2335" s="39">
        <f t="shared" si="147"/>
        <v>1</v>
      </c>
      <c r="M2335" s="39">
        <f t="shared" si="148"/>
        <v>1</v>
      </c>
      <c r="P2335">
        <v>0</v>
      </c>
      <c r="Q2335">
        <v>0</v>
      </c>
      <c r="R2335" t="s">
        <v>1278</v>
      </c>
    </row>
    <row r="2336" spans="1:18" x14ac:dyDescent="0.3">
      <c r="A2336">
        <v>451</v>
      </c>
      <c r="B2336" t="s">
        <v>1279</v>
      </c>
      <c r="C2336" t="s">
        <v>1078</v>
      </c>
      <c r="D2336" t="s">
        <v>27</v>
      </c>
      <c r="E2336" t="s">
        <v>22</v>
      </c>
      <c r="F2336" s="79">
        <v>45473</v>
      </c>
      <c r="G2336">
        <v>2024</v>
      </c>
      <c r="H2336" t="s">
        <v>699</v>
      </c>
      <c r="I2336" t="s">
        <v>729</v>
      </c>
      <c r="J2336">
        <v>0</v>
      </c>
      <c r="K2336">
        <v>34.9</v>
      </c>
      <c r="L2336" s="39" t="str">
        <f t="shared" si="147"/>
        <v/>
      </c>
      <c r="M2336" s="39" t="str">
        <f t="shared" si="148"/>
        <v/>
      </c>
      <c r="P2336">
        <v>0</v>
      </c>
      <c r="Q2336">
        <v>0</v>
      </c>
      <c r="R2336" t="s">
        <v>3065</v>
      </c>
    </row>
    <row r="2337" spans="1:18" x14ac:dyDescent="0.3">
      <c r="A2337">
        <v>451</v>
      </c>
      <c r="B2337" t="s">
        <v>1279</v>
      </c>
      <c r="C2337" t="s">
        <v>1078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42.7</v>
      </c>
      <c r="L2337" s="39" t="str">
        <f t="shared" si="147"/>
        <v/>
      </c>
      <c r="M2337" s="39" t="str">
        <f t="shared" si="148"/>
        <v/>
      </c>
      <c r="P2337">
        <v>0</v>
      </c>
      <c r="Q2337">
        <v>0</v>
      </c>
      <c r="R2337" t="s">
        <v>1280</v>
      </c>
    </row>
    <row r="2338" spans="1:18" x14ac:dyDescent="0.3">
      <c r="A2338">
        <v>451</v>
      </c>
      <c r="B2338" t="s">
        <v>1279</v>
      </c>
      <c r="C2338" t="s">
        <v>1078</v>
      </c>
      <c r="D2338" t="s">
        <v>27</v>
      </c>
      <c r="E2338" t="s">
        <v>22</v>
      </c>
      <c r="F2338" s="79">
        <v>45838</v>
      </c>
      <c r="G2338">
        <v>2025</v>
      </c>
      <c r="H2338" t="s">
        <v>699</v>
      </c>
      <c r="I2338" t="s">
        <v>700</v>
      </c>
      <c r="J2338">
        <v>100</v>
      </c>
      <c r="K2338">
        <v>119.5</v>
      </c>
      <c r="L2338" s="39">
        <f t="shared" si="147"/>
        <v>1.1950000000000001</v>
      </c>
      <c r="M2338" s="39">
        <f t="shared" si="148"/>
        <v>1.1950000000000001</v>
      </c>
      <c r="P2338">
        <v>0</v>
      </c>
      <c r="Q2338">
        <v>0</v>
      </c>
      <c r="R2338" t="s">
        <v>3066</v>
      </c>
    </row>
    <row r="2339" spans="1:18" x14ac:dyDescent="0.3">
      <c r="A2339">
        <v>451</v>
      </c>
      <c r="B2339" t="s">
        <v>1281</v>
      </c>
      <c r="C2339" t="s">
        <v>1078</v>
      </c>
      <c r="D2339" t="s">
        <v>21</v>
      </c>
      <c r="E2339" t="s">
        <v>22</v>
      </c>
      <c r="F2339" s="79">
        <v>46022</v>
      </c>
      <c r="G2339">
        <v>2025</v>
      </c>
      <c r="H2339" t="s">
        <v>23</v>
      </c>
      <c r="I2339" t="s">
        <v>32</v>
      </c>
      <c r="J2339">
        <v>100</v>
      </c>
      <c r="K2339">
        <v>130.80000000000001</v>
      </c>
      <c r="L2339" s="39">
        <f t="shared" si="147"/>
        <v>1.3</v>
      </c>
      <c r="M2339" s="39">
        <f t="shared" si="148"/>
        <v>1.3080000000000001</v>
      </c>
      <c r="N2339" t="s">
        <v>25</v>
      </c>
      <c r="O2339" t="s">
        <v>25</v>
      </c>
      <c r="P2339">
        <v>0</v>
      </c>
      <c r="Q2339">
        <v>0</v>
      </c>
      <c r="R2339" t="s">
        <v>1282</v>
      </c>
    </row>
    <row r="2340" spans="1:18" x14ac:dyDescent="0.3">
      <c r="A2340">
        <v>452</v>
      </c>
      <c r="B2340" t="s">
        <v>1283</v>
      </c>
      <c r="C2340" t="s">
        <v>1078</v>
      </c>
      <c r="D2340" t="s">
        <v>21</v>
      </c>
      <c r="E2340" t="s">
        <v>22</v>
      </c>
      <c r="F2340" s="79">
        <v>45473</v>
      </c>
      <c r="G2340">
        <v>2024</v>
      </c>
      <c r="H2340" t="s">
        <v>699</v>
      </c>
      <c r="I2340" t="s">
        <v>729</v>
      </c>
      <c r="J2340">
        <v>100</v>
      </c>
      <c r="K2340">
        <v>100</v>
      </c>
      <c r="L2340" s="39">
        <f t="shared" si="147"/>
        <v>1</v>
      </c>
      <c r="M2340" s="39">
        <f t="shared" si="148"/>
        <v>1</v>
      </c>
      <c r="N2340" t="s">
        <v>25</v>
      </c>
      <c r="O2340" t="s">
        <v>25</v>
      </c>
      <c r="P2340">
        <v>0</v>
      </c>
      <c r="Q2340">
        <v>0</v>
      </c>
      <c r="R2340" t="s">
        <v>3067</v>
      </c>
    </row>
    <row r="2341" spans="1:18" x14ac:dyDescent="0.3">
      <c r="A2341">
        <v>452</v>
      </c>
      <c r="B2341" t="s">
        <v>1283</v>
      </c>
      <c r="C2341" t="s">
        <v>1078</v>
      </c>
      <c r="D2341" t="s">
        <v>27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100</v>
      </c>
      <c r="K2341">
        <v>160</v>
      </c>
      <c r="L2341" s="39">
        <f t="shared" si="147"/>
        <v>1.3</v>
      </c>
      <c r="M2341" s="39">
        <f t="shared" si="148"/>
        <v>1.6</v>
      </c>
      <c r="P2341">
        <v>0</v>
      </c>
      <c r="Q2341">
        <v>0</v>
      </c>
      <c r="R2341" t="s">
        <v>1284</v>
      </c>
    </row>
    <row r="2342" spans="1:18" x14ac:dyDescent="0.3">
      <c r="A2342">
        <v>452</v>
      </c>
      <c r="B2342" t="s">
        <v>1283</v>
      </c>
      <c r="C2342" t="s">
        <v>1078</v>
      </c>
      <c r="D2342" t="s">
        <v>21</v>
      </c>
      <c r="E2342" t="s">
        <v>22</v>
      </c>
      <c r="F2342" s="79">
        <v>45838</v>
      </c>
      <c r="G2342">
        <v>2025</v>
      </c>
      <c r="H2342" t="s">
        <v>699</v>
      </c>
      <c r="I2342" t="s">
        <v>700</v>
      </c>
      <c r="J2342">
        <v>100</v>
      </c>
      <c r="K2342">
        <v>102.27</v>
      </c>
      <c r="L2342" s="39">
        <f t="shared" si="147"/>
        <v>1.0226999999999999</v>
      </c>
      <c r="M2342" s="39">
        <f t="shared" si="148"/>
        <v>1.0226999999999999</v>
      </c>
      <c r="N2342" t="s">
        <v>25</v>
      </c>
      <c r="O2342" t="s">
        <v>25</v>
      </c>
      <c r="P2342">
        <v>0</v>
      </c>
      <c r="Q2342">
        <v>0</v>
      </c>
      <c r="R2342" t="s">
        <v>3068</v>
      </c>
    </row>
    <row r="2343" spans="1:18" x14ac:dyDescent="0.3">
      <c r="A2343">
        <v>452</v>
      </c>
      <c r="B2343" t="s">
        <v>1283</v>
      </c>
      <c r="C2343" t="s">
        <v>1078</v>
      </c>
      <c r="D2343" t="s">
        <v>21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200</v>
      </c>
      <c r="L2343" s="39">
        <f t="shared" si="147"/>
        <v>1.3</v>
      </c>
      <c r="M2343" s="39">
        <f t="shared" si="148"/>
        <v>2</v>
      </c>
      <c r="N2343" t="s">
        <v>25</v>
      </c>
      <c r="O2343" t="s">
        <v>25</v>
      </c>
      <c r="P2343">
        <v>0</v>
      </c>
      <c r="Q2343">
        <v>0</v>
      </c>
      <c r="R2343" t="s">
        <v>1285</v>
      </c>
    </row>
    <row r="2344" spans="1:18" x14ac:dyDescent="0.3">
      <c r="A2344">
        <v>453</v>
      </c>
      <c r="B2344" t="s">
        <v>1286</v>
      </c>
      <c r="C2344" t="s">
        <v>1089</v>
      </c>
      <c r="D2344" t="s">
        <v>21</v>
      </c>
      <c r="E2344" t="s">
        <v>22</v>
      </c>
      <c r="F2344" s="79">
        <v>45382</v>
      </c>
      <c r="G2344">
        <v>2024</v>
      </c>
      <c r="H2344" t="s">
        <v>1516</v>
      </c>
      <c r="I2344" t="s">
        <v>729</v>
      </c>
      <c r="J2344">
        <v>0</v>
      </c>
      <c r="K2344">
        <v>52</v>
      </c>
      <c r="L2344" s="39" t="str">
        <f t="shared" si="147"/>
        <v/>
      </c>
      <c r="M2344" s="39" t="str">
        <f t="shared" si="148"/>
        <v/>
      </c>
      <c r="P2344">
        <v>0</v>
      </c>
      <c r="Q2344">
        <v>0</v>
      </c>
      <c r="R2344" t="s">
        <v>3069</v>
      </c>
    </row>
    <row r="2345" spans="1:18" x14ac:dyDescent="0.3">
      <c r="A2345">
        <v>453</v>
      </c>
      <c r="B2345" t="s">
        <v>1286</v>
      </c>
      <c r="C2345" t="s">
        <v>1089</v>
      </c>
      <c r="D2345" t="s">
        <v>21</v>
      </c>
      <c r="E2345" t="s">
        <v>22</v>
      </c>
      <c r="F2345" s="79">
        <v>45473</v>
      </c>
      <c r="G2345">
        <v>2024</v>
      </c>
      <c r="H2345" t="s">
        <v>699</v>
      </c>
      <c r="I2345" t="s">
        <v>729</v>
      </c>
      <c r="J2345">
        <v>100</v>
      </c>
      <c r="K2345">
        <v>140</v>
      </c>
      <c r="L2345" s="39">
        <f t="shared" si="147"/>
        <v>1.3</v>
      </c>
      <c r="M2345" s="39">
        <f t="shared" si="148"/>
        <v>1.4</v>
      </c>
      <c r="P2345">
        <v>0</v>
      </c>
      <c r="Q2345">
        <v>0</v>
      </c>
      <c r="R2345" t="s">
        <v>3070</v>
      </c>
    </row>
    <row r="2346" spans="1:18" x14ac:dyDescent="0.3">
      <c r="A2346">
        <v>453</v>
      </c>
      <c r="B2346" t="s">
        <v>1286</v>
      </c>
      <c r="C2346" t="s">
        <v>1089</v>
      </c>
      <c r="D2346" t="s">
        <v>21</v>
      </c>
      <c r="E2346" t="s">
        <v>22</v>
      </c>
      <c r="F2346" s="79">
        <v>45565</v>
      </c>
      <c r="G2346">
        <v>2024</v>
      </c>
      <c r="H2346" t="s">
        <v>162</v>
      </c>
      <c r="I2346" t="s">
        <v>30</v>
      </c>
      <c r="J2346">
        <v>100</v>
      </c>
      <c r="K2346">
        <v>300</v>
      </c>
      <c r="L2346" s="39">
        <f t="shared" si="147"/>
        <v>1.3</v>
      </c>
      <c r="M2346" s="39">
        <f t="shared" si="148"/>
        <v>3</v>
      </c>
      <c r="P2346">
        <v>0</v>
      </c>
      <c r="Q2346">
        <v>0</v>
      </c>
      <c r="R2346" t="s">
        <v>3071</v>
      </c>
    </row>
    <row r="2347" spans="1:18" x14ac:dyDescent="0.3">
      <c r="A2347">
        <v>453</v>
      </c>
      <c r="B2347" t="s">
        <v>1286</v>
      </c>
      <c r="C2347" t="s">
        <v>1089</v>
      </c>
      <c r="D2347" t="s">
        <v>21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100</v>
      </c>
      <c r="K2347">
        <v>148</v>
      </c>
      <c r="L2347" s="39">
        <f t="shared" si="147"/>
        <v>1.3</v>
      </c>
      <c r="M2347" s="39">
        <f t="shared" si="148"/>
        <v>1.48</v>
      </c>
      <c r="P2347">
        <v>0</v>
      </c>
      <c r="Q2347">
        <v>0</v>
      </c>
      <c r="R2347" t="s">
        <v>1287</v>
      </c>
    </row>
    <row r="2348" spans="1:18" x14ac:dyDescent="0.3">
      <c r="A2348">
        <v>453</v>
      </c>
      <c r="B2348" t="s">
        <v>1286</v>
      </c>
      <c r="C2348" t="s">
        <v>1089</v>
      </c>
      <c r="D2348" t="s">
        <v>21</v>
      </c>
      <c r="E2348" t="s">
        <v>22</v>
      </c>
      <c r="F2348" s="79">
        <v>45747</v>
      </c>
      <c r="G2348">
        <v>2025</v>
      </c>
      <c r="H2348" t="s">
        <v>1516</v>
      </c>
      <c r="I2348" t="s">
        <v>700</v>
      </c>
      <c r="J2348">
        <v>100</v>
      </c>
      <c r="K2348">
        <v>48</v>
      </c>
      <c r="L2348" s="39">
        <f t="shared" si="147"/>
        <v>0.48</v>
      </c>
      <c r="M2348" s="39">
        <f t="shared" si="148"/>
        <v>0.48</v>
      </c>
      <c r="P2348">
        <v>0</v>
      </c>
      <c r="Q2348">
        <v>0</v>
      </c>
      <c r="R2348" t="s">
        <v>3072</v>
      </c>
    </row>
    <row r="2349" spans="1:18" x14ac:dyDescent="0.3">
      <c r="A2349">
        <v>453</v>
      </c>
      <c r="B2349" t="s">
        <v>1286</v>
      </c>
      <c r="C2349" t="s">
        <v>1089</v>
      </c>
      <c r="D2349" t="s">
        <v>21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100</v>
      </c>
      <c r="K2349">
        <v>100</v>
      </c>
      <c r="L2349" s="39">
        <f t="shared" si="147"/>
        <v>1</v>
      </c>
      <c r="M2349" s="39">
        <f t="shared" si="148"/>
        <v>1</v>
      </c>
      <c r="P2349">
        <v>0</v>
      </c>
      <c r="Q2349">
        <v>0</v>
      </c>
      <c r="R2349" t="s">
        <v>3073</v>
      </c>
    </row>
    <row r="2350" spans="1:18" x14ac:dyDescent="0.3">
      <c r="A2350">
        <v>453</v>
      </c>
      <c r="B2350" t="s">
        <v>1286</v>
      </c>
      <c r="C2350" t="s">
        <v>1089</v>
      </c>
      <c r="D2350" t="s">
        <v>27</v>
      </c>
      <c r="E2350" t="s">
        <v>22</v>
      </c>
      <c r="F2350" s="79">
        <v>45930</v>
      </c>
      <c r="G2350">
        <v>2025</v>
      </c>
      <c r="H2350" t="s">
        <v>162</v>
      </c>
      <c r="I2350" t="s">
        <v>32</v>
      </c>
      <c r="J2350">
        <v>100</v>
      </c>
      <c r="K2350">
        <v>100</v>
      </c>
      <c r="L2350" s="39">
        <f t="shared" si="147"/>
        <v>1</v>
      </c>
      <c r="M2350" s="39">
        <f t="shared" si="148"/>
        <v>1</v>
      </c>
      <c r="N2350" t="s">
        <v>25</v>
      </c>
      <c r="O2350" t="s">
        <v>25</v>
      </c>
      <c r="P2350">
        <v>0</v>
      </c>
      <c r="Q2350">
        <v>0</v>
      </c>
      <c r="R2350" t="s">
        <v>3074</v>
      </c>
    </row>
    <row r="2351" spans="1:18" x14ac:dyDescent="0.3">
      <c r="A2351">
        <v>453</v>
      </c>
      <c r="B2351" t="s">
        <v>1286</v>
      </c>
      <c r="C2351" t="s">
        <v>1089</v>
      </c>
      <c r="D2351" t="s">
        <v>27</v>
      </c>
      <c r="E2351" t="s">
        <v>22</v>
      </c>
      <c r="F2351" s="79">
        <v>46022</v>
      </c>
      <c r="G2351">
        <v>2025</v>
      </c>
      <c r="H2351" t="s">
        <v>23</v>
      </c>
      <c r="I2351" t="s">
        <v>32</v>
      </c>
      <c r="J2351">
        <v>100</v>
      </c>
      <c r="K2351">
        <v>100</v>
      </c>
      <c r="L2351" s="39">
        <f t="shared" ref="L2351:L2382" si="149">IFERROR(IF(OR(J2351=0,K2351=""),"",IF(E2351="Positivo",MIN(MAX(K2351/J2351,0),1.3),MIN(MAX(J2351/K2351,0),1.3))),"")</f>
        <v>1</v>
      </c>
      <c r="M2351" s="39">
        <f t="shared" ref="M2351:M2382" si="150">IFERROR(IF(OR(J2351=0,K2351=""),"",IF(E2351="Positivo",MAX(K2351/J2351,0),MAX(J2351/K2351,0))),"")</f>
        <v>1</v>
      </c>
      <c r="N2351" t="s">
        <v>25</v>
      </c>
      <c r="O2351" t="s">
        <v>25</v>
      </c>
      <c r="P2351">
        <v>0</v>
      </c>
      <c r="Q2351">
        <v>0</v>
      </c>
      <c r="R2351" t="s">
        <v>1288</v>
      </c>
    </row>
    <row r="2352" spans="1:18" x14ac:dyDescent="0.3">
      <c r="A2352">
        <v>454</v>
      </c>
      <c r="B2352" t="s">
        <v>1289</v>
      </c>
      <c r="C2352" t="s">
        <v>1089</v>
      </c>
      <c r="D2352" t="s">
        <v>21</v>
      </c>
      <c r="E2352" t="s">
        <v>22</v>
      </c>
      <c r="F2352" s="79">
        <v>45565</v>
      </c>
      <c r="G2352">
        <v>2024</v>
      </c>
      <c r="H2352" t="s">
        <v>162</v>
      </c>
      <c r="I2352" t="s">
        <v>30</v>
      </c>
      <c r="J2352">
        <v>0</v>
      </c>
      <c r="K2352">
        <v>88</v>
      </c>
      <c r="L2352" s="39" t="str">
        <f t="shared" si="149"/>
        <v/>
      </c>
      <c r="M2352" s="39" t="str">
        <f t="shared" si="150"/>
        <v/>
      </c>
      <c r="P2352">
        <v>0</v>
      </c>
      <c r="Q2352">
        <v>0</v>
      </c>
      <c r="R2352" t="s">
        <v>3075</v>
      </c>
    </row>
    <row r="2353" spans="1:18" x14ac:dyDescent="0.3">
      <c r="A2353">
        <v>454</v>
      </c>
      <c r="B2353" t="s">
        <v>1289</v>
      </c>
      <c r="C2353" t="s">
        <v>1089</v>
      </c>
      <c r="D2353" t="s">
        <v>21</v>
      </c>
      <c r="E2353" t="s">
        <v>22</v>
      </c>
      <c r="F2353" s="79">
        <v>45657</v>
      </c>
      <c r="G2353">
        <v>2024</v>
      </c>
      <c r="H2353" t="s">
        <v>23</v>
      </c>
      <c r="I2353" t="s">
        <v>30</v>
      </c>
      <c r="J2353">
        <v>0</v>
      </c>
      <c r="K2353">
        <v>88</v>
      </c>
      <c r="L2353" s="39" t="str">
        <f t="shared" si="149"/>
        <v/>
      </c>
      <c r="M2353" s="39" t="str">
        <f t="shared" si="150"/>
        <v/>
      </c>
      <c r="P2353">
        <v>0</v>
      </c>
      <c r="Q2353">
        <v>0</v>
      </c>
      <c r="R2353" t="s">
        <v>1290</v>
      </c>
    </row>
    <row r="2354" spans="1:18" x14ac:dyDescent="0.3">
      <c r="A2354">
        <v>455</v>
      </c>
      <c r="B2354" t="s">
        <v>1291</v>
      </c>
      <c r="C2354" t="s">
        <v>1089</v>
      </c>
      <c r="D2354" t="s">
        <v>21</v>
      </c>
      <c r="E2354" t="s">
        <v>22</v>
      </c>
      <c r="F2354" s="79">
        <v>45565</v>
      </c>
      <c r="G2354">
        <v>2024</v>
      </c>
      <c r="H2354" t="s">
        <v>162</v>
      </c>
      <c r="I2354" t="s">
        <v>30</v>
      </c>
      <c r="J2354">
        <v>90</v>
      </c>
      <c r="K2354">
        <v>100</v>
      </c>
      <c r="L2354" s="39">
        <f t="shared" si="149"/>
        <v>1.1111111111111112</v>
      </c>
      <c r="M2354" s="39">
        <f t="shared" si="150"/>
        <v>1.1111111111111112</v>
      </c>
      <c r="N2354" t="s">
        <v>25</v>
      </c>
      <c r="O2354" t="s">
        <v>25</v>
      </c>
      <c r="P2354">
        <v>0</v>
      </c>
      <c r="Q2354">
        <v>0</v>
      </c>
      <c r="R2354" t="s">
        <v>3076</v>
      </c>
    </row>
    <row r="2355" spans="1:18" x14ac:dyDescent="0.3">
      <c r="A2355">
        <v>455</v>
      </c>
      <c r="B2355" t="s">
        <v>1291</v>
      </c>
      <c r="C2355" t="s">
        <v>1089</v>
      </c>
      <c r="D2355" t="s">
        <v>21</v>
      </c>
      <c r="E2355" t="s">
        <v>22</v>
      </c>
      <c r="F2355" s="79">
        <v>45657</v>
      </c>
      <c r="G2355">
        <v>2024</v>
      </c>
      <c r="H2355" t="s">
        <v>23</v>
      </c>
      <c r="I2355" t="s">
        <v>30</v>
      </c>
      <c r="J2355">
        <v>90</v>
      </c>
      <c r="K2355">
        <v>100</v>
      </c>
      <c r="L2355" s="39">
        <f t="shared" si="149"/>
        <v>1.1111111111111112</v>
      </c>
      <c r="M2355" s="39">
        <f t="shared" si="150"/>
        <v>1.1111111111111112</v>
      </c>
      <c r="N2355" t="s">
        <v>25</v>
      </c>
      <c r="O2355" t="s">
        <v>25</v>
      </c>
      <c r="P2355">
        <v>0</v>
      </c>
      <c r="Q2355">
        <v>0</v>
      </c>
      <c r="R2355" t="s">
        <v>1292</v>
      </c>
    </row>
    <row r="2356" spans="1:18" x14ac:dyDescent="0.3">
      <c r="A2356">
        <v>455</v>
      </c>
      <c r="B2356" t="s">
        <v>1291</v>
      </c>
      <c r="C2356" t="s">
        <v>1089</v>
      </c>
      <c r="D2356" t="s">
        <v>27</v>
      </c>
      <c r="E2356" t="s">
        <v>22</v>
      </c>
      <c r="F2356" s="79">
        <v>45747</v>
      </c>
      <c r="G2356">
        <v>2025</v>
      </c>
      <c r="H2356" t="s">
        <v>1516</v>
      </c>
      <c r="I2356" t="s">
        <v>700</v>
      </c>
      <c r="J2356">
        <v>100</v>
      </c>
      <c r="K2356">
        <v>100</v>
      </c>
      <c r="L2356" s="39">
        <f t="shared" si="149"/>
        <v>1</v>
      </c>
      <c r="M2356" s="39">
        <f t="shared" si="150"/>
        <v>1</v>
      </c>
      <c r="N2356" t="s">
        <v>25</v>
      </c>
      <c r="O2356" t="s">
        <v>25</v>
      </c>
      <c r="P2356">
        <v>0</v>
      </c>
      <c r="Q2356">
        <v>0</v>
      </c>
      <c r="R2356" t="s">
        <v>3077</v>
      </c>
    </row>
    <row r="2357" spans="1:18" x14ac:dyDescent="0.3">
      <c r="A2357">
        <v>455</v>
      </c>
      <c r="B2357" t="s">
        <v>1291</v>
      </c>
      <c r="C2357" t="s">
        <v>1089</v>
      </c>
      <c r="D2357" t="s">
        <v>21</v>
      </c>
      <c r="E2357" t="s">
        <v>22</v>
      </c>
      <c r="F2357" s="79">
        <v>45838</v>
      </c>
      <c r="G2357">
        <v>2025</v>
      </c>
      <c r="H2357" t="s">
        <v>699</v>
      </c>
      <c r="I2357" t="s">
        <v>700</v>
      </c>
      <c r="J2357">
        <v>100</v>
      </c>
      <c r="K2357">
        <v>100</v>
      </c>
      <c r="L2357" s="39">
        <f t="shared" si="149"/>
        <v>1</v>
      </c>
      <c r="M2357" s="39">
        <f t="shared" si="150"/>
        <v>1</v>
      </c>
      <c r="N2357" t="s">
        <v>25</v>
      </c>
      <c r="O2357" t="s">
        <v>25</v>
      </c>
      <c r="P2357">
        <v>0</v>
      </c>
      <c r="Q2357">
        <v>0</v>
      </c>
      <c r="R2357" t="s">
        <v>3078</v>
      </c>
    </row>
    <row r="2358" spans="1:18" x14ac:dyDescent="0.3">
      <c r="A2358">
        <v>455</v>
      </c>
      <c r="B2358" t="s">
        <v>1291</v>
      </c>
      <c r="C2358" t="s">
        <v>1089</v>
      </c>
      <c r="D2358" t="s">
        <v>27</v>
      </c>
      <c r="E2358" t="s">
        <v>22</v>
      </c>
      <c r="F2358" s="79">
        <v>45930</v>
      </c>
      <c r="G2358">
        <v>2025</v>
      </c>
      <c r="H2358" t="s">
        <v>162</v>
      </c>
      <c r="I2358" t="s">
        <v>32</v>
      </c>
      <c r="J2358">
        <v>100</v>
      </c>
      <c r="K2358">
        <v>100</v>
      </c>
      <c r="L2358" s="39">
        <f t="shared" si="149"/>
        <v>1</v>
      </c>
      <c r="M2358" s="39">
        <f t="shared" si="150"/>
        <v>1</v>
      </c>
      <c r="N2358" t="s">
        <v>25</v>
      </c>
      <c r="O2358" t="s">
        <v>25</v>
      </c>
      <c r="P2358">
        <v>0</v>
      </c>
      <c r="Q2358">
        <v>0</v>
      </c>
      <c r="R2358" t="s">
        <v>3079</v>
      </c>
    </row>
    <row r="2359" spans="1:18" x14ac:dyDescent="0.3">
      <c r="A2359">
        <v>455</v>
      </c>
      <c r="B2359" t="s">
        <v>1291</v>
      </c>
      <c r="C2359" t="s">
        <v>1089</v>
      </c>
      <c r="D2359" t="s">
        <v>27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100</v>
      </c>
      <c r="K2359">
        <v>100</v>
      </c>
      <c r="L2359" s="39">
        <f t="shared" si="149"/>
        <v>1</v>
      </c>
      <c r="M2359" s="39">
        <f t="shared" si="150"/>
        <v>1</v>
      </c>
      <c r="N2359" t="s">
        <v>25</v>
      </c>
      <c r="O2359" t="s">
        <v>25</v>
      </c>
      <c r="P2359">
        <v>0</v>
      </c>
      <c r="Q2359">
        <v>0</v>
      </c>
      <c r="R2359" t="s">
        <v>1293</v>
      </c>
    </row>
    <row r="2360" spans="1:18" x14ac:dyDescent="0.3">
      <c r="A2360">
        <v>456</v>
      </c>
      <c r="B2360" t="s">
        <v>1294</v>
      </c>
      <c r="C2360" t="s">
        <v>149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100</v>
      </c>
      <c r="K2360">
        <v>100</v>
      </c>
      <c r="L2360" s="39">
        <f t="shared" si="149"/>
        <v>1</v>
      </c>
      <c r="M2360" s="39">
        <f t="shared" si="150"/>
        <v>1</v>
      </c>
      <c r="N2360" t="s">
        <v>25</v>
      </c>
      <c r="O2360" t="s">
        <v>25</v>
      </c>
      <c r="P2360">
        <v>0</v>
      </c>
      <c r="Q2360">
        <v>0</v>
      </c>
      <c r="R2360" t="s">
        <v>3080</v>
      </c>
    </row>
    <row r="2361" spans="1:18" x14ac:dyDescent="0.3">
      <c r="A2361">
        <v>456</v>
      </c>
      <c r="B2361" t="s">
        <v>1294</v>
      </c>
      <c r="C2361" t="s">
        <v>149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100</v>
      </c>
      <c r="K2361">
        <v>94.69</v>
      </c>
      <c r="L2361" s="39">
        <f t="shared" si="149"/>
        <v>0.94689999999999996</v>
      </c>
      <c r="M2361" s="39">
        <f t="shared" si="150"/>
        <v>0.94689999999999996</v>
      </c>
      <c r="N2361" t="s">
        <v>25</v>
      </c>
      <c r="O2361" t="s">
        <v>25</v>
      </c>
      <c r="P2361">
        <v>0</v>
      </c>
      <c r="Q2361">
        <v>0</v>
      </c>
      <c r="R2361" t="s">
        <v>1295</v>
      </c>
    </row>
    <row r="2362" spans="1:18" x14ac:dyDescent="0.3">
      <c r="A2362">
        <v>456</v>
      </c>
      <c r="B2362" t="s">
        <v>1294</v>
      </c>
      <c r="C2362" t="s">
        <v>149</v>
      </c>
      <c r="D2362" t="s">
        <v>27</v>
      </c>
      <c r="E2362" t="s">
        <v>22</v>
      </c>
      <c r="F2362" s="79">
        <v>45747</v>
      </c>
      <c r="G2362">
        <v>2025</v>
      </c>
      <c r="H2362" t="s">
        <v>1516</v>
      </c>
      <c r="I2362" t="s">
        <v>700</v>
      </c>
      <c r="J2362">
        <v>100</v>
      </c>
      <c r="K2362">
        <v>106.25</v>
      </c>
      <c r="L2362" s="39">
        <f t="shared" si="149"/>
        <v>1.0625</v>
      </c>
      <c r="M2362" s="39">
        <f t="shared" si="150"/>
        <v>1.0625</v>
      </c>
      <c r="N2362" t="s">
        <v>25</v>
      </c>
      <c r="O2362" t="s">
        <v>25</v>
      </c>
      <c r="P2362">
        <v>0</v>
      </c>
      <c r="Q2362">
        <v>0</v>
      </c>
      <c r="R2362" t="s">
        <v>3081</v>
      </c>
    </row>
    <row r="2363" spans="1:18" x14ac:dyDescent="0.3">
      <c r="A2363">
        <v>456</v>
      </c>
      <c r="B2363" t="s">
        <v>1294</v>
      </c>
      <c r="C2363" t="s">
        <v>149</v>
      </c>
      <c r="D2363" t="s">
        <v>27</v>
      </c>
      <c r="E2363" t="s">
        <v>22</v>
      </c>
      <c r="F2363" s="79">
        <v>45838</v>
      </c>
      <c r="G2363">
        <v>2025</v>
      </c>
      <c r="H2363" t="s">
        <v>699</v>
      </c>
      <c r="I2363" t="s">
        <v>700</v>
      </c>
      <c r="J2363">
        <v>100</v>
      </c>
      <c r="K2363">
        <v>104.12</v>
      </c>
      <c r="L2363" s="39">
        <f t="shared" si="149"/>
        <v>1.0412000000000001</v>
      </c>
      <c r="M2363" s="39">
        <f t="shared" si="150"/>
        <v>1.0412000000000001</v>
      </c>
      <c r="N2363" t="s">
        <v>25</v>
      </c>
      <c r="O2363" t="s">
        <v>25</v>
      </c>
      <c r="P2363">
        <v>0</v>
      </c>
      <c r="Q2363">
        <v>0</v>
      </c>
      <c r="R2363" t="s">
        <v>3082</v>
      </c>
    </row>
    <row r="2364" spans="1:18" x14ac:dyDescent="0.3">
      <c r="A2364">
        <v>456</v>
      </c>
      <c r="B2364" t="s">
        <v>1294</v>
      </c>
      <c r="C2364" t="s">
        <v>149</v>
      </c>
      <c r="D2364" t="s">
        <v>27</v>
      </c>
      <c r="E2364" t="s">
        <v>22</v>
      </c>
      <c r="F2364" s="79">
        <v>45930</v>
      </c>
      <c r="G2364">
        <v>2025</v>
      </c>
      <c r="H2364" t="s">
        <v>162</v>
      </c>
      <c r="I2364" t="s">
        <v>32</v>
      </c>
      <c r="J2364">
        <v>100</v>
      </c>
      <c r="K2364">
        <v>121.57</v>
      </c>
      <c r="L2364" s="39">
        <f t="shared" si="149"/>
        <v>1.2157</v>
      </c>
      <c r="M2364" s="39">
        <f t="shared" si="150"/>
        <v>1.2157</v>
      </c>
      <c r="N2364" t="s">
        <v>25</v>
      </c>
      <c r="O2364" t="s">
        <v>25</v>
      </c>
      <c r="P2364">
        <v>0</v>
      </c>
      <c r="Q2364">
        <v>0</v>
      </c>
      <c r="R2364" t="s">
        <v>3083</v>
      </c>
    </row>
    <row r="2365" spans="1:18" x14ac:dyDescent="0.3">
      <c r="A2365">
        <v>456</v>
      </c>
      <c r="B2365" t="s">
        <v>1294</v>
      </c>
      <c r="C2365" t="s">
        <v>149</v>
      </c>
      <c r="D2365" t="s">
        <v>27</v>
      </c>
      <c r="E2365" t="s">
        <v>22</v>
      </c>
      <c r="F2365" s="79">
        <v>46022</v>
      </c>
      <c r="G2365">
        <v>2025</v>
      </c>
      <c r="H2365" t="s">
        <v>23</v>
      </c>
      <c r="I2365" t="s">
        <v>32</v>
      </c>
      <c r="J2365">
        <v>100</v>
      </c>
      <c r="K2365">
        <v>114.43</v>
      </c>
      <c r="L2365" s="39">
        <f t="shared" si="149"/>
        <v>1.1443000000000001</v>
      </c>
      <c r="M2365" s="39">
        <f t="shared" si="150"/>
        <v>1.1443000000000001</v>
      </c>
      <c r="N2365" t="s">
        <v>25</v>
      </c>
      <c r="O2365" t="s">
        <v>25</v>
      </c>
      <c r="P2365">
        <v>0</v>
      </c>
      <c r="Q2365">
        <v>0</v>
      </c>
      <c r="R2365" t="s">
        <v>1296</v>
      </c>
    </row>
    <row r="2366" spans="1:18" x14ac:dyDescent="0.3">
      <c r="A2366">
        <v>457</v>
      </c>
      <c r="B2366" t="s">
        <v>1297</v>
      </c>
      <c r="C2366" t="s">
        <v>149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100</v>
      </c>
      <c r="K2366">
        <v>90</v>
      </c>
      <c r="L2366" s="39">
        <f t="shared" si="149"/>
        <v>0.9</v>
      </c>
      <c r="M2366" s="39">
        <f t="shared" si="150"/>
        <v>0.9</v>
      </c>
      <c r="N2366" t="s">
        <v>25</v>
      </c>
      <c r="O2366" t="s">
        <v>25</v>
      </c>
      <c r="P2366">
        <v>0</v>
      </c>
      <c r="Q2366">
        <v>0</v>
      </c>
      <c r="R2366" t="s">
        <v>3084</v>
      </c>
    </row>
    <row r="2367" spans="1:18" x14ac:dyDescent="0.3">
      <c r="A2367">
        <v>457</v>
      </c>
      <c r="B2367" t="s">
        <v>1297</v>
      </c>
      <c r="C2367" t="s">
        <v>149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70</v>
      </c>
      <c r="L2367" s="39">
        <f t="shared" si="149"/>
        <v>0.7</v>
      </c>
      <c r="M2367" s="39">
        <f t="shared" si="150"/>
        <v>0.7</v>
      </c>
      <c r="N2367" t="s">
        <v>25</v>
      </c>
      <c r="O2367" t="s">
        <v>25</v>
      </c>
      <c r="P2367">
        <v>0</v>
      </c>
      <c r="Q2367">
        <v>0</v>
      </c>
      <c r="R2367" t="s">
        <v>1298</v>
      </c>
    </row>
    <row r="2368" spans="1:18" x14ac:dyDescent="0.3">
      <c r="A2368">
        <v>457</v>
      </c>
      <c r="B2368" t="s">
        <v>1297</v>
      </c>
      <c r="C2368" t="s">
        <v>149</v>
      </c>
      <c r="D2368" t="s">
        <v>27</v>
      </c>
      <c r="E2368" t="s">
        <v>22</v>
      </c>
      <c r="F2368" s="79">
        <v>45747</v>
      </c>
      <c r="G2368">
        <v>2025</v>
      </c>
      <c r="H2368" t="s">
        <v>1516</v>
      </c>
      <c r="I2368" t="s">
        <v>700</v>
      </c>
      <c r="J2368">
        <v>100</v>
      </c>
      <c r="K2368">
        <v>200</v>
      </c>
      <c r="L2368" s="39">
        <f t="shared" si="149"/>
        <v>1.3</v>
      </c>
      <c r="M2368" s="39">
        <f t="shared" si="150"/>
        <v>2</v>
      </c>
      <c r="N2368" t="s">
        <v>25</v>
      </c>
      <c r="O2368" t="s">
        <v>25</v>
      </c>
      <c r="P2368">
        <v>0</v>
      </c>
      <c r="Q2368">
        <v>0</v>
      </c>
      <c r="R2368" t="s">
        <v>3085</v>
      </c>
    </row>
    <row r="2369" spans="1:18" x14ac:dyDescent="0.3">
      <c r="A2369">
        <v>457</v>
      </c>
      <c r="B2369" t="s">
        <v>1297</v>
      </c>
      <c r="C2369" t="s">
        <v>149</v>
      </c>
      <c r="D2369" t="s">
        <v>27</v>
      </c>
      <c r="E2369" t="s">
        <v>22</v>
      </c>
      <c r="F2369" s="79">
        <v>45838</v>
      </c>
      <c r="G2369">
        <v>2025</v>
      </c>
      <c r="H2369" t="s">
        <v>699</v>
      </c>
      <c r="I2369" t="s">
        <v>700</v>
      </c>
      <c r="J2369">
        <v>100</v>
      </c>
      <c r="K2369">
        <v>83.33</v>
      </c>
      <c r="L2369" s="39">
        <f t="shared" si="149"/>
        <v>0.83329999999999993</v>
      </c>
      <c r="M2369" s="39">
        <f t="shared" si="150"/>
        <v>0.83329999999999993</v>
      </c>
      <c r="N2369" t="s">
        <v>25</v>
      </c>
      <c r="O2369" t="s">
        <v>25</v>
      </c>
      <c r="P2369">
        <v>0</v>
      </c>
      <c r="Q2369">
        <v>0</v>
      </c>
      <c r="R2369" t="s">
        <v>3086</v>
      </c>
    </row>
    <row r="2370" spans="1:18" x14ac:dyDescent="0.3">
      <c r="A2370">
        <v>457</v>
      </c>
      <c r="B2370" t="s">
        <v>1297</v>
      </c>
      <c r="C2370" t="s">
        <v>149</v>
      </c>
      <c r="D2370" t="s">
        <v>27</v>
      </c>
      <c r="E2370" t="s">
        <v>22</v>
      </c>
      <c r="F2370" s="79">
        <v>45930</v>
      </c>
      <c r="G2370">
        <v>2025</v>
      </c>
      <c r="H2370" t="s">
        <v>162</v>
      </c>
      <c r="I2370" t="s">
        <v>32</v>
      </c>
      <c r="J2370">
        <v>100</v>
      </c>
      <c r="K2370">
        <v>85.71</v>
      </c>
      <c r="L2370" s="39">
        <f t="shared" si="149"/>
        <v>0.85709999999999997</v>
      </c>
      <c r="M2370" s="39">
        <f t="shared" si="150"/>
        <v>0.85709999999999997</v>
      </c>
      <c r="N2370" t="s">
        <v>25</v>
      </c>
      <c r="O2370" t="s">
        <v>25</v>
      </c>
      <c r="P2370">
        <v>0</v>
      </c>
      <c r="Q2370">
        <v>0</v>
      </c>
      <c r="R2370" t="s">
        <v>3087</v>
      </c>
    </row>
    <row r="2371" spans="1:18" x14ac:dyDescent="0.3">
      <c r="A2371">
        <v>457</v>
      </c>
      <c r="B2371" t="s">
        <v>1297</v>
      </c>
      <c r="C2371" t="s">
        <v>149</v>
      </c>
      <c r="D2371" t="s">
        <v>27</v>
      </c>
      <c r="E2371" t="s">
        <v>22</v>
      </c>
      <c r="F2371" s="79">
        <v>46022</v>
      </c>
      <c r="G2371">
        <v>2025</v>
      </c>
      <c r="H2371" t="s">
        <v>23</v>
      </c>
      <c r="I2371" t="s">
        <v>32</v>
      </c>
      <c r="J2371">
        <v>100</v>
      </c>
      <c r="K2371">
        <v>83.33</v>
      </c>
      <c r="L2371" s="39">
        <f t="shared" si="149"/>
        <v>0.83329999999999993</v>
      </c>
      <c r="M2371" s="39">
        <f t="shared" si="150"/>
        <v>0.83329999999999993</v>
      </c>
      <c r="N2371" t="s">
        <v>25</v>
      </c>
      <c r="O2371" t="s">
        <v>25</v>
      </c>
      <c r="P2371">
        <v>0</v>
      </c>
      <c r="Q2371">
        <v>0</v>
      </c>
      <c r="R2371" t="s">
        <v>1299</v>
      </c>
    </row>
    <row r="2372" spans="1:18" x14ac:dyDescent="0.3">
      <c r="A2372">
        <v>459</v>
      </c>
      <c r="B2372" t="s">
        <v>1300</v>
      </c>
      <c r="C2372" t="s">
        <v>1078</v>
      </c>
      <c r="D2372" t="s">
        <v>21</v>
      </c>
      <c r="E2372" t="s">
        <v>22</v>
      </c>
      <c r="F2372" s="79">
        <v>45473</v>
      </c>
      <c r="G2372">
        <v>2024</v>
      </c>
      <c r="H2372" t="s">
        <v>699</v>
      </c>
      <c r="I2372" t="s">
        <v>729</v>
      </c>
      <c r="J2372">
        <v>100</v>
      </c>
      <c r="K2372">
        <v>130.43</v>
      </c>
      <c r="L2372" s="39">
        <f t="shared" si="149"/>
        <v>1.3</v>
      </c>
      <c r="M2372" s="39">
        <f t="shared" si="150"/>
        <v>1.3043</v>
      </c>
      <c r="P2372">
        <v>0</v>
      </c>
      <c r="Q2372">
        <v>0</v>
      </c>
      <c r="R2372" t="s">
        <v>3088</v>
      </c>
    </row>
    <row r="2373" spans="1:18" x14ac:dyDescent="0.3">
      <c r="A2373">
        <v>459</v>
      </c>
      <c r="B2373" t="s">
        <v>1300</v>
      </c>
      <c r="C2373" t="s">
        <v>1078</v>
      </c>
      <c r="D2373" t="s">
        <v>21</v>
      </c>
      <c r="E2373" t="s">
        <v>22</v>
      </c>
      <c r="F2373" s="79">
        <v>45565</v>
      </c>
      <c r="G2373">
        <v>2024</v>
      </c>
      <c r="H2373" t="s">
        <v>162</v>
      </c>
      <c r="I2373" t="s">
        <v>30</v>
      </c>
      <c r="J2373">
        <v>100</v>
      </c>
      <c r="K2373">
        <v>147.83000000000001</v>
      </c>
      <c r="L2373" s="39">
        <f t="shared" si="149"/>
        <v>1.3</v>
      </c>
      <c r="M2373" s="39">
        <f t="shared" si="150"/>
        <v>1.4783000000000002</v>
      </c>
      <c r="P2373">
        <v>0</v>
      </c>
      <c r="Q2373">
        <v>0</v>
      </c>
      <c r="R2373" t="s">
        <v>3089</v>
      </c>
    </row>
    <row r="2374" spans="1:18" x14ac:dyDescent="0.3">
      <c r="A2374">
        <v>460</v>
      </c>
      <c r="B2374" t="s">
        <v>1302</v>
      </c>
      <c r="C2374" t="s">
        <v>40</v>
      </c>
      <c r="D2374" t="s">
        <v>71</v>
      </c>
      <c r="E2374" t="s">
        <v>22</v>
      </c>
      <c r="F2374" s="79">
        <v>45657</v>
      </c>
      <c r="G2374">
        <v>2024</v>
      </c>
      <c r="H2374" t="s">
        <v>23</v>
      </c>
      <c r="I2374" t="s">
        <v>30</v>
      </c>
      <c r="J2374">
        <v>80</v>
      </c>
      <c r="K2374">
        <v>91.439688715953324</v>
      </c>
      <c r="L2374" s="39">
        <f t="shared" si="149"/>
        <v>1.1429961089494165</v>
      </c>
      <c r="M2374" s="39">
        <f t="shared" si="150"/>
        <v>1.1429961089494165</v>
      </c>
      <c r="P2374">
        <v>0</v>
      </c>
      <c r="Q2374">
        <v>0</v>
      </c>
      <c r="R2374" t="s">
        <v>1303</v>
      </c>
    </row>
    <row r="2375" spans="1:18" x14ac:dyDescent="0.3">
      <c r="A2375">
        <v>460</v>
      </c>
      <c r="B2375" t="s">
        <v>1302</v>
      </c>
      <c r="C2375" t="s">
        <v>40</v>
      </c>
      <c r="D2375" t="s">
        <v>71</v>
      </c>
      <c r="E2375" t="s">
        <v>22</v>
      </c>
      <c r="F2375" s="79">
        <v>46022</v>
      </c>
      <c r="G2375">
        <v>2025</v>
      </c>
      <c r="H2375" t="s">
        <v>23</v>
      </c>
      <c r="I2375" t="s">
        <v>32</v>
      </c>
      <c r="J2375">
        <v>80</v>
      </c>
      <c r="K2375">
        <v>84.18</v>
      </c>
      <c r="L2375" s="39">
        <f t="shared" si="149"/>
        <v>1.0522500000000001</v>
      </c>
      <c r="M2375" s="39">
        <f t="shared" si="150"/>
        <v>1.0522500000000001</v>
      </c>
      <c r="N2375" t="s">
        <v>25</v>
      </c>
      <c r="O2375" t="s">
        <v>25</v>
      </c>
      <c r="P2375">
        <v>0</v>
      </c>
      <c r="Q2375">
        <v>1</v>
      </c>
      <c r="R2375" t="s">
        <v>1305</v>
      </c>
    </row>
    <row r="2376" spans="1:18" x14ac:dyDescent="0.3">
      <c r="A2376">
        <v>462</v>
      </c>
      <c r="B2376" t="s">
        <v>1306</v>
      </c>
      <c r="C2376" t="s">
        <v>308</v>
      </c>
      <c r="D2376" t="s">
        <v>27</v>
      </c>
      <c r="E2376" t="s">
        <v>22</v>
      </c>
      <c r="F2376" s="79">
        <v>45473</v>
      </c>
      <c r="G2376">
        <v>2024</v>
      </c>
      <c r="H2376" t="s">
        <v>699</v>
      </c>
      <c r="I2376" t="s">
        <v>729</v>
      </c>
      <c r="J2376">
        <v>85</v>
      </c>
      <c r="K2376">
        <v>100</v>
      </c>
      <c r="L2376" s="39">
        <f t="shared" si="149"/>
        <v>1.1764705882352942</v>
      </c>
      <c r="M2376" s="39">
        <f t="shared" si="150"/>
        <v>1.1764705882352942</v>
      </c>
      <c r="P2376">
        <v>0</v>
      </c>
      <c r="Q2376">
        <v>0</v>
      </c>
      <c r="R2376" t="s">
        <v>3090</v>
      </c>
    </row>
    <row r="2377" spans="1:18" x14ac:dyDescent="0.3">
      <c r="A2377">
        <v>462</v>
      </c>
      <c r="B2377" t="s">
        <v>1306</v>
      </c>
      <c r="C2377" t="s">
        <v>308</v>
      </c>
      <c r="D2377" t="s">
        <v>27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85</v>
      </c>
      <c r="K2377">
        <v>100</v>
      </c>
      <c r="L2377" s="39">
        <f t="shared" si="149"/>
        <v>1.1764705882352942</v>
      </c>
      <c r="M2377" s="39">
        <f t="shared" si="150"/>
        <v>1.1764705882352942</v>
      </c>
      <c r="P2377">
        <v>0</v>
      </c>
      <c r="Q2377">
        <v>0</v>
      </c>
      <c r="R2377" t="s">
        <v>1307</v>
      </c>
    </row>
    <row r="2378" spans="1:18" x14ac:dyDescent="0.3">
      <c r="A2378">
        <v>463</v>
      </c>
      <c r="B2378" t="s">
        <v>1308</v>
      </c>
      <c r="C2378" t="s">
        <v>40</v>
      </c>
      <c r="D2378" t="s">
        <v>27</v>
      </c>
      <c r="E2378" t="s">
        <v>22</v>
      </c>
      <c r="F2378" s="79">
        <v>45473</v>
      </c>
      <c r="G2378">
        <v>2024</v>
      </c>
      <c r="H2378" t="s">
        <v>699</v>
      </c>
      <c r="I2378" t="s">
        <v>729</v>
      </c>
      <c r="J2378">
        <v>100</v>
      </c>
      <c r="K2378">
        <v>95</v>
      </c>
      <c r="L2378" s="39">
        <f t="shared" si="149"/>
        <v>0.95</v>
      </c>
      <c r="M2378" s="39">
        <f t="shared" si="150"/>
        <v>0.95</v>
      </c>
      <c r="N2378" t="s">
        <v>25</v>
      </c>
      <c r="O2378" t="s">
        <v>25</v>
      </c>
      <c r="P2378">
        <v>0</v>
      </c>
      <c r="Q2378">
        <v>0</v>
      </c>
      <c r="R2378" t="s">
        <v>3091</v>
      </c>
    </row>
    <row r="2379" spans="1:18" x14ac:dyDescent="0.3">
      <c r="A2379">
        <v>463</v>
      </c>
      <c r="B2379" t="s">
        <v>1308</v>
      </c>
      <c r="C2379" t="s">
        <v>40</v>
      </c>
      <c r="D2379" t="s">
        <v>27</v>
      </c>
      <c r="E2379" t="s">
        <v>22</v>
      </c>
      <c r="F2379" s="79">
        <v>45657</v>
      </c>
      <c r="G2379">
        <v>2024</v>
      </c>
      <c r="H2379" t="s">
        <v>23</v>
      </c>
      <c r="I2379" t="s">
        <v>30</v>
      </c>
      <c r="J2379">
        <v>100</v>
      </c>
      <c r="K2379">
        <v>100</v>
      </c>
      <c r="L2379" s="39">
        <f t="shared" si="149"/>
        <v>1</v>
      </c>
      <c r="M2379" s="39">
        <f t="shared" si="150"/>
        <v>1</v>
      </c>
      <c r="N2379" t="s">
        <v>25</v>
      </c>
      <c r="O2379" t="s">
        <v>25</v>
      </c>
      <c r="P2379">
        <v>0</v>
      </c>
      <c r="Q2379">
        <v>0</v>
      </c>
      <c r="R2379" t="s">
        <v>1309</v>
      </c>
    </row>
    <row r="2380" spans="1:18" x14ac:dyDescent="0.3">
      <c r="A2380">
        <v>465</v>
      </c>
      <c r="B2380" t="s">
        <v>1310</v>
      </c>
      <c r="C2380" t="s">
        <v>922</v>
      </c>
      <c r="D2380" t="s">
        <v>27</v>
      </c>
      <c r="E2380" t="s">
        <v>22</v>
      </c>
      <c r="F2380" s="79">
        <v>45473</v>
      </c>
      <c r="G2380">
        <v>2024</v>
      </c>
      <c r="H2380" t="s">
        <v>699</v>
      </c>
      <c r="I2380" t="s">
        <v>729</v>
      </c>
      <c r="J2380">
        <v>75</v>
      </c>
      <c r="K2380">
        <v>57.86</v>
      </c>
      <c r="L2380" s="39">
        <f t="shared" si="149"/>
        <v>0.77146666666666663</v>
      </c>
      <c r="M2380" s="39">
        <f t="shared" si="150"/>
        <v>0.77146666666666663</v>
      </c>
      <c r="N2380" t="s">
        <v>25</v>
      </c>
      <c r="O2380" t="s">
        <v>25</v>
      </c>
      <c r="P2380">
        <v>0</v>
      </c>
      <c r="Q2380">
        <v>0</v>
      </c>
      <c r="R2380" t="s">
        <v>3092</v>
      </c>
    </row>
    <row r="2381" spans="1:18" x14ac:dyDescent="0.3">
      <c r="A2381">
        <v>465</v>
      </c>
      <c r="B2381" t="s">
        <v>1310</v>
      </c>
      <c r="C2381" t="s">
        <v>922</v>
      </c>
      <c r="D2381" t="s">
        <v>27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56.83</v>
      </c>
      <c r="L2381" s="39">
        <f t="shared" si="149"/>
        <v>0.56830000000000003</v>
      </c>
      <c r="M2381" s="39">
        <f t="shared" si="150"/>
        <v>0.56830000000000003</v>
      </c>
      <c r="P2381">
        <v>0</v>
      </c>
      <c r="Q2381">
        <v>0</v>
      </c>
      <c r="R2381" t="s">
        <v>1311</v>
      </c>
    </row>
    <row r="2382" spans="1:18" x14ac:dyDescent="0.3">
      <c r="A2382">
        <v>466</v>
      </c>
      <c r="B2382" t="s">
        <v>1312</v>
      </c>
      <c r="C2382" t="s">
        <v>653</v>
      </c>
      <c r="D2382" t="s">
        <v>27</v>
      </c>
      <c r="E2382" t="s">
        <v>22</v>
      </c>
      <c r="F2382" s="79">
        <v>45473</v>
      </c>
      <c r="G2382">
        <v>2024</v>
      </c>
      <c r="H2382" t="s">
        <v>699</v>
      </c>
      <c r="I2382" t="s">
        <v>729</v>
      </c>
      <c r="J2382">
        <v>100</v>
      </c>
      <c r="K2382">
        <v>119.2</v>
      </c>
      <c r="L2382" s="39">
        <f t="shared" si="149"/>
        <v>1.1919999999999999</v>
      </c>
      <c r="M2382" s="39">
        <f t="shared" si="150"/>
        <v>1.1919999999999999</v>
      </c>
      <c r="N2382" t="s">
        <v>128</v>
      </c>
      <c r="O2382" t="s">
        <v>128</v>
      </c>
      <c r="P2382">
        <v>0</v>
      </c>
      <c r="Q2382">
        <v>1</v>
      </c>
      <c r="R2382" t="s">
        <v>3093</v>
      </c>
    </row>
    <row r="2383" spans="1:18" x14ac:dyDescent="0.3">
      <c r="A2383">
        <v>466</v>
      </c>
      <c r="B2383" t="s">
        <v>1312</v>
      </c>
      <c r="C2383" t="s">
        <v>653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107.6</v>
      </c>
      <c r="L2383" s="39">
        <f t="shared" ref="L2383:L2393" si="151">IFERROR(IF(OR(J2383=0,K2383=""),"",IF(E2383="Positivo",MIN(MAX(K2383/J2383,0),1.3),MIN(MAX(J2383/K2383,0),1.3))),"")</f>
        <v>1.0759999999999998</v>
      </c>
      <c r="M2383" s="39">
        <f t="shared" ref="M2383:M2414" si="152">IFERROR(IF(OR(J2383=0,K2383=""),"",IF(E2383="Positivo",MAX(K2383/J2383,0),MAX(J2383/K2383,0))),"")</f>
        <v>1.0759999999999998</v>
      </c>
      <c r="N2383" t="s">
        <v>128</v>
      </c>
      <c r="O2383" t="s">
        <v>136</v>
      </c>
      <c r="P2383">
        <v>0</v>
      </c>
      <c r="Q2383">
        <v>1</v>
      </c>
      <c r="R2383" t="s">
        <v>1313</v>
      </c>
    </row>
    <row r="2384" spans="1:18" x14ac:dyDescent="0.3">
      <c r="A2384">
        <v>466</v>
      </c>
      <c r="B2384" t="s">
        <v>1312</v>
      </c>
      <c r="C2384" t="s">
        <v>653</v>
      </c>
      <c r="D2384" t="s">
        <v>27</v>
      </c>
      <c r="E2384" t="s">
        <v>22</v>
      </c>
      <c r="F2384" s="79">
        <v>45838</v>
      </c>
      <c r="G2384">
        <v>2025</v>
      </c>
      <c r="H2384" t="s">
        <v>699</v>
      </c>
      <c r="I2384" t="s">
        <v>700</v>
      </c>
      <c r="J2384">
        <v>100</v>
      </c>
      <c r="K2384">
        <v>48</v>
      </c>
      <c r="L2384" s="39">
        <f t="shared" si="151"/>
        <v>0.48</v>
      </c>
      <c r="M2384" s="39">
        <f t="shared" si="152"/>
        <v>0.48</v>
      </c>
      <c r="N2384" t="s">
        <v>128</v>
      </c>
      <c r="O2384" t="s">
        <v>128</v>
      </c>
      <c r="P2384">
        <v>0</v>
      </c>
      <c r="Q2384">
        <v>0</v>
      </c>
      <c r="R2384" t="s">
        <v>3094</v>
      </c>
    </row>
    <row r="2385" spans="1:18" x14ac:dyDescent="0.3">
      <c r="A2385">
        <v>466</v>
      </c>
      <c r="B2385" t="s">
        <v>1312</v>
      </c>
      <c r="C2385" t="s">
        <v>653</v>
      </c>
      <c r="D2385" t="s">
        <v>21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106.55</v>
      </c>
      <c r="L2385" s="39">
        <f t="shared" si="151"/>
        <v>1.0654999999999999</v>
      </c>
      <c r="M2385" s="39">
        <f t="shared" si="152"/>
        <v>1.0654999999999999</v>
      </c>
      <c r="N2385" t="s">
        <v>128</v>
      </c>
      <c r="O2385" t="s">
        <v>136</v>
      </c>
      <c r="P2385">
        <v>1</v>
      </c>
      <c r="Q2385">
        <v>1</v>
      </c>
      <c r="R2385" t="s">
        <v>1314</v>
      </c>
    </row>
    <row r="2386" spans="1:18" x14ac:dyDescent="0.3">
      <c r="A2386">
        <v>467</v>
      </c>
      <c r="B2386" t="s">
        <v>1315</v>
      </c>
      <c r="C2386" t="s">
        <v>653</v>
      </c>
      <c r="D2386" t="s">
        <v>27</v>
      </c>
      <c r="E2386" t="s">
        <v>22</v>
      </c>
      <c r="F2386" s="79">
        <v>45473</v>
      </c>
      <c r="G2386">
        <v>2024</v>
      </c>
      <c r="H2386" t="s">
        <v>699</v>
      </c>
      <c r="I2386" t="s">
        <v>729</v>
      </c>
      <c r="J2386">
        <v>100</v>
      </c>
      <c r="K2386">
        <v>121.25</v>
      </c>
      <c r="L2386" s="39">
        <f t="shared" si="151"/>
        <v>1.2124999999999999</v>
      </c>
      <c r="M2386" s="39">
        <f t="shared" si="152"/>
        <v>1.2124999999999999</v>
      </c>
      <c r="N2386" t="s">
        <v>128</v>
      </c>
      <c r="O2386" t="s">
        <v>136</v>
      </c>
      <c r="P2386">
        <v>0</v>
      </c>
      <c r="Q2386">
        <v>1</v>
      </c>
      <c r="R2386" t="s">
        <v>3095</v>
      </c>
    </row>
    <row r="2387" spans="1:18" x14ac:dyDescent="0.3">
      <c r="A2387">
        <v>467</v>
      </c>
      <c r="B2387" t="s">
        <v>1315</v>
      </c>
      <c r="C2387" t="s">
        <v>653</v>
      </c>
      <c r="D2387" t="s">
        <v>27</v>
      </c>
      <c r="E2387" t="s">
        <v>22</v>
      </c>
      <c r="F2387" s="79">
        <v>45657</v>
      </c>
      <c r="G2387">
        <v>2024</v>
      </c>
      <c r="H2387" t="s">
        <v>23</v>
      </c>
      <c r="I2387" t="s">
        <v>30</v>
      </c>
      <c r="J2387">
        <v>100</v>
      </c>
      <c r="K2387">
        <v>121.83</v>
      </c>
      <c r="L2387" s="39">
        <f t="shared" si="151"/>
        <v>1.2182999999999999</v>
      </c>
      <c r="M2387" s="39">
        <f t="shared" si="152"/>
        <v>1.2182999999999999</v>
      </c>
      <c r="N2387" t="s">
        <v>128</v>
      </c>
      <c r="O2387" t="s">
        <v>136</v>
      </c>
      <c r="P2387">
        <v>0</v>
      </c>
      <c r="Q2387">
        <v>1</v>
      </c>
      <c r="R2387" t="s">
        <v>1316</v>
      </c>
    </row>
    <row r="2388" spans="1:18" x14ac:dyDescent="0.3">
      <c r="A2388">
        <v>467</v>
      </c>
      <c r="B2388" t="s">
        <v>1315</v>
      </c>
      <c r="C2388" t="s">
        <v>653</v>
      </c>
      <c r="D2388" t="s">
        <v>27</v>
      </c>
      <c r="E2388" t="s">
        <v>22</v>
      </c>
      <c r="F2388" s="79">
        <v>45838</v>
      </c>
      <c r="G2388">
        <v>2025</v>
      </c>
      <c r="H2388" t="s">
        <v>699</v>
      </c>
      <c r="I2388" t="s">
        <v>700</v>
      </c>
      <c r="J2388">
        <v>100</v>
      </c>
      <c r="K2388">
        <v>118</v>
      </c>
      <c r="L2388" s="39">
        <f t="shared" si="151"/>
        <v>1.18</v>
      </c>
      <c r="M2388" s="39">
        <f t="shared" si="152"/>
        <v>1.18</v>
      </c>
      <c r="N2388" t="s">
        <v>128</v>
      </c>
      <c r="O2388" t="s">
        <v>136</v>
      </c>
      <c r="P2388">
        <v>0</v>
      </c>
      <c r="Q2388">
        <v>1</v>
      </c>
      <c r="R2388" t="s">
        <v>3096</v>
      </c>
    </row>
    <row r="2389" spans="1:18" x14ac:dyDescent="0.3">
      <c r="A2389">
        <v>467</v>
      </c>
      <c r="B2389" t="s">
        <v>1315</v>
      </c>
      <c r="C2389" t="s">
        <v>653</v>
      </c>
      <c r="D2389" t="s">
        <v>21</v>
      </c>
      <c r="E2389" t="s">
        <v>22</v>
      </c>
      <c r="F2389" s="79">
        <v>46022</v>
      </c>
      <c r="G2389">
        <v>2025</v>
      </c>
      <c r="H2389" t="s">
        <v>23</v>
      </c>
      <c r="I2389" t="s">
        <v>32</v>
      </c>
      <c r="J2389">
        <v>100</v>
      </c>
      <c r="K2389">
        <v>99.5</v>
      </c>
      <c r="L2389" s="39">
        <f t="shared" si="151"/>
        <v>0.995</v>
      </c>
      <c r="M2389" s="39">
        <f t="shared" si="152"/>
        <v>0.995</v>
      </c>
      <c r="N2389" t="s">
        <v>128</v>
      </c>
      <c r="O2389" t="s">
        <v>136</v>
      </c>
      <c r="P2389">
        <v>0</v>
      </c>
      <c r="Q2389">
        <v>1</v>
      </c>
      <c r="R2389" t="s">
        <v>1317</v>
      </c>
    </row>
    <row r="2390" spans="1:18" x14ac:dyDescent="0.3">
      <c r="A2390">
        <v>468</v>
      </c>
      <c r="B2390" t="s">
        <v>1318</v>
      </c>
      <c r="C2390" t="s">
        <v>653</v>
      </c>
      <c r="D2390" t="s">
        <v>27</v>
      </c>
      <c r="E2390" t="s">
        <v>41</v>
      </c>
      <c r="F2390" s="79">
        <v>45473</v>
      </c>
      <c r="G2390">
        <v>2024</v>
      </c>
      <c r="H2390" t="s">
        <v>699</v>
      </c>
      <c r="I2390" t="s">
        <v>729</v>
      </c>
      <c r="J2390">
        <v>3</v>
      </c>
      <c r="K2390">
        <v>2.85</v>
      </c>
      <c r="L2390" s="39">
        <f t="shared" si="151"/>
        <v>1.0526315789473684</v>
      </c>
      <c r="M2390" s="39">
        <f t="shared" si="152"/>
        <v>1.0526315789473684</v>
      </c>
      <c r="N2390" t="s">
        <v>128</v>
      </c>
      <c r="O2390" t="s">
        <v>136</v>
      </c>
      <c r="P2390">
        <v>0</v>
      </c>
      <c r="Q2390">
        <v>1</v>
      </c>
      <c r="R2390" t="s">
        <v>3097</v>
      </c>
    </row>
    <row r="2391" spans="1:18" x14ac:dyDescent="0.3">
      <c r="A2391">
        <v>468</v>
      </c>
      <c r="B2391" t="s">
        <v>1318</v>
      </c>
      <c r="C2391" t="s">
        <v>653</v>
      </c>
      <c r="D2391" t="s">
        <v>27</v>
      </c>
      <c r="E2391" t="s">
        <v>41</v>
      </c>
      <c r="F2391" s="79">
        <v>45657</v>
      </c>
      <c r="G2391">
        <v>2024</v>
      </c>
      <c r="H2391" t="s">
        <v>23</v>
      </c>
      <c r="I2391" t="s">
        <v>30</v>
      </c>
      <c r="J2391">
        <v>3</v>
      </c>
      <c r="K2391">
        <v>2.6</v>
      </c>
      <c r="L2391" s="39">
        <f t="shared" si="151"/>
        <v>1.1538461538461537</v>
      </c>
      <c r="M2391" s="39">
        <f t="shared" si="152"/>
        <v>1.1538461538461537</v>
      </c>
      <c r="N2391" t="s">
        <v>128</v>
      </c>
      <c r="O2391" t="s">
        <v>136</v>
      </c>
      <c r="P2391">
        <v>0</v>
      </c>
      <c r="Q2391">
        <v>1</v>
      </c>
      <c r="R2391" t="s">
        <v>1319</v>
      </c>
    </row>
    <row r="2392" spans="1:18" x14ac:dyDescent="0.3">
      <c r="A2392">
        <v>468</v>
      </c>
      <c r="B2392" t="s">
        <v>1318</v>
      </c>
      <c r="C2392" t="s">
        <v>653</v>
      </c>
      <c r="D2392" t="s">
        <v>27</v>
      </c>
      <c r="E2392" t="s">
        <v>41</v>
      </c>
      <c r="F2392" s="79">
        <v>45838</v>
      </c>
      <c r="G2392">
        <v>2025</v>
      </c>
      <c r="H2392" t="s">
        <v>699</v>
      </c>
      <c r="I2392" t="s">
        <v>700</v>
      </c>
      <c r="J2392">
        <v>2.5</v>
      </c>
      <c r="K2392">
        <v>2.4</v>
      </c>
      <c r="L2392" s="39">
        <f t="shared" si="151"/>
        <v>1.0416666666666667</v>
      </c>
      <c r="M2392" s="39">
        <f t="shared" si="152"/>
        <v>1.0416666666666667</v>
      </c>
      <c r="N2392" t="s">
        <v>136</v>
      </c>
      <c r="O2392" t="s">
        <v>136</v>
      </c>
      <c r="P2392">
        <v>1</v>
      </c>
      <c r="Q2392">
        <v>1</v>
      </c>
      <c r="R2392" t="s">
        <v>3098</v>
      </c>
    </row>
    <row r="2393" spans="1:18" x14ac:dyDescent="0.3">
      <c r="A2393">
        <v>468</v>
      </c>
      <c r="B2393" t="s">
        <v>1318</v>
      </c>
      <c r="C2393" t="s">
        <v>653</v>
      </c>
      <c r="D2393" t="s">
        <v>21</v>
      </c>
      <c r="E2393" t="s">
        <v>41</v>
      </c>
      <c r="F2393" s="79">
        <v>46022</v>
      </c>
      <c r="G2393">
        <v>2025</v>
      </c>
      <c r="H2393" t="s">
        <v>23</v>
      </c>
      <c r="I2393" t="s">
        <v>32</v>
      </c>
      <c r="J2393">
        <v>2.5</v>
      </c>
      <c r="K2393">
        <v>2.1</v>
      </c>
      <c r="L2393" s="39">
        <f t="shared" si="151"/>
        <v>1.1904761904761905</v>
      </c>
      <c r="M2393" s="39">
        <f t="shared" si="152"/>
        <v>1.1904761904761905</v>
      </c>
      <c r="N2393" t="s">
        <v>136</v>
      </c>
      <c r="O2393" t="s">
        <v>136</v>
      </c>
      <c r="P2393">
        <v>1</v>
      </c>
      <c r="Q2393">
        <v>1</v>
      </c>
      <c r="R2393" t="s">
        <v>1320</v>
      </c>
    </row>
    <row r="2394" spans="1:18" x14ac:dyDescent="0.3">
      <c r="A2394">
        <v>469</v>
      </c>
      <c r="B2394" t="s">
        <v>1176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195.07</v>
      </c>
      <c r="L2394" s="39">
        <f t="shared" ref="L2394:L2417" si="153">IFERROR(IF(OR(J2394=0,K2394=""),"",IF(E2394="Positivo",MIN(MAX(K2394/J2394,0),1),MIN(MAX(J2394/K2394,0),1))),"")</f>
        <v>1</v>
      </c>
      <c r="M2394" s="39">
        <f t="shared" si="152"/>
        <v>1.9506999999999999</v>
      </c>
      <c r="N2394" t="s">
        <v>25</v>
      </c>
      <c r="O2394" t="s">
        <v>25</v>
      </c>
      <c r="P2394">
        <v>1</v>
      </c>
      <c r="Q2394">
        <v>1</v>
      </c>
      <c r="R2394" t="s">
        <v>3099</v>
      </c>
    </row>
    <row r="2395" spans="1:18" x14ac:dyDescent="0.3">
      <c r="A2395">
        <v>469</v>
      </c>
      <c r="B2395" t="s">
        <v>1176</v>
      </c>
      <c r="C2395" t="s">
        <v>3100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114.33</v>
      </c>
      <c r="L2395" s="39">
        <f t="shared" si="153"/>
        <v>1</v>
      </c>
      <c r="M2395" s="39">
        <f t="shared" si="152"/>
        <v>1.1433</v>
      </c>
      <c r="N2395" t="s">
        <v>25</v>
      </c>
      <c r="O2395" t="s">
        <v>25</v>
      </c>
      <c r="P2395">
        <v>0</v>
      </c>
      <c r="Q2395">
        <v>0</v>
      </c>
      <c r="R2395" t="s">
        <v>3101</v>
      </c>
    </row>
    <row r="2396" spans="1:18" x14ac:dyDescent="0.3">
      <c r="A2396">
        <v>469</v>
      </c>
      <c r="B2396" t="s">
        <v>1176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94.86</v>
      </c>
      <c r="L2396" s="39">
        <f t="shared" si="153"/>
        <v>0.9486</v>
      </c>
      <c r="M2396" s="39">
        <f t="shared" si="152"/>
        <v>0.9486</v>
      </c>
      <c r="N2396" t="s">
        <v>25</v>
      </c>
      <c r="O2396" t="s">
        <v>25</v>
      </c>
      <c r="P2396">
        <v>0</v>
      </c>
      <c r="Q2396">
        <v>0</v>
      </c>
      <c r="R2396" t="s">
        <v>3102</v>
      </c>
    </row>
    <row r="2397" spans="1:18" x14ac:dyDescent="0.3">
      <c r="A2397">
        <v>469</v>
      </c>
      <c r="B2397" t="s">
        <v>1176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99.7</v>
      </c>
      <c r="L2397" s="39">
        <f t="shared" si="153"/>
        <v>0.997</v>
      </c>
      <c r="M2397" s="39">
        <f t="shared" si="152"/>
        <v>0.997</v>
      </c>
      <c r="N2397" t="s">
        <v>25</v>
      </c>
      <c r="O2397" t="s">
        <v>25</v>
      </c>
      <c r="P2397">
        <v>0</v>
      </c>
      <c r="Q2397">
        <v>0</v>
      </c>
      <c r="R2397" t="s">
        <v>1321</v>
      </c>
    </row>
    <row r="2398" spans="1:18" x14ac:dyDescent="0.3">
      <c r="A2398">
        <v>469</v>
      </c>
      <c r="B2398" t="s">
        <v>1176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118.03</v>
      </c>
      <c r="L2398" s="39">
        <f t="shared" si="153"/>
        <v>1</v>
      </c>
      <c r="M2398" s="39">
        <f t="shared" si="152"/>
        <v>1.1802999999999999</v>
      </c>
      <c r="N2398" t="s">
        <v>25</v>
      </c>
      <c r="O2398" t="s">
        <v>25</v>
      </c>
      <c r="P2398">
        <v>0</v>
      </c>
      <c r="Q2398">
        <v>0</v>
      </c>
      <c r="R2398" t="s">
        <v>3103</v>
      </c>
    </row>
    <row r="2399" spans="1:18" x14ac:dyDescent="0.3">
      <c r="A2399">
        <v>469</v>
      </c>
      <c r="B2399" t="s">
        <v>1176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103.52</v>
      </c>
      <c r="L2399" s="39">
        <f t="shared" si="153"/>
        <v>1</v>
      </c>
      <c r="M2399" s="39">
        <f t="shared" si="152"/>
        <v>1.0351999999999999</v>
      </c>
      <c r="N2399" t="s">
        <v>25</v>
      </c>
      <c r="O2399" t="s">
        <v>25</v>
      </c>
      <c r="P2399">
        <v>0</v>
      </c>
      <c r="Q2399">
        <v>0</v>
      </c>
      <c r="R2399" t="s">
        <v>3104</v>
      </c>
    </row>
    <row r="2400" spans="1:18" x14ac:dyDescent="0.3">
      <c r="A2400">
        <v>469</v>
      </c>
      <c r="B2400" t="s">
        <v>1176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92.65</v>
      </c>
      <c r="L2400" s="39">
        <f t="shared" si="153"/>
        <v>0.9265000000000001</v>
      </c>
      <c r="M2400" s="39">
        <f t="shared" si="152"/>
        <v>0.9265000000000001</v>
      </c>
      <c r="N2400" t="s">
        <v>25</v>
      </c>
      <c r="O2400" t="s">
        <v>25</v>
      </c>
      <c r="P2400">
        <v>0</v>
      </c>
      <c r="Q2400">
        <v>0</v>
      </c>
      <c r="R2400" t="s">
        <v>3105</v>
      </c>
    </row>
    <row r="2401" spans="1:18" x14ac:dyDescent="0.3">
      <c r="A2401">
        <v>469</v>
      </c>
      <c r="B2401" t="s">
        <v>1176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99.13</v>
      </c>
      <c r="L2401" s="39">
        <f t="shared" si="153"/>
        <v>0.99129999999999996</v>
      </c>
      <c r="M2401" s="39">
        <f t="shared" si="152"/>
        <v>0.99129999999999996</v>
      </c>
      <c r="N2401" t="s">
        <v>25</v>
      </c>
      <c r="O2401" t="s">
        <v>25</v>
      </c>
      <c r="P2401">
        <v>0</v>
      </c>
      <c r="Q2401">
        <v>0</v>
      </c>
      <c r="R2401" t="s">
        <v>1322</v>
      </c>
    </row>
    <row r="2402" spans="1:18" x14ac:dyDescent="0.3">
      <c r="A2402">
        <v>470</v>
      </c>
      <c r="B2402" t="s">
        <v>1323</v>
      </c>
      <c r="C2402" t="s">
        <v>567</v>
      </c>
      <c r="D2402" t="s">
        <v>21</v>
      </c>
      <c r="E2402" t="s">
        <v>22</v>
      </c>
      <c r="F2402" s="79">
        <v>45382</v>
      </c>
      <c r="G2402">
        <v>2024</v>
      </c>
      <c r="H2402" t="s">
        <v>1516</v>
      </c>
      <c r="I2402" t="s">
        <v>729</v>
      </c>
      <c r="J2402">
        <v>100</v>
      </c>
      <c r="K2402">
        <v>79.599999999999994</v>
      </c>
      <c r="L2402" s="39">
        <f t="shared" si="153"/>
        <v>0.79599999999999993</v>
      </c>
      <c r="M2402" s="39">
        <f t="shared" si="152"/>
        <v>0.79599999999999993</v>
      </c>
      <c r="N2402" t="s">
        <v>25</v>
      </c>
      <c r="O2402" t="s">
        <v>25</v>
      </c>
      <c r="P2402">
        <v>0</v>
      </c>
      <c r="Q2402">
        <v>0</v>
      </c>
      <c r="R2402" t="s">
        <v>3106</v>
      </c>
    </row>
    <row r="2403" spans="1:18" x14ac:dyDescent="0.3">
      <c r="A2403">
        <v>470</v>
      </c>
      <c r="B2403" t="s">
        <v>1323</v>
      </c>
      <c r="C2403" t="s">
        <v>567</v>
      </c>
      <c r="D2403" t="s">
        <v>21</v>
      </c>
      <c r="E2403" t="s">
        <v>22</v>
      </c>
      <c r="F2403" s="79">
        <v>45473</v>
      </c>
      <c r="G2403">
        <v>2024</v>
      </c>
      <c r="H2403" t="s">
        <v>699</v>
      </c>
      <c r="I2403" t="s">
        <v>729</v>
      </c>
      <c r="J2403">
        <v>100</v>
      </c>
      <c r="K2403">
        <v>118.1</v>
      </c>
      <c r="L2403" s="39">
        <f t="shared" si="153"/>
        <v>1</v>
      </c>
      <c r="M2403" s="39">
        <f t="shared" si="152"/>
        <v>1.181</v>
      </c>
      <c r="N2403" t="s">
        <v>25</v>
      </c>
      <c r="O2403" t="s">
        <v>25</v>
      </c>
      <c r="P2403">
        <v>0</v>
      </c>
      <c r="Q2403">
        <v>0</v>
      </c>
      <c r="R2403" t="s">
        <v>3107</v>
      </c>
    </row>
    <row r="2404" spans="1:18" x14ac:dyDescent="0.3">
      <c r="A2404">
        <v>470</v>
      </c>
      <c r="B2404" t="s">
        <v>1323</v>
      </c>
      <c r="C2404" t="s">
        <v>567</v>
      </c>
      <c r="D2404" t="s">
        <v>21</v>
      </c>
      <c r="E2404" t="s">
        <v>22</v>
      </c>
      <c r="F2404" s="79">
        <v>45565</v>
      </c>
      <c r="G2404">
        <v>2024</v>
      </c>
      <c r="H2404" t="s">
        <v>162</v>
      </c>
      <c r="I2404" t="s">
        <v>30</v>
      </c>
      <c r="J2404">
        <v>100</v>
      </c>
      <c r="K2404">
        <v>104.86</v>
      </c>
      <c r="L2404" s="39">
        <f t="shared" si="153"/>
        <v>1</v>
      </c>
      <c r="M2404" s="39">
        <f t="shared" si="152"/>
        <v>1.0486</v>
      </c>
      <c r="N2404" t="s">
        <v>25</v>
      </c>
      <c r="O2404" t="s">
        <v>25</v>
      </c>
      <c r="P2404">
        <v>0</v>
      </c>
      <c r="Q2404">
        <v>0</v>
      </c>
      <c r="R2404" t="s">
        <v>3108</v>
      </c>
    </row>
    <row r="2405" spans="1:18" x14ac:dyDescent="0.3">
      <c r="A2405">
        <v>470</v>
      </c>
      <c r="B2405" t="s">
        <v>1323</v>
      </c>
      <c r="C2405" t="s">
        <v>567</v>
      </c>
      <c r="D2405" t="s">
        <v>21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3"/>
        <v>1</v>
      </c>
      <c r="M2405" s="39">
        <f t="shared" si="152"/>
        <v>1</v>
      </c>
      <c r="N2405" t="s">
        <v>25</v>
      </c>
      <c r="O2405" t="s">
        <v>25</v>
      </c>
      <c r="P2405">
        <v>0</v>
      </c>
      <c r="Q2405">
        <v>0</v>
      </c>
      <c r="R2405" t="s">
        <v>1324</v>
      </c>
    </row>
    <row r="2406" spans="1:18" x14ac:dyDescent="0.3">
      <c r="A2406">
        <v>470</v>
      </c>
      <c r="B2406" t="s">
        <v>1323</v>
      </c>
      <c r="C2406" t="s">
        <v>567</v>
      </c>
      <c r="D2406" t="s">
        <v>27</v>
      </c>
      <c r="E2406" t="s">
        <v>22</v>
      </c>
      <c r="F2406" s="79">
        <v>45747</v>
      </c>
      <c r="G2406">
        <v>2025</v>
      </c>
      <c r="H2406" t="s">
        <v>1516</v>
      </c>
      <c r="I2406" t="s">
        <v>700</v>
      </c>
      <c r="J2406">
        <v>100</v>
      </c>
      <c r="K2406">
        <v>352.81</v>
      </c>
      <c r="L2406" s="39">
        <f t="shared" si="153"/>
        <v>1</v>
      </c>
      <c r="M2406" s="39">
        <f t="shared" si="152"/>
        <v>3.5281000000000002</v>
      </c>
      <c r="N2406" t="s">
        <v>25</v>
      </c>
      <c r="O2406" t="s">
        <v>25</v>
      </c>
      <c r="P2406">
        <v>0</v>
      </c>
      <c r="Q2406">
        <v>0</v>
      </c>
      <c r="R2406" t="s">
        <v>3109</v>
      </c>
    </row>
    <row r="2407" spans="1:18" x14ac:dyDescent="0.3">
      <c r="A2407">
        <v>470</v>
      </c>
      <c r="B2407" t="s">
        <v>1323</v>
      </c>
      <c r="C2407" t="s">
        <v>567</v>
      </c>
      <c r="D2407" t="s">
        <v>27</v>
      </c>
      <c r="E2407" t="s">
        <v>22</v>
      </c>
      <c r="F2407" s="79">
        <v>45838</v>
      </c>
      <c r="G2407">
        <v>2025</v>
      </c>
      <c r="H2407" t="s">
        <v>699</v>
      </c>
      <c r="I2407" t="s">
        <v>700</v>
      </c>
      <c r="J2407">
        <v>100</v>
      </c>
      <c r="K2407">
        <v>148.38</v>
      </c>
      <c r="L2407" s="39">
        <f t="shared" si="153"/>
        <v>1</v>
      </c>
      <c r="M2407" s="39">
        <f t="shared" si="152"/>
        <v>1.4838</v>
      </c>
      <c r="N2407" t="s">
        <v>25</v>
      </c>
      <c r="O2407" t="s">
        <v>25</v>
      </c>
      <c r="P2407">
        <v>0</v>
      </c>
      <c r="Q2407">
        <v>0</v>
      </c>
      <c r="R2407" t="s">
        <v>3110</v>
      </c>
    </row>
    <row r="2408" spans="1:18" x14ac:dyDescent="0.3">
      <c r="A2408">
        <v>470</v>
      </c>
      <c r="B2408" t="s">
        <v>1323</v>
      </c>
      <c r="C2408" t="s">
        <v>567</v>
      </c>
      <c r="D2408" t="s">
        <v>27</v>
      </c>
      <c r="E2408" t="s">
        <v>22</v>
      </c>
      <c r="F2408" s="79">
        <v>45930</v>
      </c>
      <c r="G2408">
        <v>2025</v>
      </c>
      <c r="H2408" t="s">
        <v>162</v>
      </c>
      <c r="I2408" t="s">
        <v>32</v>
      </c>
      <c r="J2408">
        <v>100</v>
      </c>
      <c r="K2408">
        <v>105.6</v>
      </c>
      <c r="L2408" s="39">
        <f t="shared" si="153"/>
        <v>1</v>
      </c>
      <c r="M2408" s="39">
        <f t="shared" si="152"/>
        <v>1.056</v>
      </c>
      <c r="N2408" t="s">
        <v>25</v>
      </c>
      <c r="O2408" t="s">
        <v>25</v>
      </c>
      <c r="P2408">
        <v>0</v>
      </c>
      <c r="Q2408">
        <v>0</v>
      </c>
      <c r="R2408" t="s">
        <v>3111</v>
      </c>
    </row>
    <row r="2409" spans="1:18" x14ac:dyDescent="0.3">
      <c r="A2409">
        <v>470</v>
      </c>
      <c r="B2409" t="s">
        <v>1323</v>
      </c>
      <c r="C2409" t="s">
        <v>567</v>
      </c>
      <c r="D2409" t="s">
        <v>27</v>
      </c>
      <c r="E2409" t="s">
        <v>22</v>
      </c>
      <c r="F2409" s="79">
        <v>46022</v>
      </c>
      <c r="G2409">
        <v>2025</v>
      </c>
      <c r="H2409" t="s">
        <v>23</v>
      </c>
      <c r="I2409" t="s">
        <v>32</v>
      </c>
      <c r="J2409">
        <v>100</v>
      </c>
      <c r="K2409">
        <v>100</v>
      </c>
      <c r="L2409" s="39">
        <f t="shared" si="153"/>
        <v>1</v>
      </c>
      <c r="M2409" s="39">
        <f t="shared" si="152"/>
        <v>1</v>
      </c>
      <c r="N2409" t="s">
        <v>25</v>
      </c>
      <c r="O2409" t="s">
        <v>25</v>
      </c>
      <c r="P2409">
        <v>0</v>
      </c>
      <c r="Q2409">
        <v>0</v>
      </c>
      <c r="R2409" t="s">
        <v>1325</v>
      </c>
    </row>
    <row r="2410" spans="1:18" x14ac:dyDescent="0.3">
      <c r="A2410">
        <v>471</v>
      </c>
      <c r="B2410" t="s">
        <v>1326</v>
      </c>
      <c r="C2410" t="s">
        <v>567</v>
      </c>
      <c r="D2410" t="s">
        <v>21</v>
      </c>
      <c r="E2410" t="s">
        <v>22</v>
      </c>
      <c r="F2410" s="79">
        <v>45382</v>
      </c>
      <c r="G2410">
        <v>2024</v>
      </c>
      <c r="H2410" t="s">
        <v>1516</v>
      </c>
      <c r="I2410" t="s">
        <v>729</v>
      </c>
      <c r="J2410">
        <v>100</v>
      </c>
      <c r="K2410">
        <v>108.48</v>
      </c>
      <c r="L2410" s="39">
        <f t="shared" si="153"/>
        <v>1</v>
      </c>
      <c r="M2410" s="39">
        <f t="shared" si="152"/>
        <v>1.0848</v>
      </c>
      <c r="N2410" t="s">
        <v>25</v>
      </c>
      <c r="O2410" t="s">
        <v>25</v>
      </c>
      <c r="P2410">
        <v>0</v>
      </c>
      <c r="Q2410">
        <v>0</v>
      </c>
      <c r="R2410" t="s">
        <v>3112</v>
      </c>
    </row>
    <row r="2411" spans="1:18" x14ac:dyDescent="0.3">
      <c r="A2411">
        <v>471</v>
      </c>
      <c r="B2411" t="s">
        <v>1326</v>
      </c>
      <c r="C2411" t="s">
        <v>40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J2411">
        <v>100</v>
      </c>
      <c r="K2411">
        <v>105.56</v>
      </c>
      <c r="L2411" s="39">
        <f t="shared" si="153"/>
        <v>1</v>
      </c>
      <c r="M2411" s="39">
        <f t="shared" si="152"/>
        <v>1.0556000000000001</v>
      </c>
      <c r="N2411" t="s">
        <v>25</v>
      </c>
      <c r="O2411" t="s">
        <v>25</v>
      </c>
      <c r="P2411">
        <v>0</v>
      </c>
      <c r="Q2411">
        <v>0</v>
      </c>
      <c r="R2411" t="s">
        <v>3113</v>
      </c>
    </row>
    <row r="2412" spans="1:18" x14ac:dyDescent="0.3">
      <c r="A2412">
        <v>471</v>
      </c>
      <c r="B2412" t="s">
        <v>1326</v>
      </c>
      <c r="C2412" t="s">
        <v>567</v>
      </c>
      <c r="D2412" t="s">
        <v>21</v>
      </c>
      <c r="E2412" t="s">
        <v>22</v>
      </c>
      <c r="F2412" s="79">
        <v>45565</v>
      </c>
      <c r="G2412">
        <v>2024</v>
      </c>
      <c r="H2412" t="s">
        <v>162</v>
      </c>
      <c r="I2412" t="s">
        <v>30</v>
      </c>
      <c r="J2412">
        <v>100</v>
      </c>
      <c r="K2412">
        <v>91.07</v>
      </c>
      <c r="L2412" s="39">
        <f t="shared" si="153"/>
        <v>0.91069999999999995</v>
      </c>
      <c r="M2412" s="39">
        <f t="shared" si="152"/>
        <v>0.91069999999999995</v>
      </c>
      <c r="N2412" t="s">
        <v>25</v>
      </c>
      <c r="O2412" t="s">
        <v>25</v>
      </c>
      <c r="P2412">
        <v>0</v>
      </c>
      <c r="Q2412">
        <v>0</v>
      </c>
      <c r="R2412" t="s">
        <v>3114</v>
      </c>
    </row>
    <row r="2413" spans="1:18" x14ac:dyDescent="0.3">
      <c r="A2413">
        <v>471</v>
      </c>
      <c r="B2413" t="s">
        <v>1326</v>
      </c>
      <c r="C2413" t="s">
        <v>567</v>
      </c>
      <c r="D2413" t="s">
        <v>21</v>
      </c>
      <c r="E2413" t="s">
        <v>22</v>
      </c>
      <c r="F2413" s="79">
        <v>45657</v>
      </c>
      <c r="G2413">
        <v>2024</v>
      </c>
      <c r="H2413" t="s">
        <v>23</v>
      </c>
      <c r="I2413" t="s">
        <v>30</v>
      </c>
      <c r="J2413">
        <v>100</v>
      </c>
      <c r="K2413">
        <v>99</v>
      </c>
      <c r="L2413" s="39">
        <f t="shared" si="153"/>
        <v>0.99</v>
      </c>
      <c r="M2413" s="39">
        <f t="shared" si="152"/>
        <v>0.99</v>
      </c>
      <c r="N2413" t="s">
        <v>25</v>
      </c>
      <c r="O2413" t="s">
        <v>25</v>
      </c>
      <c r="P2413">
        <v>0</v>
      </c>
      <c r="Q2413">
        <v>0</v>
      </c>
      <c r="R2413" t="s">
        <v>1327</v>
      </c>
    </row>
    <row r="2414" spans="1:18" x14ac:dyDescent="0.3">
      <c r="A2414">
        <v>471</v>
      </c>
      <c r="B2414" t="s">
        <v>1326</v>
      </c>
      <c r="C2414" t="s">
        <v>567</v>
      </c>
      <c r="D2414" t="s">
        <v>27</v>
      </c>
      <c r="E2414" t="s">
        <v>22</v>
      </c>
      <c r="F2414" s="79">
        <v>45747</v>
      </c>
      <c r="G2414">
        <v>2025</v>
      </c>
      <c r="H2414" t="s">
        <v>1516</v>
      </c>
      <c r="I2414" t="s">
        <v>700</v>
      </c>
      <c r="J2414">
        <v>100</v>
      </c>
      <c r="K2414">
        <v>103.51</v>
      </c>
      <c r="L2414" s="39">
        <f t="shared" si="153"/>
        <v>1</v>
      </c>
      <c r="M2414" s="39">
        <f t="shared" si="152"/>
        <v>1.0351000000000001</v>
      </c>
      <c r="N2414" t="s">
        <v>25</v>
      </c>
      <c r="O2414" t="s">
        <v>25</v>
      </c>
      <c r="P2414">
        <v>0</v>
      </c>
      <c r="Q2414">
        <v>0</v>
      </c>
      <c r="R2414" t="s">
        <v>3115</v>
      </c>
    </row>
    <row r="2415" spans="1:18" x14ac:dyDescent="0.3">
      <c r="A2415">
        <v>471</v>
      </c>
      <c r="B2415" t="s">
        <v>1326</v>
      </c>
      <c r="C2415" t="s">
        <v>567</v>
      </c>
      <c r="D2415" t="s">
        <v>27</v>
      </c>
      <c r="E2415" t="s">
        <v>22</v>
      </c>
      <c r="F2415" s="79">
        <v>45838</v>
      </c>
      <c r="G2415">
        <v>2025</v>
      </c>
      <c r="H2415" t="s">
        <v>699</v>
      </c>
      <c r="I2415" t="s">
        <v>700</v>
      </c>
      <c r="J2415">
        <v>100</v>
      </c>
      <c r="K2415">
        <v>94.02</v>
      </c>
      <c r="L2415" s="39">
        <f t="shared" si="153"/>
        <v>0.94019999999999992</v>
      </c>
      <c r="M2415" s="39">
        <f t="shared" ref="M2415:M2424" si="154">IFERROR(IF(OR(J2415=0,K2415=""),"",IF(E2415="Positivo",MAX(K2415/J2415,0),MAX(J2415/K2415,0))),"")</f>
        <v>0.94019999999999992</v>
      </c>
      <c r="N2415" t="s">
        <v>25</v>
      </c>
      <c r="O2415" t="s">
        <v>25</v>
      </c>
      <c r="P2415">
        <v>0</v>
      </c>
      <c r="Q2415">
        <v>0</v>
      </c>
      <c r="R2415" t="s">
        <v>3116</v>
      </c>
    </row>
    <row r="2416" spans="1:18" x14ac:dyDescent="0.3">
      <c r="A2416">
        <v>471</v>
      </c>
      <c r="B2416" t="s">
        <v>1326</v>
      </c>
      <c r="C2416" t="s">
        <v>567</v>
      </c>
      <c r="D2416" t="s">
        <v>27</v>
      </c>
      <c r="E2416" t="s">
        <v>22</v>
      </c>
      <c r="F2416" s="79">
        <v>45930</v>
      </c>
      <c r="G2416">
        <v>2025</v>
      </c>
      <c r="H2416" t="s">
        <v>162</v>
      </c>
      <c r="I2416" t="s">
        <v>32</v>
      </c>
      <c r="J2416">
        <v>100</v>
      </c>
      <c r="K2416">
        <v>98.93</v>
      </c>
      <c r="L2416" s="39">
        <f t="shared" si="153"/>
        <v>0.98930000000000007</v>
      </c>
      <c r="M2416" s="39">
        <f t="shared" si="154"/>
        <v>0.98930000000000007</v>
      </c>
      <c r="N2416" t="s">
        <v>25</v>
      </c>
      <c r="O2416" t="s">
        <v>25</v>
      </c>
      <c r="P2416">
        <v>0</v>
      </c>
      <c r="Q2416">
        <v>0</v>
      </c>
      <c r="R2416" t="s">
        <v>3117</v>
      </c>
    </row>
    <row r="2417" spans="1:19" x14ac:dyDescent="0.3">
      <c r="A2417">
        <v>471</v>
      </c>
      <c r="B2417" t="s">
        <v>1326</v>
      </c>
      <c r="C2417" t="s">
        <v>567</v>
      </c>
      <c r="D2417" t="s">
        <v>27</v>
      </c>
      <c r="E2417" t="s">
        <v>22</v>
      </c>
      <c r="F2417" s="79">
        <v>46022</v>
      </c>
      <c r="G2417">
        <v>2025</v>
      </c>
      <c r="H2417" t="s">
        <v>23</v>
      </c>
      <c r="I2417" t="s">
        <v>32</v>
      </c>
      <c r="J2417">
        <v>100</v>
      </c>
      <c r="K2417">
        <v>99.86</v>
      </c>
      <c r="L2417" s="39">
        <f t="shared" si="153"/>
        <v>0.99860000000000004</v>
      </c>
      <c r="M2417" s="39">
        <f t="shared" si="154"/>
        <v>0.99860000000000004</v>
      </c>
      <c r="N2417" t="s">
        <v>25</v>
      </c>
      <c r="O2417" t="s">
        <v>25</v>
      </c>
      <c r="P2417">
        <v>0</v>
      </c>
      <c r="Q2417">
        <v>0</v>
      </c>
      <c r="R2417" t="s">
        <v>1328</v>
      </c>
    </row>
    <row r="2418" spans="1:19" x14ac:dyDescent="0.3">
      <c r="A2418">
        <v>472</v>
      </c>
      <c r="B2418" t="s">
        <v>1329</v>
      </c>
      <c r="C2418" t="s">
        <v>922</v>
      </c>
      <c r="D2418" t="s">
        <v>27</v>
      </c>
      <c r="E2418" t="s">
        <v>22</v>
      </c>
      <c r="F2418" s="79">
        <v>45473</v>
      </c>
      <c r="G2418">
        <v>2024</v>
      </c>
      <c r="H2418" t="s">
        <v>699</v>
      </c>
      <c r="I2418" t="s">
        <v>729</v>
      </c>
      <c r="J2418">
        <v>100</v>
      </c>
      <c r="K2418">
        <v>82.1</v>
      </c>
      <c r="L2418" s="39">
        <f t="shared" ref="L2418:L2424" si="155">IFERROR(IF(OR(J2418=0,K2418=""),"",IF(E2418="Positivo",MIN(MAX(K2418/J2418,0),1.3),MIN(MAX(J2418/K2418,0),1.3))),"")</f>
        <v>0.82099999999999995</v>
      </c>
      <c r="M2418" s="39">
        <f t="shared" si="154"/>
        <v>0.82099999999999995</v>
      </c>
      <c r="N2418" t="s">
        <v>25</v>
      </c>
      <c r="O2418" t="s">
        <v>25</v>
      </c>
      <c r="P2418">
        <v>0</v>
      </c>
      <c r="Q2418">
        <v>0</v>
      </c>
      <c r="R2418" t="s">
        <v>3118</v>
      </c>
    </row>
    <row r="2419" spans="1:19" x14ac:dyDescent="0.3">
      <c r="A2419">
        <v>472</v>
      </c>
      <c r="B2419" t="s">
        <v>1329</v>
      </c>
      <c r="C2419" t="s">
        <v>922</v>
      </c>
      <c r="D2419" t="s">
        <v>27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100</v>
      </c>
      <c r="L2419" s="39">
        <f t="shared" si="155"/>
        <v>1</v>
      </c>
      <c r="M2419" s="39">
        <f t="shared" si="154"/>
        <v>1</v>
      </c>
      <c r="N2419" t="s">
        <v>25</v>
      </c>
      <c r="O2419" t="s">
        <v>25</v>
      </c>
      <c r="P2419">
        <v>0</v>
      </c>
      <c r="Q2419">
        <v>0</v>
      </c>
      <c r="R2419" t="s">
        <v>1330</v>
      </c>
    </row>
    <row r="2420" spans="1:19" x14ac:dyDescent="0.3">
      <c r="A2420">
        <v>473</v>
      </c>
      <c r="B2420" t="s">
        <v>3119</v>
      </c>
      <c r="C2420" t="s">
        <v>549</v>
      </c>
      <c r="D2420" t="s">
        <v>27</v>
      </c>
      <c r="E2420" t="s">
        <v>22</v>
      </c>
      <c r="F2420" s="79">
        <v>45473</v>
      </c>
      <c r="G2420">
        <v>2024</v>
      </c>
      <c r="H2420" t="s">
        <v>699</v>
      </c>
      <c r="I2420" t="s">
        <v>729</v>
      </c>
      <c r="J2420">
        <v>100</v>
      </c>
      <c r="K2420">
        <v>100</v>
      </c>
      <c r="L2420" s="39">
        <f t="shared" si="155"/>
        <v>1</v>
      </c>
      <c r="M2420" s="39">
        <f t="shared" si="154"/>
        <v>1</v>
      </c>
      <c r="N2420" t="s">
        <v>128</v>
      </c>
      <c r="O2420" t="s">
        <v>128</v>
      </c>
      <c r="P2420">
        <v>0</v>
      </c>
      <c r="Q2420">
        <v>0</v>
      </c>
      <c r="R2420" t="s">
        <v>3120</v>
      </c>
    </row>
    <row r="2421" spans="1:19" x14ac:dyDescent="0.3">
      <c r="A2421">
        <v>473</v>
      </c>
      <c r="B2421" t="s">
        <v>1331</v>
      </c>
      <c r="C2421" t="s">
        <v>549</v>
      </c>
      <c r="D2421" t="s">
        <v>27</v>
      </c>
      <c r="E2421" t="s">
        <v>22</v>
      </c>
      <c r="F2421" s="79">
        <v>45657</v>
      </c>
      <c r="G2421">
        <v>2024</v>
      </c>
      <c r="H2421" t="s">
        <v>23</v>
      </c>
      <c r="I2421" t="s">
        <v>30</v>
      </c>
      <c r="J2421">
        <v>100</v>
      </c>
      <c r="K2421">
        <v>100</v>
      </c>
      <c r="L2421" s="39">
        <f t="shared" si="155"/>
        <v>1</v>
      </c>
      <c r="M2421" s="39">
        <f t="shared" si="154"/>
        <v>1</v>
      </c>
      <c r="N2421" t="s">
        <v>128</v>
      </c>
      <c r="O2421" t="s">
        <v>128</v>
      </c>
      <c r="P2421">
        <v>0</v>
      </c>
      <c r="Q2421">
        <v>0</v>
      </c>
      <c r="R2421" t="s">
        <v>1332</v>
      </c>
    </row>
    <row r="2422" spans="1:19" x14ac:dyDescent="0.3">
      <c r="A2422">
        <v>473</v>
      </c>
      <c r="B2422" t="s">
        <v>1331</v>
      </c>
      <c r="C2422" t="s">
        <v>549</v>
      </c>
      <c r="D2422" t="s">
        <v>27</v>
      </c>
      <c r="E2422" t="s">
        <v>22</v>
      </c>
      <c r="F2422" s="79">
        <v>45838</v>
      </c>
      <c r="G2422">
        <v>2025</v>
      </c>
      <c r="H2422" t="s">
        <v>699</v>
      </c>
      <c r="I2422" t="s">
        <v>700</v>
      </c>
      <c r="J2422">
        <v>100</v>
      </c>
      <c r="K2422">
        <v>100</v>
      </c>
      <c r="L2422" s="39">
        <f t="shared" si="155"/>
        <v>1</v>
      </c>
      <c r="M2422" s="39">
        <f t="shared" si="154"/>
        <v>1</v>
      </c>
      <c r="N2422" t="s">
        <v>128</v>
      </c>
      <c r="O2422" t="s">
        <v>128</v>
      </c>
      <c r="P2422">
        <v>0</v>
      </c>
      <c r="Q2422">
        <v>0</v>
      </c>
      <c r="R2422" t="s">
        <v>1333</v>
      </c>
    </row>
    <row r="2423" spans="1:19" x14ac:dyDescent="0.3">
      <c r="A2423">
        <v>474</v>
      </c>
      <c r="B2423" t="s">
        <v>3121</v>
      </c>
      <c r="C2423" t="s">
        <v>1059</v>
      </c>
      <c r="D2423" t="s">
        <v>27</v>
      </c>
      <c r="E2423" t="s">
        <v>22</v>
      </c>
      <c r="F2423" s="79">
        <v>45473</v>
      </c>
      <c r="G2423">
        <v>2024</v>
      </c>
      <c r="H2423" t="s">
        <v>699</v>
      </c>
      <c r="I2423" t="s">
        <v>729</v>
      </c>
      <c r="J2423">
        <v>100</v>
      </c>
      <c r="K2423">
        <v>100</v>
      </c>
      <c r="L2423" s="39">
        <f t="shared" si="155"/>
        <v>1</v>
      </c>
      <c r="M2423" s="39">
        <f t="shared" si="154"/>
        <v>1</v>
      </c>
      <c r="N2423" t="s">
        <v>128</v>
      </c>
      <c r="O2423" t="s">
        <v>128</v>
      </c>
      <c r="P2423">
        <v>0</v>
      </c>
      <c r="Q2423">
        <v>0</v>
      </c>
      <c r="R2423" t="s">
        <v>3122</v>
      </c>
    </row>
    <row r="2424" spans="1:19" x14ac:dyDescent="0.3">
      <c r="A2424">
        <v>474</v>
      </c>
      <c r="B2424" t="s">
        <v>1334</v>
      </c>
      <c r="C2424" t="s">
        <v>1059</v>
      </c>
      <c r="D2424" t="s">
        <v>27</v>
      </c>
      <c r="E2424" t="s">
        <v>22</v>
      </c>
      <c r="F2424" s="79">
        <v>45657</v>
      </c>
      <c r="G2424">
        <v>2024</v>
      </c>
      <c r="H2424" t="s">
        <v>23</v>
      </c>
      <c r="I2424" t="s">
        <v>30</v>
      </c>
      <c r="J2424">
        <v>100</v>
      </c>
      <c r="K2424">
        <v>100</v>
      </c>
      <c r="L2424" s="39">
        <f t="shared" si="155"/>
        <v>1</v>
      </c>
      <c r="M2424" s="39">
        <f t="shared" si="154"/>
        <v>1</v>
      </c>
      <c r="N2424" t="s">
        <v>128</v>
      </c>
      <c r="O2424" t="s">
        <v>128</v>
      </c>
      <c r="P2424">
        <v>0</v>
      </c>
      <c r="Q2424">
        <v>0</v>
      </c>
      <c r="R2424" t="s">
        <v>1335</v>
      </c>
    </row>
    <row r="2425" spans="1:19" x14ac:dyDescent="0.3">
      <c r="A2425">
        <v>474</v>
      </c>
      <c r="B2425" t="s">
        <v>1334</v>
      </c>
      <c r="C2425" t="s">
        <v>1059</v>
      </c>
      <c r="D2425" t="s">
        <v>21</v>
      </c>
      <c r="E2425" t="s">
        <v>22</v>
      </c>
      <c r="F2425" s="79">
        <v>45838</v>
      </c>
      <c r="G2425">
        <v>2025</v>
      </c>
      <c r="H2425" t="s">
        <v>699</v>
      </c>
      <c r="I2425" t="s">
        <v>700</v>
      </c>
      <c r="K2425">
        <v>0</v>
      </c>
      <c r="L2425" s="39"/>
      <c r="M2425" s="39"/>
      <c r="N2425" t="s">
        <v>128</v>
      </c>
      <c r="O2425" t="s">
        <v>128</v>
      </c>
      <c r="P2425">
        <v>0</v>
      </c>
      <c r="Q2425">
        <v>0</v>
      </c>
      <c r="R2425" t="s">
        <v>3123</v>
      </c>
    </row>
    <row r="2426" spans="1:19" x14ac:dyDescent="0.3">
      <c r="A2426">
        <v>474</v>
      </c>
      <c r="B2426" t="s">
        <v>1334</v>
      </c>
      <c r="C2426" t="s">
        <v>1059</v>
      </c>
      <c r="D2426" t="s">
        <v>21</v>
      </c>
      <c r="E2426" t="s">
        <v>22</v>
      </c>
      <c r="F2426" s="79">
        <v>46022</v>
      </c>
      <c r="G2426">
        <v>2025</v>
      </c>
      <c r="H2426" t="s">
        <v>23</v>
      </c>
      <c r="I2426" t="s">
        <v>32</v>
      </c>
      <c r="L2426" s="39"/>
      <c r="M2426" s="39"/>
      <c r="N2426" t="s">
        <v>128</v>
      </c>
      <c r="O2426" t="s">
        <v>302</v>
      </c>
      <c r="P2426">
        <v>0</v>
      </c>
      <c r="Q2426">
        <v>0</v>
      </c>
      <c r="R2426" t="s">
        <v>1336</v>
      </c>
      <c r="S2426" t="s">
        <v>302</v>
      </c>
    </row>
    <row r="2427" spans="1:19" x14ac:dyDescent="0.3">
      <c r="A2427">
        <v>475</v>
      </c>
      <c r="B2427" t="s">
        <v>1337</v>
      </c>
      <c r="C2427" t="s">
        <v>819</v>
      </c>
      <c r="D2427" t="s">
        <v>21</v>
      </c>
      <c r="E2427" t="s">
        <v>22</v>
      </c>
      <c r="F2427" s="79">
        <v>45473</v>
      </c>
      <c r="G2427">
        <v>2024</v>
      </c>
      <c r="H2427" t="s">
        <v>699</v>
      </c>
      <c r="I2427" t="s">
        <v>729</v>
      </c>
      <c r="J2427">
        <v>100</v>
      </c>
      <c r="K2427">
        <v>0</v>
      </c>
      <c r="L2427" s="39">
        <f t="shared" ref="L2427:L2436" si="156">IFERROR(IF(OR(J2427=0,K2427=""),"",IF(E2427="Positivo",MIN(MAX(K2427/J2427,0),1.3),MIN(MAX(J2427/K2427,0),1.3))),"")</f>
        <v>0</v>
      </c>
      <c r="M2427" s="39">
        <f t="shared" ref="M2427:M2436" si="157">IFERROR(IF(OR(J2427=0,K2427=""),"",IF(E2427="Positivo",MAX(K2427/J2427,0),MAX(J2427/K2427,0))),"")</f>
        <v>0</v>
      </c>
      <c r="N2427" t="s">
        <v>128</v>
      </c>
      <c r="O2427" t="s">
        <v>128</v>
      </c>
      <c r="P2427">
        <v>0</v>
      </c>
      <c r="Q2427">
        <v>0</v>
      </c>
      <c r="R2427" t="s">
        <v>3124</v>
      </c>
    </row>
    <row r="2428" spans="1:19" x14ac:dyDescent="0.3">
      <c r="A2428">
        <v>475</v>
      </c>
      <c r="B2428" t="s">
        <v>1337</v>
      </c>
      <c r="C2428" t="s">
        <v>819</v>
      </c>
      <c r="D2428" t="s">
        <v>27</v>
      </c>
      <c r="E2428" t="s">
        <v>22</v>
      </c>
      <c r="F2428" s="79">
        <v>45657</v>
      </c>
      <c r="G2428">
        <v>2024</v>
      </c>
      <c r="H2428" t="s">
        <v>23</v>
      </c>
      <c r="I2428" t="s">
        <v>30</v>
      </c>
      <c r="J2428">
        <v>100</v>
      </c>
      <c r="K2428">
        <v>140</v>
      </c>
      <c r="L2428" s="39">
        <f t="shared" si="156"/>
        <v>1.3</v>
      </c>
      <c r="M2428" s="39">
        <f t="shared" si="157"/>
        <v>1.4</v>
      </c>
      <c r="P2428">
        <v>0</v>
      </c>
      <c r="Q2428">
        <v>0</v>
      </c>
      <c r="R2428" t="s">
        <v>1338</v>
      </c>
    </row>
    <row r="2429" spans="1:19" x14ac:dyDescent="0.3">
      <c r="A2429">
        <v>475</v>
      </c>
      <c r="B2429" t="s">
        <v>1337</v>
      </c>
      <c r="C2429" t="s">
        <v>819</v>
      </c>
      <c r="D2429" t="s">
        <v>21</v>
      </c>
      <c r="E2429" t="s">
        <v>22</v>
      </c>
      <c r="F2429" s="79">
        <v>45838</v>
      </c>
      <c r="G2429">
        <v>2025</v>
      </c>
      <c r="H2429" t="s">
        <v>699</v>
      </c>
      <c r="I2429" t="s">
        <v>700</v>
      </c>
      <c r="J2429">
        <v>100</v>
      </c>
      <c r="K2429">
        <v>0</v>
      </c>
      <c r="L2429" s="39">
        <f t="shared" si="156"/>
        <v>0</v>
      </c>
      <c r="M2429" s="39">
        <f t="shared" si="157"/>
        <v>0</v>
      </c>
      <c r="N2429" t="s">
        <v>128</v>
      </c>
      <c r="O2429" t="s">
        <v>128</v>
      </c>
      <c r="P2429">
        <v>0</v>
      </c>
      <c r="Q2429">
        <v>0</v>
      </c>
      <c r="R2429" t="s">
        <v>3125</v>
      </c>
    </row>
    <row r="2430" spans="1:19" x14ac:dyDescent="0.3">
      <c r="A2430">
        <v>475</v>
      </c>
      <c r="B2430" t="s">
        <v>1337</v>
      </c>
      <c r="C2430" t="s">
        <v>819</v>
      </c>
      <c r="D2430" t="s">
        <v>21</v>
      </c>
      <c r="E2430" t="s">
        <v>22</v>
      </c>
      <c r="F2430" s="79">
        <v>46022</v>
      </c>
      <c r="G2430">
        <v>2025</v>
      </c>
      <c r="H2430" t="s">
        <v>23</v>
      </c>
      <c r="I2430" t="s">
        <v>32</v>
      </c>
      <c r="J2430">
        <v>100</v>
      </c>
      <c r="K2430">
        <v>100</v>
      </c>
      <c r="L2430" s="39">
        <f t="shared" si="156"/>
        <v>1</v>
      </c>
      <c r="M2430" s="39">
        <f t="shared" si="157"/>
        <v>1</v>
      </c>
      <c r="N2430" t="s">
        <v>128</v>
      </c>
      <c r="O2430" t="s">
        <v>128</v>
      </c>
      <c r="P2430">
        <v>0</v>
      </c>
      <c r="Q2430">
        <v>0</v>
      </c>
      <c r="R2430" t="s">
        <v>1339</v>
      </c>
    </row>
    <row r="2431" spans="1:19" x14ac:dyDescent="0.3">
      <c r="A2431">
        <v>476</v>
      </c>
      <c r="B2431" t="s">
        <v>1340</v>
      </c>
      <c r="C2431" t="s">
        <v>549</v>
      </c>
      <c r="D2431" t="s">
        <v>27</v>
      </c>
      <c r="E2431" t="s">
        <v>22</v>
      </c>
      <c r="F2431" s="79">
        <v>45473</v>
      </c>
      <c r="G2431">
        <v>2024</v>
      </c>
      <c r="H2431" t="s">
        <v>699</v>
      </c>
      <c r="I2431" t="s">
        <v>729</v>
      </c>
      <c r="J2431">
        <v>100</v>
      </c>
      <c r="K2431">
        <v>100</v>
      </c>
      <c r="L2431" s="39">
        <f t="shared" si="156"/>
        <v>1</v>
      </c>
      <c r="M2431" s="39">
        <f t="shared" si="157"/>
        <v>1</v>
      </c>
      <c r="P2431">
        <v>0</v>
      </c>
      <c r="Q2431">
        <v>0</v>
      </c>
      <c r="R2431" t="s">
        <v>3126</v>
      </c>
    </row>
    <row r="2432" spans="1:19" x14ac:dyDescent="0.3">
      <c r="A2432">
        <v>476</v>
      </c>
      <c r="B2432" t="s">
        <v>1340</v>
      </c>
      <c r="C2432" t="s">
        <v>549</v>
      </c>
      <c r="D2432" t="s">
        <v>27</v>
      </c>
      <c r="E2432" t="s">
        <v>22</v>
      </c>
      <c r="F2432" s="79">
        <v>45657</v>
      </c>
      <c r="G2432">
        <v>2024</v>
      </c>
      <c r="H2432" t="s">
        <v>23</v>
      </c>
      <c r="I2432" t="s">
        <v>30</v>
      </c>
      <c r="J2432">
        <v>100</v>
      </c>
      <c r="K2432">
        <v>100</v>
      </c>
      <c r="L2432" s="39">
        <f t="shared" si="156"/>
        <v>1</v>
      </c>
      <c r="M2432" s="39">
        <f t="shared" si="157"/>
        <v>1</v>
      </c>
      <c r="P2432">
        <v>0</v>
      </c>
      <c r="Q2432">
        <v>0</v>
      </c>
      <c r="R2432" t="s">
        <v>1341</v>
      </c>
    </row>
    <row r="2433" spans="1:19" x14ac:dyDescent="0.3">
      <c r="A2433">
        <v>476</v>
      </c>
      <c r="B2433" t="s">
        <v>1340</v>
      </c>
      <c r="C2433" t="s">
        <v>549</v>
      </c>
      <c r="D2433" t="s">
        <v>27</v>
      </c>
      <c r="E2433" t="s">
        <v>22</v>
      </c>
      <c r="F2433" s="79">
        <v>45838</v>
      </c>
      <c r="G2433">
        <v>2025</v>
      </c>
      <c r="H2433" t="s">
        <v>699</v>
      </c>
      <c r="I2433" t="s">
        <v>700</v>
      </c>
      <c r="J2433">
        <v>100</v>
      </c>
      <c r="K2433">
        <v>100</v>
      </c>
      <c r="L2433" s="39">
        <f t="shared" si="156"/>
        <v>1</v>
      </c>
      <c r="M2433" s="39">
        <f t="shared" si="157"/>
        <v>1</v>
      </c>
      <c r="N2433" t="s">
        <v>128</v>
      </c>
      <c r="O2433" t="s">
        <v>128</v>
      </c>
      <c r="P2433">
        <v>0</v>
      </c>
      <c r="Q2433">
        <v>0</v>
      </c>
      <c r="R2433" t="s">
        <v>3127</v>
      </c>
    </row>
    <row r="2434" spans="1:19" x14ac:dyDescent="0.3">
      <c r="A2434">
        <v>476</v>
      </c>
      <c r="B2434" t="s">
        <v>1340</v>
      </c>
      <c r="C2434" t="s">
        <v>549</v>
      </c>
      <c r="D2434" t="s">
        <v>21</v>
      </c>
      <c r="E2434" t="s">
        <v>22</v>
      </c>
      <c r="F2434" s="79">
        <v>46022</v>
      </c>
      <c r="G2434">
        <v>2025</v>
      </c>
      <c r="H2434" t="s">
        <v>23</v>
      </c>
      <c r="I2434" t="s">
        <v>32</v>
      </c>
      <c r="J2434">
        <v>100</v>
      </c>
      <c r="K2434">
        <v>100</v>
      </c>
      <c r="L2434" s="39">
        <f t="shared" si="156"/>
        <v>1</v>
      </c>
      <c r="M2434" s="39">
        <f t="shared" si="157"/>
        <v>1</v>
      </c>
      <c r="N2434" t="s">
        <v>128</v>
      </c>
      <c r="O2434" t="s">
        <v>128</v>
      </c>
      <c r="P2434">
        <v>0</v>
      </c>
      <c r="Q2434">
        <v>0</v>
      </c>
      <c r="R2434" t="s">
        <v>1342</v>
      </c>
    </row>
    <row r="2435" spans="1:19" x14ac:dyDescent="0.3">
      <c r="A2435">
        <v>477</v>
      </c>
      <c r="B2435" t="s">
        <v>1343</v>
      </c>
      <c r="C2435" t="s">
        <v>1059</v>
      </c>
      <c r="D2435" t="s">
        <v>27</v>
      </c>
      <c r="E2435" t="s">
        <v>22</v>
      </c>
      <c r="F2435" s="79">
        <v>45473</v>
      </c>
      <c r="G2435">
        <v>2024</v>
      </c>
      <c r="H2435" t="s">
        <v>699</v>
      </c>
      <c r="I2435" t="s">
        <v>729</v>
      </c>
      <c r="J2435">
        <v>100</v>
      </c>
      <c r="K2435">
        <v>100</v>
      </c>
      <c r="L2435" s="39">
        <f t="shared" si="156"/>
        <v>1</v>
      </c>
      <c r="M2435" s="39">
        <f t="shared" si="157"/>
        <v>1</v>
      </c>
      <c r="P2435">
        <v>0</v>
      </c>
      <c r="Q2435">
        <v>0</v>
      </c>
      <c r="R2435" t="s">
        <v>3128</v>
      </c>
    </row>
    <row r="2436" spans="1:19" x14ac:dyDescent="0.3">
      <c r="A2436">
        <v>477</v>
      </c>
      <c r="B2436" t="s">
        <v>1343</v>
      </c>
      <c r="C2436" t="s">
        <v>1059</v>
      </c>
      <c r="D2436" t="s">
        <v>27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100</v>
      </c>
      <c r="K2436">
        <v>100</v>
      </c>
      <c r="L2436" s="39">
        <f t="shared" si="156"/>
        <v>1</v>
      </c>
      <c r="M2436" s="39">
        <f t="shared" si="157"/>
        <v>1</v>
      </c>
      <c r="P2436">
        <v>0</v>
      </c>
      <c r="Q2436">
        <v>0</v>
      </c>
      <c r="R2436" t="s">
        <v>1344</v>
      </c>
    </row>
    <row r="2437" spans="1:19" x14ac:dyDescent="0.3">
      <c r="A2437">
        <v>477</v>
      </c>
      <c r="B2437" t="s">
        <v>1343</v>
      </c>
      <c r="C2437" t="s">
        <v>1059</v>
      </c>
      <c r="D2437" t="s">
        <v>21</v>
      </c>
      <c r="E2437" t="s">
        <v>22</v>
      </c>
      <c r="F2437" s="79">
        <v>45838</v>
      </c>
      <c r="G2437">
        <v>2025</v>
      </c>
      <c r="H2437" t="s">
        <v>699</v>
      </c>
      <c r="I2437" t="s">
        <v>700</v>
      </c>
      <c r="L2437" s="39"/>
      <c r="M2437" s="39"/>
      <c r="N2437" t="s">
        <v>128</v>
      </c>
      <c r="O2437" t="s">
        <v>302</v>
      </c>
      <c r="P2437">
        <v>0</v>
      </c>
      <c r="Q2437">
        <v>0</v>
      </c>
      <c r="R2437" t="s">
        <v>3129</v>
      </c>
      <c r="S2437" t="s">
        <v>302</v>
      </c>
    </row>
    <row r="2438" spans="1:19" x14ac:dyDescent="0.3">
      <c r="A2438">
        <v>478</v>
      </c>
      <c r="B2438" t="s">
        <v>1345</v>
      </c>
      <c r="C2438" t="s">
        <v>1059</v>
      </c>
      <c r="D2438" t="s">
        <v>21</v>
      </c>
      <c r="E2438" t="s">
        <v>22</v>
      </c>
      <c r="F2438" s="79">
        <v>45473</v>
      </c>
      <c r="G2438">
        <v>2024</v>
      </c>
      <c r="H2438" t="s">
        <v>699</v>
      </c>
      <c r="I2438" t="s">
        <v>729</v>
      </c>
      <c r="J2438">
        <v>100</v>
      </c>
      <c r="L2438" s="39"/>
      <c r="M2438" s="39"/>
      <c r="N2438" t="s">
        <v>128</v>
      </c>
      <c r="O2438" t="s">
        <v>302</v>
      </c>
      <c r="P2438">
        <v>0</v>
      </c>
      <c r="Q2438">
        <v>0</v>
      </c>
      <c r="R2438" t="s">
        <v>3130</v>
      </c>
      <c r="S2438" t="s">
        <v>302</v>
      </c>
    </row>
    <row r="2439" spans="1:19" x14ac:dyDescent="0.3">
      <c r="A2439">
        <v>478</v>
      </c>
      <c r="B2439" t="s">
        <v>1345</v>
      </c>
      <c r="C2439" t="s">
        <v>1059</v>
      </c>
      <c r="D2439" t="s">
        <v>27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100</v>
      </c>
      <c r="K2439">
        <v>100</v>
      </c>
      <c r="L2439" s="39">
        <f>IFERROR(IF(OR(J2439=0,K2439=""),"",IF(E2439="Positivo",MIN(MAX(K2439/J2439,0),1.3),MIN(MAX(J2439/K2439,0),1.3))),"")</f>
        <v>1</v>
      </c>
      <c r="M2439" s="39">
        <f>IFERROR(IF(OR(J2439=0,K2439=""),"",IF(E2439="Positivo",MAX(K2439/J2439,0),MAX(J2439/K2439,0))),"")</f>
        <v>1</v>
      </c>
      <c r="P2439">
        <v>0</v>
      </c>
      <c r="Q2439">
        <v>0</v>
      </c>
      <c r="R2439" t="s">
        <v>1346</v>
      </c>
    </row>
    <row r="2440" spans="1:19" x14ac:dyDescent="0.3">
      <c r="A2440">
        <v>478</v>
      </c>
      <c r="B2440" t="s">
        <v>1345</v>
      </c>
      <c r="C2440" t="s">
        <v>1059</v>
      </c>
      <c r="D2440" t="s">
        <v>21</v>
      </c>
      <c r="E2440" t="s">
        <v>22</v>
      </c>
      <c r="F2440" s="79">
        <v>45838</v>
      </c>
      <c r="G2440">
        <v>2025</v>
      </c>
      <c r="H2440" t="s">
        <v>699</v>
      </c>
      <c r="I2440" t="s">
        <v>700</v>
      </c>
      <c r="K2440">
        <v>0</v>
      </c>
      <c r="L2440" s="39"/>
      <c r="M2440" s="39"/>
      <c r="N2440" t="s">
        <v>128</v>
      </c>
      <c r="O2440" t="s">
        <v>128</v>
      </c>
      <c r="P2440">
        <v>0</v>
      </c>
      <c r="Q2440">
        <v>0</v>
      </c>
      <c r="R2440" t="s">
        <v>3131</v>
      </c>
    </row>
    <row r="2441" spans="1:19" x14ac:dyDescent="0.3">
      <c r="A2441">
        <v>478</v>
      </c>
      <c r="B2441" t="s">
        <v>1345</v>
      </c>
      <c r="C2441" t="s">
        <v>1059</v>
      </c>
      <c r="D2441" t="s">
        <v>21</v>
      </c>
      <c r="E2441" t="s">
        <v>22</v>
      </c>
      <c r="F2441" s="79">
        <v>46022</v>
      </c>
      <c r="G2441">
        <v>2025</v>
      </c>
      <c r="H2441" t="s">
        <v>23</v>
      </c>
      <c r="I2441" t="s">
        <v>32</v>
      </c>
      <c r="L2441" s="39"/>
      <c r="M2441" s="39"/>
      <c r="N2441" t="s">
        <v>128</v>
      </c>
      <c r="O2441" t="s">
        <v>302</v>
      </c>
      <c r="P2441">
        <v>0</v>
      </c>
      <c r="Q2441">
        <v>0</v>
      </c>
      <c r="R2441" t="s">
        <v>1347</v>
      </c>
      <c r="S2441" t="s">
        <v>302</v>
      </c>
    </row>
    <row r="2442" spans="1:19" x14ac:dyDescent="0.3">
      <c r="A2442">
        <v>479</v>
      </c>
      <c r="B2442" t="s">
        <v>1348</v>
      </c>
      <c r="C2442" t="s">
        <v>1059</v>
      </c>
      <c r="D2442" t="s">
        <v>27</v>
      </c>
      <c r="E2442" t="s">
        <v>22</v>
      </c>
      <c r="F2442" s="79">
        <v>45473</v>
      </c>
      <c r="G2442">
        <v>2024</v>
      </c>
      <c r="H2442" t="s">
        <v>699</v>
      </c>
      <c r="I2442" t="s">
        <v>729</v>
      </c>
      <c r="J2442">
        <v>100</v>
      </c>
      <c r="K2442">
        <v>100</v>
      </c>
      <c r="L2442" s="39">
        <f>IFERROR(IF(OR(J2442=0,K2442=""),"",IF(E2442="Positivo",MIN(MAX(K2442/J2442,0),1.3),MIN(MAX(J2442/K2442,0),1.3))),"")</f>
        <v>1</v>
      </c>
      <c r="M2442" s="39">
        <f>IFERROR(IF(OR(J2442=0,K2442=""),"",IF(E2442="Positivo",MAX(K2442/J2442,0),MAX(J2442/K2442,0))),"")</f>
        <v>1</v>
      </c>
      <c r="P2442">
        <v>0</v>
      </c>
      <c r="Q2442">
        <v>0</v>
      </c>
      <c r="R2442" t="s">
        <v>3132</v>
      </c>
    </row>
    <row r="2443" spans="1:19" x14ac:dyDescent="0.3">
      <c r="A2443">
        <v>479</v>
      </c>
      <c r="B2443" t="s">
        <v>1348</v>
      </c>
      <c r="C2443" t="s">
        <v>1059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>IFERROR(IF(OR(J2443=0,K2443=""),"",IF(E2443="Positivo",MIN(MAX(K2443/J2443,0),1.3),MIN(MAX(J2443/K2443,0),1.3))),"")</f>
        <v>1</v>
      </c>
      <c r="M2443" s="39">
        <f>IFERROR(IF(OR(J2443=0,K2443=""),"",IF(E2443="Positivo",MAX(K2443/J2443,0),MAX(J2443/K2443,0))),"")</f>
        <v>1</v>
      </c>
      <c r="P2443">
        <v>0</v>
      </c>
      <c r="Q2443">
        <v>0</v>
      </c>
      <c r="R2443" t="s">
        <v>1349</v>
      </c>
    </row>
    <row r="2444" spans="1:19" x14ac:dyDescent="0.3">
      <c r="A2444">
        <v>479</v>
      </c>
      <c r="B2444" t="s">
        <v>1348</v>
      </c>
      <c r="C2444" t="s">
        <v>1059</v>
      </c>
      <c r="D2444" t="s">
        <v>21</v>
      </c>
      <c r="E2444" t="s">
        <v>22</v>
      </c>
      <c r="F2444" s="79">
        <v>45838</v>
      </c>
      <c r="G2444">
        <v>2025</v>
      </c>
      <c r="H2444" t="s">
        <v>699</v>
      </c>
      <c r="I2444" t="s">
        <v>700</v>
      </c>
      <c r="J2444">
        <v>100</v>
      </c>
      <c r="L2444" s="39"/>
      <c r="M2444" s="39"/>
      <c r="N2444" t="s">
        <v>128</v>
      </c>
      <c r="O2444" t="s">
        <v>302</v>
      </c>
      <c r="P2444">
        <v>0</v>
      </c>
      <c r="Q2444">
        <v>0</v>
      </c>
      <c r="R2444" t="s">
        <v>3133</v>
      </c>
      <c r="S2444" t="s">
        <v>302</v>
      </c>
    </row>
    <row r="2445" spans="1:19" x14ac:dyDescent="0.3">
      <c r="A2445">
        <v>480</v>
      </c>
      <c r="B2445" t="s">
        <v>1350</v>
      </c>
      <c r="C2445" t="s">
        <v>1059</v>
      </c>
      <c r="D2445" t="s">
        <v>27</v>
      </c>
      <c r="E2445" t="s">
        <v>22</v>
      </c>
      <c r="F2445" s="79">
        <v>45473</v>
      </c>
      <c r="G2445">
        <v>2024</v>
      </c>
      <c r="H2445" t="s">
        <v>699</v>
      </c>
      <c r="I2445" t="s">
        <v>729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>IFERROR(IF(OR(J2445=0,K2445=""),"",IF(E2445="Positivo",MAX(K2445/J2445,0),MAX(J2445/K2445,0))),"")</f>
        <v>1</v>
      </c>
      <c r="P2445">
        <v>0</v>
      </c>
      <c r="Q2445">
        <v>0</v>
      </c>
      <c r="R2445" t="s">
        <v>3134</v>
      </c>
    </row>
    <row r="2446" spans="1:19" x14ac:dyDescent="0.3">
      <c r="A2446">
        <v>480</v>
      </c>
      <c r="B2446" t="s">
        <v>1350</v>
      </c>
      <c r="C2446" t="s">
        <v>1059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>IFERROR(IF(OR(J2446=0,K2446=""),"",IF(E2446="Positivo",MAX(K2446/J2446,0),MAX(J2446/K2446,0))),"")</f>
        <v>1</v>
      </c>
      <c r="P2446">
        <v>0</v>
      </c>
      <c r="Q2446">
        <v>0</v>
      </c>
      <c r="R2446" t="s">
        <v>1351</v>
      </c>
    </row>
    <row r="2447" spans="1:19" x14ac:dyDescent="0.3">
      <c r="A2447">
        <v>480</v>
      </c>
      <c r="B2447" t="s">
        <v>1350</v>
      </c>
      <c r="C2447" t="s">
        <v>1059</v>
      </c>
      <c r="D2447" t="s">
        <v>21</v>
      </c>
      <c r="E2447" t="s">
        <v>22</v>
      </c>
      <c r="F2447" s="79">
        <v>45838</v>
      </c>
      <c r="G2447">
        <v>2025</v>
      </c>
      <c r="H2447" t="s">
        <v>699</v>
      </c>
      <c r="I2447" t="s">
        <v>700</v>
      </c>
      <c r="J2447">
        <v>100</v>
      </c>
      <c r="L2447" s="39"/>
      <c r="M2447" s="39"/>
      <c r="N2447" t="s">
        <v>128</v>
      </c>
      <c r="O2447" t="s">
        <v>302</v>
      </c>
      <c r="P2447">
        <v>0</v>
      </c>
      <c r="Q2447">
        <v>0</v>
      </c>
      <c r="R2447" t="s">
        <v>3135</v>
      </c>
      <c r="S2447" t="s">
        <v>302</v>
      </c>
    </row>
    <row r="2448" spans="1:19" x14ac:dyDescent="0.3">
      <c r="A2448">
        <v>481</v>
      </c>
      <c r="B2448" t="s">
        <v>1352</v>
      </c>
      <c r="C2448" t="s">
        <v>549</v>
      </c>
      <c r="D2448" t="s">
        <v>27</v>
      </c>
      <c r="E2448" t="s">
        <v>22</v>
      </c>
      <c r="F2448" s="79">
        <v>45473</v>
      </c>
      <c r="G2448">
        <v>2024</v>
      </c>
      <c r="H2448" t="s">
        <v>699</v>
      </c>
      <c r="I2448" t="s">
        <v>729</v>
      </c>
      <c r="J2448">
        <v>100</v>
      </c>
      <c r="K2448">
        <v>100</v>
      </c>
      <c r="L2448" s="39">
        <f>IFERROR(IF(OR(J2448=0,K2448=""),"",IF(E2448="Positivo",MIN(MAX(K2448/J2448,0),1.3),MIN(MAX(J2448/K2448,0),1.3))),"")</f>
        <v>1</v>
      </c>
      <c r="M2448" s="39">
        <f>IFERROR(IF(OR(J2448=0,K2448=""),"",IF(E2448="Positivo",MAX(K2448/J2448,0),MAX(J2448/K2448,0))),"")</f>
        <v>1</v>
      </c>
      <c r="P2448">
        <v>0</v>
      </c>
      <c r="Q2448">
        <v>0</v>
      </c>
      <c r="R2448" t="s">
        <v>3136</v>
      </c>
    </row>
    <row r="2449" spans="1:19" x14ac:dyDescent="0.3">
      <c r="A2449">
        <v>481</v>
      </c>
      <c r="B2449" t="s">
        <v>1352</v>
      </c>
      <c r="C2449" t="s">
        <v>549</v>
      </c>
      <c r="D2449" t="s">
        <v>21</v>
      </c>
      <c r="E2449" t="s">
        <v>22</v>
      </c>
      <c r="F2449" s="79">
        <v>45657</v>
      </c>
      <c r="G2449">
        <v>2024</v>
      </c>
      <c r="H2449" t="s">
        <v>23</v>
      </c>
      <c r="I2449" t="s">
        <v>30</v>
      </c>
      <c r="J2449">
        <v>100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1353</v>
      </c>
      <c r="S2449" t="s">
        <v>302</v>
      </c>
    </row>
    <row r="2450" spans="1:19" x14ac:dyDescent="0.3">
      <c r="A2450">
        <v>481</v>
      </c>
      <c r="B2450" t="s">
        <v>1352</v>
      </c>
      <c r="C2450" t="s">
        <v>549</v>
      </c>
      <c r="D2450" t="s">
        <v>21</v>
      </c>
      <c r="E2450" t="s">
        <v>22</v>
      </c>
      <c r="F2450" s="79">
        <v>45838</v>
      </c>
      <c r="G2450">
        <v>2025</v>
      </c>
      <c r="H2450" t="s">
        <v>699</v>
      </c>
      <c r="I2450" t="s">
        <v>700</v>
      </c>
      <c r="J2450">
        <v>100</v>
      </c>
      <c r="K2450">
        <v>100</v>
      </c>
      <c r="L2450" s="39">
        <f>IFERROR(IF(OR(J2450=0,K2450=""),"",IF(E2450="Positivo",MIN(MAX(K2450/J2450,0),1.3),MIN(MAX(J2450/K2450,0),1.3))),"")</f>
        <v>1</v>
      </c>
      <c r="M2450" s="39">
        <f>IFERROR(IF(OR(J2450=0,K2450=""),"",IF(E2450="Positivo",MAX(K2450/J2450,0),MAX(J2450/K2450,0))),"")</f>
        <v>1</v>
      </c>
      <c r="N2450" t="s">
        <v>25</v>
      </c>
      <c r="O2450" t="s">
        <v>25</v>
      </c>
      <c r="P2450">
        <v>0</v>
      </c>
      <c r="Q2450">
        <v>0</v>
      </c>
      <c r="R2450" t="s">
        <v>3137</v>
      </c>
    </row>
    <row r="2451" spans="1:19" x14ac:dyDescent="0.3">
      <c r="A2451">
        <v>481</v>
      </c>
      <c r="B2451" t="s">
        <v>1352</v>
      </c>
      <c r="C2451" t="s">
        <v>549</v>
      </c>
      <c r="D2451" t="s">
        <v>21</v>
      </c>
      <c r="E2451" t="s">
        <v>22</v>
      </c>
      <c r="F2451" s="79">
        <v>46022</v>
      </c>
      <c r="G2451">
        <v>2025</v>
      </c>
      <c r="H2451" t="s">
        <v>23</v>
      </c>
      <c r="I2451" t="s">
        <v>32</v>
      </c>
      <c r="J2451">
        <v>100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1354</v>
      </c>
      <c r="S2451" t="s">
        <v>302</v>
      </c>
    </row>
    <row r="2452" spans="1:19" x14ac:dyDescent="0.3">
      <c r="A2452">
        <v>483</v>
      </c>
      <c r="B2452" t="s">
        <v>1355</v>
      </c>
      <c r="C2452" t="s">
        <v>1066</v>
      </c>
      <c r="D2452" t="s">
        <v>71</v>
      </c>
      <c r="E2452" t="s">
        <v>22</v>
      </c>
      <c r="F2452" s="79">
        <v>45657</v>
      </c>
      <c r="G2452">
        <v>2024</v>
      </c>
      <c r="H2452" t="s">
        <v>23</v>
      </c>
      <c r="I2452" t="s">
        <v>30</v>
      </c>
      <c r="J2452">
        <v>10</v>
      </c>
      <c r="K2452">
        <v>91.65</v>
      </c>
      <c r="L2452" s="39">
        <f t="shared" ref="L2452:L2459" si="158">IFERROR(IF(OR(J2452=0,K2452=""),"",IF(E2452="Positivo",MIN(MAX(K2452/J2452,0),1.3),MIN(MAX(J2452/K2452,0),1.3))),"")</f>
        <v>1.3</v>
      </c>
      <c r="M2452" s="39">
        <f t="shared" ref="M2452:M2459" si="159">IFERROR(IF(OR(J2452=0,K2452=""),"",IF(E2452="Positivo",MAX(K2452/J2452,0),MAX(J2452/K2452,0))),"")</f>
        <v>9.1650000000000009</v>
      </c>
      <c r="P2452">
        <v>0</v>
      </c>
      <c r="Q2452">
        <v>0</v>
      </c>
      <c r="R2452" t="s">
        <v>1356</v>
      </c>
    </row>
    <row r="2453" spans="1:19" x14ac:dyDescent="0.3">
      <c r="A2453">
        <v>484</v>
      </c>
      <c r="B2453" t="s">
        <v>1357</v>
      </c>
      <c r="C2453" t="s">
        <v>70</v>
      </c>
      <c r="D2453" t="s">
        <v>21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J2453">
        <v>90</v>
      </c>
      <c r="K2453">
        <v>100</v>
      </c>
      <c r="L2453" s="39">
        <f t="shared" si="158"/>
        <v>1.1111111111111112</v>
      </c>
      <c r="M2453" s="39">
        <f t="shared" si="159"/>
        <v>1.1111111111111112</v>
      </c>
      <c r="N2453" t="s">
        <v>25</v>
      </c>
      <c r="O2453" t="s">
        <v>25</v>
      </c>
      <c r="P2453">
        <v>0</v>
      </c>
      <c r="Q2453">
        <v>0</v>
      </c>
      <c r="R2453" t="s">
        <v>3138</v>
      </c>
    </row>
    <row r="2454" spans="1:19" x14ac:dyDescent="0.3">
      <c r="A2454">
        <v>484</v>
      </c>
      <c r="B2454" t="s">
        <v>1357</v>
      </c>
      <c r="C2454" t="s">
        <v>70</v>
      </c>
      <c r="D2454" t="s">
        <v>21</v>
      </c>
      <c r="E2454" t="s">
        <v>22</v>
      </c>
      <c r="F2454" s="79">
        <v>45565</v>
      </c>
      <c r="G2454">
        <v>2024</v>
      </c>
      <c r="H2454" t="s">
        <v>162</v>
      </c>
      <c r="I2454" t="s">
        <v>30</v>
      </c>
      <c r="J2454">
        <v>90</v>
      </c>
      <c r="K2454">
        <v>100</v>
      </c>
      <c r="L2454" s="39">
        <f t="shared" si="158"/>
        <v>1.1111111111111112</v>
      </c>
      <c r="M2454" s="39">
        <f t="shared" si="159"/>
        <v>1.1111111111111112</v>
      </c>
      <c r="N2454" t="s">
        <v>25</v>
      </c>
      <c r="O2454" t="s">
        <v>25</v>
      </c>
      <c r="P2454">
        <v>0</v>
      </c>
      <c r="Q2454">
        <v>0</v>
      </c>
      <c r="R2454" t="s">
        <v>3139</v>
      </c>
    </row>
    <row r="2455" spans="1:19" x14ac:dyDescent="0.3">
      <c r="A2455">
        <v>484</v>
      </c>
      <c r="B2455" t="s">
        <v>1357</v>
      </c>
      <c r="C2455" t="s">
        <v>70</v>
      </c>
      <c r="D2455" t="s">
        <v>21</v>
      </c>
      <c r="E2455" t="s">
        <v>22</v>
      </c>
      <c r="F2455" s="79">
        <v>45657</v>
      </c>
      <c r="G2455">
        <v>2024</v>
      </c>
      <c r="H2455" t="s">
        <v>23</v>
      </c>
      <c r="I2455" t="s">
        <v>30</v>
      </c>
      <c r="J2455">
        <v>90</v>
      </c>
      <c r="K2455">
        <v>100</v>
      </c>
      <c r="L2455" s="39">
        <f t="shared" si="158"/>
        <v>1.1111111111111112</v>
      </c>
      <c r="M2455" s="39">
        <f t="shared" si="159"/>
        <v>1.1111111111111112</v>
      </c>
      <c r="N2455" t="s">
        <v>25</v>
      </c>
      <c r="O2455" t="s">
        <v>25</v>
      </c>
      <c r="P2455">
        <v>0</v>
      </c>
      <c r="Q2455">
        <v>0</v>
      </c>
      <c r="R2455" t="s">
        <v>1358</v>
      </c>
    </row>
    <row r="2456" spans="1:19" x14ac:dyDescent="0.3">
      <c r="A2456">
        <v>484</v>
      </c>
      <c r="B2456" t="s">
        <v>1357</v>
      </c>
      <c r="C2456" t="s">
        <v>70</v>
      </c>
      <c r="D2456" t="s">
        <v>21</v>
      </c>
      <c r="E2456" t="s">
        <v>22</v>
      </c>
      <c r="F2456" s="79">
        <v>45747</v>
      </c>
      <c r="G2456">
        <v>2025</v>
      </c>
      <c r="H2456" t="s">
        <v>1516</v>
      </c>
      <c r="I2456" t="s">
        <v>700</v>
      </c>
      <c r="J2456">
        <v>90</v>
      </c>
      <c r="K2456">
        <v>100</v>
      </c>
      <c r="L2456" s="39">
        <f t="shared" si="158"/>
        <v>1.1111111111111112</v>
      </c>
      <c r="M2456" s="39">
        <f t="shared" si="159"/>
        <v>1.1111111111111112</v>
      </c>
      <c r="N2456" t="s">
        <v>25</v>
      </c>
      <c r="O2456" t="s">
        <v>25</v>
      </c>
      <c r="P2456">
        <v>0</v>
      </c>
      <c r="Q2456">
        <v>0</v>
      </c>
      <c r="R2456" t="s">
        <v>3140</v>
      </c>
    </row>
    <row r="2457" spans="1:19" x14ac:dyDescent="0.3">
      <c r="A2457">
        <v>484</v>
      </c>
      <c r="B2457" t="s">
        <v>1357</v>
      </c>
      <c r="C2457" t="s">
        <v>70</v>
      </c>
      <c r="D2457" t="s">
        <v>21</v>
      </c>
      <c r="E2457" t="s">
        <v>22</v>
      </c>
      <c r="F2457" s="79">
        <v>45838</v>
      </c>
      <c r="G2457">
        <v>2025</v>
      </c>
      <c r="H2457" t="s">
        <v>699</v>
      </c>
      <c r="I2457" t="s">
        <v>700</v>
      </c>
      <c r="J2457">
        <v>90</v>
      </c>
      <c r="K2457">
        <v>100</v>
      </c>
      <c r="L2457" s="39">
        <f t="shared" si="158"/>
        <v>1.1111111111111112</v>
      </c>
      <c r="M2457" s="39">
        <f t="shared" si="159"/>
        <v>1.1111111111111112</v>
      </c>
      <c r="N2457" t="s">
        <v>25</v>
      </c>
      <c r="O2457" t="s">
        <v>25</v>
      </c>
      <c r="P2457">
        <v>0</v>
      </c>
      <c r="Q2457">
        <v>0</v>
      </c>
      <c r="R2457" t="s">
        <v>3141</v>
      </c>
    </row>
    <row r="2458" spans="1:19" x14ac:dyDescent="0.3">
      <c r="A2458">
        <v>484</v>
      </c>
      <c r="B2458" t="s">
        <v>1357</v>
      </c>
      <c r="C2458" t="s">
        <v>70</v>
      </c>
      <c r="D2458" t="s">
        <v>27</v>
      </c>
      <c r="E2458" t="s">
        <v>22</v>
      </c>
      <c r="F2458" s="79">
        <v>45930</v>
      </c>
      <c r="G2458">
        <v>2025</v>
      </c>
      <c r="H2458" t="s">
        <v>162</v>
      </c>
      <c r="I2458" t="s">
        <v>32</v>
      </c>
      <c r="J2458">
        <v>90</v>
      </c>
      <c r="K2458">
        <v>100</v>
      </c>
      <c r="L2458" s="39">
        <f t="shared" si="158"/>
        <v>1.1111111111111112</v>
      </c>
      <c r="M2458" s="39">
        <f t="shared" si="159"/>
        <v>1.1111111111111112</v>
      </c>
      <c r="N2458" t="s">
        <v>25</v>
      </c>
      <c r="O2458" t="s">
        <v>25</v>
      </c>
      <c r="P2458">
        <v>0</v>
      </c>
      <c r="Q2458">
        <v>0</v>
      </c>
      <c r="R2458" t="s">
        <v>3142</v>
      </c>
    </row>
    <row r="2459" spans="1:19" x14ac:dyDescent="0.3">
      <c r="A2459">
        <v>484</v>
      </c>
      <c r="B2459" t="s">
        <v>1357</v>
      </c>
      <c r="C2459" t="s">
        <v>70</v>
      </c>
      <c r="D2459" t="s">
        <v>27</v>
      </c>
      <c r="E2459" t="s">
        <v>22</v>
      </c>
      <c r="F2459" s="79">
        <v>46022</v>
      </c>
      <c r="G2459">
        <v>2025</v>
      </c>
      <c r="H2459" t="s">
        <v>23</v>
      </c>
      <c r="I2459" t="s">
        <v>32</v>
      </c>
      <c r="J2459">
        <v>90</v>
      </c>
      <c r="K2459">
        <v>100</v>
      </c>
      <c r="L2459" s="39">
        <f t="shared" si="158"/>
        <v>1.1111111111111112</v>
      </c>
      <c r="M2459" s="39">
        <f t="shared" si="159"/>
        <v>1.1111111111111112</v>
      </c>
      <c r="N2459" t="s">
        <v>25</v>
      </c>
      <c r="O2459" t="s">
        <v>25</v>
      </c>
      <c r="P2459">
        <v>0</v>
      </c>
      <c r="Q2459">
        <v>0</v>
      </c>
      <c r="R2459" t="s">
        <v>1359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45322</v>
      </c>
      <c r="G2460">
        <v>2024</v>
      </c>
      <c r="H2460" t="s">
        <v>59</v>
      </c>
      <c r="I2460" t="s">
        <v>729</v>
      </c>
      <c r="L2460" s="39"/>
      <c r="M2460" s="39"/>
      <c r="N2460" t="s">
        <v>25</v>
      </c>
      <c r="O2460" t="s">
        <v>302</v>
      </c>
      <c r="P2460">
        <v>0</v>
      </c>
      <c r="Q2460">
        <v>0</v>
      </c>
      <c r="R2460" t="s">
        <v>3143</v>
      </c>
      <c r="S2460" t="s">
        <v>302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45351</v>
      </c>
      <c r="G2461">
        <v>2024</v>
      </c>
      <c r="H2461" t="s">
        <v>210</v>
      </c>
      <c r="I2461" t="s">
        <v>729</v>
      </c>
      <c r="L2461" s="39"/>
      <c r="M2461" s="39"/>
      <c r="N2461" t="s">
        <v>25</v>
      </c>
      <c r="O2461" t="s">
        <v>302</v>
      </c>
      <c r="P2461">
        <v>0</v>
      </c>
      <c r="Q2461">
        <v>0</v>
      </c>
      <c r="R2461" t="s">
        <v>3144</v>
      </c>
      <c r="S2461" t="s">
        <v>302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45382</v>
      </c>
      <c r="G2462">
        <v>2024</v>
      </c>
      <c r="H2462" t="s">
        <v>1516</v>
      </c>
      <c r="I2462" t="s">
        <v>729</v>
      </c>
      <c r="L2462" s="39"/>
      <c r="M2462" s="39"/>
      <c r="N2462" t="s">
        <v>25</v>
      </c>
      <c r="O2462" t="s">
        <v>302</v>
      </c>
      <c r="P2462">
        <v>0</v>
      </c>
      <c r="Q2462">
        <v>0</v>
      </c>
      <c r="R2462" t="s">
        <v>3145</v>
      </c>
      <c r="S2462" t="s">
        <v>302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45412</v>
      </c>
      <c r="G2463">
        <v>2024</v>
      </c>
      <c r="H2463" t="s">
        <v>1540</v>
      </c>
      <c r="I2463" t="s">
        <v>729</v>
      </c>
      <c r="L2463" s="39"/>
      <c r="M2463" s="39"/>
      <c r="N2463" t="s">
        <v>25</v>
      </c>
      <c r="O2463" t="s">
        <v>302</v>
      </c>
      <c r="P2463">
        <v>0</v>
      </c>
      <c r="Q2463">
        <v>0</v>
      </c>
      <c r="R2463" t="s">
        <v>3146</v>
      </c>
      <c r="S2463" t="s">
        <v>302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45443</v>
      </c>
      <c r="G2464">
        <v>2024</v>
      </c>
      <c r="H2464" t="s">
        <v>1542</v>
      </c>
      <c r="I2464" t="s">
        <v>729</v>
      </c>
      <c r="L2464" s="39"/>
      <c r="M2464" s="39"/>
      <c r="N2464" t="s">
        <v>25</v>
      </c>
      <c r="O2464" t="s">
        <v>302</v>
      </c>
      <c r="P2464">
        <v>0</v>
      </c>
      <c r="Q2464">
        <v>0</v>
      </c>
      <c r="R2464" t="s">
        <v>3147</v>
      </c>
      <c r="S2464" t="s">
        <v>302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45473</v>
      </c>
      <c r="G2465">
        <v>2024</v>
      </c>
      <c r="H2465" t="s">
        <v>699</v>
      </c>
      <c r="I2465" t="s">
        <v>729</v>
      </c>
      <c r="L2465" s="39"/>
      <c r="M2465" s="39"/>
      <c r="N2465" t="s">
        <v>25</v>
      </c>
      <c r="O2465" t="s">
        <v>302</v>
      </c>
      <c r="P2465">
        <v>0</v>
      </c>
      <c r="Q2465">
        <v>0</v>
      </c>
      <c r="R2465" t="s">
        <v>3148</v>
      </c>
      <c r="S2465" t="s">
        <v>302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45504</v>
      </c>
      <c r="G2466">
        <v>2024</v>
      </c>
      <c r="H2466" t="s">
        <v>260</v>
      </c>
      <c r="I2466" t="s">
        <v>30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3149</v>
      </c>
      <c r="S2466" t="s">
        <v>302</v>
      </c>
    </row>
    <row r="2467" spans="1:19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45565</v>
      </c>
      <c r="G2467">
        <v>2024</v>
      </c>
      <c r="H2467" t="s">
        <v>162</v>
      </c>
      <c r="I2467" t="s">
        <v>30</v>
      </c>
      <c r="J2467">
        <v>80</v>
      </c>
      <c r="K2467">
        <v>100</v>
      </c>
      <c r="L2467" s="39">
        <f t="shared" ref="L2467:L2481" si="160">IFERROR(IF(OR(J2467=0,K2467=""),"",IF(E2467="Positivo",MIN(MAX(K2467/J2467,0),1.3),MIN(MAX(J2467/K2467,0),1.3))),"")</f>
        <v>1.25</v>
      </c>
      <c r="M2467" s="39">
        <f t="shared" ref="M2467:M2481" si="161">IFERROR(IF(OR(J2467=0,K2467=""),"",IF(E2467="Positivo",MAX(K2467/J2467,0),MAX(J2467/K2467,0))),"")</f>
        <v>1.25</v>
      </c>
      <c r="P2467">
        <v>0</v>
      </c>
      <c r="Q2467">
        <v>0</v>
      </c>
      <c r="R2467" t="s">
        <v>3150</v>
      </c>
    </row>
    <row r="2468" spans="1:19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45596</v>
      </c>
      <c r="G2468">
        <v>2024</v>
      </c>
      <c r="H2468" t="s">
        <v>150</v>
      </c>
      <c r="I2468" t="s">
        <v>30</v>
      </c>
      <c r="J2468">
        <v>80</v>
      </c>
      <c r="K2468">
        <v>100</v>
      </c>
      <c r="L2468" s="39">
        <f t="shared" si="160"/>
        <v>1.25</v>
      </c>
      <c r="M2468" s="39">
        <f t="shared" si="161"/>
        <v>1.25</v>
      </c>
      <c r="P2468">
        <v>0</v>
      </c>
      <c r="Q2468">
        <v>0</v>
      </c>
      <c r="R2468" t="s">
        <v>3151</v>
      </c>
    </row>
    <row r="2469" spans="1:19" x14ac:dyDescent="0.3">
      <c r="A2469">
        <v>485</v>
      </c>
      <c r="B2469" t="s">
        <v>1360</v>
      </c>
      <c r="C2469" t="s">
        <v>198</v>
      </c>
      <c r="D2469" t="s">
        <v>54</v>
      </c>
      <c r="E2469" t="s">
        <v>22</v>
      </c>
      <c r="F2469" s="79">
        <v>45626</v>
      </c>
      <c r="G2469">
        <v>2024</v>
      </c>
      <c r="H2469" t="s">
        <v>1550</v>
      </c>
      <c r="I2469" t="s">
        <v>30</v>
      </c>
      <c r="J2469">
        <v>80</v>
      </c>
      <c r="K2469">
        <v>100</v>
      </c>
      <c r="L2469" s="39">
        <f t="shared" si="160"/>
        <v>1.25</v>
      </c>
      <c r="M2469" s="39">
        <f t="shared" si="161"/>
        <v>1.25</v>
      </c>
      <c r="P2469">
        <v>0</v>
      </c>
      <c r="Q2469">
        <v>0</v>
      </c>
      <c r="R2469" t="s">
        <v>3152</v>
      </c>
    </row>
    <row r="2470" spans="1:19" x14ac:dyDescent="0.3">
      <c r="A2470">
        <v>485</v>
      </c>
      <c r="B2470" t="s">
        <v>1360</v>
      </c>
      <c r="C2470" t="s">
        <v>198</v>
      </c>
      <c r="D2470" t="s">
        <v>54</v>
      </c>
      <c r="E2470" t="s">
        <v>22</v>
      </c>
      <c r="F2470" s="79">
        <v>45657</v>
      </c>
      <c r="G2470">
        <v>2024</v>
      </c>
      <c r="H2470" t="s">
        <v>23</v>
      </c>
      <c r="I2470" t="s">
        <v>30</v>
      </c>
      <c r="J2470">
        <v>80</v>
      </c>
      <c r="K2470">
        <v>66.666666666666657</v>
      </c>
      <c r="L2470" s="39">
        <f t="shared" si="160"/>
        <v>0.83333333333333326</v>
      </c>
      <c r="M2470" s="39">
        <f t="shared" si="161"/>
        <v>0.83333333333333326</v>
      </c>
      <c r="P2470">
        <v>0</v>
      </c>
      <c r="Q2470">
        <v>0</v>
      </c>
      <c r="R2470" t="s">
        <v>1361</v>
      </c>
    </row>
    <row r="2471" spans="1:19" x14ac:dyDescent="0.3">
      <c r="A2471">
        <v>485</v>
      </c>
      <c r="B2471" t="s">
        <v>1360</v>
      </c>
      <c r="C2471" t="s">
        <v>198</v>
      </c>
      <c r="D2471" t="s">
        <v>54</v>
      </c>
      <c r="E2471" t="s">
        <v>22</v>
      </c>
      <c r="F2471" s="79">
        <v>45688</v>
      </c>
      <c r="G2471">
        <v>2025</v>
      </c>
      <c r="H2471" t="s">
        <v>59</v>
      </c>
      <c r="I2471" t="s">
        <v>700</v>
      </c>
      <c r="J2471">
        <v>80</v>
      </c>
      <c r="K2471">
        <v>100</v>
      </c>
      <c r="L2471" s="39">
        <f t="shared" si="160"/>
        <v>1.25</v>
      </c>
      <c r="M2471" s="39">
        <f t="shared" si="161"/>
        <v>1.25</v>
      </c>
      <c r="P2471">
        <v>0</v>
      </c>
      <c r="Q2471">
        <v>0</v>
      </c>
      <c r="R2471" t="s">
        <v>3153</v>
      </c>
    </row>
    <row r="2472" spans="1:19" x14ac:dyDescent="0.3">
      <c r="A2472">
        <v>485</v>
      </c>
      <c r="B2472" t="s">
        <v>1360</v>
      </c>
      <c r="C2472" t="s">
        <v>198</v>
      </c>
      <c r="D2472" t="s">
        <v>54</v>
      </c>
      <c r="E2472" t="s">
        <v>22</v>
      </c>
      <c r="F2472" s="79">
        <v>45716</v>
      </c>
      <c r="G2472">
        <v>2025</v>
      </c>
      <c r="H2472" t="s">
        <v>210</v>
      </c>
      <c r="I2472" t="s">
        <v>700</v>
      </c>
      <c r="J2472">
        <v>80</v>
      </c>
      <c r="K2472">
        <v>50</v>
      </c>
      <c r="L2472" s="39">
        <f t="shared" si="160"/>
        <v>0.625</v>
      </c>
      <c r="M2472" s="39">
        <f t="shared" si="161"/>
        <v>0.625</v>
      </c>
      <c r="P2472">
        <v>0</v>
      </c>
      <c r="Q2472">
        <v>0</v>
      </c>
      <c r="R2472" t="s">
        <v>3154</v>
      </c>
    </row>
    <row r="2473" spans="1:19" x14ac:dyDescent="0.3">
      <c r="A2473">
        <v>485</v>
      </c>
      <c r="B2473" t="s">
        <v>1360</v>
      </c>
      <c r="C2473" t="s">
        <v>198</v>
      </c>
      <c r="D2473" t="s">
        <v>54</v>
      </c>
      <c r="E2473" t="s">
        <v>22</v>
      </c>
      <c r="F2473" s="79">
        <v>45747</v>
      </c>
      <c r="G2473">
        <v>2025</v>
      </c>
      <c r="H2473" t="s">
        <v>1516</v>
      </c>
      <c r="I2473" t="s">
        <v>700</v>
      </c>
      <c r="J2473">
        <v>80</v>
      </c>
      <c r="K2473">
        <v>100</v>
      </c>
      <c r="L2473" s="39">
        <f t="shared" si="160"/>
        <v>1.25</v>
      </c>
      <c r="M2473" s="39">
        <f t="shared" si="161"/>
        <v>1.25</v>
      </c>
      <c r="P2473">
        <v>0</v>
      </c>
      <c r="Q2473">
        <v>0</v>
      </c>
      <c r="R2473" t="s">
        <v>3155</v>
      </c>
    </row>
    <row r="2474" spans="1:19" x14ac:dyDescent="0.3">
      <c r="A2474">
        <v>485</v>
      </c>
      <c r="B2474" t="s">
        <v>1360</v>
      </c>
      <c r="C2474" t="s">
        <v>198</v>
      </c>
      <c r="D2474" t="s">
        <v>54</v>
      </c>
      <c r="E2474" t="s">
        <v>22</v>
      </c>
      <c r="F2474" s="79">
        <v>45777</v>
      </c>
      <c r="G2474">
        <v>2025</v>
      </c>
      <c r="H2474" t="s">
        <v>1540</v>
      </c>
      <c r="I2474" t="s">
        <v>700</v>
      </c>
      <c r="J2474">
        <v>80</v>
      </c>
      <c r="K2474">
        <v>100</v>
      </c>
      <c r="L2474" s="39">
        <f t="shared" si="160"/>
        <v>1.25</v>
      </c>
      <c r="M2474" s="39">
        <f t="shared" si="161"/>
        <v>1.25</v>
      </c>
      <c r="P2474">
        <v>0</v>
      </c>
      <c r="Q2474">
        <v>0</v>
      </c>
      <c r="R2474" t="s">
        <v>3156</v>
      </c>
    </row>
    <row r="2475" spans="1:19" x14ac:dyDescent="0.3">
      <c r="A2475">
        <v>485</v>
      </c>
      <c r="B2475" t="s">
        <v>1360</v>
      </c>
      <c r="C2475" t="s">
        <v>198</v>
      </c>
      <c r="D2475" t="s">
        <v>54</v>
      </c>
      <c r="E2475" t="s">
        <v>22</v>
      </c>
      <c r="F2475" s="79">
        <v>45808</v>
      </c>
      <c r="G2475">
        <v>2025</v>
      </c>
      <c r="H2475" t="s">
        <v>1542</v>
      </c>
      <c r="I2475" t="s">
        <v>700</v>
      </c>
      <c r="J2475">
        <v>80</v>
      </c>
      <c r="K2475">
        <v>100</v>
      </c>
      <c r="L2475" s="39">
        <f t="shared" si="160"/>
        <v>1.25</v>
      </c>
      <c r="M2475" s="39">
        <f t="shared" si="161"/>
        <v>1.25</v>
      </c>
      <c r="P2475">
        <v>0</v>
      </c>
      <c r="Q2475">
        <v>0</v>
      </c>
      <c r="R2475" t="s">
        <v>3157</v>
      </c>
    </row>
    <row r="2476" spans="1:19" x14ac:dyDescent="0.3">
      <c r="A2476">
        <v>485</v>
      </c>
      <c r="B2476" t="s">
        <v>1360</v>
      </c>
      <c r="C2476" t="s">
        <v>198</v>
      </c>
      <c r="D2476" t="s">
        <v>54</v>
      </c>
      <c r="E2476" t="s">
        <v>22</v>
      </c>
      <c r="F2476" s="79">
        <v>45838</v>
      </c>
      <c r="G2476">
        <v>2025</v>
      </c>
      <c r="H2476" t="s">
        <v>699</v>
      </c>
      <c r="I2476" t="s">
        <v>700</v>
      </c>
      <c r="J2476">
        <v>80</v>
      </c>
      <c r="K2476">
        <v>66.67</v>
      </c>
      <c r="L2476" s="39">
        <f t="shared" si="160"/>
        <v>0.83337499999999998</v>
      </c>
      <c r="M2476" s="39">
        <f t="shared" si="161"/>
        <v>0.83337499999999998</v>
      </c>
      <c r="P2476">
        <v>0</v>
      </c>
      <c r="Q2476">
        <v>0</v>
      </c>
      <c r="R2476" t="s">
        <v>3158</v>
      </c>
    </row>
    <row r="2477" spans="1:19" x14ac:dyDescent="0.3">
      <c r="A2477">
        <v>485</v>
      </c>
      <c r="B2477" t="s">
        <v>1360</v>
      </c>
      <c r="C2477" t="s">
        <v>198</v>
      </c>
      <c r="D2477" t="s">
        <v>54</v>
      </c>
      <c r="E2477" t="s">
        <v>22</v>
      </c>
      <c r="F2477" s="79">
        <v>45869</v>
      </c>
      <c r="G2477">
        <v>2025</v>
      </c>
      <c r="H2477" t="s">
        <v>260</v>
      </c>
      <c r="I2477" t="s">
        <v>32</v>
      </c>
      <c r="J2477">
        <v>80</v>
      </c>
      <c r="K2477">
        <v>66.67</v>
      </c>
      <c r="L2477" s="39">
        <f t="shared" si="160"/>
        <v>0.83337499999999998</v>
      </c>
      <c r="M2477" s="39">
        <f t="shared" si="161"/>
        <v>0.83337499999999998</v>
      </c>
      <c r="P2477">
        <v>0</v>
      </c>
      <c r="Q2477">
        <v>0</v>
      </c>
      <c r="R2477" t="s">
        <v>3159</v>
      </c>
    </row>
    <row r="2478" spans="1:19" x14ac:dyDescent="0.3">
      <c r="A2478">
        <v>485</v>
      </c>
      <c r="B2478" t="s">
        <v>1360</v>
      </c>
      <c r="C2478" t="s">
        <v>198</v>
      </c>
      <c r="D2478" t="s">
        <v>54</v>
      </c>
      <c r="E2478" t="s">
        <v>22</v>
      </c>
      <c r="F2478" s="79">
        <v>45900</v>
      </c>
      <c r="G2478">
        <v>2025</v>
      </c>
      <c r="H2478" t="s">
        <v>1546</v>
      </c>
      <c r="I2478" t="s">
        <v>32</v>
      </c>
      <c r="J2478">
        <v>80</v>
      </c>
      <c r="K2478">
        <v>50</v>
      </c>
      <c r="L2478" s="39">
        <f t="shared" si="160"/>
        <v>0.625</v>
      </c>
      <c r="M2478" s="39">
        <f t="shared" si="161"/>
        <v>0.625</v>
      </c>
      <c r="N2478" t="s">
        <v>25</v>
      </c>
      <c r="O2478" t="s">
        <v>25</v>
      </c>
      <c r="P2478">
        <v>0</v>
      </c>
      <c r="Q2478">
        <v>0</v>
      </c>
      <c r="R2478" t="s">
        <v>3160</v>
      </c>
    </row>
    <row r="2479" spans="1:19" x14ac:dyDescent="0.3">
      <c r="A2479">
        <v>485</v>
      </c>
      <c r="B2479" t="s">
        <v>1360</v>
      </c>
      <c r="C2479" t="s">
        <v>198</v>
      </c>
      <c r="D2479" t="s">
        <v>54</v>
      </c>
      <c r="E2479" t="s">
        <v>22</v>
      </c>
      <c r="F2479" s="79">
        <v>45930</v>
      </c>
      <c r="G2479">
        <v>2025</v>
      </c>
      <c r="H2479" t="s">
        <v>162</v>
      </c>
      <c r="I2479" t="s">
        <v>32</v>
      </c>
      <c r="J2479">
        <v>80</v>
      </c>
      <c r="K2479">
        <v>62.5</v>
      </c>
      <c r="L2479" s="39">
        <f t="shared" si="160"/>
        <v>0.78125</v>
      </c>
      <c r="M2479" s="39">
        <f t="shared" si="161"/>
        <v>0.78125</v>
      </c>
      <c r="N2479" t="s">
        <v>25</v>
      </c>
      <c r="O2479" t="s">
        <v>25</v>
      </c>
      <c r="P2479">
        <v>0</v>
      </c>
      <c r="Q2479">
        <v>0</v>
      </c>
      <c r="R2479" t="s">
        <v>3161</v>
      </c>
    </row>
    <row r="2480" spans="1:19" x14ac:dyDescent="0.3">
      <c r="A2480">
        <v>485</v>
      </c>
      <c r="B2480" t="s">
        <v>1360</v>
      </c>
      <c r="C2480" t="s">
        <v>198</v>
      </c>
      <c r="D2480" t="s">
        <v>54</v>
      </c>
      <c r="E2480" t="s">
        <v>22</v>
      </c>
      <c r="F2480" s="79">
        <v>45961</v>
      </c>
      <c r="G2480">
        <v>2025</v>
      </c>
      <c r="H2480" t="s">
        <v>150</v>
      </c>
      <c r="I2480" t="s">
        <v>32</v>
      </c>
      <c r="J2480">
        <v>80</v>
      </c>
      <c r="K2480">
        <v>100</v>
      </c>
      <c r="L2480" s="39">
        <f t="shared" si="160"/>
        <v>1.25</v>
      </c>
      <c r="M2480" s="39">
        <f t="shared" si="161"/>
        <v>1.25</v>
      </c>
      <c r="N2480" t="s">
        <v>25</v>
      </c>
      <c r="O2480" t="s">
        <v>25</v>
      </c>
      <c r="P2480">
        <v>0</v>
      </c>
      <c r="Q2480">
        <v>0</v>
      </c>
      <c r="R2480" t="s">
        <v>3162</v>
      </c>
    </row>
    <row r="2481" spans="1:19" x14ac:dyDescent="0.3">
      <c r="A2481">
        <v>485</v>
      </c>
      <c r="B2481" t="s">
        <v>1360</v>
      </c>
      <c r="C2481" t="s">
        <v>198</v>
      </c>
      <c r="D2481" t="s">
        <v>54</v>
      </c>
      <c r="E2481" t="s">
        <v>22</v>
      </c>
      <c r="F2481" s="79">
        <v>45991</v>
      </c>
      <c r="G2481">
        <v>2025</v>
      </c>
      <c r="H2481" t="s">
        <v>1550</v>
      </c>
      <c r="I2481" t="s">
        <v>32</v>
      </c>
      <c r="J2481">
        <v>80</v>
      </c>
      <c r="K2481">
        <v>85.71</v>
      </c>
      <c r="L2481" s="39">
        <f t="shared" si="160"/>
        <v>1.071375</v>
      </c>
      <c r="M2481" s="39">
        <f t="shared" si="161"/>
        <v>1.071375</v>
      </c>
      <c r="N2481" t="s">
        <v>25</v>
      </c>
      <c r="O2481" t="s">
        <v>25</v>
      </c>
      <c r="P2481">
        <v>0</v>
      </c>
      <c r="Q2481">
        <v>0</v>
      </c>
      <c r="R2481" t="s">
        <v>3163</v>
      </c>
    </row>
    <row r="2482" spans="1:19" x14ac:dyDescent="0.3">
      <c r="A2482">
        <v>485</v>
      </c>
      <c r="B2482" t="s">
        <v>1360</v>
      </c>
      <c r="C2482" t="s">
        <v>198</v>
      </c>
      <c r="D2482" t="s">
        <v>54</v>
      </c>
      <c r="E2482" t="s">
        <v>22</v>
      </c>
      <c r="F2482" s="79">
        <v>46022</v>
      </c>
      <c r="G2482">
        <v>2025</v>
      </c>
      <c r="H2482" t="s">
        <v>23</v>
      </c>
      <c r="I2482" t="s">
        <v>32</v>
      </c>
      <c r="J2482">
        <v>80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1362</v>
      </c>
      <c r="S2482" t="s">
        <v>302</v>
      </c>
    </row>
    <row r="2483" spans="1:19" x14ac:dyDescent="0.3">
      <c r="A2483">
        <v>486</v>
      </c>
      <c r="B2483" t="s">
        <v>1363</v>
      </c>
      <c r="C2483" t="s">
        <v>149</v>
      </c>
      <c r="D2483" t="s">
        <v>27</v>
      </c>
      <c r="E2483" t="s">
        <v>22</v>
      </c>
      <c r="F2483" s="79">
        <v>45473</v>
      </c>
      <c r="G2483">
        <v>2024</v>
      </c>
      <c r="H2483" t="s">
        <v>699</v>
      </c>
      <c r="I2483" t="s">
        <v>729</v>
      </c>
      <c r="K2483">
        <v>4900000</v>
      </c>
      <c r="L2483" s="39"/>
      <c r="M2483" s="39"/>
      <c r="N2483" t="s">
        <v>302</v>
      </c>
      <c r="O2483" t="s">
        <v>302</v>
      </c>
      <c r="P2483">
        <v>0</v>
      </c>
      <c r="Q2483">
        <v>0</v>
      </c>
      <c r="R2483" t="s">
        <v>3164</v>
      </c>
    </row>
    <row r="2484" spans="1:19" x14ac:dyDescent="0.3">
      <c r="A2484">
        <v>486</v>
      </c>
      <c r="B2484" t="s">
        <v>1363</v>
      </c>
      <c r="C2484" t="s">
        <v>149</v>
      </c>
      <c r="D2484" t="s">
        <v>27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K2484">
        <v>2700000</v>
      </c>
      <c r="L2484" s="39"/>
      <c r="M2484" s="39"/>
      <c r="N2484" t="s">
        <v>302</v>
      </c>
      <c r="O2484" t="s">
        <v>302</v>
      </c>
      <c r="P2484">
        <v>0</v>
      </c>
      <c r="Q2484">
        <v>0</v>
      </c>
      <c r="R2484" t="s">
        <v>1364</v>
      </c>
    </row>
    <row r="2485" spans="1:19" x14ac:dyDescent="0.3">
      <c r="A2485">
        <v>486</v>
      </c>
      <c r="B2485" t="s">
        <v>1363</v>
      </c>
      <c r="C2485" t="s">
        <v>149</v>
      </c>
      <c r="D2485" t="s">
        <v>21</v>
      </c>
      <c r="E2485" t="s">
        <v>22</v>
      </c>
      <c r="F2485" s="79">
        <v>45838</v>
      </c>
      <c r="G2485">
        <v>2025</v>
      </c>
      <c r="H2485" t="s">
        <v>699</v>
      </c>
      <c r="I2485" t="s">
        <v>700</v>
      </c>
      <c r="K2485">
        <v>2890610</v>
      </c>
      <c r="L2485" s="39"/>
      <c r="M2485" s="39"/>
      <c r="N2485" t="s">
        <v>25</v>
      </c>
      <c r="O2485" t="s">
        <v>25</v>
      </c>
      <c r="P2485">
        <v>0</v>
      </c>
      <c r="Q2485">
        <v>0</v>
      </c>
      <c r="R2485" t="s">
        <v>3165</v>
      </c>
    </row>
    <row r="2486" spans="1:19" x14ac:dyDescent="0.3">
      <c r="A2486">
        <v>486</v>
      </c>
      <c r="B2486" t="s">
        <v>1363</v>
      </c>
      <c r="C2486" t="s">
        <v>149</v>
      </c>
      <c r="D2486" t="s">
        <v>21</v>
      </c>
      <c r="E2486" t="s">
        <v>22</v>
      </c>
      <c r="F2486" s="79">
        <v>46022</v>
      </c>
      <c r="G2486">
        <v>2025</v>
      </c>
      <c r="H2486" t="s">
        <v>23</v>
      </c>
      <c r="I2486" t="s">
        <v>32</v>
      </c>
      <c r="K2486">
        <v>2703941</v>
      </c>
      <c r="L2486" s="39"/>
      <c r="M2486" s="39"/>
      <c r="N2486" t="s">
        <v>25</v>
      </c>
      <c r="O2486" t="s">
        <v>25</v>
      </c>
      <c r="P2486">
        <v>0</v>
      </c>
      <c r="Q2486">
        <v>0</v>
      </c>
      <c r="R2486" t="s">
        <v>1365</v>
      </c>
    </row>
    <row r="2487" spans="1:19" x14ac:dyDescent="0.3">
      <c r="A2487">
        <v>487</v>
      </c>
      <c r="B2487" t="s">
        <v>1366</v>
      </c>
      <c r="C2487" t="s">
        <v>619</v>
      </c>
      <c r="D2487" t="s">
        <v>71</v>
      </c>
      <c r="E2487" t="s">
        <v>22</v>
      </c>
      <c r="F2487" s="79">
        <v>45657</v>
      </c>
      <c r="G2487">
        <v>2024</v>
      </c>
      <c r="H2487" t="s">
        <v>23</v>
      </c>
      <c r="I2487" t="s">
        <v>30</v>
      </c>
      <c r="J2487">
        <v>20</v>
      </c>
      <c r="K2487">
        <v>6.06</v>
      </c>
      <c r="L2487" s="39">
        <f>IFERROR(IF(OR(J2487=0,K2487=""),"",IF(E2487="Positivo",MIN(MAX(K2487/J2487,0),1.3),MIN(MAX(J2487/K2487,0),1.3))),"")</f>
        <v>0.30299999999999999</v>
      </c>
      <c r="M2487" s="39">
        <f>IFERROR(IF(OR(J2487=0,K2487=""),"",IF(E2487="Positivo",MAX(K2487/J2487,0),MAX(J2487/K2487,0))),"")</f>
        <v>0.30299999999999999</v>
      </c>
      <c r="P2487">
        <v>0</v>
      </c>
      <c r="Q2487">
        <v>0</v>
      </c>
      <c r="R2487" t="s">
        <v>1367</v>
      </c>
    </row>
    <row r="2488" spans="1:19" x14ac:dyDescent="0.3">
      <c r="A2488">
        <v>487</v>
      </c>
      <c r="B2488" t="s">
        <v>3166</v>
      </c>
      <c r="C2488" t="s">
        <v>619</v>
      </c>
      <c r="D2488" t="s">
        <v>71</v>
      </c>
      <c r="E2488" t="s">
        <v>22</v>
      </c>
      <c r="F2488" s="79">
        <v>46022</v>
      </c>
      <c r="G2488">
        <v>2025</v>
      </c>
      <c r="H2488" t="s">
        <v>23</v>
      </c>
      <c r="I2488" t="s">
        <v>32</v>
      </c>
      <c r="J2488">
        <v>20</v>
      </c>
      <c r="K2488">
        <v>58.86</v>
      </c>
      <c r="L2488" s="39">
        <f>IFERROR(IF(OR(J2488=0,K2488=""),"",IF(E2488="Positivo",MIN(MAX(K2488/J2488,0),1.3),MIN(MAX(J2488/K2488,0),1.3))),"")</f>
        <v>1.3</v>
      </c>
      <c r="M2488" s="39">
        <f>IFERROR(IF(OR(J2488=0,K2488=""),"",IF(E2488="Positivo",MAX(K2488/J2488,0),MAX(J2488/K2488,0))),"")</f>
        <v>2.9430000000000001</v>
      </c>
      <c r="N2488" t="s">
        <v>25</v>
      </c>
      <c r="O2488" t="s">
        <v>25</v>
      </c>
      <c r="P2488">
        <v>0</v>
      </c>
      <c r="Q2488">
        <v>0</v>
      </c>
      <c r="R2488" t="s">
        <v>1368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45322</v>
      </c>
      <c r="G2489">
        <v>2024</v>
      </c>
      <c r="H2489" t="s">
        <v>59</v>
      </c>
      <c r="I2489" t="s">
        <v>729</v>
      </c>
      <c r="L2489" s="39"/>
      <c r="M2489" s="39"/>
      <c r="N2489" t="s">
        <v>25</v>
      </c>
      <c r="O2489" t="s">
        <v>302</v>
      </c>
      <c r="P2489">
        <v>0</v>
      </c>
      <c r="Q2489">
        <v>0</v>
      </c>
      <c r="R2489" t="s">
        <v>3167</v>
      </c>
      <c r="S2489" t="s">
        <v>302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45351</v>
      </c>
      <c r="G2490">
        <v>2024</v>
      </c>
      <c r="H2490" t="s">
        <v>210</v>
      </c>
      <c r="I2490" t="s">
        <v>729</v>
      </c>
      <c r="L2490" s="39"/>
      <c r="M2490" s="39"/>
      <c r="N2490" t="s">
        <v>25</v>
      </c>
      <c r="O2490" t="s">
        <v>302</v>
      </c>
      <c r="P2490">
        <v>0</v>
      </c>
      <c r="Q2490">
        <v>0</v>
      </c>
      <c r="R2490" t="s">
        <v>3168</v>
      </c>
      <c r="S2490" t="s">
        <v>302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45382</v>
      </c>
      <c r="G2491">
        <v>2024</v>
      </c>
      <c r="H2491" t="s">
        <v>1516</v>
      </c>
      <c r="I2491" t="s">
        <v>729</v>
      </c>
      <c r="L2491" s="39"/>
      <c r="M2491" s="39"/>
      <c r="N2491" t="s">
        <v>25</v>
      </c>
      <c r="O2491" t="s">
        <v>302</v>
      </c>
      <c r="P2491">
        <v>0</v>
      </c>
      <c r="Q2491">
        <v>0</v>
      </c>
      <c r="R2491" t="s">
        <v>3169</v>
      </c>
      <c r="S2491" t="s">
        <v>302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45412</v>
      </c>
      <c r="G2492">
        <v>2024</v>
      </c>
      <c r="H2492" t="s">
        <v>1540</v>
      </c>
      <c r="I2492" t="s">
        <v>729</v>
      </c>
      <c r="L2492" s="39"/>
      <c r="M2492" s="39"/>
      <c r="N2492" t="s">
        <v>25</v>
      </c>
      <c r="O2492" t="s">
        <v>302</v>
      </c>
      <c r="P2492">
        <v>0</v>
      </c>
      <c r="Q2492">
        <v>0</v>
      </c>
      <c r="R2492" t="s">
        <v>3170</v>
      </c>
      <c r="S2492" t="s">
        <v>302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45443</v>
      </c>
      <c r="G2493">
        <v>2024</v>
      </c>
      <c r="H2493" t="s">
        <v>1542</v>
      </c>
      <c r="I2493" t="s">
        <v>729</v>
      </c>
      <c r="L2493" s="39"/>
      <c r="M2493" s="39"/>
      <c r="N2493" t="s">
        <v>25</v>
      </c>
      <c r="O2493" t="s">
        <v>302</v>
      </c>
      <c r="P2493">
        <v>0</v>
      </c>
      <c r="Q2493">
        <v>0</v>
      </c>
      <c r="R2493" t="s">
        <v>3171</v>
      </c>
      <c r="S2493" t="s">
        <v>302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45473</v>
      </c>
      <c r="G2494">
        <v>2024</v>
      </c>
      <c r="H2494" t="s">
        <v>699</v>
      </c>
      <c r="I2494" t="s">
        <v>729</v>
      </c>
      <c r="L2494" s="39"/>
      <c r="M2494" s="39"/>
      <c r="N2494" t="s">
        <v>25</v>
      </c>
      <c r="O2494" t="s">
        <v>302</v>
      </c>
      <c r="P2494">
        <v>0</v>
      </c>
      <c r="Q2494">
        <v>0</v>
      </c>
      <c r="R2494" t="s">
        <v>3172</v>
      </c>
      <c r="S2494" t="s">
        <v>302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45504</v>
      </c>
      <c r="G2495">
        <v>2024</v>
      </c>
      <c r="H2495" t="s">
        <v>260</v>
      </c>
      <c r="I2495" t="s">
        <v>30</v>
      </c>
      <c r="L2495" s="39"/>
      <c r="M2495" s="39"/>
      <c r="N2495" t="s">
        <v>25</v>
      </c>
      <c r="O2495" t="s">
        <v>302</v>
      </c>
      <c r="P2495">
        <v>0</v>
      </c>
      <c r="Q2495">
        <v>0</v>
      </c>
      <c r="R2495" t="s">
        <v>3173</v>
      </c>
      <c r="S2495" t="s">
        <v>302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45535</v>
      </c>
      <c r="G2496">
        <v>2024</v>
      </c>
      <c r="H2496" t="s">
        <v>1546</v>
      </c>
      <c r="I2496" t="s">
        <v>30</v>
      </c>
      <c r="L2496" s="39"/>
      <c r="M2496" s="39"/>
      <c r="N2496" t="s">
        <v>25</v>
      </c>
      <c r="O2496" t="s">
        <v>302</v>
      </c>
      <c r="P2496">
        <v>0</v>
      </c>
      <c r="Q2496">
        <v>0</v>
      </c>
      <c r="R2496" t="s">
        <v>3174</v>
      </c>
      <c r="S2496" t="s">
        <v>302</v>
      </c>
    </row>
    <row r="2497" spans="1:19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45565</v>
      </c>
      <c r="G2497">
        <v>2024</v>
      </c>
      <c r="H2497" t="s">
        <v>162</v>
      </c>
      <c r="I2497" t="s">
        <v>30</v>
      </c>
      <c r="L2497" s="39"/>
      <c r="M2497" s="39"/>
      <c r="N2497" t="s">
        <v>25</v>
      </c>
      <c r="O2497" t="s">
        <v>302</v>
      </c>
      <c r="P2497">
        <v>0</v>
      </c>
      <c r="Q2497">
        <v>0</v>
      </c>
      <c r="R2497" t="s">
        <v>3175</v>
      </c>
      <c r="S2497" t="s">
        <v>302</v>
      </c>
    </row>
    <row r="2498" spans="1:19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45596</v>
      </c>
      <c r="G2498">
        <v>2024</v>
      </c>
      <c r="H2498" t="s">
        <v>150</v>
      </c>
      <c r="I2498" t="s">
        <v>30</v>
      </c>
      <c r="J2498">
        <v>85</v>
      </c>
      <c r="K2498">
        <v>91.78082191780824</v>
      </c>
      <c r="L2498" s="39">
        <f>IFERROR(IF(OR(J2498=0,K2498=""),"",IF(E2498="Positivo",MIN(MAX(K2498/J2498,0),1.3),MIN(MAX(J2498/K2498,0),1.3))),"")</f>
        <v>1.0797743755036264</v>
      </c>
      <c r="M2498" s="39">
        <f>IFERROR(IF(OR(J2498=0,K2498=""),"",IF(E2498="Positivo",MAX(K2498/J2498,0),MAX(J2498/K2498,0))),"")</f>
        <v>1.0797743755036264</v>
      </c>
      <c r="N2498" t="s">
        <v>25</v>
      </c>
      <c r="O2498" t="s">
        <v>25</v>
      </c>
      <c r="P2498">
        <v>0</v>
      </c>
      <c r="Q2498">
        <v>0</v>
      </c>
      <c r="R2498" t="s">
        <v>3176</v>
      </c>
    </row>
    <row r="2499" spans="1:19" x14ac:dyDescent="0.3">
      <c r="A2499">
        <v>488</v>
      </c>
      <c r="B2499" t="s">
        <v>1369</v>
      </c>
      <c r="C2499" t="s">
        <v>198</v>
      </c>
      <c r="D2499" t="s">
        <v>54</v>
      </c>
      <c r="E2499" t="s">
        <v>22</v>
      </c>
      <c r="F2499" s="79">
        <v>45626</v>
      </c>
      <c r="G2499">
        <v>2024</v>
      </c>
      <c r="H2499" t="s">
        <v>1550</v>
      </c>
      <c r="I2499" t="s">
        <v>30</v>
      </c>
      <c r="J2499">
        <v>85</v>
      </c>
      <c r="K2499">
        <v>95.786516853932582</v>
      </c>
      <c r="L2499" s="39">
        <f>IFERROR(IF(OR(J2499=0,K2499=""),"",IF(E2499="Positivo",MIN(MAX(K2499/J2499,0),1.3),MIN(MAX(J2499/K2499,0),1.3))),"")</f>
        <v>1.1269001982815599</v>
      </c>
      <c r="M2499" s="39">
        <f>IFERROR(IF(OR(J2499=0,K2499=""),"",IF(E2499="Positivo",MAX(K2499/J2499,0),MAX(J2499/K2499,0))),"")</f>
        <v>1.1269001982815599</v>
      </c>
      <c r="N2499" t="s">
        <v>25</v>
      </c>
      <c r="O2499" t="s">
        <v>25</v>
      </c>
      <c r="P2499">
        <v>0</v>
      </c>
      <c r="Q2499">
        <v>0</v>
      </c>
      <c r="R2499" t="s">
        <v>3177</v>
      </c>
    </row>
    <row r="2500" spans="1:19" x14ac:dyDescent="0.3">
      <c r="A2500">
        <v>488</v>
      </c>
      <c r="B2500" t="s">
        <v>1369</v>
      </c>
      <c r="C2500" t="s">
        <v>198</v>
      </c>
      <c r="D2500" t="s">
        <v>54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85</v>
      </c>
      <c r="K2500">
        <v>91.31652661064426</v>
      </c>
      <c r="L2500" s="39">
        <f>IFERROR(IF(OR(J2500=0,K2500=""),"",IF(E2500="Positivo",MIN(MAX(K2500/J2500,0),1.3),MIN(MAX(J2500/K2500,0),1.3))),"")</f>
        <v>1.0743120777722854</v>
      </c>
      <c r="M2500" s="39">
        <f>IFERROR(IF(OR(J2500=0,K2500=""),"",IF(E2500="Positivo",MAX(K2500/J2500,0),MAX(J2500/K2500,0))),"")</f>
        <v>1.0743120777722854</v>
      </c>
      <c r="N2500" t="s">
        <v>25</v>
      </c>
      <c r="O2500" t="s">
        <v>25</v>
      </c>
      <c r="P2500">
        <v>0</v>
      </c>
      <c r="Q2500">
        <v>0</v>
      </c>
      <c r="R2500" t="s">
        <v>1370</v>
      </c>
    </row>
    <row r="2501" spans="1:19" x14ac:dyDescent="0.3">
      <c r="A2501">
        <v>488</v>
      </c>
      <c r="B2501" t="s">
        <v>1369</v>
      </c>
      <c r="C2501" t="s">
        <v>198</v>
      </c>
      <c r="D2501" t="s">
        <v>54</v>
      </c>
      <c r="E2501" t="s">
        <v>22</v>
      </c>
      <c r="F2501" s="79">
        <v>45688</v>
      </c>
      <c r="G2501">
        <v>2025</v>
      </c>
      <c r="H2501" t="s">
        <v>59</v>
      </c>
      <c r="I2501" t="s">
        <v>700</v>
      </c>
      <c r="J2501">
        <v>85</v>
      </c>
      <c r="K2501">
        <v>78.048780487804876</v>
      </c>
      <c r="L2501" s="39">
        <f>IFERROR(IF(OR(J2501=0,K2501=""),"",IF(E2501="Positivo",MIN(MAX(K2501/J2501,0),1.3),MIN(MAX(J2501/K2501,0),1.3))),"")</f>
        <v>0.9182209469153515</v>
      </c>
      <c r="M2501" s="39">
        <f>IFERROR(IF(OR(J2501=0,K2501=""),"",IF(E2501="Positivo",MAX(K2501/J2501,0),MAX(J2501/K2501,0))),"")</f>
        <v>0.9182209469153515</v>
      </c>
      <c r="N2501" t="s">
        <v>25</v>
      </c>
      <c r="O2501" t="s">
        <v>25</v>
      </c>
      <c r="P2501">
        <v>0</v>
      </c>
      <c r="Q2501">
        <v>0</v>
      </c>
      <c r="R2501" t="s">
        <v>3178</v>
      </c>
    </row>
    <row r="2502" spans="1:19" x14ac:dyDescent="0.3">
      <c r="A2502">
        <v>488</v>
      </c>
      <c r="B2502" t="s">
        <v>1369</v>
      </c>
      <c r="C2502" t="s">
        <v>198</v>
      </c>
      <c r="D2502" t="s">
        <v>54</v>
      </c>
      <c r="E2502" t="s">
        <v>22</v>
      </c>
      <c r="F2502" s="79">
        <v>45716</v>
      </c>
      <c r="G2502">
        <v>2025</v>
      </c>
      <c r="H2502" t="s">
        <v>210</v>
      </c>
      <c r="I2502" t="s">
        <v>700</v>
      </c>
      <c r="J2502">
        <v>85</v>
      </c>
      <c r="K2502">
        <v>77.205882352941174</v>
      </c>
      <c r="L2502" s="39">
        <f>IFERROR(IF(OR(J2502=0,K2502=""),"",IF(E2502="Positivo",MIN(MAX(K2502/J2502,0),1.3),MIN(MAX(J2502/K2502,0),1.3))),"")</f>
        <v>0.90830449826989612</v>
      </c>
      <c r="M2502" s="39">
        <f>IFERROR(IF(OR(J2502=0,K2502=""),"",IF(E2502="Positivo",MAX(K2502/J2502,0),MAX(J2502/K2502,0))),"")</f>
        <v>0.90830449826989612</v>
      </c>
      <c r="N2502" t="s">
        <v>25</v>
      </c>
      <c r="O2502" t="s">
        <v>25</v>
      </c>
      <c r="P2502">
        <v>0</v>
      </c>
      <c r="Q2502">
        <v>0</v>
      </c>
      <c r="R2502" t="s">
        <v>3179</v>
      </c>
    </row>
    <row r="2503" spans="1:19" x14ac:dyDescent="0.3">
      <c r="A2503">
        <v>488</v>
      </c>
      <c r="B2503" t="s">
        <v>1369</v>
      </c>
      <c r="C2503" t="s">
        <v>198</v>
      </c>
      <c r="D2503" t="s">
        <v>54</v>
      </c>
      <c r="E2503" t="s">
        <v>22</v>
      </c>
      <c r="F2503" s="79">
        <v>45747</v>
      </c>
      <c r="G2503">
        <v>2025</v>
      </c>
      <c r="H2503" t="s">
        <v>1516</v>
      </c>
      <c r="I2503" t="s">
        <v>700</v>
      </c>
      <c r="J2503">
        <v>85</v>
      </c>
      <c r="L2503" s="39"/>
      <c r="M2503" s="39"/>
      <c r="N2503" t="s">
        <v>25</v>
      </c>
      <c r="O2503" t="s">
        <v>302</v>
      </c>
      <c r="P2503">
        <v>0</v>
      </c>
      <c r="Q2503">
        <v>0</v>
      </c>
      <c r="R2503" t="s">
        <v>3180</v>
      </c>
      <c r="S2503" t="s">
        <v>302</v>
      </c>
    </row>
    <row r="2504" spans="1:19" x14ac:dyDescent="0.3">
      <c r="A2504">
        <v>488</v>
      </c>
      <c r="B2504" t="s">
        <v>1369</v>
      </c>
      <c r="C2504" t="s">
        <v>198</v>
      </c>
      <c r="D2504" t="s">
        <v>54</v>
      </c>
      <c r="E2504" t="s">
        <v>22</v>
      </c>
      <c r="F2504" s="79">
        <v>45777</v>
      </c>
      <c r="G2504">
        <v>2025</v>
      </c>
      <c r="H2504" t="s">
        <v>1540</v>
      </c>
      <c r="I2504" t="s">
        <v>700</v>
      </c>
      <c r="J2504">
        <v>85</v>
      </c>
      <c r="K2504">
        <v>64.91</v>
      </c>
      <c r="L2504" s="39">
        <f t="shared" ref="L2504:L2535" si="162">IFERROR(IF(OR(J2504=0,K2504=""),"",IF(E2504="Positivo",MIN(MAX(K2504/J2504,0),1.3),MIN(MAX(J2504/K2504,0),1.3))),"")</f>
        <v>0.76364705882352935</v>
      </c>
      <c r="M2504" s="39">
        <f t="shared" ref="M2504:M2535" si="163">IFERROR(IF(OR(J2504=0,K2504=""),"",IF(E2504="Positivo",MAX(K2504/J2504,0),MAX(J2504/K2504,0))),"")</f>
        <v>0.76364705882352935</v>
      </c>
      <c r="N2504" t="s">
        <v>25</v>
      </c>
      <c r="O2504" t="s">
        <v>25</v>
      </c>
      <c r="P2504">
        <v>0</v>
      </c>
      <c r="Q2504">
        <v>0</v>
      </c>
      <c r="R2504" t="s">
        <v>3181</v>
      </c>
    </row>
    <row r="2505" spans="1:19" x14ac:dyDescent="0.3">
      <c r="A2505">
        <v>488</v>
      </c>
      <c r="B2505" t="s">
        <v>1369</v>
      </c>
      <c r="C2505" t="s">
        <v>198</v>
      </c>
      <c r="D2505" t="s">
        <v>54</v>
      </c>
      <c r="E2505" t="s">
        <v>22</v>
      </c>
      <c r="F2505" s="79">
        <v>45808</v>
      </c>
      <c r="G2505">
        <v>2025</v>
      </c>
      <c r="H2505" t="s">
        <v>1542</v>
      </c>
      <c r="I2505" t="s">
        <v>700</v>
      </c>
      <c r="J2505">
        <v>85</v>
      </c>
      <c r="K2505">
        <v>67.86</v>
      </c>
      <c r="L2505" s="39">
        <f t="shared" si="162"/>
        <v>0.7983529411764706</v>
      </c>
      <c r="M2505" s="39">
        <f t="shared" si="163"/>
        <v>0.7983529411764706</v>
      </c>
      <c r="N2505" t="s">
        <v>25</v>
      </c>
      <c r="O2505" t="s">
        <v>25</v>
      </c>
      <c r="P2505">
        <v>0</v>
      </c>
      <c r="Q2505">
        <v>0</v>
      </c>
      <c r="R2505" t="s">
        <v>3182</v>
      </c>
    </row>
    <row r="2506" spans="1:19" x14ac:dyDescent="0.3">
      <c r="A2506">
        <v>488</v>
      </c>
      <c r="B2506" t="s">
        <v>1369</v>
      </c>
      <c r="C2506" t="s">
        <v>198</v>
      </c>
      <c r="D2506" t="s">
        <v>54</v>
      </c>
      <c r="E2506" t="s">
        <v>22</v>
      </c>
      <c r="F2506" s="79">
        <v>45838</v>
      </c>
      <c r="G2506">
        <v>2025</v>
      </c>
      <c r="H2506" t="s">
        <v>699</v>
      </c>
      <c r="I2506" t="s">
        <v>700</v>
      </c>
      <c r="J2506">
        <v>85</v>
      </c>
      <c r="K2506">
        <v>72.41</v>
      </c>
      <c r="L2506" s="39">
        <f t="shared" si="162"/>
        <v>0.85188235294117642</v>
      </c>
      <c r="M2506" s="39">
        <f t="shared" si="163"/>
        <v>0.85188235294117642</v>
      </c>
      <c r="N2506" t="s">
        <v>25</v>
      </c>
      <c r="O2506" t="s">
        <v>25</v>
      </c>
      <c r="P2506">
        <v>0</v>
      </c>
      <c r="Q2506">
        <v>0</v>
      </c>
      <c r="R2506" t="s">
        <v>3183</v>
      </c>
    </row>
    <row r="2507" spans="1:19" x14ac:dyDescent="0.3">
      <c r="A2507">
        <v>488</v>
      </c>
      <c r="B2507" t="s">
        <v>1369</v>
      </c>
      <c r="C2507" t="s">
        <v>198</v>
      </c>
      <c r="D2507" t="s">
        <v>54</v>
      </c>
      <c r="E2507" t="s">
        <v>22</v>
      </c>
      <c r="F2507" s="79">
        <v>45869</v>
      </c>
      <c r="G2507">
        <v>2025</v>
      </c>
      <c r="H2507" t="s">
        <v>260</v>
      </c>
      <c r="I2507" t="s">
        <v>32</v>
      </c>
      <c r="J2507">
        <v>85</v>
      </c>
      <c r="K2507">
        <v>83.54</v>
      </c>
      <c r="L2507" s="39">
        <f t="shared" si="162"/>
        <v>0.98282352941176476</v>
      </c>
      <c r="M2507" s="39">
        <f t="shared" si="163"/>
        <v>0.98282352941176476</v>
      </c>
      <c r="N2507" t="s">
        <v>25</v>
      </c>
      <c r="O2507" t="s">
        <v>25</v>
      </c>
      <c r="P2507">
        <v>0</v>
      </c>
      <c r="Q2507">
        <v>0</v>
      </c>
      <c r="R2507" t="s">
        <v>3184</v>
      </c>
    </row>
    <row r="2508" spans="1:19" x14ac:dyDescent="0.3">
      <c r="A2508">
        <v>488</v>
      </c>
      <c r="B2508" t="s">
        <v>1369</v>
      </c>
      <c r="C2508" t="s">
        <v>198</v>
      </c>
      <c r="D2508" t="s">
        <v>54</v>
      </c>
      <c r="E2508" t="s">
        <v>22</v>
      </c>
      <c r="F2508" s="79">
        <v>45900</v>
      </c>
      <c r="G2508">
        <v>2025</v>
      </c>
      <c r="H2508" t="s">
        <v>1546</v>
      </c>
      <c r="I2508" t="s">
        <v>32</v>
      </c>
      <c r="J2508">
        <v>85</v>
      </c>
      <c r="K2508">
        <v>81.010000000000005</v>
      </c>
      <c r="L2508" s="39">
        <f t="shared" si="162"/>
        <v>0.95305882352941185</v>
      </c>
      <c r="M2508" s="39">
        <f t="shared" si="163"/>
        <v>0.95305882352941185</v>
      </c>
      <c r="N2508" t="s">
        <v>25</v>
      </c>
      <c r="O2508" t="s">
        <v>25</v>
      </c>
      <c r="P2508">
        <v>0</v>
      </c>
      <c r="Q2508">
        <v>0</v>
      </c>
      <c r="R2508" t="s">
        <v>3185</v>
      </c>
    </row>
    <row r="2509" spans="1:19" x14ac:dyDescent="0.3">
      <c r="A2509">
        <v>488</v>
      </c>
      <c r="B2509" t="s">
        <v>1369</v>
      </c>
      <c r="C2509" t="s">
        <v>198</v>
      </c>
      <c r="D2509" t="s">
        <v>54</v>
      </c>
      <c r="E2509" t="s">
        <v>22</v>
      </c>
      <c r="F2509" s="79">
        <v>45930</v>
      </c>
      <c r="G2509">
        <v>2025</v>
      </c>
      <c r="H2509" t="s">
        <v>162</v>
      </c>
      <c r="I2509" t="s">
        <v>32</v>
      </c>
      <c r="J2509">
        <v>85</v>
      </c>
      <c r="K2509">
        <v>86.89</v>
      </c>
      <c r="L2509" s="39">
        <f t="shared" si="162"/>
        <v>1.0222352941176471</v>
      </c>
      <c r="M2509" s="39">
        <f t="shared" si="163"/>
        <v>1.0222352941176471</v>
      </c>
      <c r="N2509" t="s">
        <v>25</v>
      </c>
      <c r="O2509" t="s">
        <v>25</v>
      </c>
      <c r="P2509">
        <v>0</v>
      </c>
      <c r="Q2509">
        <v>0</v>
      </c>
      <c r="R2509" t="s">
        <v>3186</v>
      </c>
    </row>
    <row r="2510" spans="1:19" x14ac:dyDescent="0.3">
      <c r="A2510">
        <v>488</v>
      </c>
      <c r="B2510" t="s">
        <v>1369</v>
      </c>
      <c r="C2510" t="s">
        <v>198</v>
      </c>
      <c r="D2510" t="s">
        <v>54</v>
      </c>
      <c r="E2510" t="s">
        <v>22</v>
      </c>
      <c r="F2510" s="79">
        <v>45961</v>
      </c>
      <c r="G2510">
        <v>2025</v>
      </c>
      <c r="H2510" t="s">
        <v>150</v>
      </c>
      <c r="I2510" t="s">
        <v>32</v>
      </c>
      <c r="J2510">
        <v>85</v>
      </c>
      <c r="K2510">
        <v>85.59</v>
      </c>
      <c r="L2510" s="39">
        <f t="shared" si="162"/>
        <v>1.0069411764705882</v>
      </c>
      <c r="M2510" s="39">
        <f t="shared" si="163"/>
        <v>1.0069411764705882</v>
      </c>
      <c r="N2510" t="s">
        <v>25</v>
      </c>
      <c r="O2510" t="s">
        <v>25</v>
      </c>
      <c r="P2510">
        <v>0</v>
      </c>
      <c r="Q2510">
        <v>0</v>
      </c>
      <c r="R2510" t="s">
        <v>3187</v>
      </c>
    </row>
    <row r="2511" spans="1:19" x14ac:dyDescent="0.3">
      <c r="A2511">
        <v>488</v>
      </c>
      <c r="B2511" t="s">
        <v>1369</v>
      </c>
      <c r="C2511" t="s">
        <v>198</v>
      </c>
      <c r="D2511" t="s">
        <v>54</v>
      </c>
      <c r="E2511" t="s">
        <v>22</v>
      </c>
      <c r="F2511" s="79">
        <v>45991</v>
      </c>
      <c r="G2511">
        <v>2025</v>
      </c>
      <c r="H2511" t="s">
        <v>1550</v>
      </c>
      <c r="I2511" t="s">
        <v>32</v>
      </c>
      <c r="J2511">
        <v>85</v>
      </c>
      <c r="K2511">
        <v>75</v>
      </c>
      <c r="L2511" s="39">
        <f t="shared" si="162"/>
        <v>0.88235294117647056</v>
      </c>
      <c r="M2511" s="39">
        <f t="shared" si="163"/>
        <v>0.88235294117647056</v>
      </c>
      <c r="N2511" t="s">
        <v>25</v>
      </c>
      <c r="O2511" t="s">
        <v>25</v>
      </c>
      <c r="P2511">
        <v>0</v>
      </c>
      <c r="Q2511">
        <v>0</v>
      </c>
      <c r="R2511" t="s">
        <v>3188</v>
      </c>
    </row>
    <row r="2512" spans="1:19" x14ac:dyDescent="0.3">
      <c r="A2512">
        <v>488</v>
      </c>
      <c r="B2512" t="s">
        <v>1369</v>
      </c>
      <c r="C2512" t="s">
        <v>198</v>
      </c>
      <c r="D2512" t="s">
        <v>54</v>
      </c>
      <c r="E2512" t="s">
        <v>22</v>
      </c>
      <c r="F2512" s="79">
        <v>46022</v>
      </c>
      <c r="G2512">
        <v>2025</v>
      </c>
      <c r="H2512" t="s">
        <v>23</v>
      </c>
      <c r="I2512" t="s">
        <v>32</v>
      </c>
      <c r="J2512">
        <v>85</v>
      </c>
      <c r="K2512">
        <v>76.739999999999995</v>
      </c>
      <c r="L2512" s="39">
        <f t="shared" si="162"/>
        <v>0.90282352941176469</v>
      </c>
      <c r="M2512" s="39">
        <f t="shared" si="163"/>
        <v>0.90282352941176469</v>
      </c>
      <c r="N2512" t="s">
        <v>25</v>
      </c>
      <c r="O2512" t="s">
        <v>25</v>
      </c>
      <c r="P2512">
        <v>0</v>
      </c>
      <c r="Q2512">
        <v>0</v>
      </c>
      <c r="R2512" t="s">
        <v>1371</v>
      </c>
    </row>
    <row r="2513" spans="1:18" x14ac:dyDescent="0.3">
      <c r="A2513">
        <v>489</v>
      </c>
      <c r="B2513" t="s">
        <v>1373</v>
      </c>
      <c r="C2513" t="s">
        <v>198</v>
      </c>
      <c r="D2513" t="s">
        <v>54</v>
      </c>
      <c r="E2513" t="s">
        <v>22</v>
      </c>
      <c r="F2513" s="79">
        <v>45596</v>
      </c>
      <c r="G2513">
        <v>2024</v>
      </c>
      <c r="H2513" t="s">
        <v>150</v>
      </c>
      <c r="I2513" t="s">
        <v>30</v>
      </c>
      <c r="J2513">
        <v>80</v>
      </c>
      <c r="K2513">
        <v>80</v>
      </c>
      <c r="L2513" s="39">
        <f t="shared" si="162"/>
        <v>1</v>
      </c>
      <c r="M2513" s="39">
        <f t="shared" si="163"/>
        <v>1</v>
      </c>
      <c r="N2513" t="s">
        <v>25</v>
      </c>
      <c r="O2513" t="s">
        <v>25</v>
      </c>
      <c r="P2513">
        <v>0</v>
      </c>
      <c r="Q2513">
        <v>0</v>
      </c>
      <c r="R2513" t="s">
        <v>3189</v>
      </c>
    </row>
    <row r="2514" spans="1:18" x14ac:dyDescent="0.3">
      <c r="A2514">
        <v>489</v>
      </c>
      <c r="B2514" t="s">
        <v>1373</v>
      </c>
      <c r="C2514" t="s">
        <v>198</v>
      </c>
      <c r="D2514" t="s">
        <v>54</v>
      </c>
      <c r="E2514" t="s">
        <v>22</v>
      </c>
      <c r="F2514" s="79">
        <v>45626</v>
      </c>
      <c r="G2514">
        <v>2024</v>
      </c>
      <c r="H2514" t="s">
        <v>1550</v>
      </c>
      <c r="I2514" t="s">
        <v>30</v>
      </c>
      <c r="J2514">
        <v>80</v>
      </c>
      <c r="K2514">
        <v>100</v>
      </c>
      <c r="L2514" s="39">
        <f t="shared" si="162"/>
        <v>1.25</v>
      </c>
      <c r="M2514" s="39">
        <f t="shared" si="163"/>
        <v>1.25</v>
      </c>
      <c r="N2514" t="s">
        <v>25</v>
      </c>
      <c r="O2514" t="s">
        <v>25</v>
      </c>
      <c r="P2514">
        <v>0</v>
      </c>
      <c r="Q2514">
        <v>0</v>
      </c>
      <c r="R2514" t="s">
        <v>3190</v>
      </c>
    </row>
    <row r="2515" spans="1:18" x14ac:dyDescent="0.3">
      <c r="A2515">
        <v>489</v>
      </c>
      <c r="B2515" t="s">
        <v>1373</v>
      </c>
      <c r="C2515" t="s">
        <v>198</v>
      </c>
      <c r="D2515" t="s">
        <v>54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100</v>
      </c>
      <c r="L2515" s="39">
        <f t="shared" si="162"/>
        <v>1.25</v>
      </c>
      <c r="M2515" s="39">
        <f t="shared" si="163"/>
        <v>1.25</v>
      </c>
      <c r="N2515" t="s">
        <v>25</v>
      </c>
      <c r="O2515" t="s">
        <v>25</v>
      </c>
      <c r="P2515">
        <v>0</v>
      </c>
      <c r="Q2515">
        <v>0</v>
      </c>
      <c r="R2515" t="s">
        <v>1374</v>
      </c>
    </row>
    <row r="2516" spans="1:18" x14ac:dyDescent="0.3">
      <c r="A2516">
        <v>490</v>
      </c>
      <c r="B2516" t="s">
        <v>1375</v>
      </c>
      <c r="C2516" t="s">
        <v>567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88</v>
      </c>
      <c r="L2516" s="39">
        <f t="shared" si="162"/>
        <v>1.1000000000000001</v>
      </c>
      <c r="M2516" s="39">
        <f t="shared" si="163"/>
        <v>1.1000000000000001</v>
      </c>
      <c r="N2516" t="s">
        <v>25</v>
      </c>
      <c r="O2516" t="s">
        <v>25</v>
      </c>
      <c r="P2516">
        <v>0</v>
      </c>
      <c r="Q2516">
        <v>0</v>
      </c>
      <c r="R2516" t="s">
        <v>1376</v>
      </c>
    </row>
    <row r="2517" spans="1:18" x14ac:dyDescent="0.3">
      <c r="A2517">
        <v>490</v>
      </c>
      <c r="B2517" t="s">
        <v>1375</v>
      </c>
      <c r="C2517" t="s">
        <v>567</v>
      </c>
      <c r="D2517" t="s">
        <v>71</v>
      </c>
      <c r="E2517" t="s">
        <v>22</v>
      </c>
      <c r="F2517" s="79">
        <v>46022</v>
      </c>
      <c r="G2517">
        <v>2025</v>
      </c>
      <c r="H2517" t="s">
        <v>23</v>
      </c>
      <c r="I2517" t="s">
        <v>32</v>
      </c>
      <c r="J2517">
        <v>80</v>
      </c>
      <c r="K2517">
        <v>100</v>
      </c>
      <c r="L2517" s="39">
        <f t="shared" si="162"/>
        <v>1.25</v>
      </c>
      <c r="M2517" s="39">
        <f t="shared" si="163"/>
        <v>1.25</v>
      </c>
      <c r="N2517" t="s">
        <v>25</v>
      </c>
      <c r="O2517" t="s">
        <v>25</v>
      </c>
      <c r="P2517">
        <v>0</v>
      </c>
      <c r="Q2517">
        <v>0</v>
      </c>
      <c r="R2517" t="s">
        <v>1377</v>
      </c>
    </row>
    <row r="2518" spans="1:18" x14ac:dyDescent="0.3">
      <c r="A2518">
        <v>491</v>
      </c>
      <c r="B2518" t="s">
        <v>1378</v>
      </c>
      <c r="C2518" t="s">
        <v>511</v>
      </c>
      <c r="D2518" t="s">
        <v>71</v>
      </c>
      <c r="E2518" t="s">
        <v>22</v>
      </c>
      <c r="F2518" s="79">
        <v>45657</v>
      </c>
      <c r="G2518">
        <v>2024</v>
      </c>
      <c r="H2518" t="s">
        <v>23</v>
      </c>
      <c r="I2518" t="s">
        <v>30</v>
      </c>
      <c r="J2518">
        <v>80</v>
      </c>
      <c r="K2518">
        <v>88</v>
      </c>
      <c r="L2518" s="39">
        <f t="shared" si="162"/>
        <v>1.1000000000000001</v>
      </c>
      <c r="M2518" s="39">
        <f t="shared" si="163"/>
        <v>1.1000000000000001</v>
      </c>
      <c r="N2518" t="s">
        <v>25</v>
      </c>
      <c r="O2518" t="s">
        <v>25</v>
      </c>
      <c r="P2518">
        <v>0</v>
      </c>
      <c r="Q2518">
        <v>0</v>
      </c>
      <c r="R2518" t="s">
        <v>1379</v>
      </c>
    </row>
    <row r="2519" spans="1:18" x14ac:dyDescent="0.3">
      <c r="A2519">
        <v>491</v>
      </c>
      <c r="B2519" t="s">
        <v>1378</v>
      </c>
      <c r="C2519" t="s">
        <v>511</v>
      </c>
      <c r="D2519" t="s">
        <v>71</v>
      </c>
      <c r="E2519" t="s">
        <v>22</v>
      </c>
      <c r="F2519" s="79">
        <v>46022</v>
      </c>
      <c r="G2519">
        <v>2025</v>
      </c>
      <c r="H2519" t="s">
        <v>23</v>
      </c>
      <c r="I2519" t="s">
        <v>32</v>
      </c>
      <c r="J2519">
        <v>80</v>
      </c>
      <c r="K2519">
        <v>100</v>
      </c>
      <c r="L2519" s="39">
        <f t="shared" si="162"/>
        <v>1.25</v>
      </c>
      <c r="M2519" s="39">
        <f t="shared" si="163"/>
        <v>1.25</v>
      </c>
      <c r="N2519" t="s">
        <v>25</v>
      </c>
      <c r="O2519" t="s">
        <v>25</v>
      </c>
      <c r="P2519">
        <v>0</v>
      </c>
      <c r="Q2519">
        <v>0</v>
      </c>
      <c r="R2519" t="s">
        <v>1380</v>
      </c>
    </row>
    <row r="2520" spans="1:18" x14ac:dyDescent="0.3">
      <c r="A2520">
        <v>492</v>
      </c>
      <c r="B2520" t="s">
        <v>1381</v>
      </c>
      <c r="C2520" t="s">
        <v>554</v>
      </c>
      <c r="D2520" t="s">
        <v>71</v>
      </c>
      <c r="E2520" t="s">
        <v>22</v>
      </c>
      <c r="F2520" s="79">
        <v>45657</v>
      </c>
      <c r="G2520">
        <v>2024</v>
      </c>
      <c r="H2520" t="s">
        <v>23</v>
      </c>
      <c r="I2520" t="s">
        <v>30</v>
      </c>
      <c r="J2520">
        <v>80</v>
      </c>
      <c r="K2520">
        <v>83</v>
      </c>
      <c r="L2520" s="39">
        <f t="shared" si="162"/>
        <v>1.0375000000000001</v>
      </c>
      <c r="M2520" s="39">
        <f t="shared" si="163"/>
        <v>1.0375000000000001</v>
      </c>
      <c r="N2520" t="s">
        <v>25</v>
      </c>
      <c r="O2520" t="s">
        <v>25</v>
      </c>
      <c r="P2520">
        <v>0</v>
      </c>
      <c r="Q2520">
        <v>0</v>
      </c>
      <c r="R2520" t="s">
        <v>1382</v>
      </c>
    </row>
    <row r="2521" spans="1:18" x14ac:dyDescent="0.3">
      <c r="A2521">
        <v>492</v>
      </c>
      <c r="B2521" t="s">
        <v>1381</v>
      </c>
      <c r="C2521" t="s">
        <v>554</v>
      </c>
      <c r="D2521" t="s">
        <v>71</v>
      </c>
      <c r="E2521" t="s">
        <v>22</v>
      </c>
      <c r="F2521" s="79">
        <v>46022</v>
      </c>
      <c r="G2521">
        <v>2025</v>
      </c>
      <c r="H2521" t="s">
        <v>23</v>
      </c>
      <c r="I2521" t="s">
        <v>32</v>
      </c>
      <c r="J2521">
        <v>80</v>
      </c>
      <c r="K2521">
        <v>95</v>
      </c>
      <c r="L2521" s="39">
        <f t="shared" si="162"/>
        <v>1.1875</v>
      </c>
      <c r="M2521" s="39">
        <f t="shared" si="163"/>
        <v>1.1875</v>
      </c>
      <c r="N2521" t="s">
        <v>25</v>
      </c>
      <c r="O2521" t="s">
        <v>25</v>
      </c>
      <c r="P2521">
        <v>0</v>
      </c>
      <c r="Q2521">
        <v>0</v>
      </c>
      <c r="R2521" t="s">
        <v>1383</v>
      </c>
    </row>
    <row r="2522" spans="1:18" x14ac:dyDescent="0.3">
      <c r="A2522">
        <v>493</v>
      </c>
      <c r="B2522" t="s">
        <v>1384</v>
      </c>
      <c r="C2522" t="s">
        <v>595</v>
      </c>
      <c r="D2522" t="s">
        <v>71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80</v>
      </c>
      <c r="K2522">
        <v>81</v>
      </c>
      <c r="L2522" s="39">
        <f t="shared" si="162"/>
        <v>1.0125</v>
      </c>
      <c r="M2522" s="39">
        <f t="shared" si="163"/>
        <v>1.0125</v>
      </c>
      <c r="N2522" t="s">
        <v>25</v>
      </c>
      <c r="O2522" t="s">
        <v>25</v>
      </c>
      <c r="P2522">
        <v>0</v>
      </c>
      <c r="Q2522">
        <v>0</v>
      </c>
      <c r="R2522" t="s">
        <v>1385</v>
      </c>
    </row>
    <row r="2523" spans="1:18" x14ac:dyDescent="0.3">
      <c r="A2523">
        <v>493</v>
      </c>
      <c r="B2523" t="s">
        <v>1384</v>
      </c>
      <c r="C2523" t="s">
        <v>595</v>
      </c>
      <c r="D2523" t="s">
        <v>71</v>
      </c>
      <c r="E2523" t="s">
        <v>22</v>
      </c>
      <c r="F2523" s="79">
        <v>46022</v>
      </c>
      <c r="G2523">
        <v>2025</v>
      </c>
      <c r="H2523" t="s">
        <v>23</v>
      </c>
      <c r="I2523" t="s">
        <v>32</v>
      </c>
      <c r="J2523">
        <v>80</v>
      </c>
      <c r="K2523">
        <v>77</v>
      </c>
      <c r="L2523" s="39">
        <f t="shared" si="162"/>
        <v>0.96250000000000002</v>
      </c>
      <c r="M2523" s="39">
        <f t="shared" si="163"/>
        <v>0.96250000000000002</v>
      </c>
      <c r="N2523" t="s">
        <v>25</v>
      </c>
      <c r="O2523" t="s">
        <v>25</v>
      </c>
      <c r="P2523">
        <v>0</v>
      </c>
      <c r="Q2523">
        <v>0</v>
      </c>
      <c r="R2523" t="s">
        <v>1386</v>
      </c>
    </row>
    <row r="2524" spans="1:18" x14ac:dyDescent="0.3">
      <c r="A2524">
        <v>494</v>
      </c>
      <c r="B2524" t="s">
        <v>1387</v>
      </c>
      <c r="C2524" t="s">
        <v>739</v>
      </c>
      <c r="D2524" t="s">
        <v>71</v>
      </c>
      <c r="E2524" t="s">
        <v>22</v>
      </c>
      <c r="F2524" s="79">
        <v>45657</v>
      </c>
      <c r="G2524">
        <v>2024</v>
      </c>
      <c r="H2524" t="s">
        <v>23</v>
      </c>
      <c r="I2524" t="s">
        <v>30</v>
      </c>
      <c r="J2524">
        <v>80</v>
      </c>
      <c r="K2524">
        <v>89</v>
      </c>
      <c r="L2524" s="39">
        <f t="shared" si="162"/>
        <v>1.1125</v>
      </c>
      <c r="M2524" s="39">
        <f t="shared" si="163"/>
        <v>1.1125</v>
      </c>
      <c r="N2524" t="s">
        <v>25</v>
      </c>
      <c r="O2524" t="s">
        <v>25</v>
      </c>
      <c r="P2524">
        <v>0</v>
      </c>
      <c r="Q2524">
        <v>0</v>
      </c>
      <c r="R2524" t="s">
        <v>1388</v>
      </c>
    </row>
    <row r="2525" spans="1:18" x14ac:dyDescent="0.3">
      <c r="A2525">
        <v>494</v>
      </c>
      <c r="B2525" t="s">
        <v>1387</v>
      </c>
      <c r="C2525" t="s">
        <v>739</v>
      </c>
      <c r="D2525" t="s">
        <v>71</v>
      </c>
      <c r="E2525" t="s">
        <v>22</v>
      </c>
      <c r="F2525" s="79">
        <v>46022</v>
      </c>
      <c r="G2525">
        <v>2025</v>
      </c>
      <c r="H2525" t="s">
        <v>23</v>
      </c>
      <c r="I2525" t="s">
        <v>32</v>
      </c>
      <c r="J2525">
        <v>80</v>
      </c>
      <c r="K2525">
        <v>93</v>
      </c>
      <c r="L2525" s="39">
        <f t="shared" si="162"/>
        <v>1.1625000000000001</v>
      </c>
      <c r="M2525" s="39">
        <f t="shared" si="163"/>
        <v>1.1625000000000001</v>
      </c>
      <c r="N2525" t="s">
        <v>25</v>
      </c>
      <c r="O2525" t="s">
        <v>25</v>
      </c>
      <c r="P2525">
        <v>0</v>
      </c>
      <c r="Q2525">
        <v>0</v>
      </c>
      <c r="R2525" t="s">
        <v>1389</v>
      </c>
    </row>
    <row r="2526" spans="1:18" x14ac:dyDescent="0.3">
      <c r="A2526">
        <v>495</v>
      </c>
      <c r="B2526" t="s">
        <v>1390</v>
      </c>
      <c r="C2526" t="s">
        <v>901</v>
      </c>
      <c r="D2526" t="s">
        <v>71</v>
      </c>
      <c r="E2526" t="s">
        <v>22</v>
      </c>
      <c r="F2526" s="79">
        <v>45657</v>
      </c>
      <c r="G2526">
        <v>2024</v>
      </c>
      <c r="H2526" t="s">
        <v>23</v>
      </c>
      <c r="I2526" t="s">
        <v>30</v>
      </c>
      <c r="J2526">
        <v>80</v>
      </c>
      <c r="K2526">
        <v>92</v>
      </c>
      <c r="L2526" s="39">
        <f t="shared" si="162"/>
        <v>1.1499999999999999</v>
      </c>
      <c r="M2526" s="39">
        <f t="shared" si="163"/>
        <v>1.1499999999999999</v>
      </c>
      <c r="N2526" t="s">
        <v>25</v>
      </c>
      <c r="O2526" t="s">
        <v>25</v>
      </c>
      <c r="P2526">
        <v>0</v>
      </c>
      <c r="Q2526">
        <v>0</v>
      </c>
      <c r="R2526" t="s">
        <v>1391</v>
      </c>
    </row>
    <row r="2527" spans="1:18" x14ac:dyDescent="0.3">
      <c r="A2527">
        <v>495</v>
      </c>
      <c r="B2527" t="s">
        <v>1390</v>
      </c>
      <c r="C2527" t="s">
        <v>901</v>
      </c>
      <c r="D2527" t="s">
        <v>71</v>
      </c>
      <c r="E2527" t="s">
        <v>22</v>
      </c>
      <c r="F2527" s="79">
        <v>46022</v>
      </c>
      <c r="G2527">
        <v>2025</v>
      </c>
      <c r="H2527" t="s">
        <v>23</v>
      </c>
      <c r="I2527" t="s">
        <v>32</v>
      </c>
      <c r="J2527">
        <v>80</v>
      </c>
      <c r="K2527">
        <v>63</v>
      </c>
      <c r="L2527" s="39">
        <f t="shared" si="162"/>
        <v>0.78749999999999998</v>
      </c>
      <c r="M2527" s="39">
        <f t="shared" si="163"/>
        <v>0.78749999999999998</v>
      </c>
      <c r="N2527" t="s">
        <v>25</v>
      </c>
      <c r="O2527" t="s">
        <v>25</v>
      </c>
      <c r="P2527">
        <v>0</v>
      </c>
      <c r="Q2527">
        <v>0</v>
      </c>
      <c r="R2527" t="s">
        <v>1392</v>
      </c>
    </row>
    <row r="2528" spans="1:18" x14ac:dyDescent="0.3">
      <c r="A2528">
        <v>496</v>
      </c>
      <c r="B2528" t="s">
        <v>1393</v>
      </c>
      <c r="C2528" t="s">
        <v>159</v>
      </c>
      <c r="D2528" t="s">
        <v>71</v>
      </c>
      <c r="E2528" t="s">
        <v>22</v>
      </c>
      <c r="F2528" s="79">
        <v>45657</v>
      </c>
      <c r="G2528">
        <v>2024</v>
      </c>
      <c r="H2528" t="s">
        <v>23</v>
      </c>
      <c r="I2528" t="s">
        <v>30</v>
      </c>
      <c r="J2528">
        <v>80</v>
      </c>
      <c r="K2528">
        <v>88</v>
      </c>
      <c r="L2528" s="39">
        <f t="shared" si="162"/>
        <v>1.1000000000000001</v>
      </c>
      <c r="M2528" s="39">
        <f t="shared" si="163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1394</v>
      </c>
    </row>
    <row r="2529" spans="1:19" x14ac:dyDescent="0.3">
      <c r="A2529">
        <v>496</v>
      </c>
      <c r="B2529" t="s">
        <v>1393</v>
      </c>
      <c r="C2529" t="s">
        <v>159</v>
      </c>
      <c r="D2529" t="s">
        <v>71</v>
      </c>
      <c r="E2529" t="s">
        <v>22</v>
      </c>
      <c r="F2529" s="79">
        <v>46022</v>
      </c>
      <c r="G2529">
        <v>2025</v>
      </c>
      <c r="H2529" t="s">
        <v>23</v>
      </c>
      <c r="I2529" t="s">
        <v>32</v>
      </c>
      <c r="J2529">
        <v>80</v>
      </c>
      <c r="K2529">
        <v>100</v>
      </c>
      <c r="L2529" s="39">
        <f t="shared" si="162"/>
        <v>1.25</v>
      </c>
      <c r="M2529" s="39">
        <f t="shared" si="163"/>
        <v>1.25</v>
      </c>
      <c r="N2529" t="s">
        <v>25</v>
      </c>
      <c r="O2529" t="s">
        <v>25</v>
      </c>
      <c r="P2529">
        <v>0</v>
      </c>
      <c r="Q2529">
        <v>0</v>
      </c>
      <c r="R2529" t="s">
        <v>1395</v>
      </c>
    </row>
    <row r="2530" spans="1:19" x14ac:dyDescent="0.3">
      <c r="A2530">
        <v>497</v>
      </c>
      <c r="B2530" t="s">
        <v>1396</v>
      </c>
      <c r="C2530" t="s">
        <v>927</v>
      </c>
      <c r="D2530" t="s">
        <v>71</v>
      </c>
      <c r="E2530" t="s">
        <v>22</v>
      </c>
      <c r="F2530" s="79">
        <v>45657</v>
      </c>
      <c r="G2530">
        <v>2024</v>
      </c>
      <c r="H2530" t="s">
        <v>23</v>
      </c>
      <c r="I2530" t="s">
        <v>30</v>
      </c>
      <c r="J2530">
        <v>80</v>
      </c>
      <c r="K2530">
        <v>83</v>
      </c>
      <c r="L2530" s="39">
        <f t="shared" si="162"/>
        <v>1.0375000000000001</v>
      </c>
      <c r="M2530" s="39">
        <f t="shared" si="163"/>
        <v>1.0375000000000001</v>
      </c>
      <c r="N2530" t="s">
        <v>25</v>
      </c>
      <c r="O2530" t="s">
        <v>25</v>
      </c>
      <c r="P2530">
        <v>0</v>
      </c>
      <c r="Q2530">
        <v>0</v>
      </c>
      <c r="R2530" t="s">
        <v>1397</v>
      </c>
    </row>
    <row r="2531" spans="1:19" x14ac:dyDescent="0.3">
      <c r="A2531">
        <v>498</v>
      </c>
      <c r="B2531" t="s">
        <v>1398</v>
      </c>
      <c r="C2531" t="s">
        <v>619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92</v>
      </c>
      <c r="L2531" s="39">
        <f t="shared" si="162"/>
        <v>1.1499999999999999</v>
      </c>
      <c r="M2531" s="39">
        <f t="shared" si="163"/>
        <v>1.1499999999999999</v>
      </c>
      <c r="N2531" t="s">
        <v>25</v>
      </c>
      <c r="O2531" t="s">
        <v>25</v>
      </c>
      <c r="P2531">
        <v>0</v>
      </c>
      <c r="Q2531">
        <v>0</v>
      </c>
      <c r="R2531" t="s">
        <v>1399</v>
      </c>
    </row>
    <row r="2532" spans="1:19" x14ac:dyDescent="0.3">
      <c r="A2532">
        <v>498</v>
      </c>
      <c r="B2532" t="s">
        <v>1398</v>
      </c>
      <c r="C2532" t="s">
        <v>619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95</v>
      </c>
      <c r="L2532" s="39">
        <f t="shared" si="162"/>
        <v>1.1875</v>
      </c>
      <c r="M2532" s="39">
        <f t="shared" si="163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1400</v>
      </c>
    </row>
    <row r="2533" spans="1:19" x14ac:dyDescent="0.3">
      <c r="A2533">
        <v>499</v>
      </c>
      <c r="B2533" t="s">
        <v>1401</v>
      </c>
      <c r="C2533" t="s">
        <v>922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87</v>
      </c>
      <c r="L2533" s="39">
        <f t="shared" si="162"/>
        <v>1.0874999999999999</v>
      </c>
      <c r="M2533" s="39">
        <f t="shared" si="163"/>
        <v>1.0874999999999999</v>
      </c>
      <c r="N2533" t="s">
        <v>25</v>
      </c>
      <c r="O2533" t="s">
        <v>25</v>
      </c>
      <c r="P2533">
        <v>0</v>
      </c>
      <c r="Q2533">
        <v>0</v>
      </c>
      <c r="R2533" t="s">
        <v>1402</v>
      </c>
    </row>
    <row r="2534" spans="1:19" x14ac:dyDescent="0.3">
      <c r="A2534">
        <v>499</v>
      </c>
      <c r="B2534" t="s">
        <v>1401</v>
      </c>
      <c r="C2534" t="s">
        <v>922</v>
      </c>
      <c r="D2534" t="s">
        <v>71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L2534" s="39" t="str">
        <f t="shared" si="162"/>
        <v/>
      </c>
      <c r="M2534" s="39" t="str">
        <f t="shared" si="163"/>
        <v/>
      </c>
      <c r="N2534" t="s">
        <v>25</v>
      </c>
      <c r="O2534" t="s">
        <v>25</v>
      </c>
      <c r="P2534">
        <v>0</v>
      </c>
      <c r="Q2534">
        <v>0</v>
      </c>
      <c r="R2534" t="s">
        <v>1403</v>
      </c>
      <c r="S2534" t="s">
        <v>302</v>
      </c>
    </row>
    <row r="2535" spans="1:19" x14ac:dyDescent="0.3">
      <c r="A2535">
        <v>500</v>
      </c>
      <c r="B2535" t="s">
        <v>1404</v>
      </c>
      <c r="C2535" t="s">
        <v>753</v>
      </c>
      <c r="D2535" t="s">
        <v>71</v>
      </c>
      <c r="E2535" t="s">
        <v>22</v>
      </c>
      <c r="F2535" s="79">
        <v>45657</v>
      </c>
      <c r="G2535">
        <v>2024</v>
      </c>
      <c r="H2535" t="s">
        <v>23</v>
      </c>
      <c r="I2535" t="s">
        <v>30</v>
      </c>
      <c r="J2535">
        <v>80</v>
      </c>
      <c r="K2535">
        <v>89</v>
      </c>
      <c r="L2535" s="39">
        <f t="shared" si="162"/>
        <v>1.1125</v>
      </c>
      <c r="M2535" s="39">
        <f t="shared" si="163"/>
        <v>1.1125</v>
      </c>
      <c r="N2535" t="s">
        <v>25</v>
      </c>
      <c r="O2535" t="s">
        <v>25</v>
      </c>
      <c r="P2535">
        <v>0</v>
      </c>
      <c r="Q2535">
        <v>0</v>
      </c>
      <c r="R2535" t="s">
        <v>1405</v>
      </c>
    </row>
    <row r="2536" spans="1:19" x14ac:dyDescent="0.3">
      <c r="A2536">
        <v>500</v>
      </c>
      <c r="B2536" t="s">
        <v>1404</v>
      </c>
      <c r="C2536" t="s">
        <v>753</v>
      </c>
      <c r="D2536" t="s">
        <v>71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100</v>
      </c>
      <c r="L2536" s="39">
        <f t="shared" ref="L2536:L2566" si="164">IFERROR(IF(OR(J2536=0,K2536=""),"",IF(E2536="Positivo",MIN(MAX(K2536/J2536,0),1.3),MIN(MAX(J2536/K2536,0),1.3))),"")</f>
        <v>1.25</v>
      </c>
      <c r="M2536" s="39">
        <f t="shared" ref="M2536:M2566" si="165">IFERROR(IF(OR(J2536=0,K2536=""),"",IF(E2536="Positivo",MAX(K2536/J2536,0),MAX(J2536/K2536,0))),"")</f>
        <v>1.25</v>
      </c>
      <c r="N2536" t="s">
        <v>25</v>
      </c>
      <c r="O2536" t="s">
        <v>25</v>
      </c>
      <c r="P2536">
        <v>0</v>
      </c>
      <c r="Q2536">
        <v>0</v>
      </c>
      <c r="R2536" t="s">
        <v>1406</v>
      </c>
    </row>
    <row r="2537" spans="1:19" x14ac:dyDescent="0.3">
      <c r="A2537">
        <v>501</v>
      </c>
      <c r="B2537" t="s">
        <v>1407</v>
      </c>
      <c r="C2537" t="s">
        <v>549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1408</v>
      </c>
    </row>
    <row r="2538" spans="1:19" x14ac:dyDescent="0.3">
      <c r="A2538">
        <v>501</v>
      </c>
      <c r="B2538" t="s">
        <v>1407</v>
      </c>
      <c r="C2538" t="s">
        <v>549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100</v>
      </c>
      <c r="L2538" s="39">
        <f t="shared" si="164"/>
        <v>1.25</v>
      </c>
      <c r="M2538" s="39">
        <f t="shared" si="165"/>
        <v>1.25</v>
      </c>
      <c r="N2538" t="s">
        <v>25</v>
      </c>
      <c r="O2538" t="s">
        <v>25</v>
      </c>
      <c r="P2538">
        <v>0</v>
      </c>
      <c r="Q2538">
        <v>0</v>
      </c>
      <c r="R2538" t="s">
        <v>1409</v>
      </c>
    </row>
    <row r="2539" spans="1:19" x14ac:dyDescent="0.3">
      <c r="A2539">
        <v>502</v>
      </c>
      <c r="B2539" t="s">
        <v>1410</v>
      </c>
      <c r="C2539" t="s">
        <v>274</v>
      </c>
      <c r="D2539" t="s">
        <v>71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90</v>
      </c>
      <c r="L2539" s="39">
        <f t="shared" si="164"/>
        <v>1.125</v>
      </c>
      <c r="M2539" s="39">
        <f t="shared" si="165"/>
        <v>1.125</v>
      </c>
      <c r="N2539" t="s">
        <v>25</v>
      </c>
      <c r="O2539" t="s">
        <v>25</v>
      </c>
      <c r="P2539">
        <v>0</v>
      </c>
      <c r="Q2539">
        <v>0</v>
      </c>
      <c r="R2539" t="s">
        <v>1411</v>
      </c>
    </row>
    <row r="2540" spans="1:19" x14ac:dyDescent="0.3">
      <c r="A2540">
        <v>502</v>
      </c>
      <c r="B2540" t="s">
        <v>1410</v>
      </c>
      <c r="C2540" t="s">
        <v>274</v>
      </c>
      <c r="D2540" t="s">
        <v>71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97</v>
      </c>
      <c r="L2540" s="39">
        <f t="shared" si="164"/>
        <v>1.2124999999999999</v>
      </c>
      <c r="M2540" s="39">
        <f t="shared" si="165"/>
        <v>1.2124999999999999</v>
      </c>
      <c r="N2540" t="s">
        <v>25</v>
      </c>
      <c r="O2540" t="s">
        <v>25</v>
      </c>
      <c r="P2540">
        <v>0</v>
      </c>
      <c r="Q2540">
        <v>0</v>
      </c>
      <c r="R2540" t="s">
        <v>1412</v>
      </c>
    </row>
    <row r="2541" spans="1:19" x14ac:dyDescent="0.3">
      <c r="A2541">
        <v>503</v>
      </c>
      <c r="B2541" t="s">
        <v>1413</v>
      </c>
      <c r="C2541" t="s">
        <v>1059</v>
      </c>
      <c r="D2541" t="s">
        <v>71</v>
      </c>
      <c r="E2541" t="s">
        <v>22</v>
      </c>
      <c r="F2541" s="79">
        <v>45657</v>
      </c>
      <c r="G2541">
        <v>2024</v>
      </c>
      <c r="H2541" t="s">
        <v>23</v>
      </c>
      <c r="I2541" t="s">
        <v>30</v>
      </c>
      <c r="J2541">
        <v>80</v>
      </c>
      <c r="K2541">
        <v>86</v>
      </c>
      <c r="L2541" s="39">
        <f t="shared" si="164"/>
        <v>1.075</v>
      </c>
      <c r="M2541" s="39">
        <f t="shared" si="165"/>
        <v>1.075</v>
      </c>
      <c r="N2541" t="s">
        <v>25</v>
      </c>
      <c r="O2541" t="s">
        <v>25</v>
      </c>
      <c r="P2541">
        <v>0</v>
      </c>
      <c r="Q2541">
        <v>0</v>
      </c>
      <c r="R2541" t="s">
        <v>1414</v>
      </c>
    </row>
    <row r="2542" spans="1:19" x14ac:dyDescent="0.3">
      <c r="A2542">
        <v>503</v>
      </c>
      <c r="B2542" t="s">
        <v>1413</v>
      </c>
      <c r="C2542" t="s">
        <v>1059</v>
      </c>
      <c r="D2542" t="s">
        <v>71</v>
      </c>
      <c r="E2542" t="s">
        <v>22</v>
      </c>
      <c r="F2542" s="79">
        <v>46022</v>
      </c>
      <c r="G2542">
        <v>2025</v>
      </c>
      <c r="H2542" t="s">
        <v>23</v>
      </c>
      <c r="I2542" t="s">
        <v>32</v>
      </c>
      <c r="J2542">
        <v>80</v>
      </c>
      <c r="K2542">
        <v>94</v>
      </c>
      <c r="L2542" s="39">
        <f t="shared" si="164"/>
        <v>1.175</v>
      </c>
      <c r="M2542" s="39">
        <f t="shared" si="165"/>
        <v>1.175</v>
      </c>
      <c r="N2542" t="s">
        <v>25</v>
      </c>
      <c r="O2542" t="s">
        <v>25</v>
      </c>
      <c r="P2542">
        <v>0</v>
      </c>
      <c r="Q2542">
        <v>0</v>
      </c>
      <c r="R2542" t="s">
        <v>1415</v>
      </c>
    </row>
    <row r="2543" spans="1:19" x14ac:dyDescent="0.3">
      <c r="A2543">
        <v>504</v>
      </c>
      <c r="B2543" t="s">
        <v>1416</v>
      </c>
      <c r="C2543" t="s">
        <v>1110</v>
      </c>
      <c r="D2543" t="s">
        <v>71</v>
      </c>
      <c r="E2543" t="s">
        <v>22</v>
      </c>
      <c r="F2543" s="79">
        <v>45657</v>
      </c>
      <c r="G2543">
        <v>2024</v>
      </c>
      <c r="H2543" t="s">
        <v>23</v>
      </c>
      <c r="I2543" t="s">
        <v>30</v>
      </c>
      <c r="J2543">
        <v>80</v>
      </c>
      <c r="K2543">
        <v>88</v>
      </c>
      <c r="L2543" s="39">
        <f t="shared" si="164"/>
        <v>1.1000000000000001</v>
      </c>
      <c r="M2543" s="39">
        <f t="shared" si="165"/>
        <v>1.1000000000000001</v>
      </c>
      <c r="N2543" t="s">
        <v>25</v>
      </c>
      <c r="O2543" t="s">
        <v>25</v>
      </c>
      <c r="P2543">
        <v>0</v>
      </c>
      <c r="Q2543">
        <v>0</v>
      </c>
      <c r="R2543" t="s">
        <v>1417</v>
      </c>
    </row>
    <row r="2544" spans="1:19" x14ac:dyDescent="0.3">
      <c r="A2544">
        <v>504</v>
      </c>
      <c r="B2544" t="s">
        <v>1416</v>
      </c>
      <c r="C2544" t="s">
        <v>1110</v>
      </c>
      <c r="D2544" t="s">
        <v>71</v>
      </c>
      <c r="E2544" t="s">
        <v>22</v>
      </c>
      <c r="F2544" s="79">
        <v>46022</v>
      </c>
      <c r="G2544">
        <v>2025</v>
      </c>
      <c r="H2544" t="s">
        <v>23</v>
      </c>
      <c r="I2544" t="s">
        <v>32</v>
      </c>
      <c r="J2544">
        <v>80</v>
      </c>
      <c r="K2544">
        <v>88</v>
      </c>
      <c r="L2544" s="39">
        <f t="shared" si="164"/>
        <v>1.1000000000000001</v>
      </c>
      <c r="M2544" s="39">
        <f t="shared" si="165"/>
        <v>1.1000000000000001</v>
      </c>
      <c r="N2544" t="s">
        <v>25</v>
      </c>
      <c r="O2544" t="s">
        <v>25</v>
      </c>
      <c r="P2544">
        <v>0</v>
      </c>
      <c r="Q2544">
        <v>0</v>
      </c>
      <c r="R2544" t="s">
        <v>1418</v>
      </c>
    </row>
    <row r="2545" spans="1:18" x14ac:dyDescent="0.3">
      <c r="A2545">
        <v>505</v>
      </c>
      <c r="B2545" t="s">
        <v>1419</v>
      </c>
      <c r="C2545" t="s">
        <v>1183</v>
      </c>
      <c r="D2545" t="s">
        <v>71</v>
      </c>
      <c r="E2545" t="s">
        <v>22</v>
      </c>
      <c r="F2545" s="79">
        <v>45657</v>
      </c>
      <c r="G2545">
        <v>2024</v>
      </c>
      <c r="H2545" t="s">
        <v>23</v>
      </c>
      <c r="I2545" t="s">
        <v>30</v>
      </c>
      <c r="J2545">
        <v>80</v>
      </c>
      <c r="K2545">
        <v>85</v>
      </c>
      <c r="L2545" s="39">
        <f t="shared" si="164"/>
        <v>1.0625</v>
      </c>
      <c r="M2545" s="39">
        <f t="shared" si="165"/>
        <v>1.0625</v>
      </c>
      <c r="N2545" t="s">
        <v>25</v>
      </c>
      <c r="O2545" t="s">
        <v>25</v>
      </c>
      <c r="P2545">
        <v>0</v>
      </c>
      <c r="Q2545">
        <v>0</v>
      </c>
      <c r="R2545" t="s">
        <v>1420</v>
      </c>
    </row>
    <row r="2546" spans="1:18" x14ac:dyDescent="0.3">
      <c r="A2546">
        <v>505</v>
      </c>
      <c r="B2546" t="s">
        <v>1419</v>
      </c>
      <c r="C2546" t="s">
        <v>1183</v>
      </c>
      <c r="D2546" t="s">
        <v>71</v>
      </c>
      <c r="E2546" t="s">
        <v>22</v>
      </c>
      <c r="F2546" s="79">
        <v>46022</v>
      </c>
      <c r="G2546">
        <v>2025</v>
      </c>
      <c r="H2546" t="s">
        <v>23</v>
      </c>
      <c r="I2546" t="s">
        <v>32</v>
      </c>
      <c r="J2546">
        <v>80</v>
      </c>
      <c r="K2546">
        <v>86</v>
      </c>
      <c r="L2546" s="39">
        <f t="shared" si="164"/>
        <v>1.075</v>
      </c>
      <c r="M2546" s="39">
        <f t="shared" si="165"/>
        <v>1.075</v>
      </c>
      <c r="N2546" t="s">
        <v>25</v>
      </c>
      <c r="O2546" t="s">
        <v>25</v>
      </c>
      <c r="P2546">
        <v>0</v>
      </c>
      <c r="Q2546">
        <v>0</v>
      </c>
      <c r="R2546" t="s">
        <v>1421</v>
      </c>
    </row>
    <row r="2547" spans="1:18" x14ac:dyDescent="0.3">
      <c r="A2547">
        <v>506</v>
      </c>
      <c r="B2547" t="s">
        <v>1422</v>
      </c>
      <c r="C2547" t="s">
        <v>941</v>
      </c>
      <c r="D2547" t="s">
        <v>71</v>
      </c>
      <c r="E2547" t="s">
        <v>22</v>
      </c>
      <c r="F2547" s="79">
        <v>45657</v>
      </c>
      <c r="G2547">
        <v>2024</v>
      </c>
      <c r="H2547" t="s">
        <v>23</v>
      </c>
      <c r="I2547" t="s">
        <v>30</v>
      </c>
      <c r="J2547">
        <v>80</v>
      </c>
      <c r="K2547">
        <v>67</v>
      </c>
      <c r="L2547" s="39">
        <f t="shared" si="164"/>
        <v>0.83750000000000002</v>
      </c>
      <c r="M2547" s="39">
        <f t="shared" si="165"/>
        <v>0.83750000000000002</v>
      </c>
      <c r="N2547" t="s">
        <v>25</v>
      </c>
      <c r="O2547" t="s">
        <v>25</v>
      </c>
      <c r="P2547">
        <v>0</v>
      </c>
      <c r="Q2547">
        <v>0</v>
      </c>
      <c r="R2547" t="s">
        <v>1423</v>
      </c>
    </row>
    <row r="2548" spans="1:18" x14ac:dyDescent="0.3">
      <c r="A2548">
        <v>506</v>
      </c>
      <c r="B2548" t="s">
        <v>1422</v>
      </c>
      <c r="C2548" t="s">
        <v>941</v>
      </c>
      <c r="D2548" t="s">
        <v>21</v>
      </c>
      <c r="E2548" t="s">
        <v>22</v>
      </c>
      <c r="F2548" s="79">
        <v>45838</v>
      </c>
      <c r="G2548">
        <v>2025</v>
      </c>
      <c r="H2548" t="s">
        <v>699</v>
      </c>
      <c r="I2548" t="s">
        <v>700</v>
      </c>
      <c r="J2548">
        <v>80</v>
      </c>
      <c r="K2548">
        <v>95</v>
      </c>
      <c r="L2548" s="39">
        <f t="shared" si="164"/>
        <v>1.1875</v>
      </c>
      <c r="M2548" s="39">
        <f t="shared" si="165"/>
        <v>1.1875</v>
      </c>
      <c r="N2548" t="s">
        <v>25</v>
      </c>
      <c r="O2548" t="s">
        <v>25</v>
      </c>
      <c r="P2548">
        <v>0</v>
      </c>
      <c r="Q2548">
        <v>0</v>
      </c>
      <c r="R2548" t="s">
        <v>3191</v>
      </c>
    </row>
    <row r="2549" spans="1:18" x14ac:dyDescent="0.3">
      <c r="A2549">
        <v>506</v>
      </c>
      <c r="B2549" t="s">
        <v>1422</v>
      </c>
      <c r="C2549" t="s">
        <v>941</v>
      </c>
      <c r="D2549" t="s">
        <v>21</v>
      </c>
      <c r="E2549" t="s">
        <v>22</v>
      </c>
      <c r="F2549" s="79">
        <v>46022</v>
      </c>
      <c r="G2549">
        <v>2025</v>
      </c>
      <c r="H2549" t="s">
        <v>23</v>
      </c>
      <c r="I2549" t="s">
        <v>32</v>
      </c>
      <c r="J2549">
        <v>80</v>
      </c>
      <c r="K2549">
        <v>92.5</v>
      </c>
      <c r="L2549" s="39">
        <f t="shared" si="164"/>
        <v>1.15625</v>
      </c>
      <c r="M2549" s="39">
        <f t="shared" si="165"/>
        <v>1.15625</v>
      </c>
      <c r="N2549" t="s">
        <v>25</v>
      </c>
      <c r="O2549" t="s">
        <v>25</v>
      </c>
      <c r="P2549">
        <v>0</v>
      </c>
      <c r="Q2549">
        <v>0</v>
      </c>
      <c r="R2549" t="s">
        <v>1424</v>
      </c>
    </row>
    <row r="2550" spans="1:18" x14ac:dyDescent="0.3">
      <c r="A2550">
        <v>507</v>
      </c>
      <c r="B2550" t="s">
        <v>1425</v>
      </c>
      <c r="C2550" t="s">
        <v>711</v>
      </c>
      <c r="D2550" t="s">
        <v>71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77</v>
      </c>
      <c r="L2550" s="39">
        <f t="shared" si="164"/>
        <v>0.96250000000000002</v>
      </c>
      <c r="M2550" s="39">
        <f t="shared" si="165"/>
        <v>0.96250000000000002</v>
      </c>
      <c r="N2550" t="s">
        <v>25</v>
      </c>
      <c r="O2550" t="s">
        <v>25</v>
      </c>
      <c r="P2550">
        <v>0</v>
      </c>
      <c r="Q2550">
        <v>0</v>
      </c>
      <c r="R2550" t="s">
        <v>1426</v>
      </c>
    </row>
    <row r="2551" spans="1:18" x14ac:dyDescent="0.3">
      <c r="A2551">
        <v>507</v>
      </c>
      <c r="B2551" t="s">
        <v>1425</v>
      </c>
      <c r="C2551" t="s">
        <v>711</v>
      </c>
      <c r="D2551" t="s">
        <v>21</v>
      </c>
      <c r="E2551" t="s">
        <v>22</v>
      </c>
      <c r="F2551" s="79">
        <v>45838</v>
      </c>
      <c r="G2551">
        <v>2025</v>
      </c>
      <c r="H2551" t="s">
        <v>699</v>
      </c>
      <c r="I2551" t="s">
        <v>700</v>
      </c>
      <c r="J2551">
        <v>80</v>
      </c>
      <c r="K2551">
        <v>98.75</v>
      </c>
      <c r="L2551" s="39">
        <f t="shared" si="164"/>
        <v>1.234375</v>
      </c>
      <c r="M2551" s="39">
        <f t="shared" si="165"/>
        <v>1.234375</v>
      </c>
      <c r="N2551" t="s">
        <v>25</v>
      </c>
      <c r="O2551" t="s">
        <v>25</v>
      </c>
      <c r="P2551">
        <v>0</v>
      </c>
      <c r="Q2551">
        <v>0</v>
      </c>
      <c r="R2551" t="s">
        <v>3192</v>
      </c>
    </row>
    <row r="2552" spans="1:18" x14ac:dyDescent="0.3">
      <c r="A2552">
        <v>507</v>
      </c>
      <c r="B2552" t="s">
        <v>1425</v>
      </c>
      <c r="C2552" t="s">
        <v>711</v>
      </c>
      <c r="D2552" t="s">
        <v>21</v>
      </c>
      <c r="E2552" t="s">
        <v>22</v>
      </c>
      <c r="F2552" s="79">
        <v>46022</v>
      </c>
      <c r="G2552">
        <v>2025</v>
      </c>
      <c r="H2552" t="s">
        <v>23</v>
      </c>
      <c r="I2552" t="s">
        <v>32</v>
      </c>
      <c r="J2552">
        <v>80</v>
      </c>
      <c r="K2552">
        <v>99</v>
      </c>
      <c r="L2552" s="39">
        <f t="shared" si="164"/>
        <v>1.2375</v>
      </c>
      <c r="M2552" s="39">
        <f t="shared" si="165"/>
        <v>1.2375</v>
      </c>
      <c r="N2552" t="s">
        <v>25</v>
      </c>
      <c r="O2552" t="s">
        <v>25</v>
      </c>
      <c r="P2552">
        <v>0</v>
      </c>
      <c r="Q2552">
        <v>0</v>
      </c>
      <c r="R2552" t="s">
        <v>1427</v>
      </c>
    </row>
    <row r="2553" spans="1:18" x14ac:dyDescent="0.3">
      <c r="A2553">
        <v>508</v>
      </c>
      <c r="B2553" t="s">
        <v>1428</v>
      </c>
      <c r="C2553" t="s">
        <v>1089</v>
      </c>
      <c r="D2553" t="s">
        <v>71</v>
      </c>
      <c r="E2553" t="s">
        <v>22</v>
      </c>
      <c r="F2553" s="79">
        <v>45657</v>
      </c>
      <c r="G2553">
        <v>2024</v>
      </c>
      <c r="H2553" t="s">
        <v>23</v>
      </c>
      <c r="I2553" t="s">
        <v>30</v>
      </c>
      <c r="J2553">
        <v>80</v>
      </c>
      <c r="K2553">
        <v>88</v>
      </c>
      <c r="L2553" s="39">
        <f t="shared" si="164"/>
        <v>1.1000000000000001</v>
      </c>
      <c r="M2553" s="39">
        <f t="shared" si="165"/>
        <v>1.1000000000000001</v>
      </c>
      <c r="N2553" t="s">
        <v>25</v>
      </c>
      <c r="O2553" t="s">
        <v>25</v>
      </c>
      <c r="P2553">
        <v>0</v>
      </c>
      <c r="Q2553">
        <v>0</v>
      </c>
      <c r="R2553" t="s">
        <v>1429</v>
      </c>
    </row>
    <row r="2554" spans="1:18" x14ac:dyDescent="0.3">
      <c r="A2554">
        <v>508</v>
      </c>
      <c r="B2554" t="s">
        <v>1428</v>
      </c>
      <c r="C2554" t="s">
        <v>1089</v>
      </c>
      <c r="D2554" t="s">
        <v>71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J2554">
        <v>80</v>
      </c>
      <c r="K2554">
        <v>89</v>
      </c>
      <c r="L2554" s="39">
        <f t="shared" si="164"/>
        <v>1.1125</v>
      </c>
      <c r="M2554" s="39">
        <f t="shared" si="165"/>
        <v>1.1125</v>
      </c>
      <c r="N2554" t="s">
        <v>25</v>
      </c>
      <c r="O2554" t="s">
        <v>25</v>
      </c>
      <c r="P2554">
        <v>0</v>
      </c>
      <c r="Q2554">
        <v>0</v>
      </c>
      <c r="R2554" t="s">
        <v>1430</v>
      </c>
    </row>
    <row r="2555" spans="1:18" x14ac:dyDescent="0.3">
      <c r="A2555">
        <v>509</v>
      </c>
      <c r="B2555" t="s">
        <v>1431</v>
      </c>
      <c r="C2555" t="s">
        <v>511</v>
      </c>
      <c r="D2555" t="s">
        <v>54</v>
      </c>
      <c r="E2555" t="s">
        <v>22</v>
      </c>
      <c r="F2555" s="79">
        <v>45688</v>
      </c>
      <c r="G2555">
        <v>2025</v>
      </c>
      <c r="H2555" t="s">
        <v>59</v>
      </c>
      <c r="I2555" t="s">
        <v>700</v>
      </c>
      <c r="J2555">
        <v>90</v>
      </c>
      <c r="K2555">
        <v>99.45</v>
      </c>
      <c r="L2555" s="39">
        <f t="shared" si="164"/>
        <v>1.105</v>
      </c>
      <c r="M2555" s="39">
        <f t="shared" si="165"/>
        <v>1.105</v>
      </c>
      <c r="N2555" t="s">
        <v>25</v>
      </c>
      <c r="O2555" t="s">
        <v>25</v>
      </c>
      <c r="P2555">
        <v>0</v>
      </c>
      <c r="Q2555">
        <v>0</v>
      </c>
      <c r="R2555" t="s">
        <v>3193</v>
      </c>
    </row>
    <row r="2556" spans="1:18" x14ac:dyDescent="0.3">
      <c r="A2556">
        <v>509</v>
      </c>
      <c r="B2556" t="s">
        <v>1431</v>
      </c>
      <c r="C2556" t="s">
        <v>511</v>
      </c>
      <c r="D2556" t="s">
        <v>54</v>
      </c>
      <c r="E2556" t="s">
        <v>22</v>
      </c>
      <c r="F2556" s="79">
        <v>45716</v>
      </c>
      <c r="G2556">
        <v>2025</v>
      </c>
      <c r="H2556" t="s">
        <v>210</v>
      </c>
      <c r="I2556" t="s">
        <v>700</v>
      </c>
      <c r="J2556">
        <v>90</v>
      </c>
      <c r="K2556">
        <v>98.65</v>
      </c>
      <c r="L2556" s="39">
        <f t="shared" si="164"/>
        <v>1.0961111111111113</v>
      </c>
      <c r="M2556" s="39">
        <f t="shared" si="165"/>
        <v>1.0961111111111113</v>
      </c>
      <c r="N2556" t="s">
        <v>25</v>
      </c>
      <c r="O2556" t="s">
        <v>25</v>
      </c>
      <c r="P2556">
        <v>0</v>
      </c>
      <c r="Q2556">
        <v>0</v>
      </c>
      <c r="R2556" t="s">
        <v>3194</v>
      </c>
    </row>
    <row r="2557" spans="1:18" x14ac:dyDescent="0.3">
      <c r="A2557">
        <v>509</v>
      </c>
      <c r="B2557" t="s">
        <v>1431</v>
      </c>
      <c r="C2557" t="s">
        <v>511</v>
      </c>
      <c r="D2557" t="s">
        <v>54</v>
      </c>
      <c r="E2557" t="s">
        <v>22</v>
      </c>
      <c r="F2557" s="79">
        <v>45747</v>
      </c>
      <c r="G2557">
        <v>2025</v>
      </c>
      <c r="H2557" t="s">
        <v>1516</v>
      </c>
      <c r="I2557" t="s">
        <v>700</v>
      </c>
      <c r="J2557">
        <v>90</v>
      </c>
      <c r="K2557">
        <v>94.49</v>
      </c>
      <c r="L2557" s="39">
        <f t="shared" si="164"/>
        <v>1.0498888888888889</v>
      </c>
      <c r="M2557" s="39">
        <f t="shared" si="165"/>
        <v>1.0498888888888889</v>
      </c>
      <c r="N2557" t="s">
        <v>25</v>
      </c>
      <c r="O2557" t="s">
        <v>25</v>
      </c>
      <c r="P2557">
        <v>0</v>
      </c>
      <c r="Q2557">
        <v>0</v>
      </c>
      <c r="R2557" t="s">
        <v>3195</v>
      </c>
    </row>
    <row r="2558" spans="1:18" x14ac:dyDescent="0.3">
      <c r="A2558">
        <v>509</v>
      </c>
      <c r="B2558" t="s">
        <v>1431</v>
      </c>
      <c r="C2558" t="s">
        <v>511</v>
      </c>
      <c r="D2558" t="s">
        <v>54</v>
      </c>
      <c r="E2558" t="s">
        <v>22</v>
      </c>
      <c r="F2558" s="79">
        <v>45777</v>
      </c>
      <c r="G2558">
        <v>2025</v>
      </c>
      <c r="H2558" t="s">
        <v>1540</v>
      </c>
      <c r="I2558" t="s">
        <v>700</v>
      </c>
      <c r="J2558">
        <v>90</v>
      </c>
      <c r="K2558">
        <v>93.88</v>
      </c>
      <c r="L2558" s="39">
        <f t="shared" si="164"/>
        <v>1.0431111111111111</v>
      </c>
      <c r="M2558" s="39">
        <f t="shared" si="165"/>
        <v>1.0431111111111111</v>
      </c>
      <c r="N2558" t="s">
        <v>25</v>
      </c>
      <c r="O2558" t="s">
        <v>25</v>
      </c>
      <c r="P2558">
        <v>0</v>
      </c>
      <c r="Q2558">
        <v>0</v>
      </c>
      <c r="R2558" t="s">
        <v>3196</v>
      </c>
    </row>
    <row r="2559" spans="1:18" x14ac:dyDescent="0.3">
      <c r="A2559">
        <v>509</v>
      </c>
      <c r="B2559" t="s">
        <v>1431</v>
      </c>
      <c r="C2559" t="s">
        <v>511</v>
      </c>
      <c r="D2559" t="s">
        <v>54</v>
      </c>
      <c r="E2559" t="s">
        <v>22</v>
      </c>
      <c r="F2559" s="79">
        <v>45808</v>
      </c>
      <c r="G2559">
        <v>2025</v>
      </c>
      <c r="H2559" t="s">
        <v>1542</v>
      </c>
      <c r="I2559" t="s">
        <v>700</v>
      </c>
      <c r="J2559">
        <v>90</v>
      </c>
      <c r="K2559">
        <v>93.8</v>
      </c>
      <c r="L2559" s="39">
        <f t="shared" si="164"/>
        <v>1.0422222222222222</v>
      </c>
      <c r="M2559" s="39">
        <f t="shared" si="165"/>
        <v>1.0422222222222222</v>
      </c>
      <c r="N2559" t="s">
        <v>25</v>
      </c>
      <c r="O2559" t="s">
        <v>25</v>
      </c>
      <c r="P2559">
        <v>0</v>
      </c>
      <c r="Q2559">
        <v>0</v>
      </c>
      <c r="R2559" t="s">
        <v>3197</v>
      </c>
    </row>
    <row r="2560" spans="1:18" x14ac:dyDescent="0.3">
      <c r="A2560">
        <v>509</v>
      </c>
      <c r="B2560" t="s">
        <v>1431</v>
      </c>
      <c r="C2560" t="s">
        <v>511</v>
      </c>
      <c r="D2560" t="s">
        <v>54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90</v>
      </c>
      <c r="K2560">
        <v>100.59</v>
      </c>
      <c r="L2560" s="39">
        <f t="shared" si="164"/>
        <v>1.1176666666666668</v>
      </c>
      <c r="M2560" s="39">
        <f t="shared" si="165"/>
        <v>1.1176666666666668</v>
      </c>
      <c r="N2560" t="s">
        <v>25</v>
      </c>
      <c r="O2560" t="s">
        <v>25</v>
      </c>
      <c r="P2560">
        <v>0</v>
      </c>
      <c r="Q2560">
        <v>0</v>
      </c>
      <c r="R2560" t="s">
        <v>3198</v>
      </c>
    </row>
    <row r="2561" spans="1:18" x14ac:dyDescent="0.3">
      <c r="A2561">
        <v>509</v>
      </c>
      <c r="B2561" t="s">
        <v>1431</v>
      </c>
      <c r="C2561" t="s">
        <v>511</v>
      </c>
      <c r="D2561" t="s">
        <v>54</v>
      </c>
      <c r="E2561" t="s">
        <v>22</v>
      </c>
      <c r="F2561" s="79">
        <v>45869</v>
      </c>
      <c r="G2561">
        <v>2025</v>
      </c>
      <c r="H2561" t="s">
        <v>260</v>
      </c>
      <c r="I2561" t="s">
        <v>32</v>
      </c>
      <c r="J2561">
        <v>90</v>
      </c>
      <c r="K2561">
        <v>96.04</v>
      </c>
      <c r="L2561" s="39">
        <f t="shared" si="164"/>
        <v>1.0671111111111111</v>
      </c>
      <c r="M2561" s="39">
        <f t="shared" si="165"/>
        <v>1.0671111111111111</v>
      </c>
      <c r="N2561" t="s">
        <v>25</v>
      </c>
      <c r="O2561" t="s">
        <v>25</v>
      </c>
      <c r="P2561">
        <v>0</v>
      </c>
      <c r="Q2561">
        <v>0</v>
      </c>
      <c r="R2561" t="s">
        <v>3199</v>
      </c>
    </row>
    <row r="2562" spans="1:18" x14ac:dyDescent="0.3">
      <c r="A2562">
        <v>509</v>
      </c>
      <c r="B2562" t="s">
        <v>1431</v>
      </c>
      <c r="C2562" t="s">
        <v>511</v>
      </c>
      <c r="D2562" t="s">
        <v>54</v>
      </c>
      <c r="E2562" t="s">
        <v>22</v>
      </c>
      <c r="F2562" s="79">
        <v>45900</v>
      </c>
      <c r="G2562">
        <v>2025</v>
      </c>
      <c r="H2562" t="s">
        <v>1546</v>
      </c>
      <c r="I2562" t="s">
        <v>32</v>
      </c>
      <c r="J2562">
        <v>90</v>
      </c>
      <c r="K2562">
        <v>91.52</v>
      </c>
      <c r="L2562" s="39">
        <f t="shared" si="164"/>
        <v>1.016888888888889</v>
      </c>
      <c r="M2562" s="39">
        <f t="shared" si="165"/>
        <v>1.016888888888889</v>
      </c>
      <c r="N2562" t="s">
        <v>25</v>
      </c>
      <c r="O2562" t="s">
        <v>25</v>
      </c>
      <c r="P2562">
        <v>0</v>
      </c>
      <c r="Q2562">
        <v>0</v>
      </c>
      <c r="R2562" t="s">
        <v>3200</v>
      </c>
    </row>
    <row r="2563" spans="1:18" x14ac:dyDescent="0.3">
      <c r="A2563">
        <v>509</v>
      </c>
      <c r="B2563" t="s">
        <v>1431</v>
      </c>
      <c r="C2563" t="s">
        <v>511</v>
      </c>
      <c r="D2563" t="s">
        <v>54</v>
      </c>
      <c r="E2563" t="s">
        <v>22</v>
      </c>
      <c r="F2563" s="79">
        <v>45930</v>
      </c>
      <c r="G2563">
        <v>2025</v>
      </c>
      <c r="H2563" t="s">
        <v>162</v>
      </c>
      <c r="I2563" t="s">
        <v>32</v>
      </c>
      <c r="J2563">
        <v>90</v>
      </c>
      <c r="K2563">
        <v>96.67</v>
      </c>
      <c r="L2563" s="39">
        <f t="shared" si="164"/>
        <v>1.0741111111111112</v>
      </c>
      <c r="M2563" s="39">
        <f t="shared" si="165"/>
        <v>1.0741111111111112</v>
      </c>
      <c r="N2563" t="s">
        <v>25</v>
      </c>
      <c r="O2563" t="s">
        <v>25</v>
      </c>
      <c r="P2563">
        <v>0</v>
      </c>
      <c r="Q2563">
        <v>0</v>
      </c>
      <c r="R2563" t="s">
        <v>3201</v>
      </c>
    </row>
    <row r="2564" spans="1:18" x14ac:dyDescent="0.3">
      <c r="A2564">
        <v>509</v>
      </c>
      <c r="B2564" t="s">
        <v>1431</v>
      </c>
      <c r="C2564" t="s">
        <v>511</v>
      </c>
      <c r="D2564" t="s">
        <v>54</v>
      </c>
      <c r="E2564" t="s">
        <v>22</v>
      </c>
      <c r="F2564" s="79">
        <v>45961</v>
      </c>
      <c r="G2564">
        <v>2025</v>
      </c>
      <c r="H2564" t="s">
        <v>150</v>
      </c>
      <c r="I2564" t="s">
        <v>32</v>
      </c>
      <c r="J2564">
        <v>90</v>
      </c>
      <c r="K2564">
        <v>91.81</v>
      </c>
      <c r="L2564" s="39">
        <f t="shared" si="164"/>
        <v>1.0201111111111112</v>
      </c>
      <c r="M2564" s="39">
        <f t="shared" si="165"/>
        <v>1.0201111111111112</v>
      </c>
      <c r="N2564" t="s">
        <v>25</v>
      </c>
      <c r="O2564" t="s">
        <v>25</v>
      </c>
      <c r="P2564">
        <v>0</v>
      </c>
      <c r="Q2564">
        <v>0</v>
      </c>
      <c r="R2564" t="s">
        <v>3202</v>
      </c>
    </row>
    <row r="2565" spans="1:18" x14ac:dyDescent="0.3">
      <c r="A2565">
        <v>509</v>
      </c>
      <c r="B2565" t="s">
        <v>1431</v>
      </c>
      <c r="C2565" t="s">
        <v>511</v>
      </c>
      <c r="D2565" t="s">
        <v>54</v>
      </c>
      <c r="E2565" t="s">
        <v>22</v>
      </c>
      <c r="F2565" s="79">
        <v>45991</v>
      </c>
      <c r="G2565">
        <v>2025</v>
      </c>
      <c r="H2565" t="s">
        <v>1550</v>
      </c>
      <c r="I2565" t="s">
        <v>32</v>
      </c>
      <c r="J2565">
        <v>90</v>
      </c>
      <c r="K2565">
        <v>96.99</v>
      </c>
      <c r="L2565" s="39">
        <f t="shared" si="164"/>
        <v>1.0776666666666666</v>
      </c>
      <c r="M2565" s="39">
        <f t="shared" si="165"/>
        <v>1.0776666666666666</v>
      </c>
      <c r="N2565" t="s">
        <v>25</v>
      </c>
      <c r="O2565" t="s">
        <v>25</v>
      </c>
      <c r="P2565">
        <v>0</v>
      </c>
      <c r="Q2565">
        <v>0</v>
      </c>
      <c r="R2565" t="s">
        <v>3203</v>
      </c>
    </row>
    <row r="2566" spans="1:18" x14ac:dyDescent="0.3">
      <c r="A2566">
        <v>509</v>
      </c>
      <c r="B2566" t="s">
        <v>1431</v>
      </c>
      <c r="C2566" t="s">
        <v>511</v>
      </c>
      <c r="D2566" t="s">
        <v>54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90</v>
      </c>
      <c r="K2566">
        <v>97.33</v>
      </c>
      <c r="L2566" s="39">
        <f t="shared" si="164"/>
        <v>1.0814444444444444</v>
      </c>
      <c r="M2566" s="39">
        <f t="shared" si="165"/>
        <v>1.0814444444444444</v>
      </c>
      <c r="N2566" t="s">
        <v>25</v>
      </c>
      <c r="O2566" t="s">
        <v>25</v>
      </c>
      <c r="P2566">
        <v>0</v>
      </c>
      <c r="Q2566">
        <v>0</v>
      </c>
      <c r="R2566" t="s">
        <v>1432</v>
      </c>
    </row>
    <row r="2567" spans="1:18" x14ac:dyDescent="0.3">
      <c r="A2567">
        <v>510</v>
      </c>
      <c r="B2567" t="s">
        <v>1433</v>
      </c>
      <c r="C2567" t="s">
        <v>732</v>
      </c>
      <c r="D2567" t="s">
        <v>27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K2567">
        <v>0</v>
      </c>
      <c r="L2567" s="39"/>
      <c r="M2567" s="39"/>
      <c r="N2567" t="s">
        <v>355</v>
      </c>
      <c r="O2567" t="s">
        <v>25</v>
      </c>
      <c r="P2567">
        <v>0</v>
      </c>
      <c r="Q2567">
        <v>0</v>
      </c>
      <c r="R2567" t="s">
        <v>3204</v>
      </c>
    </row>
    <row r="2568" spans="1:18" x14ac:dyDescent="0.3">
      <c r="A2568">
        <v>510</v>
      </c>
      <c r="B2568" t="s">
        <v>1433</v>
      </c>
      <c r="C2568" t="s">
        <v>732</v>
      </c>
      <c r="D2568" t="s">
        <v>27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K2568">
        <v>0</v>
      </c>
      <c r="L2568" s="39"/>
      <c r="M2568" s="39"/>
      <c r="N2568" t="s">
        <v>355</v>
      </c>
      <c r="O2568" t="s">
        <v>25</v>
      </c>
      <c r="P2568">
        <v>0</v>
      </c>
      <c r="Q2568">
        <v>0</v>
      </c>
      <c r="R2568" t="s">
        <v>3205</v>
      </c>
    </row>
    <row r="2569" spans="1:18" x14ac:dyDescent="0.3">
      <c r="A2569">
        <v>510</v>
      </c>
      <c r="B2569" t="s">
        <v>1433</v>
      </c>
      <c r="C2569" t="s">
        <v>732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K2569">
        <v>0</v>
      </c>
      <c r="L2569" s="39"/>
      <c r="M2569" s="39"/>
      <c r="N2569" t="s">
        <v>355</v>
      </c>
      <c r="O2569" t="s">
        <v>25</v>
      </c>
      <c r="P2569">
        <v>0</v>
      </c>
      <c r="Q2569">
        <v>0</v>
      </c>
      <c r="R2569" t="s">
        <v>3206</v>
      </c>
    </row>
    <row r="2570" spans="1:18" x14ac:dyDescent="0.3">
      <c r="A2570">
        <v>510</v>
      </c>
      <c r="B2570" t="s">
        <v>1433</v>
      </c>
      <c r="C2570" t="s">
        <v>732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K2570">
        <v>0</v>
      </c>
      <c r="L2570" s="39"/>
      <c r="M2570" s="39"/>
      <c r="N2570" t="s">
        <v>355</v>
      </c>
      <c r="O2570" t="s">
        <v>25</v>
      </c>
      <c r="P2570">
        <v>0</v>
      </c>
      <c r="Q2570">
        <v>0</v>
      </c>
      <c r="R2570" t="s">
        <v>1434</v>
      </c>
    </row>
    <row r="2571" spans="1:18" x14ac:dyDescent="0.3">
      <c r="A2571">
        <v>511</v>
      </c>
      <c r="B2571" t="s">
        <v>1435</v>
      </c>
      <c r="C2571" t="s">
        <v>732</v>
      </c>
      <c r="D2571" t="s">
        <v>27</v>
      </c>
      <c r="E2571" t="s">
        <v>22</v>
      </c>
      <c r="F2571" s="79">
        <v>45747</v>
      </c>
      <c r="G2571">
        <v>2025</v>
      </c>
      <c r="H2571" t="s">
        <v>1516</v>
      </c>
      <c r="I2571" t="s">
        <v>700</v>
      </c>
      <c r="K2571">
        <v>373.70999908447271</v>
      </c>
      <c r="L2571" s="39"/>
      <c r="M2571" s="39"/>
      <c r="N2571" t="s">
        <v>355</v>
      </c>
      <c r="O2571" t="s">
        <v>25</v>
      </c>
      <c r="P2571">
        <v>0</v>
      </c>
      <c r="Q2571">
        <v>0</v>
      </c>
      <c r="R2571" t="s">
        <v>3207</v>
      </c>
    </row>
    <row r="2572" spans="1:18" x14ac:dyDescent="0.3">
      <c r="A2572">
        <v>511</v>
      </c>
      <c r="B2572" t="s">
        <v>1435</v>
      </c>
      <c r="C2572" t="s">
        <v>732</v>
      </c>
      <c r="D2572" t="s">
        <v>27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K2572">
        <v>86.36</v>
      </c>
      <c r="L2572" s="39"/>
      <c r="M2572" s="39"/>
      <c r="N2572" t="s">
        <v>355</v>
      </c>
      <c r="O2572" t="s">
        <v>25</v>
      </c>
      <c r="P2572">
        <v>0</v>
      </c>
      <c r="Q2572">
        <v>0</v>
      </c>
      <c r="R2572" t="s">
        <v>3208</v>
      </c>
    </row>
    <row r="2573" spans="1:18" x14ac:dyDescent="0.3">
      <c r="A2573">
        <v>511</v>
      </c>
      <c r="B2573" t="s">
        <v>1435</v>
      </c>
      <c r="C2573" t="s">
        <v>732</v>
      </c>
      <c r="D2573" t="s">
        <v>27</v>
      </c>
      <c r="E2573" t="s">
        <v>22</v>
      </c>
      <c r="F2573" s="79">
        <v>45930</v>
      </c>
      <c r="G2573">
        <v>2025</v>
      </c>
      <c r="H2573" t="s">
        <v>162</v>
      </c>
      <c r="I2573" t="s">
        <v>32</v>
      </c>
      <c r="K2573">
        <v>86.36</v>
      </c>
      <c r="L2573" s="39"/>
      <c r="M2573" s="39"/>
      <c r="N2573" t="s">
        <v>355</v>
      </c>
      <c r="O2573" t="s">
        <v>25</v>
      </c>
      <c r="P2573">
        <v>0</v>
      </c>
      <c r="Q2573">
        <v>0</v>
      </c>
      <c r="R2573" t="s">
        <v>3209</v>
      </c>
    </row>
    <row r="2574" spans="1:18" x14ac:dyDescent="0.3">
      <c r="A2574">
        <v>511</v>
      </c>
      <c r="B2574" t="s">
        <v>1435</v>
      </c>
      <c r="C2574" t="s">
        <v>732</v>
      </c>
      <c r="D2574" t="s">
        <v>27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K2574">
        <v>84.76</v>
      </c>
      <c r="L2574" s="39"/>
      <c r="M2574" s="39"/>
      <c r="N2574" t="s">
        <v>355</v>
      </c>
      <c r="O2574" t="s">
        <v>25</v>
      </c>
      <c r="P2574">
        <v>0</v>
      </c>
      <c r="Q2574">
        <v>0</v>
      </c>
      <c r="R2574" t="s">
        <v>1436</v>
      </c>
    </row>
    <row r="2575" spans="1:18" x14ac:dyDescent="0.3">
      <c r="A2575">
        <v>513</v>
      </c>
      <c r="B2575" t="s">
        <v>1437</v>
      </c>
      <c r="C2575" t="s">
        <v>732</v>
      </c>
      <c r="D2575" t="s">
        <v>27</v>
      </c>
      <c r="E2575" t="s">
        <v>22</v>
      </c>
      <c r="F2575" s="79">
        <v>45747</v>
      </c>
      <c r="G2575">
        <v>2025</v>
      </c>
      <c r="H2575" t="s">
        <v>1516</v>
      </c>
      <c r="I2575" t="s">
        <v>700</v>
      </c>
      <c r="J2575">
        <v>15</v>
      </c>
      <c r="K2575">
        <v>100</v>
      </c>
      <c r="L2575" s="39">
        <f t="shared" ref="L2575:L2598" si="166">IFERROR(IF(OR(J2575=0,K2575=""),"",IF(E2575="Positivo",MIN(MAX(K2575/J2575,0),1.3),MIN(MAX(J2575/K2575,0),1.3))),"")</f>
        <v>1.3</v>
      </c>
      <c r="M2575" s="39">
        <f t="shared" ref="M2575:M2598" si="167">IFERROR(IF(OR(J2575=0,K2575=""),"",IF(E2575="Positivo",MAX(K2575/J2575,0),MAX(J2575/K2575,0))),"")</f>
        <v>6.666666666666667</v>
      </c>
      <c r="N2575" t="s">
        <v>355</v>
      </c>
      <c r="O2575" t="s">
        <v>25</v>
      </c>
      <c r="P2575">
        <v>0</v>
      </c>
      <c r="Q2575">
        <v>0</v>
      </c>
      <c r="R2575" t="s">
        <v>3210</v>
      </c>
    </row>
    <row r="2576" spans="1:18" x14ac:dyDescent="0.3">
      <c r="A2576">
        <v>513</v>
      </c>
      <c r="B2576" t="s">
        <v>1437</v>
      </c>
      <c r="C2576" t="s">
        <v>732</v>
      </c>
      <c r="D2576" t="s">
        <v>27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32</v>
      </c>
      <c r="K2576">
        <v>100</v>
      </c>
      <c r="L2576" s="39">
        <f t="shared" si="166"/>
        <v>1.3</v>
      </c>
      <c r="M2576" s="39">
        <f t="shared" si="167"/>
        <v>3.125</v>
      </c>
      <c r="N2576" t="s">
        <v>355</v>
      </c>
      <c r="O2576" t="s">
        <v>25</v>
      </c>
      <c r="P2576">
        <v>0</v>
      </c>
      <c r="Q2576">
        <v>0</v>
      </c>
      <c r="R2576" t="s">
        <v>3211</v>
      </c>
    </row>
    <row r="2577" spans="1:18" x14ac:dyDescent="0.3">
      <c r="A2577">
        <v>513</v>
      </c>
      <c r="B2577" t="s">
        <v>1437</v>
      </c>
      <c r="C2577" t="s">
        <v>732</v>
      </c>
      <c r="D2577" t="s">
        <v>27</v>
      </c>
      <c r="E2577" t="s">
        <v>22</v>
      </c>
      <c r="F2577" s="79">
        <v>45930</v>
      </c>
      <c r="G2577">
        <v>2025</v>
      </c>
      <c r="H2577" t="s">
        <v>162</v>
      </c>
      <c r="I2577" t="s">
        <v>32</v>
      </c>
      <c r="J2577">
        <v>0</v>
      </c>
      <c r="K2577">
        <v>0</v>
      </c>
      <c r="L2577" s="39" t="str">
        <f t="shared" si="166"/>
        <v/>
      </c>
      <c r="M2577" s="39" t="str">
        <f t="shared" si="167"/>
        <v/>
      </c>
      <c r="N2577" t="s">
        <v>355</v>
      </c>
      <c r="O2577" t="s">
        <v>25</v>
      </c>
      <c r="P2577">
        <v>0</v>
      </c>
      <c r="Q2577">
        <v>0</v>
      </c>
      <c r="R2577" t="s">
        <v>3212</v>
      </c>
    </row>
    <row r="2578" spans="1:18" x14ac:dyDescent="0.3">
      <c r="A2578">
        <v>513</v>
      </c>
      <c r="B2578" t="s">
        <v>1437</v>
      </c>
      <c r="C2578" t="s">
        <v>732</v>
      </c>
      <c r="D2578" t="s">
        <v>27</v>
      </c>
      <c r="E2578" t="s">
        <v>22</v>
      </c>
      <c r="F2578" s="79">
        <v>46022</v>
      </c>
      <c r="G2578">
        <v>2025</v>
      </c>
      <c r="H2578" t="s">
        <v>23</v>
      </c>
      <c r="I2578" t="s">
        <v>32</v>
      </c>
      <c r="J2578">
        <v>0</v>
      </c>
      <c r="K2578">
        <v>0</v>
      </c>
      <c r="L2578" s="39" t="str">
        <f t="shared" si="166"/>
        <v/>
      </c>
      <c r="M2578" s="39" t="str">
        <f t="shared" si="167"/>
        <v/>
      </c>
      <c r="N2578" t="s">
        <v>355</v>
      </c>
      <c r="O2578" t="s">
        <v>25</v>
      </c>
      <c r="P2578">
        <v>0</v>
      </c>
      <c r="Q2578">
        <v>0</v>
      </c>
      <c r="R2578" t="s">
        <v>1438</v>
      </c>
    </row>
    <row r="2579" spans="1:18" x14ac:dyDescent="0.3">
      <c r="A2579">
        <v>514</v>
      </c>
      <c r="B2579" t="s">
        <v>1439</v>
      </c>
      <c r="C2579" t="s">
        <v>732</v>
      </c>
      <c r="D2579" t="s">
        <v>21</v>
      </c>
      <c r="E2579" t="s">
        <v>22</v>
      </c>
      <c r="F2579" s="79">
        <v>45838</v>
      </c>
      <c r="G2579">
        <v>2025</v>
      </c>
      <c r="H2579" t="s">
        <v>699</v>
      </c>
      <c r="I2579" t="s">
        <v>700</v>
      </c>
      <c r="J2579">
        <v>70</v>
      </c>
      <c r="K2579">
        <v>91.82</v>
      </c>
      <c r="L2579" s="39">
        <f t="shared" si="166"/>
        <v>1.3</v>
      </c>
      <c r="M2579" s="39">
        <f t="shared" si="167"/>
        <v>1.3117142857142856</v>
      </c>
      <c r="N2579" t="s">
        <v>25</v>
      </c>
      <c r="O2579" t="s">
        <v>25</v>
      </c>
      <c r="P2579">
        <v>0</v>
      </c>
      <c r="Q2579">
        <v>0</v>
      </c>
      <c r="R2579" t="s">
        <v>3213</v>
      </c>
    </row>
    <row r="2580" spans="1:18" x14ac:dyDescent="0.3">
      <c r="A2580">
        <v>514</v>
      </c>
      <c r="B2580" t="s">
        <v>1439</v>
      </c>
      <c r="C2580" t="s">
        <v>732</v>
      </c>
      <c r="D2580" t="s">
        <v>21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70</v>
      </c>
      <c r="K2580">
        <v>45.96</v>
      </c>
      <c r="L2580" s="39">
        <f t="shared" si="166"/>
        <v>0.65657142857142858</v>
      </c>
      <c r="M2580" s="39">
        <f t="shared" si="167"/>
        <v>0.65657142857142858</v>
      </c>
      <c r="N2580" t="s">
        <v>25</v>
      </c>
      <c r="O2580" t="s">
        <v>25</v>
      </c>
      <c r="P2580">
        <v>0</v>
      </c>
      <c r="Q2580">
        <v>0</v>
      </c>
      <c r="R2580" t="s">
        <v>1440</v>
      </c>
    </row>
    <row r="2581" spans="1:18" x14ac:dyDescent="0.3">
      <c r="A2581">
        <v>515</v>
      </c>
      <c r="B2581" t="s">
        <v>1441</v>
      </c>
      <c r="C2581" t="s">
        <v>53</v>
      </c>
      <c r="D2581" t="s">
        <v>21</v>
      </c>
      <c r="E2581" t="s">
        <v>22</v>
      </c>
      <c r="F2581" s="79">
        <v>46022</v>
      </c>
      <c r="G2581">
        <v>2025</v>
      </c>
      <c r="H2581" t="s">
        <v>23</v>
      </c>
      <c r="I2581" t="s">
        <v>32</v>
      </c>
      <c r="J2581">
        <v>3</v>
      </c>
      <c r="K2581">
        <v>66.67</v>
      </c>
      <c r="L2581" s="39">
        <f t="shared" si="166"/>
        <v>1.3</v>
      </c>
      <c r="M2581" s="39">
        <f t="shared" si="167"/>
        <v>22.223333333333333</v>
      </c>
      <c r="N2581" t="s">
        <v>25</v>
      </c>
      <c r="O2581" t="s">
        <v>25</v>
      </c>
      <c r="P2581">
        <v>0</v>
      </c>
      <c r="Q2581">
        <v>0</v>
      </c>
      <c r="R2581" t="s">
        <v>1442</v>
      </c>
    </row>
    <row r="2582" spans="1:18" x14ac:dyDescent="0.3">
      <c r="A2582">
        <v>516</v>
      </c>
      <c r="B2582" t="s">
        <v>1443</v>
      </c>
      <c r="C2582" t="s">
        <v>53</v>
      </c>
      <c r="D2582" t="s">
        <v>21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95</v>
      </c>
      <c r="K2582">
        <v>315.79000000000002</v>
      </c>
      <c r="L2582" s="39">
        <f t="shared" si="166"/>
        <v>1.3</v>
      </c>
      <c r="M2582" s="39">
        <f t="shared" si="167"/>
        <v>3.3241052631578949</v>
      </c>
      <c r="N2582" t="s">
        <v>25</v>
      </c>
      <c r="O2582" t="s">
        <v>25</v>
      </c>
      <c r="P2582">
        <v>0</v>
      </c>
      <c r="Q2582">
        <v>0</v>
      </c>
      <c r="R2582" t="s">
        <v>1444</v>
      </c>
    </row>
    <row r="2583" spans="1:18" x14ac:dyDescent="0.3">
      <c r="A2583">
        <v>518</v>
      </c>
      <c r="B2583" t="s">
        <v>62</v>
      </c>
      <c r="C2583" t="s">
        <v>63</v>
      </c>
      <c r="D2583" t="s">
        <v>64</v>
      </c>
      <c r="E2583" t="s">
        <v>22</v>
      </c>
      <c r="F2583" s="79">
        <v>45747</v>
      </c>
      <c r="G2583">
        <v>2025</v>
      </c>
      <c r="H2583" t="s">
        <v>1516</v>
      </c>
      <c r="I2583" t="s">
        <v>700</v>
      </c>
      <c r="J2583">
        <v>100</v>
      </c>
      <c r="K2583">
        <v>83.333333333333002</v>
      </c>
      <c r="L2583" s="39">
        <f t="shared" si="166"/>
        <v>0.83333333333333004</v>
      </c>
      <c r="M2583" s="39">
        <f t="shared" si="167"/>
        <v>0.83333333333333004</v>
      </c>
      <c r="N2583" t="s">
        <v>25</v>
      </c>
      <c r="O2583" t="s">
        <v>25</v>
      </c>
      <c r="P2583">
        <v>0</v>
      </c>
      <c r="Q2583">
        <v>0</v>
      </c>
      <c r="R2583" t="s">
        <v>3214</v>
      </c>
    </row>
    <row r="2584" spans="1:18" x14ac:dyDescent="0.3">
      <c r="A2584">
        <v>518</v>
      </c>
      <c r="B2584" t="s">
        <v>62</v>
      </c>
      <c r="C2584" t="s">
        <v>63</v>
      </c>
      <c r="D2584" t="s">
        <v>64</v>
      </c>
      <c r="E2584" t="s">
        <v>22</v>
      </c>
      <c r="F2584" s="79">
        <v>45838</v>
      </c>
      <c r="G2584">
        <v>2025</v>
      </c>
      <c r="H2584" t="s">
        <v>699</v>
      </c>
      <c r="I2584" t="s">
        <v>700</v>
      </c>
      <c r="J2584">
        <v>100</v>
      </c>
      <c r="K2584">
        <v>87.5</v>
      </c>
      <c r="L2584" s="39">
        <f t="shared" si="166"/>
        <v>0.875</v>
      </c>
      <c r="M2584" s="39">
        <f t="shared" si="167"/>
        <v>0.875</v>
      </c>
      <c r="N2584" t="s">
        <v>25</v>
      </c>
      <c r="O2584" t="s">
        <v>25</v>
      </c>
      <c r="P2584">
        <v>0</v>
      </c>
      <c r="Q2584">
        <v>0</v>
      </c>
      <c r="R2584" t="s">
        <v>3215</v>
      </c>
    </row>
    <row r="2585" spans="1:18" x14ac:dyDescent="0.3">
      <c r="A2585">
        <v>518</v>
      </c>
      <c r="B2585" t="s">
        <v>62</v>
      </c>
      <c r="C2585" t="s">
        <v>63</v>
      </c>
      <c r="D2585" t="s">
        <v>27</v>
      </c>
      <c r="E2585" t="s">
        <v>22</v>
      </c>
      <c r="F2585" s="79">
        <v>45930</v>
      </c>
      <c r="G2585">
        <v>2025</v>
      </c>
      <c r="H2585" t="s">
        <v>162</v>
      </c>
      <c r="I2585" t="s">
        <v>32</v>
      </c>
      <c r="J2585">
        <v>100</v>
      </c>
      <c r="K2585">
        <v>120</v>
      </c>
      <c r="L2585" s="39">
        <f t="shared" si="166"/>
        <v>1.2</v>
      </c>
      <c r="M2585" s="39">
        <f t="shared" si="167"/>
        <v>1.2</v>
      </c>
      <c r="N2585" t="s">
        <v>25</v>
      </c>
      <c r="O2585" t="s">
        <v>25</v>
      </c>
      <c r="P2585">
        <v>0</v>
      </c>
      <c r="Q2585">
        <v>0</v>
      </c>
      <c r="R2585" t="s">
        <v>3216</v>
      </c>
    </row>
    <row r="2586" spans="1:18" x14ac:dyDescent="0.3">
      <c r="A2586">
        <v>518</v>
      </c>
      <c r="B2586" t="s">
        <v>62</v>
      </c>
      <c r="C2586" t="s">
        <v>63</v>
      </c>
      <c r="D2586" t="s">
        <v>27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100</v>
      </c>
      <c r="K2586">
        <v>137.5</v>
      </c>
      <c r="L2586" s="39">
        <f t="shared" si="166"/>
        <v>1.3</v>
      </c>
      <c r="M2586" s="39">
        <f t="shared" si="167"/>
        <v>1.375</v>
      </c>
      <c r="N2586" t="s">
        <v>25</v>
      </c>
      <c r="O2586" t="s">
        <v>25</v>
      </c>
      <c r="P2586">
        <v>0</v>
      </c>
      <c r="Q2586">
        <v>0</v>
      </c>
      <c r="R2586" t="s">
        <v>1445</v>
      </c>
    </row>
    <row r="2587" spans="1:18" x14ac:dyDescent="0.3">
      <c r="A2587">
        <v>519</v>
      </c>
      <c r="B2587" t="s">
        <v>1446</v>
      </c>
      <c r="C2587" t="s">
        <v>1078</v>
      </c>
      <c r="D2587" t="s">
        <v>21</v>
      </c>
      <c r="E2587" t="s">
        <v>22</v>
      </c>
      <c r="F2587" s="79">
        <v>45838</v>
      </c>
      <c r="G2587">
        <v>2025</v>
      </c>
      <c r="H2587" t="s">
        <v>699</v>
      </c>
      <c r="I2587" t="s">
        <v>700</v>
      </c>
      <c r="J2587">
        <v>100</v>
      </c>
      <c r="K2587">
        <v>431.45</v>
      </c>
      <c r="L2587" s="39">
        <f t="shared" si="166"/>
        <v>1.3</v>
      </c>
      <c r="M2587" s="39">
        <f t="shared" si="167"/>
        <v>4.3144999999999998</v>
      </c>
      <c r="N2587" t="s">
        <v>25</v>
      </c>
      <c r="O2587" t="s">
        <v>25</v>
      </c>
      <c r="P2587">
        <v>0</v>
      </c>
      <c r="Q2587">
        <v>0</v>
      </c>
      <c r="R2587" t="s">
        <v>3217</v>
      </c>
    </row>
    <row r="2588" spans="1:18" x14ac:dyDescent="0.3">
      <c r="A2588">
        <v>519</v>
      </c>
      <c r="B2588" t="s">
        <v>1446</v>
      </c>
      <c r="C2588" t="s">
        <v>1078</v>
      </c>
      <c r="D2588" t="s">
        <v>21</v>
      </c>
      <c r="E2588" t="s">
        <v>22</v>
      </c>
      <c r="F2588" s="79">
        <v>46022</v>
      </c>
      <c r="G2588">
        <v>2025</v>
      </c>
      <c r="H2588" t="s">
        <v>23</v>
      </c>
      <c r="I2588" t="s">
        <v>32</v>
      </c>
      <c r="J2588">
        <v>100</v>
      </c>
      <c r="K2588">
        <v>131.13</v>
      </c>
      <c r="L2588" s="39">
        <f t="shared" si="166"/>
        <v>1.3</v>
      </c>
      <c r="M2588" s="39">
        <f t="shared" si="167"/>
        <v>1.3112999999999999</v>
      </c>
      <c r="N2588" t="s">
        <v>25</v>
      </c>
      <c r="O2588" t="s">
        <v>25</v>
      </c>
      <c r="P2588">
        <v>0</v>
      </c>
      <c r="Q2588">
        <v>0</v>
      </c>
      <c r="R2588" t="s">
        <v>1447</v>
      </c>
    </row>
    <row r="2589" spans="1:18" x14ac:dyDescent="0.3">
      <c r="A2589">
        <v>522</v>
      </c>
      <c r="B2589" t="s">
        <v>1448</v>
      </c>
      <c r="C2589" t="s">
        <v>549</v>
      </c>
      <c r="D2589" t="s">
        <v>71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20</v>
      </c>
      <c r="K2589">
        <v>100</v>
      </c>
      <c r="L2589" s="39">
        <f t="shared" si="166"/>
        <v>1.3</v>
      </c>
      <c r="M2589" s="39">
        <f t="shared" si="167"/>
        <v>5</v>
      </c>
      <c r="N2589" t="s">
        <v>25</v>
      </c>
      <c r="O2589" t="s">
        <v>25</v>
      </c>
      <c r="P2589">
        <v>0</v>
      </c>
      <c r="Q2589">
        <v>0</v>
      </c>
      <c r="R2589" t="s">
        <v>1449</v>
      </c>
    </row>
    <row r="2590" spans="1:18" x14ac:dyDescent="0.3">
      <c r="A2590">
        <v>523</v>
      </c>
      <c r="B2590" t="s">
        <v>1043</v>
      </c>
      <c r="C2590" t="s">
        <v>159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95</v>
      </c>
      <c r="K2590">
        <v>128.41</v>
      </c>
      <c r="L2590" s="39">
        <f t="shared" si="166"/>
        <v>1.3</v>
      </c>
      <c r="M2590" s="39">
        <f t="shared" si="167"/>
        <v>1.3516842105263158</v>
      </c>
      <c r="N2590" t="s">
        <v>25</v>
      </c>
      <c r="O2590" t="s">
        <v>25</v>
      </c>
      <c r="P2590">
        <v>0</v>
      </c>
      <c r="Q2590">
        <v>0</v>
      </c>
      <c r="R2590" t="s">
        <v>3218</v>
      </c>
    </row>
    <row r="2591" spans="1:18" x14ac:dyDescent="0.3">
      <c r="A2591">
        <v>523</v>
      </c>
      <c r="B2591" t="s">
        <v>1043</v>
      </c>
      <c r="C2591" t="s">
        <v>159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95</v>
      </c>
      <c r="K2591">
        <v>95.76</v>
      </c>
      <c r="L2591" s="39">
        <f t="shared" si="166"/>
        <v>1.008</v>
      </c>
      <c r="M2591" s="39">
        <f t="shared" si="167"/>
        <v>1.008</v>
      </c>
      <c r="N2591" t="s">
        <v>25</v>
      </c>
      <c r="O2591" t="s">
        <v>25</v>
      </c>
      <c r="P2591">
        <v>0</v>
      </c>
      <c r="Q2591">
        <v>0</v>
      </c>
      <c r="R2591" t="s">
        <v>1450</v>
      </c>
    </row>
    <row r="2592" spans="1:18" x14ac:dyDescent="0.3">
      <c r="A2592">
        <v>524</v>
      </c>
      <c r="B2592" t="s">
        <v>1182</v>
      </c>
      <c r="C2592" t="s">
        <v>1183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99.38</v>
      </c>
      <c r="L2592" s="39">
        <f t="shared" si="166"/>
        <v>0.99379999999999991</v>
      </c>
      <c r="M2592" s="39">
        <f t="shared" si="167"/>
        <v>0.99379999999999991</v>
      </c>
      <c r="N2592" t="s">
        <v>128</v>
      </c>
      <c r="O2592" t="s">
        <v>128</v>
      </c>
      <c r="P2592">
        <v>0</v>
      </c>
      <c r="Q2592">
        <v>0</v>
      </c>
      <c r="R2592" t="s">
        <v>3219</v>
      </c>
    </row>
    <row r="2593" spans="1:19" x14ac:dyDescent="0.3">
      <c r="A2593">
        <v>524</v>
      </c>
      <c r="B2593" t="s">
        <v>1182</v>
      </c>
      <c r="C2593" t="s">
        <v>1183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106.07</v>
      </c>
      <c r="L2593" s="39">
        <f t="shared" si="166"/>
        <v>1.0607</v>
      </c>
      <c r="M2593" s="39">
        <f t="shared" si="167"/>
        <v>1.0607</v>
      </c>
      <c r="N2593" t="s">
        <v>128</v>
      </c>
      <c r="O2593" t="s">
        <v>128</v>
      </c>
      <c r="P2593">
        <v>0</v>
      </c>
      <c r="Q2593">
        <v>0</v>
      </c>
      <c r="R2593" t="s">
        <v>1451</v>
      </c>
    </row>
    <row r="2594" spans="1:19" x14ac:dyDescent="0.3">
      <c r="A2594">
        <v>526</v>
      </c>
      <c r="B2594" t="s">
        <v>1452</v>
      </c>
      <c r="C2594" t="s">
        <v>706</v>
      </c>
      <c r="D2594" t="s">
        <v>27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95</v>
      </c>
      <c r="K2594">
        <v>0</v>
      </c>
      <c r="L2594" s="39">
        <f t="shared" si="166"/>
        <v>0</v>
      </c>
      <c r="M2594" s="39">
        <f t="shared" si="167"/>
        <v>0</v>
      </c>
      <c r="N2594" t="s">
        <v>25</v>
      </c>
      <c r="O2594" t="s">
        <v>25</v>
      </c>
      <c r="P2594">
        <v>0</v>
      </c>
      <c r="Q2594">
        <v>0</v>
      </c>
      <c r="R2594" t="s">
        <v>3220</v>
      </c>
    </row>
    <row r="2595" spans="1:19" x14ac:dyDescent="0.3">
      <c r="A2595">
        <v>526</v>
      </c>
      <c r="B2595" t="s">
        <v>1452</v>
      </c>
      <c r="C2595" t="s">
        <v>706</v>
      </c>
      <c r="D2595" t="s">
        <v>27</v>
      </c>
      <c r="E2595" t="s">
        <v>22</v>
      </c>
      <c r="F2595" s="79">
        <v>45930</v>
      </c>
      <c r="G2595">
        <v>2025</v>
      </c>
      <c r="H2595" t="s">
        <v>162</v>
      </c>
      <c r="I2595" t="s">
        <v>32</v>
      </c>
      <c r="J2595">
        <v>95</v>
      </c>
      <c r="K2595">
        <v>96.6</v>
      </c>
      <c r="L2595" s="39">
        <f t="shared" si="166"/>
        <v>1.0168421052631578</v>
      </c>
      <c r="M2595" s="39">
        <f t="shared" si="167"/>
        <v>1.0168421052631578</v>
      </c>
      <c r="N2595" t="s">
        <v>25</v>
      </c>
      <c r="O2595" t="s">
        <v>25</v>
      </c>
      <c r="P2595">
        <v>0</v>
      </c>
      <c r="Q2595">
        <v>0</v>
      </c>
      <c r="R2595" t="s">
        <v>1453</v>
      </c>
    </row>
    <row r="2596" spans="1:19" x14ac:dyDescent="0.3">
      <c r="A2596">
        <v>527</v>
      </c>
      <c r="B2596" t="s">
        <v>1454</v>
      </c>
      <c r="C2596" t="s">
        <v>567</v>
      </c>
      <c r="D2596" t="s">
        <v>71</v>
      </c>
      <c r="E2596" t="s">
        <v>22</v>
      </c>
      <c r="F2596" s="79">
        <v>46022</v>
      </c>
      <c r="G2596">
        <v>2025</v>
      </c>
      <c r="H2596" t="s">
        <v>23</v>
      </c>
      <c r="I2596" t="s">
        <v>32</v>
      </c>
      <c r="J2596">
        <v>100</v>
      </c>
      <c r="K2596">
        <v>197.94</v>
      </c>
      <c r="L2596" s="39">
        <f t="shared" si="166"/>
        <v>1.3</v>
      </c>
      <c r="M2596" s="39">
        <f t="shared" si="167"/>
        <v>1.9794</v>
      </c>
      <c r="N2596" t="s">
        <v>25</v>
      </c>
      <c r="O2596" t="s">
        <v>25</v>
      </c>
      <c r="P2596">
        <v>0</v>
      </c>
      <c r="Q2596">
        <v>0</v>
      </c>
      <c r="R2596" t="s">
        <v>1455</v>
      </c>
    </row>
    <row r="2597" spans="1:19" x14ac:dyDescent="0.3">
      <c r="A2597">
        <v>528</v>
      </c>
      <c r="B2597" t="s">
        <v>1456</v>
      </c>
      <c r="C2597" t="s">
        <v>567</v>
      </c>
      <c r="D2597" t="s">
        <v>71</v>
      </c>
      <c r="E2597" t="s">
        <v>22</v>
      </c>
      <c r="F2597" s="79">
        <v>45838</v>
      </c>
      <c r="G2597">
        <v>2025</v>
      </c>
      <c r="H2597" t="s">
        <v>699</v>
      </c>
      <c r="I2597" t="s">
        <v>700</v>
      </c>
      <c r="J2597">
        <v>100</v>
      </c>
      <c r="K2597">
        <v>173.92055267703</v>
      </c>
      <c r="L2597" s="39">
        <f t="shared" si="166"/>
        <v>1.3</v>
      </c>
      <c r="M2597" s="39">
        <f t="shared" si="167"/>
        <v>1.7392055267702999</v>
      </c>
      <c r="N2597" t="s">
        <v>128</v>
      </c>
      <c r="O2597" t="s">
        <v>128</v>
      </c>
      <c r="P2597">
        <v>0</v>
      </c>
      <c r="Q2597">
        <v>0</v>
      </c>
      <c r="R2597" t="s">
        <v>3221</v>
      </c>
    </row>
    <row r="2598" spans="1:19" x14ac:dyDescent="0.3">
      <c r="A2598">
        <v>528</v>
      </c>
      <c r="B2598" t="s">
        <v>1456</v>
      </c>
      <c r="C2598" t="s">
        <v>567</v>
      </c>
      <c r="D2598" t="s">
        <v>71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J2598">
        <v>100</v>
      </c>
      <c r="K2598">
        <v>1158</v>
      </c>
      <c r="L2598" s="39">
        <f t="shared" si="166"/>
        <v>1.3</v>
      </c>
      <c r="M2598" s="39">
        <f t="shared" si="167"/>
        <v>11.58</v>
      </c>
      <c r="N2598" t="s">
        <v>128</v>
      </c>
      <c r="O2598" t="s">
        <v>128</v>
      </c>
      <c r="P2598">
        <v>0</v>
      </c>
      <c r="Q2598">
        <v>0</v>
      </c>
      <c r="R2598" t="s">
        <v>1457</v>
      </c>
    </row>
    <row r="2599" spans="1:19" x14ac:dyDescent="0.3">
      <c r="A2599">
        <v>529</v>
      </c>
      <c r="B2599" t="s">
        <v>1458</v>
      </c>
      <c r="C2599" t="s">
        <v>167</v>
      </c>
      <c r="D2599" t="s">
        <v>27</v>
      </c>
      <c r="E2599" t="s">
        <v>22</v>
      </c>
      <c r="F2599" s="79">
        <v>45838</v>
      </c>
      <c r="G2599">
        <v>2025</v>
      </c>
      <c r="H2599" t="s">
        <v>699</v>
      </c>
      <c r="I2599" t="s">
        <v>700</v>
      </c>
      <c r="L2599" s="39"/>
      <c r="M2599" s="39"/>
      <c r="N2599" t="s">
        <v>25</v>
      </c>
      <c r="O2599" t="s">
        <v>302</v>
      </c>
      <c r="P2599">
        <v>0</v>
      </c>
      <c r="Q2599">
        <v>0</v>
      </c>
      <c r="R2599" t="s">
        <v>3222</v>
      </c>
      <c r="S2599" t="s">
        <v>302</v>
      </c>
    </row>
    <row r="2600" spans="1:19" x14ac:dyDescent="0.3">
      <c r="A2600">
        <v>529</v>
      </c>
      <c r="B2600" t="s">
        <v>1458</v>
      </c>
      <c r="C2600" t="s">
        <v>167</v>
      </c>
      <c r="D2600" t="s">
        <v>27</v>
      </c>
      <c r="E2600" t="s">
        <v>22</v>
      </c>
      <c r="F2600" s="79">
        <v>45930</v>
      </c>
      <c r="G2600">
        <v>2025</v>
      </c>
      <c r="H2600" t="s">
        <v>162</v>
      </c>
      <c r="I2600" t="s">
        <v>32</v>
      </c>
      <c r="J2600">
        <v>90</v>
      </c>
      <c r="K2600">
        <v>196.19</v>
      </c>
      <c r="L2600" s="39">
        <f t="shared" ref="L2600:L2620" si="168">IFERROR(IF(OR(J2600=0,K2600=""),"",IF(E2600="Positivo",MIN(MAX(K2600/J2600,0),1.3),MIN(MAX(J2600/K2600,0),1.3))),"")</f>
        <v>1.3</v>
      </c>
      <c r="M2600" s="39">
        <f t="shared" ref="M2600:M2620" si="169">IFERROR(IF(OR(J2600=0,K2600=""),"",IF(E2600="Positivo",MAX(K2600/J2600,0),MAX(J2600/K2600,0))),"")</f>
        <v>2.1798888888888888</v>
      </c>
      <c r="N2600" t="s">
        <v>25</v>
      </c>
      <c r="O2600" t="s">
        <v>25</v>
      </c>
      <c r="P2600">
        <v>0</v>
      </c>
      <c r="Q2600">
        <v>0</v>
      </c>
      <c r="R2600" t="s">
        <v>3223</v>
      </c>
    </row>
    <row r="2601" spans="1:19" x14ac:dyDescent="0.3">
      <c r="A2601">
        <v>529</v>
      </c>
      <c r="B2601" t="s">
        <v>1458</v>
      </c>
      <c r="C2601" t="s">
        <v>167</v>
      </c>
      <c r="D2601" t="s">
        <v>27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90</v>
      </c>
      <c r="K2601">
        <v>97.97</v>
      </c>
      <c r="L2601" s="39">
        <f t="shared" si="168"/>
        <v>1.0885555555555555</v>
      </c>
      <c r="M2601" s="39">
        <f t="shared" si="169"/>
        <v>1.0885555555555555</v>
      </c>
      <c r="N2601" t="s">
        <v>25</v>
      </c>
      <c r="O2601" t="s">
        <v>25</v>
      </c>
      <c r="P2601">
        <v>0</v>
      </c>
      <c r="Q2601">
        <v>0</v>
      </c>
      <c r="R2601" t="s">
        <v>1459</v>
      </c>
    </row>
    <row r="2602" spans="1:19" x14ac:dyDescent="0.3">
      <c r="A2602">
        <v>530</v>
      </c>
      <c r="B2602" t="s">
        <v>1460</v>
      </c>
      <c r="C2602" t="s">
        <v>53</v>
      </c>
      <c r="D2602" t="s">
        <v>21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97</v>
      </c>
      <c r="K2602">
        <v>85.56</v>
      </c>
      <c r="L2602" s="39">
        <f t="shared" si="168"/>
        <v>0.88206185567010309</v>
      </c>
      <c r="M2602" s="39">
        <f t="shared" si="169"/>
        <v>0.88206185567010309</v>
      </c>
      <c r="N2602" t="s">
        <v>25</v>
      </c>
      <c r="O2602" t="s">
        <v>25</v>
      </c>
      <c r="P2602">
        <v>0</v>
      </c>
      <c r="Q2602">
        <v>0</v>
      </c>
      <c r="R2602" t="s">
        <v>1461</v>
      </c>
    </row>
    <row r="2603" spans="1:19" x14ac:dyDescent="0.3">
      <c r="A2603">
        <v>531</v>
      </c>
      <c r="B2603" t="s">
        <v>1462</v>
      </c>
      <c r="C2603" t="s">
        <v>53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90</v>
      </c>
      <c r="K2603">
        <v>93.94</v>
      </c>
      <c r="L2603" s="39">
        <f t="shared" si="168"/>
        <v>1.0437777777777777</v>
      </c>
      <c r="M2603" s="39">
        <f t="shared" si="169"/>
        <v>1.0437777777777777</v>
      </c>
      <c r="N2603" t="s">
        <v>25</v>
      </c>
      <c r="O2603" t="s">
        <v>25</v>
      </c>
      <c r="P2603">
        <v>0</v>
      </c>
      <c r="Q2603">
        <v>0</v>
      </c>
      <c r="R2603" t="s">
        <v>1463</v>
      </c>
    </row>
    <row r="2604" spans="1:19" x14ac:dyDescent="0.3">
      <c r="A2604">
        <v>532</v>
      </c>
      <c r="B2604" t="s">
        <v>1464</v>
      </c>
      <c r="C2604" t="s">
        <v>246</v>
      </c>
      <c r="D2604" t="s">
        <v>21</v>
      </c>
      <c r="E2604" t="s">
        <v>22</v>
      </c>
      <c r="F2604" s="79">
        <v>45838</v>
      </c>
      <c r="G2604">
        <v>2025</v>
      </c>
      <c r="H2604" t="s">
        <v>699</v>
      </c>
      <c r="I2604" t="s">
        <v>700</v>
      </c>
      <c r="J2604">
        <v>100</v>
      </c>
      <c r="K2604">
        <v>133.15</v>
      </c>
      <c r="L2604" s="39">
        <f t="shared" si="168"/>
        <v>1.3</v>
      </c>
      <c r="M2604" s="39">
        <f t="shared" si="169"/>
        <v>1.3315000000000001</v>
      </c>
      <c r="N2604" t="s">
        <v>25</v>
      </c>
      <c r="O2604" t="s">
        <v>25</v>
      </c>
      <c r="P2604">
        <v>0</v>
      </c>
      <c r="Q2604">
        <v>0</v>
      </c>
      <c r="R2604" t="s">
        <v>3224</v>
      </c>
    </row>
    <row r="2605" spans="1:19" x14ac:dyDescent="0.3">
      <c r="A2605">
        <v>532</v>
      </c>
      <c r="B2605" t="s">
        <v>1464</v>
      </c>
      <c r="C2605" t="s">
        <v>246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100</v>
      </c>
      <c r="K2605">
        <v>134.78</v>
      </c>
      <c r="L2605" s="39">
        <f t="shared" si="168"/>
        <v>1.3</v>
      </c>
      <c r="M2605" s="39">
        <f t="shared" si="169"/>
        <v>1.3478000000000001</v>
      </c>
      <c r="N2605" t="s">
        <v>25</v>
      </c>
      <c r="O2605" t="s">
        <v>25</v>
      </c>
      <c r="P2605">
        <v>0</v>
      </c>
      <c r="Q2605">
        <v>0</v>
      </c>
      <c r="R2605" t="s">
        <v>1465</v>
      </c>
    </row>
    <row r="2606" spans="1:19" x14ac:dyDescent="0.3">
      <c r="A2606">
        <v>533</v>
      </c>
      <c r="B2606" t="s">
        <v>1466</v>
      </c>
      <c r="C2606" t="s">
        <v>246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J2606">
        <v>100</v>
      </c>
      <c r="K2606">
        <v>124.89</v>
      </c>
      <c r="L2606" s="39">
        <f t="shared" si="168"/>
        <v>1.2488999999999999</v>
      </c>
      <c r="M2606" s="39">
        <f t="shared" si="169"/>
        <v>1.2488999999999999</v>
      </c>
      <c r="N2606" t="s">
        <v>25</v>
      </c>
      <c r="O2606" t="s">
        <v>25</v>
      </c>
      <c r="P2606">
        <v>0</v>
      </c>
      <c r="Q2606">
        <v>0</v>
      </c>
      <c r="R2606" t="s">
        <v>3225</v>
      </c>
    </row>
    <row r="2607" spans="1:19" x14ac:dyDescent="0.3">
      <c r="A2607">
        <v>533</v>
      </c>
      <c r="B2607" t="s">
        <v>1466</v>
      </c>
      <c r="C2607" t="s">
        <v>246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J2607">
        <v>100</v>
      </c>
      <c r="K2607">
        <v>177.95</v>
      </c>
      <c r="L2607" s="39">
        <f t="shared" si="168"/>
        <v>1.3</v>
      </c>
      <c r="M2607" s="39">
        <f t="shared" si="169"/>
        <v>1.7794999999999999</v>
      </c>
      <c r="N2607" t="s">
        <v>25</v>
      </c>
      <c r="O2607" t="s">
        <v>25</v>
      </c>
      <c r="P2607">
        <v>0</v>
      </c>
      <c r="Q2607">
        <v>0</v>
      </c>
      <c r="R2607" t="s">
        <v>1467</v>
      </c>
    </row>
    <row r="2608" spans="1:19" x14ac:dyDescent="0.3">
      <c r="A2608">
        <v>534</v>
      </c>
      <c r="B2608" t="s">
        <v>1468</v>
      </c>
      <c r="C2608" t="s">
        <v>246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134.09</v>
      </c>
      <c r="L2608" s="39">
        <f t="shared" si="168"/>
        <v>1.3</v>
      </c>
      <c r="M2608" s="39">
        <f t="shared" si="169"/>
        <v>1.3409</v>
      </c>
      <c r="N2608" t="s">
        <v>25</v>
      </c>
      <c r="O2608" t="s">
        <v>25</v>
      </c>
      <c r="P2608">
        <v>0</v>
      </c>
      <c r="Q2608">
        <v>0</v>
      </c>
      <c r="R2608" t="s">
        <v>3226</v>
      </c>
    </row>
    <row r="2609" spans="1:19" x14ac:dyDescent="0.3">
      <c r="A2609">
        <v>534</v>
      </c>
      <c r="B2609" t="s">
        <v>1468</v>
      </c>
      <c r="C2609" t="s">
        <v>246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134.53</v>
      </c>
      <c r="L2609" s="39">
        <f t="shared" si="168"/>
        <v>1.3</v>
      </c>
      <c r="M2609" s="39">
        <f t="shared" si="169"/>
        <v>1.3452999999999999</v>
      </c>
      <c r="N2609" t="s">
        <v>25</v>
      </c>
      <c r="O2609" t="s">
        <v>25</v>
      </c>
      <c r="P2609">
        <v>0</v>
      </c>
      <c r="Q2609">
        <v>0</v>
      </c>
      <c r="R2609" t="s">
        <v>1469</v>
      </c>
    </row>
    <row r="2610" spans="1:19" x14ac:dyDescent="0.3">
      <c r="A2610">
        <v>535</v>
      </c>
      <c r="B2610" t="s">
        <v>1470</v>
      </c>
      <c r="C2610" t="s">
        <v>246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J2610">
        <v>100</v>
      </c>
      <c r="K2610">
        <v>132.66999999999999</v>
      </c>
      <c r="L2610" s="39">
        <f t="shared" si="168"/>
        <v>1.3</v>
      </c>
      <c r="M2610" s="39">
        <f t="shared" si="169"/>
        <v>1.3266999999999998</v>
      </c>
      <c r="N2610" t="s">
        <v>25</v>
      </c>
      <c r="O2610" t="s">
        <v>25</v>
      </c>
      <c r="P2610">
        <v>0</v>
      </c>
      <c r="Q2610">
        <v>0</v>
      </c>
      <c r="R2610" t="s">
        <v>3227</v>
      </c>
    </row>
    <row r="2611" spans="1:19" x14ac:dyDescent="0.3">
      <c r="A2611">
        <v>535</v>
      </c>
      <c r="B2611" t="s">
        <v>1470</v>
      </c>
      <c r="C2611" t="s">
        <v>246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J2611">
        <v>100</v>
      </c>
      <c r="K2611">
        <v>209.63</v>
      </c>
      <c r="L2611" s="39">
        <f t="shared" si="168"/>
        <v>1.3</v>
      </c>
      <c r="M2611" s="39">
        <f t="shared" si="169"/>
        <v>2.0962999999999998</v>
      </c>
      <c r="N2611" t="s">
        <v>25</v>
      </c>
      <c r="O2611" t="s">
        <v>25</v>
      </c>
      <c r="P2611">
        <v>0</v>
      </c>
      <c r="Q2611">
        <v>0</v>
      </c>
      <c r="R2611" t="s">
        <v>1471</v>
      </c>
    </row>
    <row r="2612" spans="1:19" x14ac:dyDescent="0.3">
      <c r="A2612">
        <v>536</v>
      </c>
      <c r="B2612" t="s">
        <v>1472</v>
      </c>
      <c r="C2612" t="s">
        <v>246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100</v>
      </c>
      <c r="K2612">
        <v>109.33</v>
      </c>
      <c r="L2612" s="39">
        <f t="shared" si="168"/>
        <v>1.0932999999999999</v>
      </c>
      <c r="M2612" s="39">
        <f t="shared" si="169"/>
        <v>1.0932999999999999</v>
      </c>
      <c r="N2612" t="s">
        <v>25</v>
      </c>
      <c r="O2612" t="s">
        <v>25</v>
      </c>
      <c r="P2612">
        <v>0</v>
      </c>
      <c r="Q2612">
        <v>0</v>
      </c>
      <c r="R2612" t="s">
        <v>3228</v>
      </c>
    </row>
    <row r="2613" spans="1:19" x14ac:dyDescent="0.3">
      <c r="A2613">
        <v>536</v>
      </c>
      <c r="B2613" t="s">
        <v>1472</v>
      </c>
      <c r="C2613" t="s">
        <v>246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100</v>
      </c>
      <c r="K2613">
        <v>260.75</v>
      </c>
      <c r="L2613" s="39">
        <f t="shared" si="168"/>
        <v>1.3</v>
      </c>
      <c r="M2613" s="39">
        <f t="shared" si="169"/>
        <v>2.6074999999999999</v>
      </c>
      <c r="N2613" t="s">
        <v>25</v>
      </c>
      <c r="O2613" t="s">
        <v>25</v>
      </c>
      <c r="P2613">
        <v>0</v>
      </c>
      <c r="Q2613">
        <v>0</v>
      </c>
      <c r="R2613" t="s">
        <v>1473</v>
      </c>
    </row>
    <row r="2614" spans="1:19" x14ac:dyDescent="0.3">
      <c r="A2614">
        <v>537</v>
      </c>
      <c r="B2614" t="s">
        <v>1474</v>
      </c>
      <c r="C2614" t="s">
        <v>333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65</v>
      </c>
      <c r="K2614">
        <v>58.9</v>
      </c>
      <c r="L2614" s="39">
        <f t="shared" si="168"/>
        <v>0.90615384615384609</v>
      </c>
      <c r="M2614" s="39">
        <f t="shared" si="169"/>
        <v>0.90615384615384609</v>
      </c>
      <c r="N2614" t="s">
        <v>128</v>
      </c>
      <c r="O2614" t="s">
        <v>128</v>
      </c>
      <c r="P2614">
        <v>0</v>
      </c>
      <c r="Q2614">
        <v>0</v>
      </c>
      <c r="R2614" t="s">
        <v>3229</v>
      </c>
    </row>
    <row r="2615" spans="1:19" x14ac:dyDescent="0.3">
      <c r="A2615">
        <v>537</v>
      </c>
      <c r="B2615" t="s">
        <v>1474</v>
      </c>
      <c r="C2615" t="s">
        <v>333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65</v>
      </c>
      <c r="K2615">
        <v>64.3</v>
      </c>
      <c r="L2615" s="39">
        <f t="shared" si="168"/>
        <v>0.98923076923076914</v>
      </c>
      <c r="M2615" s="39">
        <f t="shared" si="169"/>
        <v>0.98923076923076914</v>
      </c>
      <c r="N2615" t="s">
        <v>128</v>
      </c>
      <c r="O2615" t="s">
        <v>128</v>
      </c>
      <c r="P2615">
        <v>0</v>
      </c>
      <c r="Q2615">
        <v>0</v>
      </c>
      <c r="R2615" t="s">
        <v>1475</v>
      </c>
    </row>
    <row r="2616" spans="1:19" x14ac:dyDescent="0.3">
      <c r="A2616">
        <v>538</v>
      </c>
      <c r="B2616" t="s">
        <v>1476</v>
      </c>
      <c r="C2616" t="s">
        <v>541</v>
      </c>
      <c r="D2616" t="s">
        <v>21</v>
      </c>
      <c r="E2616" t="s">
        <v>22</v>
      </c>
      <c r="F2616" s="79">
        <v>46022</v>
      </c>
      <c r="G2616">
        <v>2025</v>
      </c>
      <c r="H2616" t="s">
        <v>23</v>
      </c>
      <c r="I2616" t="s">
        <v>32</v>
      </c>
      <c r="J2616">
        <v>90</v>
      </c>
      <c r="K2616">
        <v>100</v>
      </c>
      <c r="L2616" s="39">
        <f t="shared" si="168"/>
        <v>1.1111111111111112</v>
      </c>
      <c r="M2616" s="39">
        <f t="shared" si="169"/>
        <v>1.1111111111111112</v>
      </c>
      <c r="N2616" t="s">
        <v>25</v>
      </c>
      <c r="O2616" t="s">
        <v>25</v>
      </c>
      <c r="P2616">
        <v>0</v>
      </c>
      <c r="Q2616">
        <v>0</v>
      </c>
      <c r="R2616" t="s">
        <v>1477</v>
      </c>
    </row>
    <row r="2617" spans="1:19" x14ac:dyDescent="0.3">
      <c r="A2617">
        <v>539</v>
      </c>
      <c r="B2617" t="s">
        <v>1478</v>
      </c>
      <c r="C2617" t="s">
        <v>541</v>
      </c>
      <c r="D2617" t="s">
        <v>21</v>
      </c>
      <c r="E2617" t="s">
        <v>41</v>
      </c>
      <c r="F2617" s="79">
        <v>46022</v>
      </c>
      <c r="G2617">
        <v>2025</v>
      </c>
      <c r="H2617" t="s">
        <v>23</v>
      </c>
      <c r="I2617" t="s">
        <v>32</v>
      </c>
      <c r="J2617">
        <v>2.5</v>
      </c>
      <c r="K2617">
        <v>2.5</v>
      </c>
      <c r="L2617" s="39">
        <f t="shared" si="168"/>
        <v>1</v>
      </c>
      <c r="M2617" s="39">
        <f t="shared" si="169"/>
        <v>1</v>
      </c>
      <c r="N2617" t="s">
        <v>25</v>
      </c>
      <c r="O2617" t="s">
        <v>25</v>
      </c>
      <c r="P2617">
        <v>0</v>
      </c>
      <c r="Q2617">
        <v>0</v>
      </c>
      <c r="R2617" t="s">
        <v>1479</v>
      </c>
    </row>
    <row r="2618" spans="1:19" x14ac:dyDescent="0.3">
      <c r="A2618">
        <v>540</v>
      </c>
      <c r="B2618" t="s">
        <v>1480</v>
      </c>
      <c r="C2618" t="s">
        <v>922</v>
      </c>
      <c r="D2618" t="s">
        <v>21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97</v>
      </c>
      <c r="K2618">
        <v>97.33</v>
      </c>
      <c r="L2618" s="39">
        <f t="shared" si="168"/>
        <v>1.00340206185567</v>
      </c>
      <c r="M2618" s="39">
        <f t="shared" si="169"/>
        <v>1.00340206185567</v>
      </c>
      <c r="N2618" t="s">
        <v>25</v>
      </c>
      <c r="O2618" t="s">
        <v>25</v>
      </c>
      <c r="P2618">
        <v>0</v>
      </c>
      <c r="Q2618">
        <v>0</v>
      </c>
      <c r="R2618" t="s">
        <v>3230</v>
      </c>
    </row>
    <row r="2619" spans="1:19" x14ac:dyDescent="0.3">
      <c r="A2619">
        <v>540</v>
      </c>
      <c r="B2619" t="s">
        <v>1480</v>
      </c>
      <c r="C2619" t="s">
        <v>922</v>
      </c>
      <c r="D2619" t="s">
        <v>21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97</v>
      </c>
      <c r="K2619">
        <v>97.9</v>
      </c>
      <c r="L2619" s="39">
        <f t="shared" si="168"/>
        <v>1.0092783505154639</v>
      </c>
      <c r="M2619" s="39">
        <f t="shared" si="169"/>
        <v>1.0092783505154639</v>
      </c>
      <c r="N2619" t="s">
        <v>25</v>
      </c>
      <c r="O2619" t="s">
        <v>25</v>
      </c>
      <c r="P2619">
        <v>0</v>
      </c>
      <c r="Q2619">
        <v>0</v>
      </c>
      <c r="R2619" t="s">
        <v>1481</v>
      </c>
    </row>
    <row r="2620" spans="1:19" x14ac:dyDescent="0.3">
      <c r="A2620">
        <v>541</v>
      </c>
      <c r="B2620" t="s">
        <v>1482</v>
      </c>
      <c r="C2620" t="s">
        <v>842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4</v>
      </c>
      <c r="K2620">
        <v>6.99</v>
      </c>
      <c r="L2620" s="39">
        <f t="shared" si="168"/>
        <v>1.3</v>
      </c>
      <c r="M2620" s="39">
        <f t="shared" si="169"/>
        <v>1.7475000000000001</v>
      </c>
      <c r="N2620" t="s">
        <v>25</v>
      </c>
      <c r="O2620" t="s">
        <v>25</v>
      </c>
      <c r="P2620">
        <v>0</v>
      </c>
      <c r="Q2620">
        <v>0</v>
      </c>
      <c r="R2620" t="s">
        <v>1483</v>
      </c>
    </row>
    <row r="2621" spans="1:19" x14ac:dyDescent="0.3">
      <c r="A2621">
        <v>542</v>
      </c>
      <c r="B2621" t="s">
        <v>1484</v>
      </c>
      <c r="C2621" t="s">
        <v>842</v>
      </c>
      <c r="D2621" t="s">
        <v>71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K2621">
        <v>81.239999999999995</v>
      </c>
      <c r="N2621" t="s">
        <v>25</v>
      </c>
      <c r="O2621" t="s">
        <v>25</v>
      </c>
      <c r="P2621">
        <v>0</v>
      </c>
      <c r="Q2621">
        <v>0</v>
      </c>
      <c r="R2621" t="s">
        <v>1485</v>
      </c>
      <c r="S2621" t="s">
        <v>263</v>
      </c>
    </row>
    <row r="2622" spans="1:19" x14ac:dyDescent="0.3">
      <c r="A2622">
        <v>543</v>
      </c>
      <c r="B2622" t="s">
        <v>1486</v>
      </c>
      <c r="C2622" t="s">
        <v>308</v>
      </c>
      <c r="D2622" t="s">
        <v>21</v>
      </c>
      <c r="E2622" t="s">
        <v>22</v>
      </c>
      <c r="F2622" s="79">
        <v>45838</v>
      </c>
      <c r="G2622">
        <v>2025</v>
      </c>
      <c r="H2622" t="s">
        <v>699</v>
      </c>
      <c r="I2622" t="s">
        <v>700</v>
      </c>
      <c r="K2622">
        <v>7.29</v>
      </c>
      <c r="L2622" s="39"/>
      <c r="M2622" s="39"/>
      <c r="N2622" t="s">
        <v>128</v>
      </c>
      <c r="O2622" t="s">
        <v>128</v>
      </c>
      <c r="P2622">
        <v>0</v>
      </c>
      <c r="Q2622">
        <v>0</v>
      </c>
      <c r="R2622" t="s">
        <v>3231</v>
      </c>
    </row>
    <row r="2623" spans="1:19" x14ac:dyDescent="0.3">
      <c r="A2623">
        <v>543</v>
      </c>
      <c r="B2623" t="s">
        <v>1486</v>
      </c>
      <c r="C2623" t="s">
        <v>308</v>
      </c>
      <c r="D2623" t="s">
        <v>21</v>
      </c>
      <c r="E2623" t="s">
        <v>22</v>
      </c>
      <c r="F2623" s="79">
        <v>46022</v>
      </c>
      <c r="G2623">
        <v>2025</v>
      </c>
      <c r="H2623" t="s">
        <v>23</v>
      </c>
      <c r="I2623" t="s">
        <v>32</v>
      </c>
      <c r="K2623">
        <v>6.91</v>
      </c>
      <c r="L2623" s="39"/>
      <c r="M2623" s="39"/>
      <c r="N2623" t="s">
        <v>128</v>
      </c>
      <c r="O2623" t="s">
        <v>128</v>
      </c>
      <c r="P2623">
        <v>0</v>
      </c>
      <c r="Q2623">
        <v>0</v>
      </c>
      <c r="R2623" t="s">
        <v>1487</v>
      </c>
    </row>
    <row r="2624" spans="1:19" x14ac:dyDescent="0.3">
      <c r="A2624">
        <v>544</v>
      </c>
      <c r="B2624" t="s">
        <v>1488</v>
      </c>
      <c r="C2624" t="s">
        <v>1110</v>
      </c>
      <c r="D2624" t="s">
        <v>21</v>
      </c>
      <c r="E2624" t="s">
        <v>22</v>
      </c>
      <c r="F2624" s="79">
        <v>45838</v>
      </c>
      <c r="G2624">
        <v>2025</v>
      </c>
      <c r="H2624" t="s">
        <v>699</v>
      </c>
      <c r="I2624" t="s">
        <v>700</v>
      </c>
      <c r="J2624">
        <v>100</v>
      </c>
      <c r="K2624">
        <v>250</v>
      </c>
      <c r="L2624" s="39">
        <f>IFERROR(IF(OR(J2624=0,K2624=""),"",IF(E2624="Positivo",MIN(MAX(K2624/J2624,0),1.3),MIN(MAX(J2624/K2624,0),1.3))),"")</f>
        <v>1.3</v>
      </c>
      <c r="M2624" s="39">
        <f>IFERROR(IF(OR(J2624=0,K2624=""),"",IF(E2624="Positivo",MAX(K2624/J2624,0),MAX(J2624/K2624,0))),"")</f>
        <v>2.5</v>
      </c>
      <c r="N2624" t="s">
        <v>128</v>
      </c>
      <c r="O2624" t="s">
        <v>128</v>
      </c>
      <c r="P2624">
        <v>0</v>
      </c>
      <c r="Q2624">
        <v>0</v>
      </c>
      <c r="R2624" t="s">
        <v>3232</v>
      </c>
    </row>
    <row r="2625" spans="1:18" x14ac:dyDescent="0.3">
      <c r="A2625">
        <v>544</v>
      </c>
      <c r="B2625" t="s">
        <v>1488</v>
      </c>
      <c r="C2625" t="s">
        <v>1110</v>
      </c>
      <c r="D2625" t="s">
        <v>21</v>
      </c>
      <c r="E2625" t="s">
        <v>22</v>
      </c>
      <c r="F2625" s="79">
        <v>46022</v>
      </c>
      <c r="G2625">
        <v>2025</v>
      </c>
      <c r="H2625" t="s">
        <v>23</v>
      </c>
      <c r="I2625" t="s">
        <v>32</v>
      </c>
      <c r="J2625">
        <v>100</v>
      </c>
      <c r="K2625">
        <v>162.5</v>
      </c>
      <c r="L2625" s="39">
        <f>IFERROR(IF(OR(J2625=0,K2625=""),"",IF(E2625="Positivo",MIN(MAX(K2625/J2625,0),1.3),MIN(MAX(J2625/K2625,0),1.3))),"")</f>
        <v>1.3</v>
      </c>
      <c r="M2625" s="39">
        <f>IFERROR(IF(OR(J2625=0,K2625=""),"",IF(E2625="Positivo",MAX(K2625/J2625,0),MAX(J2625/K2625,0))),"")</f>
        <v>1.625</v>
      </c>
      <c r="N2625" t="s">
        <v>128</v>
      </c>
      <c r="O2625" t="s">
        <v>128</v>
      </c>
      <c r="P2625">
        <v>0</v>
      </c>
      <c r="Q2625">
        <v>0</v>
      </c>
      <c r="R2625" t="s">
        <v>1489</v>
      </c>
    </row>
    <row r="2626" spans="1:18" x14ac:dyDescent="0.3">
      <c r="A2626">
        <v>546</v>
      </c>
      <c r="B2626" t="s">
        <v>1490</v>
      </c>
      <c r="C2626" t="s">
        <v>842</v>
      </c>
      <c r="D2626" t="s">
        <v>71</v>
      </c>
      <c r="E2626" t="s">
        <v>22</v>
      </c>
      <c r="F2626" s="79">
        <v>46022</v>
      </c>
      <c r="G2626">
        <v>2025</v>
      </c>
      <c r="H2626" t="s">
        <v>23</v>
      </c>
      <c r="I2626" t="s">
        <v>32</v>
      </c>
      <c r="J2626">
        <v>100</v>
      </c>
      <c r="K2626">
        <v>113.38</v>
      </c>
      <c r="L2626" s="39">
        <f>IFERROR(IF(OR(J2626=0,K2626=""),"",IF(E2626="Positivo",MIN(MAX(K2626/J2626,0),1.3),MIN(MAX(J2626/K2626,0),1.3))),"")</f>
        <v>1.1337999999999999</v>
      </c>
      <c r="M2626" s="39">
        <f>IFERROR(IF(OR(J2626=0,K2626=""),"",IF(E2626="Positivo",MAX(K2626/J2626,0),MAX(J2626/K2626,0))),"")</f>
        <v>1.1337999999999999</v>
      </c>
      <c r="N2626" t="s">
        <v>25</v>
      </c>
      <c r="O2626" t="s">
        <v>25</v>
      </c>
      <c r="P2626">
        <v>0</v>
      </c>
      <c r="Q2626">
        <v>0</v>
      </c>
      <c r="R2626" t="s">
        <v>1491</v>
      </c>
    </row>
    <row r="2627" spans="1:18" x14ac:dyDescent="0.3">
      <c r="A2627">
        <v>547</v>
      </c>
      <c r="B2627" t="s">
        <v>1492</v>
      </c>
      <c r="C2627" t="s">
        <v>842</v>
      </c>
      <c r="D2627" t="s">
        <v>71</v>
      </c>
      <c r="E2627" t="s">
        <v>22</v>
      </c>
      <c r="F2627" s="79">
        <v>46022</v>
      </c>
      <c r="G2627">
        <v>2025</v>
      </c>
      <c r="H2627" t="s">
        <v>23</v>
      </c>
      <c r="I2627" t="s">
        <v>32</v>
      </c>
      <c r="K2627">
        <v>92</v>
      </c>
      <c r="L2627" s="39"/>
      <c r="M2627" s="39"/>
      <c r="N2627" t="s">
        <v>25</v>
      </c>
      <c r="O2627" t="s">
        <v>25</v>
      </c>
      <c r="P2627">
        <v>0</v>
      </c>
      <c r="Q2627">
        <v>0</v>
      </c>
      <c r="R2627" t="s">
        <v>1493</v>
      </c>
    </row>
    <row r="2628" spans="1:18" x14ac:dyDescent="0.3">
      <c r="A2628">
        <v>550</v>
      </c>
      <c r="B2628" t="s">
        <v>1494</v>
      </c>
      <c r="C2628" t="s">
        <v>1097</v>
      </c>
      <c r="D2628" t="s">
        <v>21</v>
      </c>
      <c r="E2628" t="s">
        <v>22</v>
      </c>
      <c r="F2628" s="79">
        <v>45838</v>
      </c>
      <c r="G2628">
        <v>2025</v>
      </c>
      <c r="H2628" t="s">
        <v>699</v>
      </c>
      <c r="I2628" t="s">
        <v>700</v>
      </c>
      <c r="J2628">
        <v>80</v>
      </c>
      <c r="K2628">
        <v>95</v>
      </c>
      <c r="L2628" s="39">
        <f t="shared" ref="L2628:L2638" si="170">IFERROR(IF(OR(J2628=0,K2628=""),"",IF(E2628="Positivo",MIN(MAX(K2628/J2628,0),1.3),MIN(MAX(J2628/K2628,0),1.3))),"")</f>
        <v>1.1875</v>
      </c>
      <c r="M2628" s="39">
        <f t="shared" ref="M2628:M2638" si="171">IFERROR(IF(OR(J2628=0,K2628=""),"",IF(E2628="Positivo",MAX(K2628/J2628,0),MAX(J2628/K2628,0))),"")</f>
        <v>1.1875</v>
      </c>
      <c r="N2628" t="s">
        <v>25</v>
      </c>
      <c r="O2628" t="s">
        <v>25</v>
      </c>
      <c r="P2628">
        <v>0</v>
      </c>
      <c r="Q2628">
        <v>0</v>
      </c>
      <c r="R2628" t="s">
        <v>3233</v>
      </c>
    </row>
    <row r="2629" spans="1:18" x14ac:dyDescent="0.3">
      <c r="A2629">
        <v>550</v>
      </c>
      <c r="B2629" t="s">
        <v>1494</v>
      </c>
      <c r="C2629" t="s">
        <v>1097</v>
      </c>
      <c r="D2629" t="s">
        <v>21</v>
      </c>
      <c r="E2629" t="s">
        <v>22</v>
      </c>
      <c r="F2629" s="79">
        <v>46022</v>
      </c>
      <c r="G2629">
        <v>2025</v>
      </c>
      <c r="H2629" t="s">
        <v>23</v>
      </c>
      <c r="I2629" t="s">
        <v>32</v>
      </c>
      <c r="J2629">
        <v>80</v>
      </c>
      <c r="K2629">
        <v>95.5</v>
      </c>
      <c r="L2629" s="39">
        <f t="shared" si="170"/>
        <v>1.1937500000000001</v>
      </c>
      <c r="M2629" s="39">
        <f t="shared" si="171"/>
        <v>1.1937500000000001</v>
      </c>
      <c r="N2629" t="s">
        <v>25</v>
      </c>
      <c r="O2629" t="s">
        <v>25</v>
      </c>
      <c r="P2629">
        <v>0</v>
      </c>
      <c r="Q2629">
        <v>0</v>
      </c>
      <c r="R2629" t="s">
        <v>1495</v>
      </c>
    </row>
    <row r="2630" spans="1:18" x14ac:dyDescent="0.3">
      <c r="A2630">
        <v>551</v>
      </c>
      <c r="B2630" t="s">
        <v>1496</v>
      </c>
      <c r="C2630" t="s">
        <v>1097</v>
      </c>
      <c r="D2630" t="s">
        <v>21</v>
      </c>
      <c r="E2630" t="s">
        <v>22</v>
      </c>
      <c r="F2630" s="79">
        <v>45838</v>
      </c>
      <c r="G2630">
        <v>2025</v>
      </c>
      <c r="H2630" t="s">
        <v>699</v>
      </c>
      <c r="I2630" t="s">
        <v>700</v>
      </c>
      <c r="J2630">
        <v>4</v>
      </c>
      <c r="K2630">
        <v>5</v>
      </c>
      <c r="L2630" s="39">
        <f t="shared" si="170"/>
        <v>1.25</v>
      </c>
      <c r="M2630" s="39">
        <f t="shared" si="171"/>
        <v>1.25</v>
      </c>
      <c r="N2630" t="s">
        <v>25</v>
      </c>
      <c r="O2630" t="s">
        <v>25</v>
      </c>
      <c r="P2630">
        <v>0</v>
      </c>
      <c r="Q2630">
        <v>0</v>
      </c>
      <c r="R2630" t="s">
        <v>3234</v>
      </c>
    </row>
    <row r="2631" spans="1:18" x14ac:dyDescent="0.3">
      <c r="A2631">
        <v>551</v>
      </c>
      <c r="B2631" t="s">
        <v>1496</v>
      </c>
      <c r="C2631" t="s">
        <v>1097</v>
      </c>
      <c r="D2631" t="s">
        <v>21</v>
      </c>
      <c r="E2631" t="s">
        <v>22</v>
      </c>
      <c r="F2631" s="79">
        <v>46022</v>
      </c>
      <c r="G2631">
        <v>2025</v>
      </c>
      <c r="H2631" t="s">
        <v>23</v>
      </c>
      <c r="I2631" t="s">
        <v>32</v>
      </c>
      <c r="J2631">
        <v>4</v>
      </c>
      <c r="K2631">
        <v>5</v>
      </c>
      <c r="L2631" s="39">
        <f t="shared" si="170"/>
        <v>1.25</v>
      </c>
      <c r="M2631" s="39">
        <f t="shared" si="171"/>
        <v>1.25</v>
      </c>
      <c r="N2631" t="s">
        <v>25</v>
      </c>
      <c r="O2631" t="s">
        <v>25</v>
      </c>
      <c r="P2631">
        <v>0</v>
      </c>
      <c r="Q2631">
        <v>0</v>
      </c>
      <c r="R2631" t="s">
        <v>1497</v>
      </c>
    </row>
    <row r="2632" spans="1:18" x14ac:dyDescent="0.3">
      <c r="A2632">
        <v>552</v>
      </c>
      <c r="B2632" t="s">
        <v>1498</v>
      </c>
      <c r="C2632" t="s">
        <v>951</v>
      </c>
      <c r="D2632" t="s">
        <v>71</v>
      </c>
      <c r="E2632" t="s">
        <v>22</v>
      </c>
      <c r="F2632" s="79">
        <v>45838</v>
      </c>
      <c r="G2632">
        <v>2025</v>
      </c>
      <c r="H2632" t="s">
        <v>699</v>
      </c>
      <c r="I2632" t="s">
        <v>700</v>
      </c>
      <c r="J2632">
        <v>80</v>
      </c>
      <c r="K2632">
        <v>92</v>
      </c>
      <c r="L2632" s="39">
        <f t="shared" si="170"/>
        <v>1.1499999999999999</v>
      </c>
      <c r="M2632" s="39">
        <f t="shared" si="171"/>
        <v>1.1499999999999999</v>
      </c>
      <c r="N2632" t="s">
        <v>25</v>
      </c>
      <c r="O2632" t="s">
        <v>25</v>
      </c>
      <c r="P2632">
        <v>0</v>
      </c>
      <c r="Q2632">
        <v>0</v>
      </c>
      <c r="R2632" t="s">
        <v>3235</v>
      </c>
    </row>
    <row r="2633" spans="1:18" x14ac:dyDescent="0.3">
      <c r="A2633">
        <v>552</v>
      </c>
      <c r="B2633" t="s">
        <v>1498</v>
      </c>
      <c r="C2633" t="s">
        <v>951</v>
      </c>
      <c r="D2633" t="s">
        <v>71</v>
      </c>
      <c r="E2633" t="s">
        <v>22</v>
      </c>
      <c r="F2633" s="79">
        <v>46022</v>
      </c>
      <c r="G2633">
        <v>2025</v>
      </c>
      <c r="H2633" t="s">
        <v>23</v>
      </c>
      <c r="I2633" t="s">
        <v>32</v>
      </c>
      <c r="J2633">
        <v>80</v>
      </c>
      <c r="K2633">
        <v>92</v>
      </c>
      <c r="L2633" s="39">
        <f t="shared" si="170"/>
        <v>1.1499999999999999</v>
      </c>
      <c r="M2633" s="39">
        <f t="shared" si="171"/>
        <v>1.1499999999999999</v>
      </c>
      <c r="N2633" t="s">
        <v>25</v>
      </c>
      <c r="O2633" t="s">
        <v>25</v>
      </c>
      <c r="P2633">
        <v>0</v>
      </c>
      <c r="Q2633">
        <v>0</v>
      </c>
      <c r="R2633" t="s">
        <v>1499</v>
      </c>
    </row>
    <row r="2634" spans="1:18" x14ac:dyDescent="0.3">
      <c r="A2634">
        <v>553</v>
      </c>
      <c r="B2634" t="s">
        <v>1500</v>
      </c>
      <c r="C2634" t="s">
        <v>1020</v>
      </c>
      <c r="D2634" t="s">
        <v>71</v>
      </c>
      <c r="E2634" t="s">
        <v>22</v>
      </c>
      <c r="F2634" s="79">
        <v>46022</v>
      </c>
      <c r="G2634">
        <v>2025</v>
      </c>
      <c r="H2634" t="s">
        <v>23</v>
      </c>
      <c r="I2634" t="s">
        <v>32</v>
      </c>
      <c r="J2634">
        <v>80</v>
      </c>
      <c r="K2634">
        <v>83</v>
      </c>
      <c r="L2634" s="39">
        <f t="shared" si="170"/>
        <v>1.0375000000000001</v>
      </c>
      <c r="M2634" s="39">
        <f t="shared" si="171"/>
        <v>1.0375000000000001</v>
      </c>
      <c r="N2634" t="s">
        <v>25</v>
      </c>
      <c r="O2634" t="s">
        <v>25</v>
      </c>
      <c r="P2634">
        <v>0</v>
      </c>
      <c r="Q2634">
        <v>0</v>
      </c>
      <c r="R2634" t="s">
        <v>1501</v>
      </c>
    </row>
    <row r="2635" spans="1:18" x14ac:dyDescent="0.3">
      <c r="A2635">
        <v>554</v>
      </c>
      <c r="B2635" t="s">
        <v>1502</v>
      </c>
      <c r="C2635" t="s">
        <v>536</v>
      </c>
      <c r="D2635" t="s">
        <v>21</v>
      </c>
      <c r="E2635" t="s">
        <v>22</v>
      </c>
      <c r="F2635" s="79">
        <v>45838</v>
      </c>
      <c r="G2635">
        <v>2025</v>
      </c>
      <c r="H2635" t="s">
        <v>699</v>
      </c>
      <c r="I2635" t="s">
        <v>700</v>
      </c>
      <c r="J2635">
        <v>80</v>
      </c>
      <c r="K2635">
        <v>0</v>
      </c>
      <c r="L2635" s="39">
        <f t="shared" si="170"/>
        <v>0</v>
      </c>
      <c r="M2635" s="39">
        <f t="shared" si="171"/>
        <v>0</v>
      </c>
      <c r="N2635" t="s">
        <v>25</v>
      </c>
      <c r="O2635" t="s">
        <v>25</v>
      </c>
      <c r="P2635">
        <v>0</v>
      </c>
      <c r="Q2635">
        <v>0</v>
      </c>
      <c r="R2635" t="s">
        <v>3236</v>
      </c>
    </row>
    <row r="2636" spans="1:18" x14ac:dyDescent="0.3">
      <c r="A2636">
        <v>554</v>
      </c>
      <c r="B2636" t="s">
        <v>1502</v>
      </c>
      <c r="C2636" t="s">
        <v>536</v>
      </c>
      <c r="D2636" t="s">
        <v>21</v>
      </c>
      <c r="E2636" t="s">
        <v>22</v>
      </c>
      <c r="F2636" s="79">
        <v>46022</v>
      </c>
      <c r="G2636">
        <v>2025</v>
      </c>
      <c r="H2636" t="s">
        <v>23</v>
      </c>
      <c r="I2636" t="s">
        <v>32</v>
      </c>
      <c r="J2636">
        <v>80</v>
      </c>
      <c r="K2636">
        <v>95</v>
      </c>
      <c r="L2636" s="39">
        <f t="shared" si="170"/>
        <v>1.1875</v>
      </c>
      <c r="M2636" s="39">
        <f t="shared" si="171"/>
        <v>1.1875</v>
      </c>
      <c r="N2636" t="s">
        <v>25</v>
      </c>
      <c r="O2636" t="s">
        <v>25</v>
      </c>
      <c r="P2636">
        <v>0</v>
      </c>
      <c r="Q2636">
        <v>0</v>
      </c>
      <c r="R2636" t="s">
        <v>1503</v>
      </c>
    </row>
    <row r="2637" spans="1:18" x14ac:dyDescent="0.3">
      <c r="A2637">
        <v>555</v>
      </c>
      <c r="B2637" t="s">
        <v>1504</v>
      </c>
      <c r="C2637" t="s">
        <v>1044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32</v>
      </c>
      <c r="J2637">
        <v>80</v>
      </c>
      <c r="K2637">
        <v>100</v>
      </c>
      <c r="L2637" s="39">
        <f t="shared" si="170"/>
        <v>1.25</v>
      </c>
      <c r="M2637" s="39">
        <f t="shared" si="171"/>
        <v>1.25</v>
      </c>
      <c r="N2637" t="s">
        <v>25</v>
      </c>
      <c r="O2637" t="s">
        <v>25</v>
      </c>
      <c r="P2637">
        <v>0</v>
      </c>
      <c r="Q2637">
        <v>0</v>
      </c>
      <c r="R2637" t="s">
        <v>1505</v>
      </c>
    </row>
    <row r="2638" spans="1:18" x14ac:dyDescent="0.3">
      <c r="A2638">
        <v>556</v>
      </c>
      <c r="B2638" t="s">
        <v>1506</v>
      </c>
      <c r="C2638" t="s">
        <v>40</v>
      </c>
      <c r="D2638" t="s">
        <v>71</v>
      </c>
      <c r="E2638" t="s">
        <v>22</v>
      </c>
      <c r="F2638" s="79">
        <v>46022</v>
      </c>
      <c r="G2638">
        <v>2025</v>
      </c>
      <c r="H2638" t="s">
        <v>23</v>
      </c>
      <c r="I2638" t="s">
        <v>32</v>
      </c>
      <c r="J2638">
        <v>70</v>
      </c>
      <c r="K2638">
        <v>113.75</v>
      </c>
      <c r="L2638" s="39">
        <f t="shared" si="170"/>
        <v>1.3</v>
      </c>
      <c r="M2638" s="39">
        <f t="shared" si="171"/>
        <v>1.625</v>
      </c>
      <c r="N2638" t="s">
        <v>25</v>
      </c>
      <c r="O2638" t="s">
        <v>25</v>
      </c>
      <c r="P2638">
        <v>0</v>
      </c>
      <c r="Q2638">
        <v>0</v>
      </c>
      <c r="R2638" t="s">
        <v>1507</v>
      </c>
    </row>
  </sheetData>
  <autoFilter ref="A1:S2638" xr:uid="{00000000-0001-0000-0000-000000000000}"/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73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30" si="46">IFERROR(IF(OR(J695=0,K695=""),"",IF(E695="Positivo",MIN(MAX(K695/J695,0),1.3),MIN(MAX(J695/K695,0),1.3))),"")</f>
        <v/>
      </c>
      <c r="M695" s="14" t="str">
        <f t="shared" ref="M695:M730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274</v>
      </c>
      <c r="B704" s="5" t="s">
        <v>648</v>
      </c>
      <c r="C704" s="5" t="s">
        <v>586</v>
      </c>
      <c r="D704" s="5" t="s">
        <v>27</v>
      </c>
      <c r="E704" s="5" t="s">
        <v>22</v>
      </c>
      <c r="F704" s="71">
        <v>45107</v>
      </c>
      <c r="G704" s="5">
        <v>2023</v>
      </c>
      <c r="H704" s="5" t="s">
        <v>699</v>
      </c>
      <c r="I704" s="6" t="s">
        <v>1512</v>
      </c>
      <c r="J704" s="5">
        <v>100</v>
      </c>
      <c r="K704" s="5">
        <v>97.855020351087006</v>
      </c>
      <c r="L704" s="14">
        <f t="shared" si="46"/>
        <v>0.97855020351087008</v>
      </c>
      <c r="M704" s="14">
        <f t="shared" si="47"/>
        <v>0.97855020351087008</v>
      </c>
      <c r="N704" s="5" t="s">
        <v>128</v>
      </c>
      <c r="O704" s="5" t="s">
        <v>128</v>
      </c>
      <c r="P704" s="5">
        <v>0</v>
      </c>
      <c r="Q704" s="5">
        <v>0</v>
      </c>
      <c r="R704" s="5" t="s">
        <v>2492</v>
      </c>
    </row>
    <row r="705" spans="1:18" x14ac:dyDescent="0.3">
      <c r="A705" s="5">
        <v>274</v>
      </c>
      <c r="B705" s="5" t="s">
        <v>648</v>
      </c>
      <c r="C705" s="5" t="s">
        <v>586</v>
      </c>
      <c r="D705" s="5" t="s">
        <v>27</v>
      </c>
      <c r="E705" s="5" t="s">
        <v>22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100</v>
      </c>
      <c r="K705" s="5">
        <v>97.505500813164005</v>
      </c>
      <c r="L705" s="14">
        <f t="shared" si="46"/>
        <v>0.97505500813164003</v>
      </c>
      <c r="M705" s="14">
        <f t="shared" si="47"/>
        <v>0.97505500813164003</v>
      </c>
      <c r="N705" s="5" t="s">
        <v>128</v>
      </c>
      <c r="O705" s="5" t="s">
        <v>128</v>
      </c>
      <c r="P705" s="5">
        <v>0</v>
      </c>
      <c r="Q705" s="5">
        <v>0</v>
      </c>
      <c r="R705" s="5" t="s">
        <v>649</v>
      </c>
    </row>
    <row r="706" spans="1:18" x14ac:dyDescent="0.3">
      <c r="A706" s="26">
        <v>274</v>
      </c>
      <c r="B706" s="5" t="s">
        <v>648</v>
      </c>
      <c r="C706" s="5" t="s">
        <v>586</v>
      </c>
      <c r="D706" s="5" t="s">
        <v>27</v>
      </c>
      <c r="E706" s="5" t="s">
        <v>22</v>
      </c>
      <c r="F706" s="71">
        <v>45473</v>
      </c>
      <c r="G706" s="5">
        <v>2024</v>
      </c>
      <c r="H706" s="5" t="s">
        <v>699</v>
      </c>
      <c r="I706" s="6" t="s">
        <v>729</v>
      </c>
      <c r="J706" s="5">
        <v>100</v>
      </c>
      <c r="K706" s="5">
        <v>102.33930181631</v>
      </c>
      <c r="L706" s="74">
        <f t="shared" si="46"/>
        <v>1.0233930181630999</v>
      </c>
      <c r="M706" s="14">
        <f t="shared" si="47"/>
        <v>1.0233930181630999</v>
      </c>
      <c r="N706" s="5" t="s">
        <v>128</v>
      </c>
      <c r="O706" s="5" t="s">
        <v>128</v>
      </c>
      <c r="P706" s="5">
        <v>0</v>
      </c>
      <c r="Q706" s="5">
        <v>0</v>
      </c>
      <c r="R706" s="5" t="s">
        <v>2493</v>
      </c>
    </row>
    <row r="707" spans="1:18" x14ac:dyDescent="0.3">
      <c r="A707" s="26">
        <v>274</v>
      </c>
      <c r="B707" s="5" t="s">
        <v>648</v>
      </c>
      <c r="C707" s="5" t="s">
        <v>586</v>
      </c>
      <c r="D707" s="5" t="s">
        <v>27</v>
      </c>
      <c r="E707" s="5" t="s">
        <v>22</v>
      </c>
      <c r="F707" s="71">
        <v>45657</v>
      </c>
      <c r="G707" s="5">
        <v>2024</v>
      </c>
      <c r="H707" s="5" t="s">
        <v>23</v>
      </c>
      <c r="I707" s="6" t="s">
        <v>30</v>
      </c>
      <c r="J707" s="5">
        <v>100</v>
      </c>
      <c r="K707" s="5">
        <v>101.60875003065451</v>
      </c>
      <c r="L707" s="74">
        <f t="shared" si="46"/>
        <v>1.016087500306545</v>
      </c>
      <c r="M707" s="14">
        <f t="shared" si="47"/>
        <v>1.016087500306545</v>
      </c>
      <c r="N707" s="5" t="s">
        <v>128</v>
      </c>
      <c r="O707" s="5" t="s">
        <v>128</v>
      </c>
      <c r="P707" s="5">
        <v>0</v>
      </c>
      <c r="Q707" s="5">
        <v>0</v>
      </c>
      <c r="R707" s="5" t="s">
        <v>650</v>
      </c>
    </row>
    <row r="708" spans="1:18" x14ac:dyDescent="0.3">
      <c r="A708" s="26">
        <v>274</v>
      </c>
      <c r="B708" s="5" t="s">
        <v>648</v>
      </c>
      <c r="C708" s="5" t="s">
        <v>586</v>
      </c>
      <c r="D708" s="5" t="s">
        <v>27</v>
      </c>
      <c r="E708" s="5" t="s">
        <v>22</v>
      </c>
      <c r="F708" s="71">
        <v>45838</v>
      </c>
      <c r="G708" s="5">
        <v>2025</v>
      </c>
      <c r="H708" s="5" t="s">
        <v>699</v>
      </c>
      <c r="I708" s="6" t="s">
        <v>700</v>
      </c>
      <c r="J708" s="5">
        <v>100</v>
      </c>
      <c r="K708" s="5">
        <v>105.8</v>
      </c>
      <c r="L708" s="14">
        <f t="shared" si="46"/>
        <v>1.0580000000000001</v>
      </c>
      <c r="M708" s="14">
        <f t="shared" si="47"/>
        <v>1.0580000000000001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2494</v>
      </c>
    </row>
    <row r="709" spans="1:18" x14ac:dyDescent="0.3">
      <c r="A709" s="26">
        <v>274</v>
      </c>
      <c r="B709" s="5" t="s">
        <v>648</v>
      </c>
      <c r="C709" s="5" t="s">
        <v>586</v>
      </c>
      <c r="D709" s="5" t="s">
        <v>27</v>
      </c>
      <c r="E709" s="5" t="s">
        <v>22</v>
      </c>
      <c r="F709" s="71">
        <v>46022</v>
      </c>
      <c r="G709" s="5">
        <v>2025</v>
      </c>
      <c r="H709" s="5" t="s">
        <v>23</v>
      </c>
      <c r="I709" s="6" t="s">
        <v>32</v>
      </c>
      <c r="J709" s="5">
        <v>100</v>
      </c>
      <c r="K709" s="5">
        <v>102.03</v>
      </c>
      <c r="L709" s="14">
        <f t="shared" si="46"/>
        <v>1.0203</v>
      </c>
      <c r="M709" s="14">
        <f t="shared" si="47"/>
        <v>1.0203</v>
      </c>
      <c r="N709" s="5" t="s">
        <v>128</v>
      </c>
      <c r="O709" s="5" t="s">
        <v>128</v>
      </c>
      <c r="P709" s="5">
        <v>0</v>
      </c>
      <c r="Q709" s="5">
        <v>0</v>
      </c>
      <c r="R709" s="5" t="s">
        <v>651</v>
      </c>
    </row>
    <row r="710" spans="1:18" x14ac:dyDescent="0.3">
      <c r="A710" s="5">
        <v>275</v>
      </c>
      <c r="B710" s="5" t="s">
        <v>652</v>
      </c>
      <c r="C710" s="5" t="s">
        <v>653</v>
      </c>
      <c r="D710" s="5" t="s">
        <v>71</v>
      </c>
      <c r="E710" s="5" t="s">
        <v>22</v>
      </c>
      <c r="F710" s="71">
        <v>45291</v>
      </c>
      <c r="G710" s="5">
        <v>2023</v>
      </c>
      <c r="H710" s="5" t="s">
        <v>23</v>
      </c>
      <c r="I710" s="6" t="s">
        <v>28</v>
      </c>
      <c r="J710" s="5">
        <v>80</v>
      </c>
      <c r="K710" s="5">
        <v>0</v>
      </c>
      <c r="L710" s="14">
        <f t="shared" si="46"/>
        <v>0</v>
      </c>
      <c r="M710" s="14">
        <f t="shared" si="47"/>
        <v>0</v>
      </c>
      <c r="N710" s="5" t="s">
        <v>25</v>
      </c>
      <c r="O710" s="5" t="s">
        <v>25</v>
      </c>
      <c r="P710" s="5">
        <v>0</v>
      </c>
      <c r="Q710" s="5">
        <v>0</v>
      </c>
      <c r="R710" s="5" t="s">
        <v>654</v>
      </c>
    </row>
    <row r="711" spans="1:18" x14ac:dyDescent="0.3">
      <c r="A711" s="5">
        <v>275</v>
      </c>
      <c r="B711" s="5" t="s">
        <v>652</v>
      </c>
      <c r="C711" s="5" t="s">
        <v>653</v>
      </c>
      <c r="D711" s="5" t="s">
        <v>27</v>
      </c>
      <c r="E711" s="5" t="s">
        <v>22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80</v>
      </c>
      <c r="K711" s="5">
        <v>103.75</v>
      </c>
      <c r="L711" s="14">
        <f t="shared" si="46"/>
        <v>1.296875</v>
      </c>
      <c r="M711" s="14">
        <f t="shared" si="47"/>
        <v>1.296875</v>
      </c>
      <c r="N711" s="5" t="s">
        <v>25</v>
      </c>
      <c r="O711" s="5" t="s">
        <v>25</v>
      </c>
      <c r="P711" s="5">
        <v>0</v>
      </c>
      <c r="Q711" s="5">
        <v>0</v>
      </c>
      <c r="R711" s="5" t="s">
        <v>2498</v>
      </c>
    </row>
    <row r="712" spans="1:18" x14ac:dyDescent="0.3">
      <c r="A712" s="26">
        <v>275</v>
      </c>
      <c r="B712" s="5" t="s">
        <v>652</v>
      </c>
      <c r="C712" s="5" t="s">
        <v>653</v>
      </c>
      <c r="D712" s="5" t="s">
        <v>27</v>
      </c>
      <c r="E712" s="5" t="s">
        <v>22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80</v>
      </c>
      <c r="K712" s="5">
        <v>109.58</v>
      </c>
      <c r="L712" s="14">
        <f t="shared" si="46"/>
        <v>1.3</v>
      </c>
      <c r="M712" s="14">
        <f t="shared" si="47"/>
        <v>1.36975</v>
      </c>
      <c r="N712" s="5" t="s">
        <v>25</v>
      </c>
      <c r="O712" s="5" t="s">
        <v>25</v>
      </c>
      <c r="P712" s="5">
        <v>0</v>
      </c>
      <c r="Q712" s="5">
        <v>0</v>
      </c>
      <c r="R712" s="5" t="s">
        <v>655</v>
      </c>
    </row>
    <row r="713" spans="1:18" x14ac:dyDescent="0.3">
      <c r="A713" s="26">
        <v>275</v>
      </c>
      <c r="B713" s="5" t="s">
        <v>652</v>
      </c>
      <c r="C713" s="5" t="s">
        <v>653</v>
      </c>
      <c r="D713" s="5" t="s">
        <v>21</v>
      </c>
      <c r="E713" s="5" t="s">
        <v>22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80</v>
      </c>
      <c r="K713" s="5">
        <v>90</v>
      </c>
      <c r="L713" s="14">
        <f t="shared" si="46"/>
        <v>1.125</v>
      </c>
      <c r="M713" s="14">
        <f t="shared" si="47"/>
        <v>1.125</v>
      </c>
      <c r="N713" s="5" t="s">
        <v>25</v>
      </c>
      <c r="O713" s="5" t="s">
        <v>25</v>
      </c>
      <c r="P713" s="5">
        <v>0</v>
      </c>
      <c r="Q713" s="5">
        <v>0</v>
      </c>
      <c r="R713" s="5" t="s">
        <v>2499</v>
      </c>
    </row>
    <row r="714" spans="1:18" x14ac:dyDescent="0.3">
      <c r="A714" s="5">
        <v>275</v>
      </c>
      <c r="B714" s="5" t="s">
        <v>652</v>
      </c>
      <c r="C714" s="5" t="s">
        <v>653</v>
      </c>
      <c r="D714" s="5" t="s">
        <v>21</v>
      </c>
      <c r="E714" s="5" t="s">
        <v>22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80</v>
      </c>
      <c r="K714" s="5">
        <v>91.67</v>
      </c>
      <c r="L714" s="14">
        <f t="shared" si="46"/>
        <v>1.145875</v>
      </c>
      <c r="M714" s="14">
        <f t="shared" si="47"/>
        <v>1.145875</v>
      </c>
      <c r="N714" s="5" t="s">
        <v>25</v>
      </c>
      <c r="O714" s="5" t="s">
        <v>25</v>
      </c>
      <c r="P714" s="5">
        <v>0</v>
      </c>
      <c r="Q714" s="5">
        <v>0</v>
      </c>
      <c r="R714" s="5" t="s">
        <v>656</v>
      </c>
    </row>
    <row r="715" spans="1:18" x14ac:dyDescent="0.3">
      <c r="A715" s="5">
        <v>276</v>
      </c>
      <c r="B715" s="5" t="s">
        <v>657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89.99</v>
      </c>
      <c r="L715" s="14">
        <f t="shared" si="46"/>
        <v>0.94454939437715302</v>
      </c>
      <c r="M715" s="14">
        <f t="shared" si="47"/>
        <v>0.94454939437715302</v>
      </c>
      <c r="N715" s="5"/>
      <c r="O715" s="5"/>
      <c r="P715" s="5">
        <v>0</v>
      </c>
      <c r="Q715" s="5">
        <v>1</v>
      </c>
      <c r="R715" s="5" t="s">
        <v>2500</v>
      </c>
    </row>
    <row r="716" spans="1:18" x14ac:dyDescent="0.3">
      <c r="A716" s="5">
        <v>276</v>
      </c>
      <c r="B716" s="5" t="s">
        <v>657</v>
      </c>
      <c r="C716" s="5" t="s">
        <v>658</v>
      </c>
      <c r="D716" s="5" t="s">
        <v>27</v>
      </c>
      <c r="E716" s="5" t="s">
        <v>41</v>
      </c>
      <c r="F716" s="70">
        <v>45291</v>
      </c>
      <c r="G716" s="15">
        <v>2023</v>
      </c>
      <c r="H716" s="6" t="s">
        <v>23</v>
      </c>
      <c r="I716" s="27" t="s">
        <v>28</v>
      </c>
      <c r="J716" s="5">
        <v>85</v>
      </c>
      <c r="K716" s="5">
        <v>84.5</v>
      </c>
      <c r="L716" s="14">
        <f t="shared" si="46"/>
        <v>1.0059171597633136</v>
      </c>
      <c r="M716" s="14">
        <f t="shared" si="47"/>
        <v>1.0059171597633136</v>
      </c>
      <c r="N716" s="5"/>
      <c r="O716" s="5"/>
      <c r="P716" s="5">
        <v>0</v>
      </c>
      <c r="Q716" s="5">
        <v>1</v>
      </c>
      <c r="R716" s="5" t="s">
        <v>659</v>
      </c>
    </row>
    <row r="717" spans="1:18" x14ac:dyDescent="0.3">
      <c r="A717" s="26">
        <v>276</v>
      </c>
      <c r="B717" s="5" t="s">
        <v>657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75</v>
      </c>
      <c r="K717" s="5">
        <v>83.65</v>
      </c>
      <c r="L717" s="14">
        <f t="shared" si="46"/>
        <v>0.89659294680215174</v>
      </c>
      <c r="M717" s="14">
        <f t="shared" si="47"/>
        <v>0.89659294680215174</v>
      </c>
      <c r="N717" s="5"/>
      <c r="O717" s="5"/>
      <c r="P717" s="5">
        <v>0</v>
      </c>
      <c r="Q717" s="5">
        <v>1</v>
      </c>
      <c r="R717" s="5" t="s">
        <v>2501</v>
      </c>
    </row>
    <row r="718" spans="1:18" x14ac:dyDescent="0.3">
      <c r="A718" s="28">
        <v>276</v>
      </c>
      <c r="B718" s="5" t="s">
        <v>657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75</v>
      </c>
      <c r="K718" s="5">
        <v>82.68</v>
      </c>
      <c r="L718" s="74">
        <f t="shared" si="46"/>
        <v>0.90711175616835982</v>
      </c>
      <c r="M718" s="14">
        <f t="shared" si="47"/>
        <v>0.90711175616835982</v>
      </c>
      <c r="N718" s="5"/>
      <c r="O718" s="5"/>
      <c r="P718" s="5">
        <v>0</v>
      </c>
      <c r="Q718" s="5">
        <v>1</v>
      </c>
      <c r="R718" s="5" t="s">
        <v>660</v>
      </c>
    </row>
    <row r="719" spans="1:18" x14ac:dyDescent="0.3">
      <c r="A719" s="26">
        <v>276</v>
      </c>
      <c r="B719" s="5" t="s">
        <v>657</v>
      </c>
      <c r="C719" s="5" t="s">
        <v>658</v>
      </c>
      <c r="D719" s="5" t="s">
        <v>21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81</v>
      </c>
      <c r="K719" s="5">
        <v>84.18</v>
      </c>
      <c r="L719" s="74">
        <f t="shared" si="46"/>
        <v>0.96222380612972191</v>
      </c>
      <c r="M719" s="14">
        <f t="shared" si="47"/>
        <v>0.96222380612972191</v>
      </c>
      <c r="N719" s="5" t="s">
        <v>128</v>
      </c>
      <c r="O719" s="5" t="s">
        <v>136</v>
      </c>
      <c r="P719" s="5">
        <v>0</v>
      </c>
      <c r="Q719" s="5">
        <v>1</v>
      </c>
      <c r="R719" s="5" t="s">
        <v>2502</v>
      </c>
    </row>
    <row r="720" spans="1:18" x14ac:dyDescent="0.3">
      <c r="A720" s="26">
        <v>276</v>
      </c>
      <c r="B720" s="5" t="s">
        <v>657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81</v>
      </c>
      <c r="K720" s="5">
        <v>82.81</v>
      </c>
      <c r="L720" s="74">
        <f t="shared" si="46"/>
        <v>0.97814273638449456</v>
      </c>
      <c r="M720" s="14">
        <f t="shared" si="47"/>
        <v>0.97814273638449456</v>
      </c>
      <c r="N720" s="5" t="s">
        <v>128</v>
      </c>
      <c r="O720" s="5" t="s">
        <v>136</v>
      </c>
      <c r="P720" s="5">
        <v>0</v>
      </c>
      <c r="Q720" s="5">
        <v>1</v>
      </c>
      <c r="R720" s="5" t="s">
        <v>661</v>
      </c>
    </row>
    <row r="721" spans="1:19" x14ac:dyDescent="0.3">
      <c r="A721" s="5">
        <v>277</v>
      </c>
      <c r="B721" s="5" t="s">
        <v>662</v>
      </c>
      <c r="C721" s="5" t="s">
        <v>658</v>
      </c>
      <c r="D721" s="5" t="s">
        <v>27</v>
      </c>
      <c r="E721" s="5" t="s">
        <v>41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85</v>
      </c>
      <c r="K721" s="5">
        <v>76.48</v>
      </c>
      <c r="L721" s="14">
        <f t="shared" si="46"/>
        <v>1.1114016736401673</v>
      </c>
      <c r="M721" s="14">
        <f t="shared" si="47"/>
        <v>1.1114016736401673</v>
      </c>
      <c r="N721" s="5"/>
      <c r="O721" s="5"/>
      <c r="P721" s="5">
        <v>0</v>
      </c>
      <c r="Q721" s="5">
        <v>1</v>
      </c>
      <c r="R721" s="5" t="s">
        <v>2503</v>
      </c>
    </row>
    <row r="722" spans="1:19" x14ac:dyDescent="0.3">
      <c r="A722" s="28">
        <v>277</v>
      </c>
      <c r="B722" s="5" t="s">
        <v>662</v>
      </c>
      <c r="C722" s="5" t="s">
        <v>658</v>
      </c>
      <c r="D722" s="5" t="s">
        <v>27</v>
      </c>
      <c r="E722" s="5" t="s">
        <v>41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85</v>
      </c>
      <c r="K722" s="5">
        <v>73.290000000000006</v>
      </c>
      <c r="L722" s="14">
        <f t="shared" si="46"/>
        <v>1.1597762314094691</v>
      </c>
      <c r="M722" s="14">
        <f t="shared" si="47"/>
        <v>1.1597762314094691</v>
      </c>
      <c r="N722" s="5"/>
      <c r="O722" s="5"/>
      <c r="P722" s="5">
        <v>0</v>
      </c>
      <c r="Q722" s="5">
        <v>1</v>
      </c>
      <c r="R722" s="5" t="s">
        <v>663</v>
      </c>
    </row>
    <row r="723" spans="1:19" x14ac:dyDescent="0.3">
      <c r="A723" s="26">
        <v>277</v>
      </c>
      <c r="B723" s="5" t="s">
        <v>662</v>
      </c>
      <c r="C723" s="5" t="s">
        <v>658</v>
      </c>
      <c r="D723" s="5" t="s">
        <v>27</v>
      </c>
      <c r="E723" s="5" t="s">
        <v>41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73</v>
      </c>
      <c r="K723" s="5">
        <v>71.180000000000007</v>
      </c>
      <c r="L723" s="14">
        <f t="shared" si="46"/>
        <v>1.0255689800505758</v>
      </c>
      <c r="M723" s="14">
        <f t="shared" si="47"/>
        <v>1.0255689800505758</v>
      </c>
      <c r="N723" s="5"/>
      <c r="O723" s="5"/>
      <c r="P723" s="5">
        <v>0</v>
      </c>
      <c r="Q723" s="5">
        <v>1</v>
      </c>
      <c r="R723" s="5" t="s">
        <v>2504</v>
      </c>
    </row>
    <row r="724" spans="1:19" x14ac:dyDescent="0.3">
      <c r="A724" s="5">
        <v>277</v>
      </c>
      <c r="B724" s="5" t="s">
        <v>662</v>
      </c>
      <c r="C724" s="5" t="s">
        <v>658</v>
      </c>
      <c r="D724" s="5" t="s">
        <v>27</v>
      </c>
      <c r="E724" s="5" t="s">
        <v>41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73</v>
      </c>
      <c r="K724" s="5">
        <v>71.239999999999995</v>
      </c>
      <c r="L724" s="14">
        <f t="shared" si="46"/>
        <v>1.0247052217855139</v>
      </c>
      <c r="M724" s="14">
        <f t="shared" si="47"/>
        <v>1.0247052217855139</v>
      </c>
      <c r="N724" s="5"/>
      <c r="O724" s="5"/>
      <c r="P724" s="5">
        <v>0</v>
      </c>
      <c r="Q724" s="5">
        <v>1</v>
      </c>
      <c r="R724" s="5" t="s">
        <v>664</v>
      </c>
    </row>
    <row r="725" spans="1:19" x14ac:dyDescent="0.3">
      <c r="A725" s="5">
        <v>277</v>
      </c>
      <c r="B725" s="5" t="s">
        <v>662</v>
      </c>
      <c r="C725" s="5" t="s">
        <v>658</v>
      </c>
      <c r="D725" s="5" t="s">
        <v>27</v>
      </c>
      <c r="E725" s="5" t="s">
        <v>41</v>
      </c>
      <c r="F725" s="71">
        <v>45838</v>
      </c>
      <c r="G725" s="5">
        <v>2025</v>
      </c>
      <c r="H725" s="5" t="s">
        <v>699</v>
      </c>
      <c r="I725" s="6" t="s">
        <v>700</v>
      </c>
      <c r="J725" s="5">
        <v>71</v>
      </c>
      <c r="K725" s="10">
        <v>69.39</v>
      </c>
      <c r="L725" s="14">
        <f t="shared" si="46"/>
        <v>1.0232021905173656</v>
      </c>
      <c r="M725" s="14">
        <f t="shared" si="47"/>
        <v>1.0232021905173656</v>
      </c>
      <c r="N725" s="5"/>
      <c r="O725" s="5"/>
      <c r="P725" s="5">
        <v>0</v>
      </c>
      <c r="Q725" s="5">
        <v>1</v>
      </c>
      <c r="R725" s="5" t="s">
        <v>2505</v>
      </c>
    </row>
    <row r="726" spans="1:19" x14ac:dyDescent="0.3">
      <c r="A726" s="28">
        <v>277</v>
      </c>
      <c r="B726" s="5" t="s">
        <v>2506</v>
      </c>
      <c r="C726" s="5" t="s">
        <v>658</v>
      </c>
      <c r="D726" s="5" t="s">
        <v>21</v>
      </c>
      <c r="E726" s="5" t="s">
        <v>41</v>
      </c>
      <c r="F726" s="71">
        <v>46022</v>
      </c>
      <c r="G726" s="5">
        <v>2025</v>
      </c>
      <c r="H726" s="5" t="s">
        <v>23</v>
      </c>
      <c r="I726" s="6" t="s">
        <v>32</v>
      </c>
      <c r="J726" s="5">
        <v>71</v>
      </c>
      <c r="K726" s="5">
        <v>68.400000000000006</v>
      </c>
      <c r="L726" s="74">
        <f t="shared" si="46"/>
        <v>1.0380116959064327</v>
      </c>
      <c r="M726" s="14">
        <f t="shared" si="47"/>
        <v>1.0380116959064327</v>
      </c>
      <c r="N726" s="5" t="s">
        <v>128</v>
      </c>
      <c r="O726" s="5" t="s">
        <v>136</v>
      </c>
      <c r="P726" s="5">
        <v>1</v>
      </c>
      <c r="Q726" s="5">
        <v>1</v>
      </c>
      <c r="R726" s="5" t="s">
        <v>665</v>
      </c>
    </row>
    <row r="727" spans="1:19" x14ac:dyDescent="0.3">
      <c r="A727" s="26">
        <v>278</v>
      </c>
      <c r="B727" s="5" t="s">
        <v>666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0</v>
      </c>
      <c r="L727" s="74" t="str">
        <f t="shared" si="46"/>
        <v/>
      </c>
      <c r="M727" s="14" t="str">
        <f t="shared" si="47"/>
        <v/>
      </c>
      <c r="N727" s="5"/>
      <c r="O727" s="5"/>
      <c r="P727" s="5">
        <v>0</v>
      </c>
      <c r="Q727" s="5">
        <v>0</v>
      </c>
      <c r="R727" s="5" t="s">
        <v>2507</v>
      </c>
    </row>
    <row r="728" spans="1:19" x14ac:dyDescent="0.3">
      <c r="A728" s="5">
        <v>278</v>
      </c>
      <c r="B728" s="5" t="s">
        <v>666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1017</v>
      </c>
      <c r="L728" s="14" t="str">
        <f t="shared" si="46"/>
        <v/>
      </c>
      <c r="M728" s="14" t="str">
        <f t="shared" si="47"/>
        <v/>
      </c>
      <c r="N728" s="5"/>
      <c r="O728" s="5"/>
      <c r="P728" s="5">
        <v>0</v>
      </c>
      <c r="Q728" s="5">
        <v>0</v>
      </c>
      <c r="R728" s="5" t="s">
        <v>667</v>
      </c>
    </row>
    <row r="729" spans="1:19" x14ac:dyDescent="0.3">
      <c r="A729" s="5">
        <v>278</v>
      </c>
      <c r="B729" s="5" t="s">
        <v>666</v>
      </c>
      <c r="C729" s="5" t="s">
        <v>658</v>
      </c>
      <c r="D729" s="5" t="s">
        <v>27</v>
      </c>
      <c r="E729" s="5" t="s">
        <v>22</v>
      </c>
      <c r="F729" s="71">
        <v>45473</v>
      </c>
      <c r="G729" s="5">
        <v>2024</v>
      </c>
      <c r="H729" s="5" t="s">
        <v>699</v>
      </c>
      <c r="I729" s="6" t="s">
        <v>729</v>
      </c>
      <c r="J729" s="5">
        <v>0</v>
      </c>
      <c r="K729" s="5">
        <v>1080</v>
      </c>
      <c r="L729" s="14" t="str">
        <f t="shared" si="46"/>
        <v/>
      </c>
      <c r="M729" s="14" t="str">
        <f t="shared" si="47"/>
        <v/>
      </c>
      <c r="N729" s="5"/>
      <c r="O729" s="5"/>
      <c r="P729" s="5">
        <v>0</v>
      </c>
      <c r="Q729" s="5">
        <v>0</v>
      </c>
      <c r="R729" s="5" t="s">
        <v>2508</v>
      </c>
    </row>
    <row r="730" spans="1:19" x14ac:dyDescent="0.3">
      <c r="A730" s="28">
        <v>278</v>
      </c>
      <c r="B730" s="5" t="s">
        <v>666</v>
      </c>
      <c r="C730" s="5" t="s">
        <v>658</v>
      </c>
      <c r="D730" s="5" t="s">
        <v>27</v>
      </c>
      <c r="E730" s="5" t="s">
        <v>22</v>
      </c>
      <c r="F730" s="71">
        <v>45657</v>
      </c>
      <c r="G730" s="5">
        <v>2024</v>
      </c>
      <c r="H730" s="5" t="s">
        <v>23</v>
      </c>
      <c r="I730" s="6" t="s">
        <v>30</v>
      </c>
      <c r="J730" s="5">
        <v>0</v>
      </c>
      <c r="K730" s="5">
        <v>1018</v>
      </c>
      <c r="L730" s="74" t="str">
        <f t="shared" si="46"/>
        <v/>
      </c>
      <c r="M730" s="14" t="str">
        <f t="shared" si="47"/>
        <v/>
      </c>
      <c r="N730" s="5"/>
      <c r="O730" s="5"/>
      <c r="P730" s="5">
        <v>0</v>
      </c>
      <c r="Q730" s="5">
        <v>0</v>
      </c>
      <c r="R730" s="5" t="s">
        <v>668</v>
      </c>
    </row>
    <row r="731" spans="1:19" x14ac:dyDescent="0.3">
      <c r="A731" s="26">
        <v>278</v>
      </c>
      <c r="B731" s="5" t="s">
        <v>669</v>
      </c>
      <c r="C731" s="5" t="s">
        <v>658</v>
      </c>
      <c r="D731" s="5" t="s">
        <v>21</v>
      </c>
      <c r="E731" s="5" t="s">
        <v>22</v>
      </c>
      <c r="F731" s="71">
        <v>45838</v>
      </c>
      <c r="G731" s="5">
        <v>2025</v>
      </c>
      <c r="H731" s="5" t="s">
        <v>699</v>
      </c>
      <c r="I731" s="6" t="s">
        <v>700</v>
      </c>
      <c r="J731" s="5"/>
      <c r="K731" s="5">
        <v>1099</v>
      </c>
      <c r="L731" s="18"/>
      <c r="M731" s="14"/>
      <c r="N731" s="5" t="s">
        <v>263</v>
      </c>
      <c r="O731" s="5" t="s">
        <v>263</v>
      </c>
      <c r="P731" s="5">
        <v>0</v>
      </c>
      <c r="Q731" s="5">
        <v>0</v>
      </c>
      <c r="R731" s="5" t="s">
        <v>2509</v>
      </c>
      <c r="S731" t="s">
        <v>263</v>
      </c>
    </row>
    <row r="732" spans="1:19" x14ac:dyDescent="0.3">
      <c r="A732" s="5">
        <v>278</v>
      </c>
      <c r="B732" s="5" t="s">
        <v>669</v>
      </c>
      <c r="C732" s="5" t="s">
        <v>658</v>
      </c>
      <c r="D732" s="5" t="s">
        <v>21</v>
      </c>
      <c r="E732" s="5" t="s">
        <v>22</v>
      </c>
      <c r="F732" s="71">
        <v>46022</v>
      </c>
      <c r="G732" s="5">
        <v>2025</v>
      </c>
      <c r="H732" s="5" t="s">
        <v>23</v>
      </c>
      <c r="I732" s="6" t="s">
        <v>32</v>
      </c>
      <c r="J732" s="5"/>
      <c r="K732" s="5">
        <v>1071</v>
      </c>
      <c r="L732" s="14"/>
      <c r="M732" s="14"/>
      <c r="N732" s="5" t="s">
        <v>263</v>
      </c>
      <c r="O732" s="5" t="s">
        <v>263</v>
      </c>
      <c r="P732" s="5">
        <v>0</v>
      </c>
      <c r="Q732" s="5">
        <v>0</v>
      </c>
      <c r="R732" s="5" t="s">
        <v>670</v>
      </c>
      <c r="S732" t="s">
        <v>263</v>
      </c>
    </row>
    <row r="733" spans="1:19" x14ac:dyDescent="0.3">
      <c r="A733" s="5">
        <v>279</v>
      </c>
      <c r="B733" s="5" t="s">
        <v>671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0</v>
      </c>
      <c r="K733" s="5">
        <v>572</v>
      </c>
      <c r="L733" s="14" t="str">
        <f>IFERROR(IF(OR(J733=0,K733=""),"",IF(E733="Positivo",MIN(MAX(K733/J733,0),1.3),MIN(MAX(J733/K733,0),1.3))),"")</f>
        <v/>
      </c>
      <c r="M733" s="14" t="str">
        <f>IFERROR(IF(OR(J733=0,K733=""),"",IF(E733="Positivo",MAX(K733/J733,0),MAX(J733/K733,0))),"")</f>
        <v/>
      </c>
      <c r="N733" s="5"/>
      <c r="O733" s="5"/>
      <c r="P733" s="5">
        <v>0</v>
      </c>
      <c r="Q733" s="5">
        <v>0</v>
      </c>
      <c r="R733" s="5" t="s">
        <v>2510</v>
      </c>
    </row>
    <row r="734" spans="1:19" x14ac:dyDescent="0.3">
      <c r="A734" s="26">
        <v>279</v>
      </c>
      <c r="B734" s="5" t="s">
        <v>671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0</v>
      </c>
      <c r="K734" s="5">
        <v>608</v>
      </c>
      <c r="L734" s="74" t="str">
        <f>IFERROR(IF(OR(J734=0,K734=""),"",IF(E734="Positivo",MIN(MAX(K734/J734,0),1.3),MIN(MAX(J734/K734,0),1.3))),"")</f>
        <v/>
      </c>
      <c r="M734" s="14" t="str">
        <f>IFERROR(IF(OR(J734=0,K734=""),"",IF(E734="Positivo",MAX(K734/J734,0),MAX(J734/K734,0))),"")</f>
        <v/>
      </c>
      <c r="N734" s="5"/>
      <c r="O734" s="5"/>
      <c r="P734" s="5">
        <v>0</v>
      </c>
      <c r="Q734" s="5">
        <v>0</v>
      </c>
      <c r="R734" s="5" t="s">
        <v>672</v>
      </c>
    </row>
    <row r="735" spans="1:19" x14ac:dyDescent="0.3">
      <c r="A735" s="5">
        <v>280</v>
      </c>
      <c r="B735" s="5" t="s">
        <v>673</v>
      </c>
      <c r="C735" s="5" t="s">
        <v>658</v>
      </c>
      <c r="D735" s="5" t="s">
        <v>27</v>
      </c>
      <c r="E735" s="5" t="s">
        <v>22</v>
      </c>
      <c r="F735" s="71">
        <v>45107</v>
      </c>
      <c r="G735" s="5">
        <v>2023</v>
      </c>
      <c r="H735" s="5" t="s">
        <v>699</v>
      </c>
      <c r="I735" s="6" t="s">
        <v>1512</v>
      </c>
      <c r="J735" s="5">
        <v>0</v>
      </c>
      <c r="K735" s="5">
        <v>203</v>
      </c>
      <c r="L735" s="14" t="str">
        <f>IFERROR(IF(OR(J735=0,K735=""),"",IF(E735="Positivo",MIN(MAX(K735/J735,0),1.3),MIN(MAX(J735/K735,0),1.3))),"")</f>
        <v/>
      </c>
      <c r="M735" s="14" t="str">
        <f>IFERROR(IF(OR(J735=0,K735=""),"",IF(E735="Positivo",MAX(K735/J735,0),MAX(J735/K735,0))),"")</f>
        <v/>
      </c>
      <c r="N735" s="5"/>
      <c r="O735" s="5"/>
      <c r="P735" s="5">
        <v>0</v>
      </c>
      <c r="Q735" s="5">
        <v>0</v>
      </c>
      <c r="R735" s="5" t="s">
        <v>2511</v>
      </c>
    </row>
    <row r="736" spans="1:19" x14ac:dyDescent="0.3">
      <c r="A736" s="28">
        <v>280</v>
      </c>
      <c r="B736" s="5" t="s">
        <v>673</v>
      </c>
      <c r="C736" s="5" t="s">
        <v>658</v>
      </c>
      <c r="D736" s="5" t="s">
        <v>27</v>
      </c>
      <c r="E736" s="5" t="s">
        <v>22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0</v>
      </c>
      <c r="K736" s="5">
        <v>186</v>
      </c>
      <c r="L736" s="14" t="str">
        <f>IFERROR(IF(OR(J736=0,K736=""),"",IF(E736="Positivo",MIN(MAX(K736/J736,0),1.3),MIN(MAX(J736/K736,0),1.3))),"")</f>
        <v/>
      </c>
      <c r="M736" s="14" t="str">
        <f>IFERROR(IF(OR(J736=0,K736=""),"",IF(E736="Positivo",MAX(K736/J736,0),MAX(J736/K736,0))),"")</f>
        <v/>
      </c>
      <c r="N736" s="5"/>
      <c r="O736" s="5"/>
      <c r="P736" s="5">
        <v>0</v>
      </c>
      <c r="Q736" s="5">
        <v>0</v>
      </c>
      <c r="R736" s="5" t="s">
        <v>674</v>
      </c>
    </row>
    <row r="737" spans="1:18" x14ac:dyDescent="0.3">
      <c r="A737" s="26">
        <v>281</v>
      </c>
      <c r="B737" s="5" t="s">
        <v>675</v>
      </c>
      <c r="C737" s="5" t="s">
        <v>658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699</v>
      </c>
      <c r="I737" s="6" t="s">
        <v>1512</v>
      </c>
      <c r="J737" s="5"/>
      <c r="K737" s="5">
        <v>240</v>
      </c>
      <c r="L737" s="14"/>
      <c r="M737" s="14"/>
      <c r="N737" s="5"/>
      <c r="O737" s="5"/>
      <c r="P737" s="5">
        <v>0</v>
      </c>
      <c r="Q737" s="5">
        <v>0</v>
      </c>
      <c r="R737" s="5" t="s">
        <v>2512</v>
      </c>
    </row>
    <row r="738" spans="1:18" x14ac:dyDescent="0.3">
      <c r="A738" s="26">
        <v>281</v>
      </c>
      <c r="B738" s="5" t="s">
        <v>675</v>
      </c>
      <c r="C738" s="5" t="s">
        <v>658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/>
      <c r="K738" s="5">
        <v>223</v>
      </c>
      <c r="L738" s="14"/>
      <c r="M738" s="14"/>
      <c r="N738" s="5"/>
      <c r="O738" s="5"/>
      <c r="P738" s="5">
        <v>0</v>
      </c>
      <c r="Q738" s="5">
        <v>0</v>
      </c>
      <c r="R738" s="5" t="s">
        <v>676</v>
      </c>
    </row>
    <row r="739" spans="1:18" x14ac:dyDescent="0.3">
      <c r="A739" s="5">
        <v>282</v>
      </c>
      <c r="B739" s="5" t="s">
        <v>677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96</v>
      </c>
      <c r="K739" s="5">
        <v>97.02</v>
      </c>
      <c r="L739" s="14">
        <f t="shared" ref="L739:L750" si="48">IFERROR(IF(OR(J739=0,K739=""),"",IF(E739="Positivo",MIN(MAX(K739/J739,0),1.3),MIN(MAX(J739/K739,0),1.3))),"")</f>
        <v>1.0106249999999999</v>
      </c>
      <c r="M739" s="14">
        <f t="shared" ref="M739:M750" si="49">IFERROR(IF(OR(J739=0,K739=""),"",IF(E739="Positivo",MAX(K739/J739,0),MAX(J739/K739,0))),"")</f>
        <v>1.0106249999999999</v>
      </c>
      <c r="N739" s="5" t="s">
        <v>25</v>
      </c>
      <c r="O739" s="5" t="s">
        <v>25</v>
      </c>
      <c r="P739" s="5">
        <v>0</v>
      </c>
      <c r="Q739" s="5">
        <v>0</v>
      </c>
      <c r="R739" s="5" t="s">
        <v>2513</v>
      </c>
    </row>
    <row r="740" spans="1:18" x14ac:dyDescent="0.3">
      <c r="A740" s="26">
        <v>282</v>
      </c>
      <c r="B740" s="5" t="s">
        <v>677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96</v>
      </c>
      <c r="K740" s="5">
        <v>97.34</v>
      </c>
      <c r="L740" s="74">
        <f t="shared" si="48"/>
        <v>1.0139583333333333</v>
      </c>
      <c r="M740" s="14">
        <f t="shared" si="49"/>
        <v>1.0139583333333333</v>
      </c>
      <c r="N740" s="5" t="s">
        <v>25</v>
      </c>
      <c r="O740" s="5" t="s">
        <v>25</v>
      </c>
      <c r="P740" s="5">
        <v>0</v>
      </c>
      <c r="Q740" s="5">
        <v>0</v>
      </c>
      <c r="R740" s="5" t="s">
        <v>678</v>
      </c>
    </row>
    <row r="741" spans="1:18" x14ac:dyDescent="0.3">
      <c r="A741" s="5">
        <v>282</v>
      </c>
      <c r="B741" s="5" t="s">
        <v>677</v>
      </c>
      <c r="C741" s="5" t="s">
        <v>658</v>
      </c>
      <c r="D741" s="5" t="s">
        <v>27</v>
      </c>
      <c r="E741" s="5" t="s">
        <v>22</v>
      </c>
      <c r="F741" s="71">
        <v>45473</v>
      </c>
      <c r="G741" s="5">
        <v>2024</v>
      </c>
      <c r="H741" s="5" t="s">
        <v>699</v>
      </c>
      <c r="I741" s="6" t="s">
        <v>729</v>
      </c>
      <c r="J741" s="5">
        <v>97</v>
      </c>
      <c r="K741" s="5">
        <v>97.02</v>
      </c>
      <c r="L741" s="14">
        <f t="shared" si="48"/>
        <v>1.0002061855670104</v>
      </c>
      <c r="M741" s="14">
        <f t="shared" si="49"/>
        <v>1.0002061855670104</v>
      </c>
      <c r="N741" s="5" t="s">
        <v>25</v>
      </c>
      <c r="O741" s="5" t="s">
        <v>25</v>
      </c>
      <c r="P741" s="5">
        <v>0</v>
      </c>
      <c r="Q741" s="5">
        <v>0</v>
      </c>
      <c r="R741" s="5" t="s">
        <v>2514</v>
      </c>
    </row>
    <row r="742" spans="1:18" x14ac:dyDescent="0.3">
      <c r="A742" s="5">
        <v>282</v>
      </c>
      <c r="B742" s="5" t="s">
        <v>677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97</v>
      </c>
      <c r="K742" s="5">
        <v>96.84</v>
      </c>
      <c r="L742" s="14">
        <f t="shared" si="48"/>
        <v>0.99835051546391751</v>
      </c>
      <c r="M742" s="14">
        <f t="shared" si="49"/>
        <v>0.99835051546391751</v>
      </c>
      <c r="N742" s="5" t="s">
        <v>25</v>
      </c>
      <c r="O742" s="5" t="s">
        <v>25</v>
      </c>
      <c r="P742" s="5">
        <v>0</v>
      </c>
      <c r="Q742" s="5">
        <v>0</v>
      </c>
      <c r="R742" s="5" t="s">
        <v>679</v>
      </c>
    </row>
    <row r="743" spans="1:18" x14ac:dyDescent="0.3">
      <c r="A743" s="28">
        <v>282</v>
      </c>
      <c r="B743" s="5" t="s">
        <v>677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97</v>
      </c>
      <c r="K743" s="5">
        <v>97.41</v>
      </c>
      <c r="L743" s="74">
        <f t="shared" si="48"/>
        <v>1.0042268041237112</v>
      </c>
      <c r="M743" s="14">
        <f t="shared" si="49"/>
        <v>1.0042268041237112</v>
      </c>
      <c r="N743" s="5" t="s">
        <v>25</v>
      </c>
      <c r="O743" s="5" t="s">
        <v>25</v>
      </c>
      <c r="P743" s="5">
        <v>0</v>
      </c>
      <c r="Q743" s="5">
        <v>0</v>
      </c>
      <c r="R743" s="5" t="s">
        <v>2515</v>
      </c>
    </row>
    <row r="744" spans="1:18" x14ac:dyDescent="0.3">
      <c r="A744" s="26">
        <v>282</v>
      </c>
      <c r="B744" s="5" t="s">
        <v>677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97</v>
      </c>
      <c r="K744" s="5">
        <v>97.56</v>
      </c>
      <c r="L744" s="74">
        <f t="shared" si="48"/>
        <v>1.0057731958762888</v>
      </c>
      <c r="M744" s="14">
        <f t="shared" si="49"/>
        <v>1.0057731958762888</v>
      </c>
      <c r="N744" s="5" t="s">
        <v>25</v>
      </c>
      <c r="O744" s="5" t="s">
        <v>25</v>
      </c>
      <c r="P744" s="5">
        <v>0</v>
      </c>
      <c r="Q744" s="5">
        <v>0</v>
      </c>
      <c r="R744" s="5" t="s">
        <v>680</v>
      </c>
    </row>
    <row r="745" spans="1:18" x14ac:dyDescent="0.3">
      <c r="A745" s="5">
        <v>283</v>
      </c>
      <c r="B745" s="5" t="s">
        <v>681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4.5</v>
      </c>
      <c r="K745" s="5">
        <v>4.5999999999999996</v>
      </c>
      <c r="L745" s="14">
        <f t="shared" si="48"/>
        <v>1.0222222222222221</v>
      </c>
      <c r="M745" s="14">
        <f t="shared" si="49"/>
        <v>1.0222222222222221</v>
      </c>
      <c r="N745" s="5"/>
      <c r="O745" s="5"/>
      <c r="P745" s="5">
        <v>2</v>
      </c>
      <c r="Q745" s="5">
        <v>2</v>
      </c>
      <c r="R745" s="5" t="s">
        <v>2516</v>
      </c>
    </row>
    <row r="746" spans="1:18" x14ac:dyDescent="0.3">
      <c r="A746" s="5">
        <v>283</v>
      </c>
      <c r="B746" s="5" t="s">
        <v>681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4.5</v>
      </c>
      <c r="K746" s="5">
        <v>4.55</v>
      </c>
      <c r="L746" s="14">
        <f t="shared" si="48"/>
        <v>1.0111111111111111</v>
      </c>
      <c r="M746" s="14">
        <f t="shared" si="49"/>
        <v>1.0111111111111111</v>
      </c>
      <c r="N746" s="5"/>
      <c r="O746" s="5"/>
      <c r="P746" s="5">
        <v>2</v>
      </c>
      <c r="Q746" s="5">
        <v>2</v>
      </c>
      <c r="R746" s="5" t="s">
        <v>682</v>
      </c>
    </row>
    <row r="747" spans="1:18" x14ac:dyDescent="0.3">
      <c r="A747" s="5">
        <v>283</v>
      </c>
      <c r="B747" s="5" t="s">
        <v>681</v>
      </c>
      <c r="C747" s="5" t="s">
        <v>658</v>
      </c>
      <c r="D747" s="5" t="s">
        <v>27</v>
      </c>
      <c r="E747" s="5" t="s">
        <v>22</v>
      </c>
      <c r="F747" s="70">
        <v>45473</v>
      </c>
      <c r="G747" s="15">
        <v>2024</v>
      </c>
      <c r="H747" s="6" t="s">
        <v>699</v>
      </c>
      <c r="I747" s="27" t="s">
        <v>729</v>
      </c>
      <c r="J747" s="5">
        <v>4.5</v>
      </c>
      <c r="K747" s="5">
        <v>4.57</v>
      </c>
      <c r="L747" s="14">
        <f t="shared" si="48"/>
        <v>1.0155555555555555</v>
      </c>
      <c r="M747" s="14">
        <f t="shared" si="49"/>
        <v>1.0155555555555555</v>
      </c>
      <c r="N747" s="5"/>
      <c r="O747" s="5"/>
      <c r="P747" s="5">
        <v>0</v>
      </c>
      <c r="Q747" s="5">
        <v>0</v>
      </c>
      <c r="R747" s="5" t="s">
        <v>2517</v>
      </c>
    </row>
    <row r="748" spans="1:18" x14ac:dyDescent="0.3">
      <c r="A748" s="26">
        <v>283</v>
      </c>
      <c r="B748" s="5" t="s">
        <v>681</v>
      </c>
      <c r="C748" s="5" t="s">
        <v>658</v>
      </c>
      <c r="D748" s="5" t="s">
        <v>27</v>
      </c>
      <c r="E748" s="5" t="s">
        <v>22</v>
      </c>
      <c r="F748" s="71">
        <v>45657</v>
      </c>
      <c r="G748" s="5">
        <v>2024</v>
      </c>
      <c r="H748" s="5" t="s">
        <v>23</v>
      </c>
      <c r="I748" s="6" t="s">
        <v>30</v>
      </c>
      <c r="J748" s="5">
        <v>4.5</v>
      </c>
      <c r="K748" s="5">
        <v>4.6399999999999997</v>
      </c>
      <c r="L748" s="14">
        <f t="shared" si="48"/>
        <v>1.0311111111111111</v>
      </c>
      <c r="M748" s="14">
        <f t="shared" si="49"/>
        <v>1.0311111111111111</v>
      </c>
      <c r="N748" s="5"/>
      <c r="O748" s="5"/>
      <c r="P748" s="5">
        <v>0</v>
      </c>
      <c r="Q748" s="5">
        <v>0</v>
      </c>
      <c r="R748" s="5" t="s">
        <v>683</v>
      </c>
    </row>
    <row r="749" spans="1:18" x14ac:dyDescent="0.3">
      <c r="A749" s="5">
        <v>283</v>
      </c>
      <c r="B749" s="5" t="s">
        <v>681</v>
      </c>
      <c r="C749" s="5" t="s">
        <v>658</v>
      </c>
      <c r="D749" s="5" t="s">
        <v>27</v>
      </c>
      <c r="E749" s="5" t="s">
        <v>22</v>
      </c>
      <c r="F749" s="71">
        <v>45838</v>
      </c>
      <c r="G749" s="5">
        <v>2025</v>
      </c>
      <c r="H749" s="5" t="s">
        <v>699</v>
      </c>
      <c r="I749" s="6" t="s">
        <v>700</v>
      </c>
      <c r="J749" s="5">
        <v>4.5999999999999996</v>
      </c>
      <c r="K749" s="10">
        <v>4.66</v>
      </c>
      <c r="L749" s="14">
        <f t="shared" si="48"/>
        <v>1.0130434782608697</v>
      </c>
      <c r="M749" s="14">
        <f t="shared" si="49"/>
        <v>1.0130434782608697</v>
      </c>
      <c r="N749" s="5" t="s">
        <v>136</v>
      </c>
      <c r="O749" s="5" t="s">
        <v>136</v>
      </c>
      <c r="P749" s="5">
        <v>0</v>
      </c>
      <c r="Q749" s="5">
        <v>0</v>
      </c>
      <c r="R749" s="5" t="s">
        <v>2518</v>
      </c>
    </row>
    <row r="750" spans="1:18" x14ac:dyDescent="0.3">
      <c r="A750" s="5">
        <v>283</v>
      </c>
      <c r="B750" s="5" t="s">
        <v>681</v>
      </c>
      <c r="C750" s="5" t="s">
        <v>658</v>
      </c>
      <c r="D750" s="5" t="s">
        <v>21</v>
      </c>
      <c r="E750" s="5" t="s">
        <v>22</v>
      </c>
      <c r="F750" s="71">
        <v>46022</v>
      </c>
      <c r="G750" s="5">
        <v>2025</v>
      </c>
      <c r="H750" s="5" t="s">
        <v>23</v>
      </c>
      <c r="I750" s="6" t="s">
        <v>32</v>
      </c>
      <c r="J750" s="5">
        <v>4.5999999999999996</v>
      </c>
      <c r="K750" s="10">
        <v>4.67</v>
      </c>
      <c r="L750" s="14">
        <f t="shared" si="48"/>
        <v>1.0152173913043478</v>
      </c>
      <c r="M750" s="14">
        <f t="shared" si="49"/>
        <v>1.0152173913043478</v>
      </c>
      <c r="N750" s="5" t="s">
        <v>136</v>
      </c>
      <c r="O750" s="5" t="s">
        <v>136</v>
      </c>
      <c r="P750" s="5">
        <v>1</v>
      </c>
      <c r="Q750" s="5">
        <v>2</v>
      </c>
      <c r="R750" s="5" t="s">
        <v>684</v>
      </c>
    </row>
    <row r="751" spans="1:18" x14ac:dyDescent="0.3">
      <c r="A751" s="26">
        <v>284</v>
      </c>
      <c r="B751" s="5" t="s">
        <v>685</v>
      </c>
      <c r="C751" s="5" t="s">
        <v>658</v>
      </c>
      <c r="D751" s="5" t="s">
        <v>27</v>
      </c>
      <c r="E751" s="5" t="s">
        <v>22</v>
      </c>
      <c r="F751" s="71">
        <v>45107</v>
      </c>
      <c r="G751" s="5">
        <v>2023</v>
      </c>
      <c r="H751" s="5" t="s">
        <v>699</v>
      </c>
      <c r="I751" s="6" t="s">
        <v>1512</v>
      </c>
      <c r="J751" s="5"/>
      <c r="K751" s="5">
        <v>15047</v>
      </c>
      <c r="L751" s="18"/>
      <c r="M751" s="14"/>
      <c r="N751" s="5"/>
      <c r="O751" s="5"/>
      <c r="P751" s="5">
        <v>0</v>
      </c>
      <c r="Q751" s="5">
        <v>0</v>
      </c>
      <c r="R751" s="5" t="s">
        <v>2519</v>
      </c>
    </row>
    <row r="752" spans="1:18" x14ac:dyDescent="0.3">
      <c r="A752" s="26">
        <v>284</v>
      </c>
      <c r="B752" s="5" t="s">
        <v>685</v>
      </c>
      <c r="C752" s="5" t="s">
        <v>658</v>
      </c>
      <c r="D752" s="5" t="s">
        <v>27</v>
      </c>
      <c r="E752" s="5" t="s">
        <v>22</v>
      </c>
      <c r="F752" s="71">
        <v>45291</v>
      </c>
      <c r="G752" s="5">
        <v>2023</v>
      </c>
      <c r="H752" s="5" t="s">
        <v>23</v>
      </c>
      <c r="I752" s="6" t="s">
        <v>28</v>
      </c>
      <c r="J752" s="5"/>
      <c r="K752" s="5">
        <v>16281</v>
      </c>
      <c r="L752" s="18"/>
      <c r="M752" s="14"/>
      <c r="N752" s="5"/>
      <c r="O752" s="5"/>
      <c r="P752" s="5">
        <v>0</v>
      </c>
      <c r="Q752" s="5">
        <v>0</v>
      </c>
      <c r="R752" s="5" t="s">
        <v>686</v>
      </c>
    </row>
    <row r="753" spans="1:19" x14ac:dyDescent="0.3">
      <c r="A753" s="5">
        <v>285</v>
      </c>
      <c r="B753" s="5" t="s">
        <v>687</v>
      </c>
      <c r="C753" s="5" t="s">
        <v>658</v>
      </c>
      <c r="D753" s="5" t="s">
        <v>27</v>
      </c>
      <c r="E753" s="5" t="s">
        <v>22</v>
      </c>
      <c r="F753" s="71">
        <v>45107</v>
      </c>
      <c r="G753" s="5">
        <v>2023</v>
      </c>
      <c r="H753" s="5" t="s">
        <v>699</v>
      </c>
      <c r="I753" s="6" t="s">
        <v>1512</v>
      </c>
      <c r="J753" s="5">
        <v>100</v>
      </c>
      <c r="K753" s="5">
        <v>100</v>
      </c>
      <c r="L753" s="14">
        <f t="shared" ref="L753:L758" si="50">IFERROR(IF(OR(J753=0,K753=""),"",IF(E753="Positivo",MIN(MAX(K753/J753,0),1.3),MIN(MAX(J753/K753,0),1.3))),"")</f>
        <v>1</v>
      </c>
      <c r="M753" s="14">
        <f t="shared" ref="M753:M758" si="51">IFERROR(IF(OR(J753=0,K753=""),"",IF(E753="Positivo",MAX(K753/J753,0),MAX(J753/K753,0))),"")</f>
        <v>1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2520</v>
      </c>
    </row>
    <row r="754" spans="1:19" x14ac:dyDescent="0.3">
      <c r="A754" s="26">
        <v>285</v>
      </c>
      <c r="B754" s="5" t="s">
        <v>687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>
        <v>100</v>
      </c>
      <c r="K754" s="5">
        <v>100</v>
      </c>
      <c r="L754" s="74">
        <f t="shared" si="50"/>
        <v>1</v>
      </c>
      <c r="M754" s="14">
        <f t="shared" si="51"/>
        <v>1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688</v>
      </c>
    </row>
    <row r="755" spans="1:19" x14ac:dyDescent="0.3">
      <c r="A755" s="26">
        <v>285</v>
      </c>
      <c r="B755" s="5" t="s">
        <v>687</v>
      </c>
      <c r="C755" s="5" t="s">
        <v>658</v>
      </c>
      <c r="D755" s="5" t="s">
        <v>27</v>
      </c>
      <c r="E755" s="5" t="s">
        <v>22</v>
      </c>
      <c r="F755" s="71">
        <v>45473</v>
      </c>
      <c r="G755" s="5">
        <v>2024</v>
      </c>
      <c r="H755" s="5" t="s">
        <v>699</v>
      </c>
      <c r="I755" s="6" t="s">
        <v>729</v>
      </c>
      <c r="J755" s="5">
        <v>100</v>
      </c>
      <c r="K755" s="5">
        <v>100</v>
      </c>
      <c r="L755" s="74">
        <f t="shared" si="50"/>
        <v>1</v>
      </c>
      <c r="M755" s="14">
        <f t="shared" si="51"/>
        <v>1</v>
      </c>
      <c r="N755" s="5" t="s">
        <v>25</v>
      </c>
      <c r="O755" s="5" t="s">
        <v>25</v>
      </c>
      <c r="P755" s="5">
        <v>0</v>
      </c>
      <c r="Q755" s="5">
        <v>0</v>
      </c>
      <c r="R755" s="5" t="s">
        <v>2521</v>
      </c>
    </row>
    <row r="756" spans="1:19" x14ac:dyDescent="0.3">
      <c r="A756" s="26">
        <v>285</v>
      </c>
      <c r="B756" s="5" t="s">
        <v>687</v>
      </c>
      <c r="C756" s="5" t="s">
        <v>658</v>
      </c>
      <c r="D756" s="5" t="s">
        <v>27</v>
      </c>
      <c r="E756" s="5" t="s">
        <v>22</v>
      </c>
      <c r="F756" s="71">
        <v>45657</v>
      </c>
      <c r="G756" s="5">
        <v>2024</v>
      </c>
      <c r="H756" s="5" t="s">
        <v>23</v>
      </c>
      <c r="I756" s="6" t="s">
        <v>30</v>
      </c>
      <c r="J756" s="5">
        <v>100</v>
      </c>
      <c r="K756" s="5">
        <v>100</v>
      </c>
      <c r="L756" s="74">
        <f t="shared" si="50"/>
        <v>1</v>
      </c>
      <c r="M756" s="14">
        <f t="shared" si="51"/>
        <v>1</v>
      </c>
      <c r="N756" s="5" t="s">
        <v>25</v>
      </c>
      <c r="O756" s="5" t="s">
        <v>25</v>
      </c>
      <c r="P756" s="5">
        <v>0</v>
      </c>
      <c r="Q756" s="5">
        <v>0</v>
      </c>
      <c r="R756" s="5" t="s">
        <v>689</v>
      </c>
    </row>
    <row r="757" spans="1:19" x14ac:dyDescent="0.3">
      <c r="A757" s="5">
        <v>285</v>
      </c>
      <c r="B757" s="5" t="s">
        <v>687</v>
      </c>
      <c r="C757" s="5" t="s">
        <v>658</v>
      </c>
      <c r="D757" s="5" t="s">
        <v>27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>
        <v>100</v>
      </c>
      <c r="K757" s="5">
        <v>100</v>
      </c>
      <c r="L757" s="14">
        <f t="shared" si="50"/>
        <v>1</v>
      </c>
      <c r="M757" s="14">
        <f t="shared" si="51"/>
        <v>1</v>
      </c>
      <c r="N757" s="5" t="s">
        <v>25</v>
      </c>
      <c r="O757" s="5" t="s">
        <v>25</v>
      </c>
      <c r="P757" s="5">
        <v>0</v>
      </c>
      <c r="Q757" s="5">
        <v>0</v>
      </c>
      <c r="R757" s="5" t="s">
        <v>2522</v>
      </c>
    </row>
    <row r="758" spans="1:19" x14ac:dyDescent="0.3">
      <c r="A758" s="5">
        <v>285</v>
      </c>
      <c r="B758" s="5" t="s">
        <v>687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>
        <v>100</v>
      </c>
      <c r="K758" s="5">
        <v>100</v>
      </c>
      <c r="L758" s="14">
        <f t="shared" si="50"/>
        <v>1</v>
      </c>
      <c r="M758" s="14">
        <f t="shared" si="51"/>
        <v>1</v>
      </c>
      <c r="N758" s="5" t="s">
        <v>25</v>
      </c>
      <c r="O758" s="5" t="s">
        <v>25</v>
      </c>
      <c r="P758" s="5">
        <v>0</v>
      </c>
      <c r="Q758" s="5">
        <v>0</v>
      </c>
      <c r="R758" s="5" t="s">
        <v>690</v>
      </c>
    </row>
    <row r="759" spans="1:19" x14ac:dyDescent="0.3">
      <c r="A759" s="5">
        <v>286</v>
      </c>
      <c r="B759" s="5" t="s">
        <v>691</v>
      </c>
      <c r="C759" s="5" t="s">
        <v>658</v>
      </c>
      <c r="D759" s="5" t="s">
        <v>27</v>
      </c>
      <c r="E759" s="5" t="s">
        <v>22</v>
      </c>
      <c r="F759" s="70">
        <v>45107</v>
      </c>
      <c r="G759" s="15">
        <v>2023</v>
      </c>
      <c r="H759" s="6" t="s">
        <v>699</v>
      </c>
      <c r="I759" s="27" t="s">
        <v>1512</v>
      </c>
      <c r="J759" s="5"/>
      <c r="K759" s="5">
        <v>0</v>
      </c>
      <c r="L759" s="14"/>
      <c r="M759" s="14"/>
      <c r="N759" s="5"/>
      <c r="O759" s="5"/>
      <c r="P759" s="5">
        <v>0</v>
      </c>
      <c r="Q759" s="5">
        <v>0</v>
      </c>
      <c r="R759" s="5" t="s">
        <v>2523</v>
      </c>
    </row>
    <row r="760" spans="1:19" x14ac:dyDescent="0.3">
      <c r="A760" s="26">
        <v>286</v>
      </c>
      <c r="B760" s="5" t="s">
        <v>691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5"/>
      <c r="K760" s="5">
        <v>1017</v>
      </c>
      <c r="L760" s="14"/>
      <c r="M760" s="14"/>
      <c r="N760" s="5"/>
      <c r="O760" s="5"/>
      <c r="P760" s="5">
        <v>0</v>
      </c>
      <c r="Q760" s="5">
        <v>0</v>
      </c>
      <c r="R760" s="5" t="s">
        <v>692</v>
      </c>
    </row>
    <row r="761" spans="1:19" x14ac:dyDescent="0.3">
      <c r="A761" s="5">
        <v>286</v>
      </c>
      <c r="B761" s="5" t="s">
        <v>691</v>
      </c>
      <c r="C761" s="5" t="s">
        <v>658</v>
      </c>
      <c r="D761" s="5" t="s">
        <v>27</v>
      </c>
      <c r="E761" s="5" t="s">
        <v>22</v>
      </c>
      <c r="F761" s="70">
        <v>45473</v>
      </c>
      <c r="G761" s="15">
        <v>2024</v>
      </c>
      <c r="H761" s="6" t="s">
        <v>699</v>
      </c>
      <c r="I761" s="6" t="s">
        <v>729</v>
      </c>
      <c r="J761" s="5">
        <v>0</v>
      </c>
      <c r="K761" s="5">
        <v>1080</v>
      </c>
      <c r="L761" s="14" t="str">
        <f>IFERROR(IF(OR(J761=0,K761=""),"",IF(E761="Positivo",MIN(MAX(K761/J761,0),1.3),MIN(MAX(J761/K761,0),1.3))),"")</f>
        <v/>
      </c>
      <c r="M761" s="14" t="str">
        <f>IFERROR(IF(OR(J761=0,K761=""),"",IF(E761="Positivo",MAX(K761/J761,0),MAX(J761/K761,0))),"")</f>
        <v/>
      </c>
      <c r="N761" s="5"/>
      <c r="O761" s="5"/>
      <c r="P761" s="5">
        <v>0</v>
      </c>
      <c r="Q761" s="5">
        <v>0</v>
      </c>
      <c r="R761" s="5" t="s">
        <v>2524</v>
      </c>
    </row>
    <row r="762" spans="1:19" x14ac:dyDescent="0.3">
      <c r="A762" s="5">
        <v>286</v>
      </c>
      <c r="B762" s="5" t="s">
        <v>691</v>
      </c>
      <c r="C762" s="5" t="s">
        <v>658</v>
      </c>
      <c r="D762" s="5" t="s">
        <v>27</v>
      </c>
      <c r="E762" s="5" t="s">
        <v>22</v>
      </c>
      <c r="F762" s="71">
        <v>45657</v>
      </c>
      <c r="G762" s="15">
        <v>2024</v>
      </c>
      <c r="H762" s="6" t="s">
        <v>23</v>
      </c>
      <c r="I762" s="6" t="s">
        <v>30</v>
      </c>
      <c r="J762" s="5">
        <v>0</v>
      </c>
      <c r="K762" s="5">
        <v>1018</v>
      </c>
      <c r="L762" s="14" t="str">
        <f>IFERROR(IF(OR(J762=0,K762=""),"",IF(E762="Positivo",MIN(MAX(K762/J762,0),1.3),MIN(MAX(J762/K762,0),1.3))),"")</f>
        <v/>
      </c>
      <c r="M762" s="14" t="str">
        <f>IFERROR(IF(OR(J762=0,K762=""),"",IF(E762="Positivo",MAX(K762/J762,0),MAX(J762/K762,0))),"")</f>
        <v/>
      </c>
      <c r="N762" s="5"/>
      <c r="O762" s="5"/>
      <c r="P762" s="5">
        <v>0</v>
      </c>
      <c r="Q762" s="5">
        <v>0</v>
      </c>
      <c r="R762" s="5" t="s">
        <v>693</v>
      </c>
    </row>
    <row r="763" spans="1:19" x14ac:dyDescent="0.3">
      <c r="A763" s="28">
        <v>286</v>
      </c>
      <c r="B763" s="5" t="s">
        <v>694</v>
      </c>
      <c r="C763" s="5" t="s">
        <v>658</v>
      </c>
      <c r="D763" s="5" t="s">
        <v>21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/>
      <c r="K763" s="5">
        <v>1099</v>
      </c>
      <c r="L763" s="18"/>
      <c r="M763" s="14"/>
      <c r="N763" s="5" t="s">
        <v>263</v>
      </c>
      <c r="O763" s="5" t="s">
        <v>263</v>
      </c>
      <c r="P763" s="5">
        <v>0</v>
      </c>
      <c r="Q763" s="5">
        <v>0</v>
      </c>
      <c r="R763" s="5" t="s">
        <v>2525</v>
      </c>
      <c r="S763" t="s">
        <v>263</v>
      </c>
    </row>
    <row r="764" spans="1:19" x14ac:dyDescent="0.3">
      <c r="A764" s="26">
        <v>286</v>
      </c>
      <c r="B764" s="5" t="s">
        <v>694</v>
      </c>
      <c r="C764" s="5" t="s">
        <v>658</v>
      </c>
      <c r="D764" s="5" t="s">
        <v>21</v>
      </c>
      <c r="E764" s="5" t="s">
        <v>22</v>
      </c>
      <c r="F764" s="71">
        <v>46022</v>
      </c>
      <c r="G764" s="5">
        <v>2025</v>
      </c>
      <c r="H764" s="5" t="s">
        <v>23</v>
      </c>
      <c r="I764" s="6" t="s">
        <v>32</v>
      </c>
      <c r="J764" s="5"/>
      <c r="K764" s="5">
        <v>1071</v>
      </c>
      <c r="L764" s="18"/>
      <c r="M764" s="14"/>
      <c r="N764" s="5" t="s">
        <v>263</v>
      </c>
      <c r="O764" s="5" t="s">
        <v>263</v>
      </c>
      <c r="P764" s="5">
        <v>0</v>
      </c>
      <c r="Q764" s="5">
        <v>0</v>
      </c>
      <c r="R764" s="5" t="s">
        <v>695</v>
      </c>
      <c r="S764" t="s">
        <v>263</v>
      </c>
    </row>
    <row r="765" spans="1:19" x14ac:dyDescent="0.3">
      <c r="A765" s="28">
        <v>288</v>
      </c>
      <c r="B765" s="5" t="s">
        <v>696</v>
      </c>
      <c r="C765" s="5" t="s">
        <v>658</v>
      </c>
      <c r="D765" s="5" t="s">
        <v>27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73">
        <v>85</v>
      </c>
      <c r="K765" s="9">
        <v>112.5</v>
      </c>
      <c r="L765" s="74">
        <f>IFERROR(IF(OR(J765=0,K765=""),"",IF(E765="Positivo",MIN(MAX(K765/J765,0),1.3),MIN(MAX(J765/K765,0),1.3))),"")</f>
        <v>1.3</v>
      </c>
      <c r="M765" s="14">
        <f>IFERROR(IF(OR(J765=0,K765=""),"",IF(E765="Positivo",MAX(K765/J765,0),MAX(J765/K765,0))),"")</f>
        <v>1.3235294117647058</v>
      </c>
      <c r="N765" s="5"/>
      <c r="O765" s="5"/>
      <c r="P765" s="5">
        <v>0</v>
      </c>
      <c r="Q765" s="5">
        <v>0</v>
      </c>
      <c r="R765" s="5" t="s">
        <v>2526</v>
      </c>
    </row>
    <row r="766" spans="1:19" x14ac:dyDescent="0.3">
      <c r="A766" s="26">
        <v>288</v>
      </c>
      <c r="B766" s="5" t="s">
        <v>696</v>
      </c>
      <c r="C766" s="5" t="s">
        <v>658</v>
      </c>
      <c r="D766" s="5" t="s">
        <v>27</v>
      </c>
      <c r="E766" s="5" t="s">
        <v>22</v>
      </c>
      <c r="F766" s="71">
        <v>45291</v>
      </c>
      <c r="G766" s="5">
        <v>2023</v>
      </c>
      <c r="H766" s="5" t="s">
        <v>23</v>
      </c>
      <c r="I766" s="6" t="s">
        <v>28</v>
      </c>
      <c r="J766" s="73">
        <v>85</v>
      </c>
      <c r="K766" s="9">
        <v>112.5</v>
      </c>
      <c r="L766" s="74">
        <f>IFERROR(IF(OR(J766=0,K766=""),"",IF(E766="Positivo",MIN(MAX(K766/J766,0),1.3),MIN(MAX(J766/K766,0),1.3))),"")</f>
        <v>1.3</v>
      </c>
      <c r="M766" s="14">
        <f>IFERROR(IF(OR(J766=0,K766=""),"",IF(E766="Positivo",MAX(K766/J766,0),MAX(J766/K766,0))),"")</f>
        <v>1.3235294117647058</v>
      </c>
      <c r="N766" s="5"/>
      <c r="O766" s="5"/>
      <c r="P766" s="5">
        <v>0</v>
      </c>
      <c r="Q766" s="5">
        <v>0</v>
      </c>
      <c r="R766" s="5" t="s">
        <v>697</v>
      </c>
    </row>
    <row r="767" spans="1:19" x14ac:dyDescent="0.3">
      <c r="A767" s="5">
        <v>288</v>
      </c>
      <c r="B767" s="5" t="s">
        <v>696</v>
      </c>
      <c r="C767" s="5" t="s">
        <v>658</v>
      </c>
      <c r="D767" s="5" t="s">
        <v>27</v>
      </c>
      <c r="E767" s="5" t="s">
        <v>22</v>
      </c>
      <c r="F767" s="71">
        <v>45473</v>
      </c>
      <c r="G767" s="5">
        <v>2024</v>
      </c>
      <c r="H767" s="5" t="s">
        <v>699</v>
      </c>
      <c r="I767" s="6" t="s">
        <v>729</v>
      </c>
      <c r="J767" s="5">
        <v>85</v>
      </c>
      <c r="K767" s="11">
        <v>185.71428571429001</v>
      </c>
      <c r="L767" s="14">
        <f>IFERROR(IF(OR(J767=0,K767=""),"",IF(E767="Positivo",MIN(MAX(K767/J767,0),1.3),MIN(MAX(J767/K767,0),1.3))),"")</f>
        <v>1.3</v>
      </c>
      <c r="M767" s="14">
        <f>IFERROR(IF(OR(J767=0,K767=""),"",IF(E767="Positivo",MAX(K767/J767,0),MAX(J767/K767,0))),"")</f>
        <v>2.1848739495798823</v>
      </c>
      <c r="N767" s="5"/>
      <c r="O767" s="5"/>
      <c r="P767" s="5">
        <v>0</v>
      </c>
      <c r="Q767" s="5">
        <v>0</v>
      </c>
      <c r="R767" s="5" t="s">
        <v>2527</v>
      </c>
    </row>
    <row r="768" spans="1:19" x14ac:dyDescent="0.3">
      <c r="A768" s="5">
        <v>288</v>
      </c>
      <c r="B768" s="5" t="s">
        <v>696</v>
      </c>
      <c r="C768" s="5" t="s">
        <v>658</v>
      </c>
      <c r="D768" s="5" t="s">
        <v>27</v>
      </c>
      <c r="E768" s="5" t="s">
        <v>22</v>
      </c>
      <c r="F768" s="71">
        <v>45657</v>
      </c>
      <c r="G768" s="5">
        <v>2024</v>
      </c>
      <c r="H768" s="5" t="s">
        <v>23</v>
      </c>
      <c r="I768" s="6" t="s">
        <v>30</v>
      </c>
      <c r="J768" s="5">
        <v>85</v>
      </c>
      <c r="K768" s="5"/>
      <c r="L768" s="14"/>
      <c r="M768" s="14"/>
      <c r="N768" s="5" t="s">
        <v>128</v>
      </c>
      <c r="O768" s="5" t="s">
        <v>1949</v>
      </c>
      <c r="P768" s="5">
        <v>0</v>
      </c>
      <c r="Q768" s="5">
        <v>0</v>
      </c>
      <c r="R768" s="5" t="s">
        <v>698</v>
      </c>
    </row>
    <row r="769" spans="1:18" x14ac:dyDescent="0.3">
      <c r="A769" s="28">
        <v>288</v>
      </c>
      <c r="B769" s="5" t="s">
        <v>696</v>
      </c>
      <c r="C769" s="5" t="s">
        <v>658</v>
      </c>
      <c r="D769" s="5" t="s">
        <v>71</v>
      </c>
      <c r="E769" s="5" t="s">
        <v>22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100</v>
      </c>
      <c r="K769" s="5">
        <v>100</v>
      </c>
      <c r="L769" s="74">
        <f t="shared" ref="L769:L778" si="52">IFERROR(IF(OR(J769=0,K769=""),"",IF(E769="Positivo",MIN(MAX(K769/J769,0),1.3),MIN(MAX(J769/K769,0),1.3))),"")</f>
        <v>1</v>
      </c>
      <c r="M769" s="14">
        <f t="shared" ref="M769:M778" si="53">IFERROR(IF(OR(J769=0,K769=""),"",IF(E769="Positivo",MAX(K769/J769,0),MAX(J769/K769,0))),"")</f>
        <v>1</v>
      </c>
      <c r="N769" s="5" t="s">
        <v>128</v>
      </c>
      <c r="O769" s="5" t="s">
        <v>128</v>
      </c>
      <c r="P769" s="5">
        <v>0</v>
      </c>
      <c r="Q769" s="5">
        <v>0</v>
      </c>
      <c r="R769" s="5" t="s">
        <v>701</v>
      </c>
    </row>
    <row r="770" spans="1:18" x14ac:dyDescent="0.3">
      <c r="A770" s="26">
        <v>289</v>
      </c>
      <c r="B770" s="5" t="s">
        <v>702</v>
      </c>
      <c r="C770" s="5" t="s">
        <v>198</v>
      </c>
      <c r="D770" s="5" t="s">
        <v>21</v>
      </c>
      <c r="E770" s="5" t="s">
        <v>22</v>
      </c>
      <c r="F770" s="71">
        <v>45016</v>
      </c>
      <c r="G770" s="5">
        <v>2023</v>
      </c>
      <c r="H770" s="5" t="s">
        <v>1516</v>
      </c>
      <c r="I770" s="6" t="s">
        <v>1512</v>
      </c>
      <c r="J770" s="5">
        <v>95</v>
      </c>
      <c r="K770" s="5">
        <v>0</v>
      </c>
      <c r="L770" s="74">
        <f t="shared" si="52"/>
        <v>0</v>
      </c>
      <c r="M770" s="14">
        <f t="shared" si="53"/>
        <v>0</v>
      </c>
      <c r="N770" s="5" t="s">
        <v>1949</v>
      </c>
      <c r="O770" s="5" t="s">
        <v>1949</v>
      </c>
      <c r="P770" s="5">
        <v>0</v>
      </c>
      <c r="Q770" s="5">
        <v>0</v>
      </c>
      <c r="R770" s="5" t="s">
        <v>3248</v>
      </c>
    </row>
    <row r="771" spans="1:18" x14ac:dyDescent="0.3">
      <c r="A771" s="5">
        <v>289</v>
      </c>
      <c r="B771" s="5" t="s">
        <v>702</v>
      </c>
      <c r="C771" s="5" t="s">
        <v>198</v>
      </c>
      <c r="D771" s="5" t="s">
        <v>21</v>
      </c>
      <c r="E771" s="5" t="s">
        <v>22</v>
      </c>
      <c r="F771" s="71">
        <v>45107</v>
      </c>
      <c r="G771" s="5">
        <v>2023</v>
      </c>
      <c r="H771" s="5" t="s">
        <v>699</v>
      </c>
      <c r="I771" s="6" t="s">
        <v>1512</v>
      </c>
      <c r="J771" s="5">
        <v>95</v>
      </c>
      <c r="K771" s="5">
        <v>85.714285714286007</v>
      </c>
      <c r="L771" s="14">
        <f t="shared" si="52"/>
        <v>0.90225563909774742</v>
      </c>
      <c r="M771" s="14">
        <f t="shared" si="53"/>
        <v>0.90225563909774742</v>
      </c>
      <c r="N771" s="5" t="s">
        <v>25</v>
      </c>
      <c r="O771" s="5" t="s">
        <v>25</v>
      </c>
      <c r="P771" s="5">
        <v>0</v>
      </c>
      <c r="Q771" s="5">
        <v>0</v>
      </c>
      <c r="R771" s="5" t="s">
        <v>2528</v>
      </c>
    </row>
    <row r="772" spans="1:18" x14ac:dyDescent="0.3">
      <c r="A772" s="5">
        <v>289</v>
      </c>
      <c r="B772" s="5" t="s">
        <v>702</v>
      </c>
      <c r="C772" s="5" t="s">
        <v>198</v>
      </c>
      <c r="D772" s="5" t="s">
        <v>21</v>
      </c>
      <c r="E772" s="5" t="s">
        <v>22</v>
      </c>
      <c r="F772" s="71">
        <v>45199</v>
      </c>
      <c r="G772" s="5">
        <v>2023</v>
      </c>
      <c r="H772" s="5" t="s">
        <v>162</v>
      </c>
      <c r="I772" s="6" t="s">
        <v>28</v>
      </c>
      <c r="J772" s="5">
        <v>95</v>
      </c>
      <c r="K772" s="5">
        <v>87.5</v>
      </c>
      <c r="L772" s="14">
        <f t="shared" si="52"/>
        <v>0.92105263157894735</v>
      </c>
      <c r="M772" s="14">
        <f t="shared" si="53"/>
        <v>0.92105263157894735</v>
      </c>
      <c r="N772" s="5" t="s">
        <v>25</v>
      </c>
      <c r="O772" s="5" t="s">
        <v>25</v>
      </c>
      <c r="P772" s="5">
        <v>0</v>
      </c>
      <c r="Q772" s="5">
        <v>0</v>
      </c>
      <c r="R772" s="5" t="s">
        <v>2529</v>
      </c>
    </row>
    <row r="773" spans="1:18" x14ac:dyDescent="0.3">
      <c r="A773" s="34">
        <v>289</v>
      </c>
      <c r="B773" s="5" t="s">
        <v>702</v>
      </c>
      <c r="C773" s="5" t="s">
        <v>198</v>
      </c>
      <c r="D773" s="5" t="s">
        <v>21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95</v>
      </c>
      <c r="K773" s="5">
        <v>87.5</v>
      </c>
      <c r="L773" s="74">
        <f t="shared" si="52"/>
        <v>0.92105263157894735</v>
      </c>
      <c r="M773" s="14">
        <f t="shared" si="53"/>
        <v>0.92105263157894735</v>
      </c>
      <c r="N773" s="5" t="s">
        <v>25</v>
      </c>
      <c r="O773" s="5" t="s">
        <v>25</v>
      </c>
      <c r="P773" s="5">
        <v>0</v>
      </c>
      <c r="Q773" s="5">
        <v>0</v>
      </c>
      <c r="R773" s="5" t="s">
        <v>703</v>
      </c>
    </row>
    <row r="774" spans="1:18" x14ac:dyDescent="0.3">
      <c r="A774" s="26">
        <v>289</v>
      </c>
      <c r="B774" s="5" t="s">
        <v>702</v>
      </c>
      <c r="C774" s="5" t="s">
        <v>198</v>
      </c>
      <c r="D774" s="5" t="s">
        <v>21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95</v>
      </c>
      <c r="K774" s="5">
        <v>100</v>
      </c>
      <c r="L774" s="74">
        <f t="shared" si="52"/>
        <v>1.0526315789473684</v>
      </c>
      <c r="M774" s="14">
        <f t="shared" si="53"/>
        <v>1.0526315789473684</v>
      </c>
      <c r="N774" s="5"/>
      <c r="O774" s="5"/>
      <c r="P774" s="5">
        <v>0</v>
      </c>
      <c r="Q774" s="5">
        <v>0</v>
      </c>
      <c r="R774" s="5" t="s">
        <v>2530</v>
      </c>
    </row>
    <row r="775" spans="1:18" x14ac:dyDescent="0.3">
      <c r="A775" s="28">
        <v>289</v>
      </c>
      <c r="B775" s="5" t="s">
        <v>702</v>
      </c>
      <c r="C775" s="5" t="s">
        <v>198</v>
      </c>
      <c r="D775" s="5" t="s">
        <v>21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95</v>
      </c>
      <c r="K775" s="5">
        <v>100</v>
      </c>
      <c r="L775" s="74">
        <f t="shared" si="52"/>
        <v>1.0526315789473684</v>
      </c>
      <c r="M775" s="14">
        <f t="shared" si="53"/>
        <v>1.0526315789473684</v>
      </c>
      <c r="N775" s="5"/>
      <c r="O775" s="5"/>
      <c r="P775" s="5">
        <v>0</v>
      </c>
      <c r="Q775" s="5">
        <v>0</v>
      </c>
      <c r="R775" s="5" t="s">
        <v>704</v>
      </c>
    </row>
    <row r="776" spans="1:18" x14ac:dyDescent="0.3">
      <c r="A776" s="26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45107</v>
      </c>
      <c r="G776" s="5">
        <v>2023</v>
      </c>
      <c r="H776" s="5" t="s">
        <v>699</v>
      </c>
      <c r="I776" s="6" t="s">
        <v>1512</v>
      </c>
      <c r="J776" s="5">
        <v>90</v>
      </c>
      <c r="K776" s="5">
        <v>100</v>
      </c>
      <c r="L776" s="74">
        <f t="shared" si="52"/>
        <v>1.1111111111111112</v>
      </c>
      <c r="M776" s="14">
        <f t="shared" si="53"/>
        <v>1.1111111111111112</v>
      </c>
      <c r="N776" s="5"/>
      <c r="O776" s="5"/>
      <c r="P776" s="5">
        <v>1</v>
      </c>
      <c r="Q776" s="5">
        <v>1</v>
      </c>
      <c r="R776" s="5" t="s">
        <v>2532</v>
      </c>
    </row>
    <row r="777" spans="1:18" x14ac:dyDescent="0.3">
      <c r="A777" s="5">
        <v>290</v>
      </c>
      <c r="B777" s="5" t="s">
        <v>705</v>
      </c>
      <c r="C777" s="5" t="s">
        <v>706</v>
      </c>
      <c r="D777" s="5" t="s">
        <v>64</v>
      </c>
      <c r="E777" s="5" t="s">
        <v>22</v>
      </c>
      <c r="F777" s="71">
        <v>45168</v>
      </c>
      <c r="G777" s="5">
        <v>2023</v>
      </c>
      <c r="H777" s="5" t="s">
        <v>1546</v>
      </c>
      <c r="I777" s="6" t="s">
        <v>28</v>
      </c>
      <c r="J777" s="5">
        <v>90</v>
      </c>
      <c r="K777" s="5">
        <v>81.819999999999993</v>
      </c>
      <c r="L777" s="14">
        <f t="shared" si="52"/>
        <v>0.90911111111111098</v>
      </c>
      <c r="M777" s="14">
        <f t="shared" si="53"/>
        <v>0.90911111111111098</v>
      </c>
      <c r="N777" s="5"/>
      <c r="O777" s="5"/>
      <c r="P777" s="5">
        <v>1</v>
      </c>
      <c r="Q777" s="5">
        <v>1</v>
      </c>
      <c r="R777" s="5" t="s">
        <v>2533</v>
      </c>
    </row>
    <row r="778" spans="1:18" x14ac:dyDescent="0.3">
      <c r="A778" s="5">
        <v>290</v>
      </c>
      <c r="B778" s="5" t="s">
        <v>705</v>
      </c>
      <c r="C778" s="5" t="s">
        <v>706</v>
      </c>
      <c r="D778" s="5" t="s">
        <v>64</v>
      </c>
      <c r="E778" s="5" t="s">
        <v>22</v>
      </c>
      <c r="F778" s="71">
        <v>45230</v>
      </c>
      <c r="G778" s="5">
        <v>2023</v>
      </c>
      <c r="H778" s="5" t="s">
        <v>150</v>
      </c>
      <c r="I778" s="6" t="s">
        <v>28</v>
      </c>
      <c r="J778" s="5">
        <v>90</v>
      </c>
      <c r="K778" s="5">
        <v>90.91</v>
      </c>
      <c r="L778" s="14">
        <f t="shared" si="52"/>
        <v>1.0101111111111112</v>
      </c>
      <c r="M778" s="14">
        <f t="shared" si="53"/>
        <v>1.0101111111111112</v>
      </c>
      <c r="N778" s="5"/>
      <c r="O778" s="5"/>
      <c r="P778" s="5">
        <v>1</v>
      </c>
      <c r="Q778" s="5">
        <v>1</v>
      </c>
      <c r="R778" s="5" t="s">
        <v>2534</v>
      </c>
    </row>
    <row r="779" spans="1:18" x14ac:dyDescent="0.3">
      <c r="A779" s="26">
        <v>290</v>
      </c>
      <c r="B779" s="5" t="s">
        <v>705</v>
      </c>
      <c r="C779" s="5" t="s">
        <v>706</v>
      </c>
      <c r="D779" s="5" t="s">
        <v>64</v>
      </c>
      <c r="E779" s="5" t="s">
        <v>22</v>
      </c>
      <c r="F779" s="71">
        <v>45291</v>
      </c>
      <c r="G779" s="5">
        <v>2023</v>
      </c>
      <c r="H779" s="5" t="s">
        <v>23</v>
      </c>
      <c r="I779" s="6" t="s">
        <v>28</v>
      </c>
      <c r="J779" s="5">
        <v>90</v>
      </c>
      <c r="K779" s="5"/>
      <c r="L779" s="18"/>
      <c r="M779" s="14"/>
      <c r="N779" s="5"/>
      <c r="O779" s="5"/>
      <c r="P779" s="5">
        <v>1</v>
      </c>
      <c r="Q779" s="5">
        <v>1</v>
      </c>
      <c r="R779" s="5" t="s">
        <v>707</v>
      </c>
    </row>
    <row r="780" spans="1:18" x14ac:dyDescent="0.3">
      <c r="A780" s="26">
        <v>290</v>
      </c>
      <c r="B780" s="5" t="s">
        <v>705</v>
      </c>
      <c r="C780" s="5" t="s">
        <v>706</v>
      </c>
      <c r="D780" s="5" t="s">
        <v>64</v>
      </c>
      <c r="E780" s="5" t="s">
        <v>22</v>
      </c>
      <c r="F780" s="71">
        <v>45473</v>
      </c>
      <c r="G780" s="5">
        <v>2024</v>
      </c>
      <c r="H780" s="5" t="s">
        <v>699</v>
      </c>
      <c r="I780" s="6" t="s">
        <v>729</v>
      </c>
      <c r="J780" s="5">
        <v>90</v>
      </c>
      <c r="K780" s="5">
        <v>100</v>
      </c>
      <c r="L780" s="74">
        <f t="shared" ref="L780:L806" si="54">IFERROR(IF(OR(J780=0,K780=""),"",IF(E780="Positivo",MIN(MAX(K780/J780,0),1.3),MIN(MAX(J780/K780,0),1.3))),"")</f>
        <v>1.1111111111111112</v>
      </c>
      <c r="M780" s="14">
        <f t="shared" ref="M780:M806" si="55">IFERROR(IF(OR(J780=0,K780=""),"",IF(E780="Positivo",MAX(K780/J780,0),MAX(J780/K780,0))),"")</f>
        <v>1.1111111111111112</v>
      </c>
      <c r="N780" s="5"/>
      <c r="O780" s="5"/>
      <c r="P780" s="5">
        <v>0</v>
      </c>
      <c r="Q780" s="5">
        <v>0</v>
      </c>
      <c r="R780" s="5" t="s">
        <v>2537</v>
      </c>
    </row>
    <row r="781" spans="1:18" x14ac:dyDescent="0.3">
      <c r="A781" s="5">
        <v>290</v>
      </c>
      <c r="B781" s="5" t="s">
        <v>705</v>
      </c>
      <c r="C781" s="5" t="s">
        <v>706</v>
      </c>
      <c r="D781" s="5" t="s">
        <v>64</v>
      </c>
      <c r="E781" s="5" t="s">
        <v>22</v>
      </c>
      <c r="F781" s="71">
        <v>45657</v>
      </c>
      <c r="G781" s="5">
        <v>2024</v>
      </c>
      <c r="H781" s="5" t="s">
        <v>23</v>
      </c>
      <c r="I781" s="6" t="s">
        <v>30</v>
      </c>
      <c r="J781" s="5">
        <v>90</v>
      </c>
      <c r="K781" s="5">
        <v>100</v>
      </c>
      <c r="L781" s="14">
        <f t="shared" si="54"/>
        <v>1.1111111111111112</v>
      </c>
      <c r="M781" s="14">
        <f t="shared" si="55"/>
        <v>1.1111111111111112</v>
      </c>
      <c r="N781" s="5"/>
      <c r="O781" s="5"/>
      <c r="P781" s="5">
        <v>0</v>
      </c>
      <c r="Q781" s="5">
        <v>0</v>
      </c>
      <c r="R781" s="5" t="s">
        <v>708</v>
      </c>
    </row>
    <row r="782" spans="1:18" x14ac:dyDescent="0.3">
      <c r="A782" s="5">
        <v>290</v>
      </c>
      <c r="B782" s="5" t="s">
        <v>705</v>
      </c>
      <c r="C782" s="5" t="s">
        <v>706</v>
      </c>
      <c r="D782" s="5" t="s">
        <v>64</v>
      </c>
      <c r="E782" s="5" t="s">
        <v>22</v>
      </c>
      <c r="F782" s="71">
        <v>45838</v>
      </c>
      <c r="G782" s="5">
        <v>2025</v>
      </c>
      <c r="H782" s="5" t="s">
        <v>699</v>
      </c>
      <c r="I782" s="6" t="s">
        <v>700</v>
      </c>
      <c r="J782" s="5">
        <v>90</v>
      </c>
      <c r="K782" s="5">
        <v>93.33</v>
      </c>
      <c r="L782" s="14">
        <f t="shared" si="54"/>
        <v>1.0369999999999999</v>
      </c>
      <c r="M782" s="14">
        <f t="shared" si="55"/>
        <v>1.0369999999999999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709</v>
      </c>
    </row>
    <row r="783" spans="1:18" x14ac:dyDescent="0.3">
      <c r="A783" s="5">
        <v>291</v>
      </c>
      <c r="B783" s="5" t="s">
        <v>710</v>
      </c>
      <c r="C783" s="5" t="s">
        <v>711</v>
      </c>
      <c r="D783" s="5" t="s">
        <v>27</v>
      </c>
      <c r="E783" s="5" t="s">
        <v>22</v>
      </c>
      <c r="F783" s="70">
        <v>45107</v>
      </c>
      <c r="G783" s="15">
        <v>2023</v>
      </c>
      <c r="H783" s="6" t="s">
        <v>699</v>
      </c>
      <c r="I783" s="27" t="s">
        <v>1512</v>
      </c>
      <c r="J783" s="5">
        <v>100</v>
      </c>
      <c r="K783" s="11">
        <v>100</v>
      </c>
      <c r="L783" s="14">
        <f t="shared" si="54"/>
        <v>1</v>
      </c>
      <c r="M783" s="14">
        <f t="shared" si="55"/>
        <v>1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2542</v>
      </c>
    </row>
    <row r="784" spans="1:18" x14ac:dyDescent="0.3">
      <c r="A784" s="26">
        <v>291</v>
      </c>
      <c r="B784" s="5" t="s">
        <v>710</v>
      </c>
      <c r="C784" s="5" t="s">
        <v>711</v>
      </c>
      <c r="D784" s="5" t="s">
        <v>27</v>
      </c>
      <c r="E784" s="5" t="s">
        <v>22</v>
      </c>
      <c r="F784" s="71">
        <v>45291</v>
      </c>
      <c r="G784" s="5">
        <v>2023</v>
      </c>
      <c r="H784" s="5" t="s">
        <v>23</v>
      </c>
      <c r="I784" s="6" t="s">
        <v>28</v>
      </c>
      <c r="J784" s="5">
        <v>100</v>
      </c>
      <c r="K784" s="11">
        <v>100</v>
      </c>
      <c r="L784" s="14">
        <f t="shared" si="54"/>
        <v>1</v>
      </c>
      <c r="M784" s="14">
        <f t="shared" si="55"/>
        <v>1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712</v>
      </c>
    </row>
    <row r="785" spans="1:18" x14ac:dyDescent="0.3">
      <c r="A785" s="5">
        <v>291</v>
      </c>
      <c r="B785" s="5" t="s">
        <v>710</v>
      </c>
      <c r="C785" s="5" t="s">
        <v>711</v>
      </c>
      <c r="D785" s="5" t="s">
        <v>27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100</v>
      </c>
      <c r="K785" s="11">
        <v>100</v>
      </c>
      <c r="L785" s="14">
        <f t="shared" si="54"/>
        <v>1</v>
      </c>
      <c r="M785" s="14">
        <f t="shared" si="55"/>
        <v>1</v>
      </c>
      <c r="N785" s="5"/>
      <c r="O785" s="5"/>
      <c r="P785" s="5">
        <v>0</v>
      </c>
      <c r="Q785" s="5">
        <v>0</v>
      </c>
      <c r="R785" s="5" t="s">
        <v>2543</v>
      </c>
    </row>
    <row r="786" spans="1:18" x14ac:dyDescent="0.3">
      <c r="A786" s="5">
        <v>291</v>
      </c>
      <c r="B786" s="5" t="s">
        <v>710</v>
      </c>
      <c r="C786" s="5" t="s">
        <v>711</v>
      </c>
      <c r="D786" s="5" t="s">
        <v>27</v>
      </c>
      <c r="E786" s="5" t="s">
        <v>22</v>
      </c>
      <c r="F786" s="71">
        <v>45657</v>
      </c>
      <c r="G786" s="5">
        <v>2024</v>
      </c>
      <c r="H786" s="5" t="s">
        <v>23</v>
      </c>
      <c r="I786" s="6" t="s">
        <v>30</v>
      </c>
      <c r="J786" s="5">
        <v>100</v>
      </c>
      <c r="K786" s="11">
        <v>100</v>
      </c>
      <c r="L786" s="14">
        <f t="shared" si="54"/>
        <v>1</v>
      </c>
      <c r="M786" s="14">
        <f t="shared" si="55"/>
        <v>1</v>
      </c>
      <c r="N786" s="5"/>
      <c r="O786" s="5"/>
      <c r="P786" s="5">
        <v>0</v>
      </c>
      <c r="Q786" s="5">
        <v>0</v>
      </c>
      <c r="R786" s="5" t="s">
        <v>713</v>
      </c>
    </row>
    <row r="787" spans="1:18" x14ac:dyDescent="0.3">
      <c r="A787" s="5">
        <v>292</v>
      </c>
      <c r="B787" s="5" t="s">
        <v>714</v>
      </c>
      <c r="C787" s="5" t="s">
        <v>711</v>
      </c>
      <c r="D787" s="5" t="s">
        <v>27</v>
      </c>
      <c r="E787" s="5" t="s">
        <v>22</v>
      </c>
      <c r="F787" s="70">
        <v>45107</v>
      </c>
      <c r="G787" s="15">
        <v>2023</v>
      </c>
      <c r="H787" s="6" t="s">
        <v>699</v>
      </c>
      <c r="I787" s="27" t="s">
        <v>1512</v>
      </c>
      <c r="J787" s="73">
        <v>3</v>
      </c>
      <c r="K787" s="12">
        <v>10.990099009901</v>
      </c>
      <c r="L787" s="14">
        <f t="shared" si="54"/>
        <v>1.3</v>
      </c>
      <c r="M787" s="14">
        <f t="shared" si="55"/>
        <v>3.6633663366336666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2544</v>
      </c>
    </row>
    <row r="788" spans="1:18" x14ac:dyDescent="0.3">
      <c r="A788" s="26">
        <v>292</v>
      </c>
      <c r="B788" s="5" t="s">
        <v>714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73">
        <v>3</v>
      </c>
      <c r="K788" s="9">
        <v>27.659574468085001</v>
      </c>
      <c r="L788" s="14">
        <f t="shared" si="54"/>
        <v>1.3</v>
      </c>
      <c r="M788" s="14">
        <f t="shared" si="55"/>
        <v>9.2198581560283337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715</v>
      </c>
    </row>
    <row r="789" spans="1:18" x14ac:dyDescent="0.3">
      <c r="A789" s="5">
        <v>292</v>
      </c>
      <c r="B789" s="5" t="s">
        <v>716</v>
      </c>
      <c r="C789" s="5" t="s">
        <v>711</v>
      </c>
      <c r="D789" s="5" t="s">
        <v>27</v>
      </c>
      <c r="E789" s="5" t="s">
        <v>22</v>
      </c>
      <c r="F789" s="71">
        <v>45473</v>
      </c>
      <c r="G789" s="5">
        <v>2024</v>
      </c>
      <c r="H789" s="5" t="s">
        <v>699</v>
      </c>
      <c r="I789" s="6" t="s">
        <v>729</v>
      </c>
      <c r="J789" s="5">
        <v>3</v>
      </c>
      <c r="K789" s="11">
        <v>23.313905079100739</v>
      </c>
      <c r="L789" s="14">
        <f t="shared" si="54"/>
        <v>1.3</v>
      </c>
      <c r="M789" s="14">
        <f t="shared" si="55"/>
        <v>7.7713016930335792</v>
      </c>
      <c r="N789" s="5" t="s">
        <v>25</v>
      </c>
      <c r="O789" s="5" t="s">
        <v>25</v>
      </c>
      <c r="P789" s="5">
        <v>0</v>
      </c>
      <c r="Q789" s="5">
        <v>0</v>
      </c>
      <c r="R789" s="5" t="s">
        <v>2545</v>
      </c>
    </row>
    <row r="790" spans="1:18" x14ac:dyDescent="0.3">
      <c r="A790" s="5">
        <v>292</v>
      </c>
      <c r="B790" s="5" t="s">
        <v>716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5">
        <v>3</v>
      </c>
      <c r="K790" s="11">
        <v>14.263862332695989</v>
      </c>
      <c r="L790" s="14">
        <f t="shared" si="54"/>
        <v>1.3</v>
      </c>
      <c r="M790" s="14">
        <f t="shared" si="55"/>
        <v>4.7546207775653295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717</v>
      </c>
    </row>
    <row r="791" spans="1:18" x14ac:dyDescent="0.3">
      <c r="A791" s="26">
        <v>292</v>
      </c>
      <c r="B791" s="5" t="s">
        <v>716</v>
      </c>
      <c r="C791" s="5" t="s">
        <v>711</v>
      </c>
      <c r="D791" s="5" t="s">
        <v>27</v>
      </c>
      <c r="E791" s="5" t="s">
        <v>22</v>
      </c>
      <c r="F791" s="71">
        <v>45838</v>
      </c>
      <c r="G791" s="5">
        <v>2025</v>
      </c>
      <c r="H791" s="5" t="s">
        <v>699</v>
      </c>
      <c r="I791" s="6" t="s">
        <v>700</v>
      </c>
      <c r="J791" s="5">
        <v>8</v>
      </c>
      <c r="K791" s="5">
        <v>9.7899999999999991</v>
      </c>
      <c r="L791" s="74">
        <f t="shared" si="54"/>
        <v>1.2237499999999999</v>
      </c>
      <c r="M791" s="14">
        <f t="shared" si="55"/>
        <v>1.2237499999999999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2546</v>
      </c>
    </row>
    <row r="792" spans="1:18" x14ac:dyDescent="0.3">
      <c r="A792" s="26">
        <v>292</v>
      </c>
      <c r="B792" s="5" t="s">
        <v>716</v>
      </c>
      <c r="C792" s="5" t="s">
        <v>711</v>
      </c>
      <c r="D792" s="5" t="s">
        <v>21</v>
      </c>
      <c r="E792" s="5" t="s">
        <v>22</v>
      </c>
      <c r="F792" s="71">
        <v>46022</v>
      </c>
      <c r="G792" s="5">
        <v>2025</v>
      </c>
      <c r="H792" s="5" t="s">
        <v>23</v>
      </c>
      <c r="I792" s="6" t="s">
        <v>32</v>
      </c>
      <c r="J792" s="5">
        <v>8</v>
      </c>
      <c r="K792" s="5">
        <v>11.21</v>
      </c>
      <c r="L792" s="74">
        <f t="shared" si="54"/>
        <v>1.3</v>
      </c>
      <c r="M792" s="14">
        <f t="shared" si="55"/>
        <v>1.4012500000000001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718</v>
      </c>
    </row>
    <row r="793" spans="1:18" x14ac:dyDescent="0.3">
      <c r="A793" s="5">
        <v>293</v>
      </c>
      <c r="B793" s="5" t="s">
        <v>719</v>
      </c>
      <c r="C793" s="5" t="s">
        <v>711</v>
      </c>
      <c r="D793" s="5" t="s">
        <v>27</v>
      </c>
      <c r="E793" s="5" t="s">
        <v>22</v>
      </c>
      <c r="F793" s="71">
        <v>45107</v>
      </c>
      <c r="G793" s="5">
        <v>2023</v>
      </c>
      <c r="H793" s="5" t="s">
        <v>699</v>
      </c>
      <c r="I793" s="6" t="s">
        <v>1512</v>
      </c>
      <c r="J793" s="5">
        <v>100</v>
      </c>
      <c r="K793" s="5">
        <v>100</v>
      </c>
      <c r="L793" s="14">
        <f t="shared" si="54"/>
        <v>1</v>
      </c>
      <c r="M793" s="14">
        <f t="shared" si="55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2547</v>
      </c>
    </row>
    <row r="794" spans="1:18" x14ac:dyDescent="0.3">
      <c r="A794" s="5">
        <v>293</v>
      </c>
      <c r="B794" s="5" t="s">
        <v>719</v>
      </c>
      <c r="C794" s="5" t="s">
        <v>711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5">
        <v>100</v>
      </c>
      <c r="K794" s="5">
        <v>100</v>
      </c>
      <c r="L794" s="14">
        <f t="shared" si="54"/>
        <v>1</v>
      </c>
      <c r="M794" s="14">
        <f t="shared" si="55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720</v>
      </c>
    </row>
    <row r="795" spans="1:18" x14ac:dyDescent="0.3">
      <c r="A795" s="5">
        <v>293</v>
      </c>
      <c r="B795" s="5" t="s">
        <v>719</v>
      </c>
      <c r="C795" s="5" t="s">
        <v>711</v>
      </c>
      <c r="D795" s="5" t="s">
        <v>27</v>
      </c>
      <c r="E795" s="5" t="s">
        <v>22</v>
      </c>
      <c r="F795" s="70">
        <v>45473</v>
      </c>
      <c r="G795" s="15">
        <v>2024</v>
      </c>
      <c r="H795" s="6" t="s">
        <v>699</v>
      </c>
      <c r="I795" s="27" t="s">
        <v>729</v>
      </c>
      <c r="J795" s="5">
        <v>100</v>
      </c>
      <c r="K795" s="23">
        <v>100</v>
      </c>
      <c r="L795" s="14">
        <f t="shared" si="54"/>
        <v>1</v>
      </c>
      <c r="M795" s="14">
        <f t="shared" si="55"/>
        <v>1</v>
      </c>
      <c r="N795" s="5"/>
      <c r="O795" s="5"/>
      <c r="P795" s="5">
        <v>0</v>
      </c>
      <c r="Q795" s="5">
        <v>0</v>
      </c>
      <c r="R795" s="5" t="s">
        <v>2548</v>
      </c>
    </row>
    <row r="796" spans="1:18" x14ac:dyDescent="0.3">
      <c r="A796" s="26">
        <v>293</v>
      </c>
      <c r="B796" s="5" t="s">
        <v>719</v>
      </c>
      <c r="C796" s="5" t="s">
        <v>711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73">
        <v>100</v>
      </c>
      <c r="K796" s="9">
        <v>100</v>
      </c>
      <c r="L796" s="14">
        <f t="shared" si="54"/>
        <v>1</v>
      </c>
      <c r="M796" s="14">
        <f t="shared" si="55"/>
        <v>1</v>
      </c>
      <c r="N796" s="5"/>
      <c r="O796" s="5"/>
      <c r="P796" s="5">
        <v>0</v>
      </c>
      <c r="Q796" s="5">
        <v>0</v>
      </c>
      <c r="R796" s="5" t="s">
        <v>721</v>
      </c>
    </row>
    <row r="797" spans="1:18" x14ac:dyDescent="0.3">
      <c r="A797" s="5">
        <v>294</v>
      </c>
      <c r="B797" s="5" t="s">
        <v>722</v>
      </c>
      <c r="C797" s="5" t="s">
        <v>711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73">
        <v>3</v>
      </c>
      <c r="K797" s="9">
        <v>30.158730158729998</v>
      </c>
      <c r="L797" s="14">
        <f t="shared" si="54"/>
        <v>1.3</v>
      </c>
      <c r="M797" s="14">
        <f t="shared" si="55"/>
        <v>10.052910052909999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2549</v>
      </c>
    </row>
    <row r="798" spans="1:18" x14ac:dyDescent="0.3">
      <c r="A798" s="5">
        <v>294</v>
      </c>
      <c r="B798" s="5" t="s">
        <v>722</v>
      </c>
      <c r="C798" s="5" t="s">
        <v>711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73">
        <v>3</v>
      </c>
      <c r="K798" s="9">
        <v>41.986754966886998</v>
      </c>
      <c r="L798" s="14">
        <f t="shared" si="54"/>
        <v>1.3</v>
      </c>
      <c r="M798" s="14">
        <f t="shared" si="55"/>
        <v>13.995584988962333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723</v>
      </c>
    </row>
    <row r="799" spans="1:18" x14ac:dyDescent="0.3">
      <c r="A799" s="28">
        <v>294</v>
      </c>
      <c r="B799" s="5" t="s">
        <v>724</v>
      </c>
      <c r="C799" s="5" t="s">
        <v>711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9">
        <v>3</v>
      </c>
      <c r="K799" s="9">
        <v>26.27669452181987</v>
      </c>
      <c r="L799" s="74">
        <f t="shared" si="54"/>
        <v>1.3</v>
      </c>
      <c r="M799" s="14">
        <f t="shared" si="55"/>
        <v>8.7588981739399561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2550</v>
      </c>
    </row>
    <row r="800" spans="1:18" x14ac:dyDescent="0.3">
      <c r="A800" s="26">
        <v>294</v>
      </c>
      <c r="B800" s="5" t="s">
        <v>724</v>
      </c>
      <c r="C800" s="5" t="s">
        <v>711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9">
        <v>3</v>
      </c>
      <c r="K800" s="23">
        <v>5.5</v>
      </c>
      <c r="L800" s="74">
        <f t="shared" si="54"/>
        <v>1.3</v>
      </c>
      <c r="M800" s="14">
        <f t="shared" si="55"/>
        <v>1.8333333333333333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725</v>
      </c>
    </row>
    <row r="801" spans="1:18" x14ac:dyDescent="0.3">
      <c r="A801" s="26">
        <v>294</v>
      </c>
      <c r="B801" s="5" t="s">
        <v>724</v>
      </c>
      <c r="C801" s="5" t="s">
        <v>711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699</v>
      </c>
      <c r="I801" s="6" t="s">
        <v>700</v>
      </c>
      <c r="J801" s="12">
        <v>8</v>
      </c>
      <c r="K801" s="12">
        <v>-9.19</v>
      </c>
      <c r="L801" s="74">
        <f t="shared" si="54"/>
        <v>0</v>
      </c>
      <c r="M801" s="14">
        <f t="shared" si="55"/>
        <v>0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2551</v>
      </c>
    </row>
    <row r="802" spans="1:18" x14ac:dyDescent="0.3">
      <c r="A802" s="5">
        <v>294</v>
      </c>
      <c r="B802" s="5" t="s">
        <v>724</v>
      </c>
      <c r="C802" s="5" t="s">
        <v>711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32</v>
      </c>
      <c r="J802" s="5">
        <v>8</v>
      </c>
      <c r="K802" s="5">
        <v>54.02</v>
      </c>
      <c r="L802" s="14">
        <f t="shared" si="54"/>
        <v>1.3</v>
      </c>
      <c r="M802" s="14">
        <f t="shared" si="55"/>
        <v>6.7525000000000004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726</v>
      </c>
    </row>
    <row r="803" spans="1:18" x14ac:dyDescent="0.3">
      <c r="A803" s="26">
        <v>295</v>
      </c>
      <c r="B803" s="5" t="s">
        <v>727</v>
      </c>
      <c r="C803" s="5" t="s">
        <v>63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11</v>
      </c>
      <c r="K803" s="5">
        <v>5</v>
      </c>
      <c r="L803" s="74">
        <f t="shared" si="54"/>
        <v>0.45454545454545453</v>
      </c>
      <c r="M803" s="14">
        <f t="shared" si="55"/>
        <v>0.45454545454545453</v>
      </c>
      <c r="N803" s="5"/>
      <c r="O803" s="5"/>
      <c r="P803" s="5">
        <v>0</v>
      </c>
      <c r="Q803" s="5">
        <v>0</v>
      </c>
      <c r="R803" s="5" t="s">
        <v>2552</v>
      </c>
    </row>
    <row r="804" spans="1:18" x14ac:dyDescent="0.3">
      <c r="A804" s="26">
        <v>295</v>
      </c>
      <c r="B804" s="5" t="s">
        <v>727</v>
      </c>
      <c r="C804" s="5" t="s">
        <v>63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21</v>
      </c>
      <c r="K804" s="5">
        <v>9</v>
      </c>
      <c r="L804" s="74">
        <f t="shared" si="54"/>
        <v>0.42857142857142855</v>
      </c>
      <c r="M804" s="14">
        <f t="shared" si="55"/>
        <v>0.42857142857142855</v>
      </c>
      <c r="N804" s="5"/>
      <c r="O804" s="5"/>
      <c r="P804" s="5">
        <v>0</v>
      </c>
      <c r="Q804" s="5">
        <v>0</v>
      </c>
      <c r="R804" s="5" t="s">
        <v>728</v>
      </c>
    </row>
    <row r="805" spans="1:18" x14ac:dyDescent="0.3">
      <c r="A805" s="26">
        <v>296</v>
      </c>
      <c r="B805" s="5" t="s">
        <v>731</v>
      </c>
      <c r="C805" s="5" t="s">
        <v>732</v>
      </c>
      <c r="D805" s="5" t="s">
        <v>64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85.45</v>
      </c>
      <c r="L805" s="74">
        <f t="shared" si="54"/>
        <v>0.85450000000000004</v>
      </c>
      <c r="M805" s="14">
        <f t="shared" si="55"/>
        <v>0.85450000000000004</v>
      </c>
      <c r="N805" s="5"/>
      <c r="O805" s="5"/>
      <c r="P805" s="5">
        <v>1</v>
      </c>
      <c r="Q805" s="5">
        <v>1</v>
      </c>
      <c r="R805" s="5" t="s">
        <v>733</v>
      </c>
    </row>
    <row r="806" spans="1:18" x14ac:dyDescent="0.3">
      <c r="A806" s="5">
        <v>297</v>
      </c>
      <c r="B806" s="5" t="s">
        <v>734</v>
      </c>
      <c r="C806" s="5" t="s">
        <v>732</v>
      </c>
      <c r="D806" s="5" t="s">
        <v>64</v>
      </c>
      <c r="E806" s="5" t="s">
        <v>41</v>
      </c>
      <c r="F806" s="71">
        <v>45291</v>
      </c>
      <c r="G806" s="5">
        <v>2023</v>
      </c>
      <c r="H806" s="5" t="s">
        <v>23</v>
      </c>
      <c r="I806" s="6" t="s">
        <v>28</v>
      </c>
      <c r="J806" s="5">
        <v>20</v>
      </c>
      <c r="K806" s="5">
        <v>0.93</v>
      </c>
      <c r="L806" s="74">
        <f t="shared" si="54"/>
        <v>1.3</v>
      </c>
      <c r="M806" s="14">
        <f t="shared" si="55"/>
        <v>21.50537634408602</v>
      </c>
      <c r="N806" s="5"/>
      <c r="O806" s="5"/>
      <c r="P806" s="5">
        <v>1</v>
      </c>
      <c r="Q806" s="5">
        <v>1</v>
      </c>
      <c r="R806" s="5" t="s">
        <v>735</v>
      </c>
    </row>
    <row r="807" spans="1:18" x14ac:dyDescent="0.3">
      <c r="A807" s="26">
        <v>298</v>
      </c>
      <c r="B807" s="5" t="s">
        <v>736</v>
      </c>
      <c r="C807" s="5" t="s">
        <v>732</v>
      </c>
      <c r="D807" s="5" t="s">
        <v>27</v>
      </c>
      <c r="E807" s="5" t="s">
        <v>41</v>
      </c>
      <c r="F807" s="71">
        <v>45291</v>
      </c>
      <c r="G807" s="5">
        <v>2023</v>
      </c>
      <c r="H807" s="5" t="s">
        <v>23</v>
      </c>
      <c r="I807" s="6" t="s">
        <v>28</v>
      </c>
      <c r="J807" s="5"/>
      <c r="K807" s="5">
        <v>1</v>
      </c>
      <c r="L807" s="18"/>
      <c r="M807" s="14"/>
      <c r="N807" s="5" t="s">
        <v>3246</v>
      </c>
      <c r="O807" s="5"/>
      <c r="P807" s="5">
        <v>0</v>
      </c>
      <c r="Q807" s="5">
        <v>0</v>
      </c>
      <c r="R807" s="5" t="s">
        <v>737</v>
      </c>
    </row>
    <row r="808" spans="1:18" x14ac:dyDescent="0.3">
      <c r="A808" s="26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45016</v>
      </c>
      <c r="G808" s="5">
        <v>2023</v>
      </c>
      <c r="H808" s="5" t="s">
        <v>1516</v>
      </c>
      <c r="I808" s="6" t="s">
        <v>1512</v>
      </c>
      <c r="J808" s="5">
        <v>100</v>
      </c>
      <c r="K808" s="5">
        <v>100</v>
      </c>
      <c r="L808" s="74">
        <f t="shared" ref="L808:L827" si="56">IFERROR(IF(OR(J808=0,K808=""),"",IF(E808="Positivo",MIN(MAX(K808/J808,0),1.3),MIN(MAX(J808/K808,0),1.3))),"")</f>
        <v>1</v>
      </c>
      <c r="M808" s="14">
        <f t="shared" ref="M808:M827" si="57">IFERROR(IF(OR(J808=0,K808=""),"",IF(E808="Positivo",MAX(K808/J808,0),MAX(J808/K808,0))),"")</f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2557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21</v>
      </c>
      <c r="E809" s="5" t="s">
        <v>22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100</v>
      </c>
      <c r="K809" s="5">
        <v>100</v>
      </c>
      <c r="L809" s="7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2558</v>
      </c>
    </row>
    <row r="810" spans="1:18" x14ac:dyDescent="0.3">
      <c r="A810" s="5">
        <v>300</v>
      </c>
      <c r="B810" s="5" t="s">
        <v>738</v>
      </c>
      <c r="C810" s="5" t="s">
        <v>739</v>
      </c>
      <c r="D810" s="5" t="s">
        <v>21</v>
      </c>
      <c r="E810" s="5" t="s">
        <v>22</v>
      </c>
      <c r="F810" s="71">
        <v>45199</v>
      </c>
      <c r="G810" s="5">
        <v>2023</v>
      </c>
      <c r="H810" s="5" t="s">
        <v>162</v>
      </c>
      <c r="I810" s="6" t="s">
        <v>28</v>
      </c>
      <c r="J810" s="5">
        <v>100</v>
      </c>
      <c r="K810" s="5">
        <v>100</v>
      </c>
      <c r="L810" s="7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2559</v>
      </c>
    </row>
    <row r="811" spans="1:18" x14ac:dyDescent="0.3">
      <c r="A811" s="26">
        <v>300</v>
      </c>
      <c r="B811" s="5" t="s">
        <v>738</v>
      </c>
      <c r="C811" s="5" t="s">
        <v>739</v>
      </c>
      <c r="D811" s="5" t="s">
        <v>21</v>
      </c>
      <c r="E811" s="5" t="s">
        <v>22</v>
      </c>
      <c r="F811" s="71">
        <v>45291</v>
      </c>
      <c r="G811" s="5">
        <v>2023</v>
      </c>
      <c r="H811" s="5" t="s">
        <v>23</v>
      </c>
      <c r="I811" s="6" t="s">
        <v>28</v>
      </c>
      <c r="J811" s="5">
        <v>100</v>
      </c>
      <c r="K811" s="5">
        <v>100</v>
      </c>
      <c r="L811" s="7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740</v>
      </c>
    </row>
    <row r="812" spans="1:18" x14ac:dyDescent="0.3">
      <c r="A812" s="26">
        <v>300</v>
      </c>
      <c r="B812" s="5" t="s">
        <v>738</v>
      </c>
      <c r="C812" s="5" t="s">
        <v>739</v>
      </c>
      <c r="D812" s="5" t="s">
        <v>21</v>
      </c>
      <c r="E812" s="5" t="s">
        <v>22</v>
      </c>
      <c r="F812" s="71">
        <v>45473</v>
      </c>
      <c r="G812" s="5">
        <v>2024</v>
      </c>
      <c r="H812" s="5" t="s">
        <v>699</v>
      </c>
      <c r="I812" s="6" t="s">
        <v>729</v>
      </c>
      <c r="J812" s="5">
        <v>100</v>
      </c>
      <c r="K812" s="5">
        <v>100</v>
      </c>
      <c r="L812" s="7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2561</v>
      </c>
    </row>
    <row r="813" spans="1:18" x14ac:dyDescent="0.3">
      <c r="A813" s="26">
        <v>300</v>
      </c>
      <c r="B813" s="5" t="s">
        <v>738</v>
      </c>
      <c r="C813" s="5" t="s">
        <v>739</v>
      </c>
      <c r="D813" s="5" t="s">
        <v>21</v>
      </c>
      <c r="E813" s="5" t="s">
        <v>22</v>
      </c>
      <c r="F813" s="71">
        <v>45657</v>
      </c>
      <c r="G813" s="5">
        <v>2024</v>
      </c>
      <c r="H813" s="5" t="s">
        <v>23</v>
      </c>
      <c r="I813" s="6" t="s">
        <v>30</v>
      </c>
      <c r="J813" s="3">
        <v>100</v>
      </c>
      <c r="K813" s="9">
        <v>100</v>
      </c>
      <c r="L813" s="7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741</v>
      </c>
    </row>
    <row r="814" spans="1:18" x14ac:dyDescent="0.3">
      <c r="A814" s="5">
        <v>300</v>
      </c>
      <c r="B814" s="5" t="s">
        <v>738</v>
      </c>
      <c r="C814" s="5" t="s">
        <v>739</v>
      </c>
      <c r="D814" s="5" t="s">
        <v>21</v>
      </c>
      <c r="E814" s="5" t="s">
        <v>22</v>
      </c>
      <c r="F814" s="71">
        <v>45838</v>
      </c>
      <c r="G814" s="5">
        <v>2025</v>
      </c>
      <c r="H814" s="5" t="s">
        <v>699</v>
      </c>
      <c r="I814" s="6" t="s">
        <v>700</v>
      </c>
      <c r="J814" s="3">
        <v>100</v>
      </c>
      <c r="K814" s="9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2564</v>
      </c>
    </row>
    <row r="815" spans="1:18" x14ac:dyDescent="0.3">
      <c r="A815" s="26">
        <v>300</v>
      </c>
      <c r="B815" s="5" t="s">
        <v>738</v>
      </c>
      <c r="C815" s="5" t="s">
        <v>739</v>
      </c>
      <c r="D815" s="5" t="s">
        <v>27</v>
      </c>
      <c r="E815" s="5" t="s">
        <v>22</v>
      </c>
      <c r="F815" s="71">
        <v>46022</v>
      </c>
      <c r="G815" s="5">
        <v>2025</v>
      </c>
      <c r="H815" s="5" t="s">
        <v>23</v>
      </c>
      <c r="I815" s="6" t="s">
        <v>32</v>
      </c>
      <c r="J815" s="5">
        <v>100</v>
      </c>
      <c r="K815" s="9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742</v>
      </c>
    </row>
    <row r="816" spans="1:18" x14ac:dyDescent="0.3">
      <c r="A816" s="26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45016</v>
      </c>
      <c r="G816" s="5">
        <v>2023</v>
      </c>
      <c r="H816" s="5" t="s">
        <v>1516</v>
      </c>
      <c r="I816" s="6" t="s">
        <v>1512</v>
      </c>
      <c r="J816" s="5">
        <v>100</v>
      </c>
      <c r="K816" s="9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2566</v>
      </c>
    </row>
    <row r="817" spans="1:19" x14ac:dyDescent="0.3">
      <c r="A817" s="26">
        <v>301</v>
      </c>
      <c r="B817" s="5" t="s">
        <v>743</v>
      </c>
      <c r="C817" s="5" t="s">
        <v>739</v>
      </c>
      <c r="D817" s="5" t="s">
        <v>21</v>
      </c>
      <c r="E817" s="5" t="s">
        <v>22</v>
      </c>
      <c r="F817" s="71">
        <v>45107</v>
      </c>
      <c r="G817" s="5">
        <v>2023</v>
      </c>
      <c r="H817" s="5" t="s">
        <v>699</v>
      </c>
      <c r="I817" s="6" t="s">
        <v>1512</v>
      </c>
      <c r="J817" s="5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2567</v>
      </c>
    </row>
    <row r="818" spans="1:19" x14ac:dyDescent="0.3">
      <c r="A818" s="5">
        <v>301</v>
      </c>
      <c r="B818" s="5" t="s">
        <v>743</v>
      </c>
      <c r="C818" s="5" t="s">
        <v>739</v>
      </c>
      <c r="D818" s="5" t="s">
        <v>21</v>
      </c>
      <c r="E818" s="5" t="s">
        <v>22</v>
      </c>
      <c r="F818" s="71">
        <v>45199</v>
      </c>
      <c r="G818" s="5">
        <v>2023</v>
      </c>
      <c r="H818" s="5" t="s">
        <v>162</v>
      </c>
      <c r="I818" s="6" t="s">
        <v>28</v>
      </c>
      <c r="J818" s="5">
        <v>100</v>
      </c>
      <c r="K818" s="10">
        <v>100</v>
      </c>
      <c r="L818" s="14">
        <f t="shared" si="56"/>
        <v>1</v>
      </c>
      <c r="M818" s="14">
        <f t="shared" si="57"/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2568</v>
      </c>
    </row>
    <row r="819" spans="1:19" x14ac:dyDescent="0.3">
      <c r="A819" s="5">
        <v>301</v>
      </c>
      <c r="B819" s="5" t="s">
        <v>743</v>
      </c>
      <c r="C819" s="5" t="s">
        <v>739</v>
      </c>
      <c r="D819" s="5" t="s">
        <v>21</v>
      </c>
      <c r="E819" s="5" t="s">
        <v>22</v>
      </c>
      <c r="F819" s="70">
        <v>45291</v>
      </c>
      <c r="G819" s="15">
        <v>2023</v>
      </c>
      <c r="H819" s="6" t="s">
        <v>23</v>
      </c>
      <c r="I819" s="27" t="s">
        <v>28</v>
      </c>
      <c r="J819" s="5">
        <v>100</v>
      </c>
      <c r="K819" s="11">
        <v>100</v>
      </c>
      <c r="L819" s="14">
        <f t="shared" si="56"/>
        <v>1</v>
      </c>
      <c r="M819" s="14">
        <f t="shared" si="57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744</v>
      </c>
    </row>
    <row r="820" spans="1:19" x14ac:dyDescent="0.3">
      <c r="A820" s="26">
        <v>301</v>
      </c>
      <c r="B820" s="5" t="s">
        <v>743</v>
      </c>
      <c r="C820" s="5" t="s">
        <v>739</v>
      </c>
      <c r="D820" s="5" t="s">
        <v>21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5">
        <v>100</v>
      </c>
      <c r="K820" s="5">
        <v>100</v>
      </c>
      <c r="L820" s="14">
        <f t="shared" si="56"/>
        <v>1</v>
      </c>
      <c r="M820" s="14">
        <f t="shared" si="57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2570</v>
      </c>
    </row>
    <row r="821" spans="1:19" x14ac:dyDescent="0.3">
      <c r="A821" s="5">
        <v>301</v>
      </c>
      <c r="B821" s="5" t="s">
        <v>743</v>
      </c>
      <c r="C821" s="5" t="s">
        <v>739</v>
      </c>
      <c r="D821" s="5" t="s">
        <v>21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100</v>
      </c>
      <c r="K821" s="5">
        <v>100</v>
      </c>
      <c r="L821" s="14">
        <f t="shared" si="56"/>
        <v>1</v>
      </c>
      <c r="M821" s="14">
        <f t="shared" si="57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745</v>
      </c>
    </row>
    <row r="822" spans="1:19" x14ac:dyDescent="0.3">
      <c r="A822" s="5">
        <v>301</v>
      </c>
      <c r="B822" s="5" t="s">
        <v>743</v>
      </c>
      <c r="C822" s="5" t="s">
        <v>739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>
        <v>100</v>
      </c>
      <c r="K822" s="12">
        <v>100</v>
      </c>
      <c r="L822" s="14">
        <f t="shared" si="56"/>
        <v>1</v>
      </c>
      <c r="M822" s="14">
        <f t="shared" si="57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2573</v>
      </c>
    </row>
    <row r="823" spans="1:19" x14ac:dyDescent="0.3">
      <c r="A823" s="28">
        <v>301</v>
      </c>
      <c r="B823" s="5" t="s">
        <v>743</v>
      </c>
      <c r="C823" s="5" t="s">
        <v>739</v>
      </c>
      <c r="D823" s="5" t="s">
        <v>27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73">
        <v>100</v>
      </c>
      <c r="K823" s="9">
        <v>100</v>
      </c>
      <c r="L823" s="14">
        <f t="shared" si="56"/>
        <v>1</v>
      </c>
      <c r="M823" s="14">
        <f t="shared" si="57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746</v>
      </c>
    </row>
    <row r="824" spans="1:19" x14ac:dyDescent="0.3">
      <c r="A824" s="26">
        <v>302</v>
      </c>
      <c r="B824" s="5" t="s">
        <v>747</v>
      </c>
      <c r="C824" s="5" t="s">
        <v>619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73">
        <v>0</v>
      </c>
      <c r="K824" s="9">
        <v>0</v>
      </c>
      <c r="L824" s="14" t="str">
        <f t="shared" si="56"/>
        <v/>
      </c>
      <c r="M824" s="14" t="str">
        <f t="shared" si="57"/>
        <v/>
      </c>
      <c r="N824" s="5"/>
      <c r="O824" s="5"/>
      <c r="P824" s="5">
        <v>0</v>
      </c>
      <c r="Q824" s="5">
        <v>0</v>
      </c>
      <c r="R824" s="5" t="s">
        <v>2575</v>
      </c>
    </row>
    <row r="825" spans="1:19" x14ac:dyDescent="0.3">
      <c r="A825" s="5">
        <v>302</v>
      </c>
      <c r="B825" s="5" t="s">
        <v>747</v>
      </c>
      <c r="C825" s="5" t="s">
        <v>619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73">
        <v>0</v>
      </c>
      <c r="K825" s="9">
        <v>0</v>
      </c>
      <c r="L825" s="14" t="str">
        <f t="shared" si="56"/>
        <v/>
      </c>
      <c r="M825" s="14" t="str">
        <f t="shared" si="57"/>
        <v/>
      </c>
      <c r="N825" s="5"/>
      <c r="O825" s="5"/>
      <c r="P825" s="5">
        <v>0</v>
      </c>
      <c r="Q825" s="5">
        <v>0</v>
      </c>
      <c r="R825" s="5" t="s">
        <v>748</v>
      </c>
    </row>
    <row r="826" spans="1:19" x14ac:dyDescent="0.3">
      <c r="A826" s="5">
        <v>302</v>
      </c>
      <c r="B826" s="5" t="s">
        <v>747</v>
      </c>
      <c r="C826" s="5" t="s">
        <v>619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73">
        <v>0</v>
      </c>
      <c r="K826" s="9">
        <v>17878</v>
      </c>
      <c r="L826" s="14" t="str">
        <f t="shared" si="56"/>
        <v/>
      </c>
      <c r="M826" s="14" t="str">
        <f t="shared" si="57"/>
        <v/>
      </c>
      <c r="N826" s="5"/>
      <c r="O826" s="5"/>
      <c r="P826" s="5">
        <v>0</v>
      </c>
      <c r="Q826" s="5">
        <v>0</v>
      </c>
      <c r="R826" s="5" t="s">
        <v>2576</v>
      </c>
    </row>
    <row r="827" spans="1:19" x14ac:dyDescent="0.3">
      <c r="A827" s="28">
        <v>302</v>
      </c>
      <c r="B827" s="5" t="s">
        <v>747</v>
      </c>
      <c r="C827" s="5" t="s">
        <v>619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0</v>
      </c>
      <c r="K827" s="5">
        <v>19142</v>
      </c>
      <c r="L827" s="74" t="str">
        <f t="shared" si="56"/>
        <v/>
      </c>
      <c r="M827" s="14" t="str">
        <f t="shared" si="57"/>
        <v/>
      </c>
      <c r="N827" s="5"/>
      <c r="O827" s="5"/>
      <c r="P827" s="5">
        <v>0</v>
      </c>
      <c r="Q827" s="5">
        <v>0</v>
      </c>
      <c r="R827" s="5" t="s">
        <v>749</v>
      </c>
    </row>
    <row r="828" spans="1:19" x14ac:dyDescent="0.3">
      <c r="A828" s="26">
        <v>302</v>
      </c>
      <c r="B828" s="5" t="s">
        <v>750</v>
      </c>
      <c r="C828" s="5" t="s">
        <v>619</v>
      </c>
      <c r="D828" s="5" t="s">
        <v>21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/>
      <c r="K828" s="5">
        <v>21712</v>
      </c>
      <c r="L828" s="18"/>
      <c r="M828" s="14"/>
      <c r="N828" s="5" t="s">
        <v>25</v>
      </c>
      <c r="O828" s="5" t="s">
        <v>128</v>
      </c>
      <c r="P828" s="5">
        <v>0</v>
      </c>
      <c r="Q828" s="5">
        <v>0</v>
      </c>
      <c r="R828" s="5" t="s">
        <v>2577</v>
      </c>
      <c r="S828" t="s">
        <v>263</v>
      </c>
    </row>
    <row r="829" spans="1:19" x14ac:dyDescent="0.3">
      <c r="A829" s="28">
        <v>302</v>
      </c>
      <c r="B829" s="5" t="s">
        <v>750</v>
      </c>
      <c r="C829" s="5" t="s">
        <v>619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/>
      <c r="K829" s="5">
        <v>31371</v>
      </c>
      <c r="L829" s="18"/>
      <c r="M829" s="14"/>
      <c r="N829" s="5" t="s">
        <v>25</v>
      </c>
      <c r="O829" s="5" t="s">
        <v>128</v>
      </c>
      <c r="P829" s="5">
        <v>0</v>
      </c>
      <c r="Q829" s="5">
        <v>0</v>
      </c>
      <c r="R829" s="5" t="s">
        <v>751</v>
      </c>
      <c r="S829" t="s">
        <v>263</v>
      </c>
    </row>
    <row r="830" spans="1:19" x14ac:dyDescent="0.3">
      <c r="A830" s="26">
        <v>303</v>
      </c>
      <c r="B830" s="5" t="s">
        <v>752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75.757575757576006</v>
      </c>
      <c r="L830" s="74">
        <f t="shared" ref="L830:L861" si="58">IFERROR(IF(OR(J830=0,K830=""),"",IF(E830="Positivo",MIN(MAX(K830/J830,0),1.3),MIN(MAX(J830/K830,0),1.3))),"")</f>
        <v>0.75757575757576001</v>
      </c>
      <c r="M830" s="14">
        <f t="shared" ref="M830:M861" si="59">IFERROR(IF(OR(J830=0,K830=""),"",IF(E830="Positivo",MAX(K830/J830,0),MAX(J830/K830,0))),"")</f>
        <v>0.75757575757576001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2578</v>
      </c>
    </row>
    <row r="831" spans="1:19" x14ac:dyDescent="0.3">
      <c r="A831" s="28">
        <v>303</v>
      </c>
      <c r="B831" s="5" t="s">
        <v>752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79.545454545454547</v>
      </c>
      <c r="L831" s="74">
        <f t="shared" si="58"/>
        <v>0.79545454545454541</v>
      </c>
      <c r="M831" s="14">
        <f t="shared" si="59"/>
        <v>0.79545454545454541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754</v>
      </c>
    </row>
    <row r="832" spans="1:19" x14ac:dyDescent="0.3">
      <c r="A832" s="26">
        <v>303</v>
      </c>
      <c r="B832" s="5" t="s">
        <v>752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95</v>
      </c>
      <c r="K832" s="5">
        <v>100</v>
      </c>
      <c r="L832" s="74">
        <f t="shared" si="58"/>
        <v>1.0526315789473684</v>
      </c>
      <c r="M832" s="14">
        <f t="shared" si="59"/>
        <v>1.0526315789473684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2579</v>
      </c>
    </row>
    <row r="833" spans="1:18" x14ac:dyDescent="0.3">
      <c r="A833" s="5">
        <v>303</v>
      </c>
      <c r="B833" s="5" t="s">
        <v>752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95</v>
      </c>
      <c r="K833" s="5">
        <v>95.652173913043484</v>
      </c>
      <c r="L833" s="14">
        <f t="shared" si="58"/>
        <v>1.0068649885583525</v>
      </c>
      <c r="M833" s="14">
        <f t="shared" si="59"/>
        <v>1.0068649885583525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755</v>
      </c>
    </row>
    <row r="834" spans="1:18" x14ac:dyDescent="0.3">
      <c r="A834" s="5">
        <v>303</v>
      </c>
      <c r="B834" s="5" t="s">
        <v>752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95</v>
      </c>
      <c r="K834" s="5">
        <v>90.32</v>
      </c>
      <c r="L834" s="14">
        <f t="shared" si="58"/>
        <v>0.9507368421052631</v>
      </c>
      <c r="M834" s="14">
        <f t="shared" si="59"/>
        <v>0.9507368421052631</v>
      </c>
      <c r="N834" s="5" t="s">
        <v>25</v>
      </c>
      <c r="O834" s="5" t="s">
        <v>25</v>
      </c>
      <c r="P834" s="5">
        <v>0</v>
      </c>
      <c r="Q834" s="5">
        <v>0</v>
      </c>
      <c r="R834" s="5" t="s">
        <v>2580</v>
      </c>
    </row>
    <row r="835" spans="1:18" x14ac:dyDescent="0.3">
      <c r="A835" s="34">
        <v>303</v>
      </c>
      <c r="B835" s="5" t="s">
        <v>752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95</v>
      </c>
      <c r="K835" s="5">
        <v>100</v>
      </c>
      <c r="L835" s="74">
        <f t="shared" si="58"/>
        <v>1.0526315789473684</v>
      </c>
      <c r="M835" s="14">
        <f t="shared" si="59"/>
        <v>1.0526315789473684</v>
      </c>
      <c r="N835" s="5" t="s">
        <v>25</v>
      </c>
      <c r="O835" s="5" t="s">
        <v>25</v>
      </c>
      <c r="P835" s="5">
        <v>0</v>
      </c>
      <c r="Q835" s="5">
        <v>0</v>
      </c>
      <c r="R835" s="5" t="s">
        <v>756</v>
      </c>
    </row>
    <row r="836" spans="1:18" x14ac:dyDescent="0.3">
      <c r="A836" s="26">
        <v>304</v>
      </c>
      <c r="B836" s="5" t="s">
        <v>757</v>
      </c>
      <c r="C836" s="5" t="s">
        <v>753</v>
      </c>
      <c r="D836" s="5" t="s">
        <v>27</v>
      </c>
      <c r="E836" s="5" t="s">
        <v>22</v>
      </c>
      <c r="F836" s="71">
        <v>45107</v>
      </c>
      <c r="G836" s="5">
        <v>2023</v>
      </c>
      <c r="H836" s="5" t="s">
        <v>699</v>
      </c>
      <c r="I836" s="6" t="s">
        <v>1512</v>
      </c>
      <c r="J836" s="5">
        <v>100</v>
      </c>
      <c r="K836" s="5">
        <v>189.86</v>
      </c>
      <c r="L836" s="74">
        <f t="shared" si="58"/>
        <v>1.3</v>
      </c>
      <c r="M836" s="14">
        <f t="shared" si="59"/>
        <v>1.8986000000000001</v>
      </c>
      <c r="N836" s="5" t="s">
        <v>128</v>
      </c>
      <c r="O836" s="5" t="s">
        <v>128</v>
      </c>
      <c r="P836" s="5">
        <v>0</v>
      </c>
      <c r="Q836" s="5">
        <v>0</v>
      </c>
      <c r="R836" s="5" t="s">
        <v>2581</v>
      </c>
    </row>
    <row r="837" spans="1:18" x14ac:dyDescent="0.3">
      <c r="A837" s="28">
        <v>304</v>
      </c>
      <c r="B837" s="5" t="s">
        <v>757</v>
      </c>
      <c r="C837" s="5" t="s">
        <v>753</v>
      </c>
      <c r="D837" s="5" t="s">
        <v>27</v>
      </c>
      <c r="E837" s="5" t="s">
        <v>22</v>
      </c>
      <c r="F837" s="71">
        <v>45291</v>
      </c>
      <c r="G837" s="5">
        <v>2023</v>
      </c>
      <c r="H837" s="5" t="s">
        <v>23</v>
      </c>
      <c r="I837" s="6" t="s">
        <v>28</v>
      </c>
      <c r="J837" s="5">
        <v>100</v>
      </c>
      <c r="K837" s="5">
        <v>176.33</v>
      </c>
      <c r="L837" s="74">
        <f t="shared" si="58"/>
        <v>1.3</v>
      </c>
      <c r="M837" s="14">
        <f t="shared" si="59"/>
        <v>1.7633000000000001</v>
      </c>
      <c r="N837" s="5" t="s">
        <v>128</v>
      </c>
      <c r="O837" s="5" t="s">
        <v>128</v>
      </c>
      <c r="P837" s="5">
        <v>0</v>
      </c>
      <c r="Q837" s="5">
        <v>0</v>
      </c>
      <c r="R837" s="5" t="s">
        <v>758</v>
      </c>
    </row>
    <row r="838" spans="1:18" x14ac:dyDescent="0.3">
      <c r="A838" s="26">
        <v>304</v>
      </c>
      <c r="B838" s="5" t="s">
        <v>757</v>
      </c>
      <c r="C838" s="5" t="s">
        <v>753</v>
      </c>
      <c r="D838" s="5" t="s">
        <v>27</v>
      </c>
      <c r="E838" s="5" t="s">
        <v>22</v>
      </c>
      <c r="F838" s="71">
        <v>45473</v>
      </c>
      <c r="G838" s="5">
        <v>2024</v>
      </c>
      <c r="H838" s="5" t="s">
        <v>699</v>
      </c>
      <c r="I838" s="6" t="s">
        <v>729</v>
      </c>
      <c r="J838" s="5">
        <v>100</v>
      </c>
      <c r="K838" s="5">
        <v>100.12</v>
      </c>
      <c r="L838" s="74">
        <f t="shared" si="58"/>
        <v>1.0012000000000001</v>
      </c>
      <c r="M838" s="14">
        <f t="shared" si="59"/>
        <v>1.0012000000000001</v>
      </c>
      <c r="N838" s="5" t="s">
        <v>128</v>
      </c>
      <c r="O838" s="5" t="s">
        <v>128</v>
      </c>
      <c r="P838" s="5">
        <v>0</v>
      </c>
      <c r="Q838" s="5">
        <v>0</v>
      </c>
      <c r="R838" s="5" t="s">
        <v>2582</v>
      </c>
    </row>
    <row r="839" spans="1:18" x14ac:dyDescent="0.3">
      <c r="A839" s="5">
        <v>304</v>
      </c>
      <c r="B839" s="5" t="s">
        <v>757</v>
      </c>
      <c r="C839" s="5" t="s">
        <v>753</v>
      </c>
      <c r="D839" s="5" t="s">
        <v>27</v>
      </c>
      <c r="E839" s="5" t="s">
        <v>22</v>
      </c>
      <c r="F839" s="71">
        <v>45657</v>
      </c>
      <c r="G839" s="5">
        <v>2024</v>
      </c>
      <c r="H839" s="5" t="s">
        <v>23</v>
      </c>
      <c r="I839" s="6" t="s">
        <v>30</v>
      </c>
      <c r="J839" s="5">
        <v>100</v>
      </c>
      <c r="K839" s="5">
        <v>83.56</v>
      </c>
      <c r="L839" s="14">
        <f t="shared" si="58"/>
        <v>0.83560000000000001</v>
      </c>
      <c r="M839" s="14">
        <f t="shared" si="59"/>
        <v>0.83560000000000001</v>
      </c>
      <c r="N839" s="5" t="s">
        <v>128</v>
      </c>
      <c r="O839" s="5" t="s">
        <v>128</v>
      </c>
      <c r="P839" s="5">
        <v>0</v>
      </c>
      <c r="Q839" s="5">
        <v>0</v>
      </c>
      <c r="R839" s="5" t="s">
        <v>759</v>
      </c>
    </row>
    <row r="840" spans="1:18" x14ac:dyDescent="0.3">
      <c r="A840" s="5">
        <v>304</v>
      </c>
      <c r="B840" s="5" t="s">
        <v>757</v>
      </c>
      <c r="C840" s="5" t="s">
        <v>753</v>
      </c>
      <c r="D840" s="5" t="s">
        <v>27</v>
      </c>
      <c r="E840" s="5" t="s">
        <v>22</v>
      </c>
      <c r="F840" s="71">
        <v>45838</v>
      </c>
      <c r="G840" s="5">
        <v>2025</v>
      </c>
      <c r="H840" s="5" t="s">
        <v>699</v>
      </c>
      <c r="I840" s="6" t="s">
        <v>700</v>
      </c>
      <c r="J840" s="5">
        <v>100</v>
      </c>
      <c r="K840" s="5">
        <v>98.47</v>
      </c>
      <c r="L840" s="14">
        <f t="shared" si="58"/>
        <v>0.98470000000000002</v>
      </c>
      <c r="M840" s="14">
        <f t="shared" si="59"/>
        <v>0.98470000000000002</v>
      </c>
      <c r="N840" s="5" t="s">
        <v>128</v>
      </c>
      <c r="O840" s="5" t="s">
        <v>128</v>
      </c>
      <c r="P840" s="5">
        <v>0</v>
      </c>
      <c r="Q840" s="5">
        <v>0</v>
      </c>
      <c r="R840" s="5" t="s">
        <v>2583</v>
      </c>
    </row>
    <row r="841" spans="1:18" x14ac:dyDescent="0.3">
      <c r="A841" s="28">
        <v>304</v>
      </c>
      <c r="B841" s="5" t="s">
        <v>757</v>
      </c>
      <c r="C841" s="5" t="s">
        <v>753</v>
      </c>
      <c r="D841" s="5" t="s">
        <v>21</v>
      </c>
      <c r="E841" s="5" t="s">
        <v>22</v>
      </c>
      <c r="F841" s="71">
        <v>46022</v>
      </c>
      <c r="G841" s="5">
        <v>2025</v>
      </c>
      <c r="H841" s="5" t="s">
        <v>23</v>
      </c>
      <c r="I841" s="6" t="s">
        <v>32</v>
      </c>
      <c r="J841" s="5">
        <v>100</v>
      </c>
      <c r="K841" s="5">
        <v>116.09</v>
      </c>
      <c r="L841" s="74">
        <f t="shared" si="58"/>
        <v>1.1609</v>
      </c>
      <c r="M841" s="14">
        <f t="shared" si="59"/>
        <v>1.1609</v>
      </c>
      <c r="N841" s="5" t="s">
        <v>128</v>
      </c>
      <c r="O841" s="5" t="s">
        <v>128</v>
      </c>
      <c r="P841" s="5">
        <v>0</v>
      </c>
      <c r="Q841" s="5">
        <v>0</v>
      </c>
      <c r="R841" s="5" t="s">
        <v>760</v>
      </c>
    </row>
    <row r="842" spans="1:18" x14ac:dyDescent="0.3">
      <c r="A842" s="26">
        <v>305</v>
      </c>
      <c r="B842" s="5" t="s">
        <v>761</v>
      </c>
      <c r="C842" s="5" t="s">
        <v>753</v>
      </c>
      <c r="D842" s="5" t="s">
        <v>71</v>
      </c>
      <c r="E842" s="5" t="s">
        <v>22</v>
      </c>
      <c r="F842" s="71">
        <v>45291</v>
      </c>
      <c r="G842" s="5">
        <v>2023</v>
      </c>
      <c r="H842" s="5" t="s">
        <v>23</v>
      </c>
      <c r="I842" s="6" t="s">
        <v>28</v>
      </c>
      <c r="J842" s="5">
        <v>100</v>
      </c>
      <c r="K842" s="5">
        <v>100</v>
      </c>
      <c r="L842" s="74">
        <f t="shared" si="58"/>
        <v>1</v>
      </c>
      <c r="M842" s="14">
        <f t="shared" si="59"/>
        <v>1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762</v>
      </c>
    </row>
    <row r="843" spans="1:18" x14ac:dyDescent="0.3">
      <c r="A843" s="5">
        <v>305</v>
      </c>
      <c r="B843" s="5" t="s">
        <v>761</v>
      </c>
      <c r="C843" s="5" t="s">
        <v>753</v>
      </c>
      <c r="D843" s="5" t="s">
        <v>71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100</v>
      </c>
      <c r="K843" s="5">
        <v>100</v>
      </c>
      <c r="L843" s="14">
        <f t="shared" si="58"/>
        <v>1</v>
      </c>
      <c r="M843" s="14">
        <f t="shared" si="59"/>
        <v>1</v>
      </c>
      <c r="N843" s="5"/>
      <c r="O843" s="5"/>
      <c r="P843" s="5">
        <v>0</v>
      </c>
      <c r="Q843" s="5">
        <v>0</v>
      </c>
      <c r="R843" s="5" t="s">
        <v>763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21</v>
      </c>
      <c r="E844" s="5" t="s">
        <v>22</v>
      </c>
      <c r="F844" s="71">
        <v>45107</v>
      </c>
      <c r="G844" s="5">
        <v>2023</v>
      </c>
      <c r="H844" s="5" t="s">
        <v>699</v>
      </c>
      <c r="I844" s="6" t="s">
        <v>1512</v>
      </c>
      <c r="J844" s="5">
        <v>100</v>
      </c>
      <c r="K844" s="5">
        <v>0</v>
      </c>
      <c r="L844" s="14">
        <f t="shared" si="58"/>
        <v>0</v>
      </c>
      <c r="M844" s="14">
        <f t="shared" si="59"/>
        <v>0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2585</v>
      </c>
    </row>
    <row r="845" spans="1:18" x14ac:dyDescent="0.3">
      <c r="A845" s="28">
        <v>306</v>
      </c>
      <c r="B845" s="5" t="s">
        <v>764</v>
      </c>
      <c r="C845" s="5" t="s">
        <v>554</v>
      </c>
      <c r="D845" s="5" t="s">
        <v>21</v>
      </c>
      <c r="E845" s="5" t="s">
        <v>22</v>
      </c>
      <c r="F845" s="71">
        <v>45199</v>
      </c>
      <c r="G845" s="5">
        <v>2023</v>
      </c>
      <c r="H845" s="5" t="s">
        <v>162</v>
      </c>
      <c r="I845" s="6" t="s">
        <v>28</v>
      </c>
      <c r="J845" s="5">
        <v>100</v>
      </c>
      <c r="K845" s="23">
        <v>313</v>
      </c>
      <c r="L845" s="74">
        <f t="shared" si="58"/>
        <v>1.3</v>
      </c>
      <c r="M845" s="14">
        <f t="shared" si="59"/>
        <v>3.13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2586</v>
      </c>
    </row>
    <row r="846" spans="1:18" x14ac:dyDescent="0.3">
      <c r="A846" s="26">
        <v>306</v>
      </c>
      <c r="B846" s="5" t="s">
        <v>764</v>
      </c>
      <c r="C846" s="5" t="s">
        <v>554</v>
      </c>
      <c r="D846" s="5" t="s">
        <v>21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100</v>
      </c>
      <c r="K846" s="23">
        <v>313</v>
      </c>
      <c r="L846" s="74">
        <f t="shared" si="58"/>
        <v>1.3</v>
      </c>
      <c r="M846" s="14">
        <f t="shared" si="59"/>
        <v>3.13</v>
      </c>
      <c r="N846" s="5" t="s">
        <v>25</v>
      </c>
      <c r="O846" s="5" t="s">
        <v>25</v>
      </c>
      <c r="P846" s="5">
        <v>0</v>
      </c>
      <c r="Q846" s="5">
        <v>0</v>
      </c>
      <c r="R846" s="5" t="s">
        <v>765</v>
      </c>
    </row>
    <row r="847" spans="1:18" x14ac:dyDescent="0.3">
      <c r="A847" s="5">
        <v>306</v>
      </c>
      <c r="B847" s="5" t="s">
        <v>764</v>
      </c>
      <c r="C847" s="5" t="s">
        <v>554</v>
      </c>
      <c r="D847" s="5" t="s">
        <v>21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300.5</v>
      </c>
      <c r="L847" s="14">
        <f t="shared" si="58"/>
        <v>1.3</v>
      </c>
      <c r="M847" s="14">
        <f t="shared" si="59"/>
        <v>3.0049999999999999</v>
      </c>
      <c r="N847" s="5"/>
      <c r="O847" s="5"/>
      <c r="P847" s="5">
        <v>0</v>
      </c>
      <c r="Q847" s="5">
        <v>0</v>
      </c>
      <c r="R847" s="5" t="s">
        <v>2588</v>
      </c>
    </row>
    <row r="848" spans="1:18" x14ac:dyDescent="0.3">
      <c r="A848" s="5">
        <v>306</v>
      </c>
      <c r="B848" s="5" t="s">
        <v>764</v>
      </c>
      <c r="C848" s="5" t="s">
        <v>554</v>
      </c>
      <c r="D848" s="5" t="s">
        <v>21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5">
        <v>50.5</v>
      </c>
      <c r="L848" s="14">
        <f t="shared" si="58"/>
        <v>0.505</v>
      </c>
      <c r="M848" s="14">
        <f t="shared" si="59"/>
        <v>0.505</v>
      </c>
      <c r="N848" s="5"/>
      <c r="O848" s="5"/>
      <c r="P848" s="5">
        <v>0</v>
      </c>
      <c r="Q848" s="5">
        <v>0</v>
      </c>
      <c r="R848" s="5" t="s">
        <v>766</v>
      </c>
    </row>
    <row r="849" spans="1:18" x14ac:dyDescent="0.3">
      <c r="A849" s="26">
        <v>306</v>
      </c>
      <c r="B849" s="5" t="s">
        <v>764</v>
      </c>
      <c r="C849" s="5" t="s">
        <v>554</v>
      </c>
      <c r="D849" s="5" t="s">
        <v>27</v>
      </c>
      <c r="E849" s="5" t="s">
        <v>22</v>
      </c>
      <c r="F849" s="71">
        <v>45838</v>
      </c>
      <c r="G849" s="5">
        <v>2025</v>
      </c>
      <c r="H849" s="5" t="s">
        <v>699</v>
      </c>
      <c r="I849" s="6" t="s">
        <v>700</v>
      </c>
      <c r="J849" s="5">
        <v>100</v>
      </c>
      <c r="K849" s="5">
        <v>108.67</v>
      </c>
      <c r="L849" s="74">
        <f t="shared" si="58"/>
        <v>1.0867</v>
      </c>
      <c r="M849" s="14">
        <f t="shared" si="59"/>
        <v>1.0867</v>
      </c>
      <c r="N849" s="5" t="s">
        <v>25</v>
      </c>
      <c r="O849" s="5" t="s">
        <v>25</v>
      </c>
      <c r="P849" s="5">
        <v>0</v>
      </c>
      <c r="Q849" s="5">
        <v>0</v>
      </c>
      <c r="R849" s="5" t="s">
        <v>2590</v>
      </c>
    </row>
    <row r="850" spans="1:18" x14ac:dyDescent="0.3">
      <c r="A850" s="5">
        <v>306</v>
      </c>
      <c r="B850" s="5" t="s">
        <v>764</v>
      </c>
      <c r="C850" s="5" t="s">
        <v>554</v>
      </c>
      <c r="D850" s="5" t="s">
        <v>27</v>
      </c>
      <c r="E850" s="5" t="s">
        <v>22</v>
      </c>
      <c r="F850" s="71">
        <v>46022</v>
      </c>
      <c r="G850" s="5">
        <v>2025</v>
      </c>
      <c r="H850" s="5" t="s">
        <v>23</v>
      </c>
      <c r="I850" s="6" t="s">
        <v>32</v>
      </c>
      <c r="J850" s="5">
        <v>100</v>
      </c>
      <c r="K850" s="5">
        <v>106.72499999999999</v>
      </c>
      <c r="L850" s="14">
        <f t="shared" si="58"/>
        <v>1.06725</v>
      </c>
      <c r="M850" s="14">
        <f t="shared" si="59"/>
        <v>1.06725</v>
      </c>
      <c r="N850" s="5" t="s">
        <v>25</v>
      </c>
      <c r="O850" s="5" t="s">
        <v>25</v>
      </c>
      <c r="P850" s="5">
        <v>0</v>
      </c>
      <c r="Q850" s="5">
        <v>0</v>
      </c>
      <c r="R850" s="5" t="s">
        <v>767</v>
      </c>
    </row>
    <row r="851" spans="1:18" x14ac:dyDescent="0.3">
      <c r="A851" s="28">
        <v>307</v>
      </c>
      <c r="B851" s="5" t="s">
        <v>768</v>
      </c>
      <c r="C851" s="5" t="s">
        <v>246</v>
      </c>
      <c r="D851" s="5" t="s">
        <v>27</v>
      </c>
      <c r="E851" s="5" t="s">
        <v>22</v>
      </c>
      <c r="F851" s="71">
        <v>45107</v>
      </c>
      <c r="G851" s="5">
        <v>2023</v>
      </c>
      <c r="H851" s="5" t="s">
        <v>699</v>
      </c>
      <c r="I851" s="6" t="s">
        <v>1512</v>
      </c>
      <c r="J851" s="5">
        <v>20</v>
      </c>
      <c r="K851" s="5">
        <v>25</v>
      </c>
      <c r="L851" s="14">
        <f t="shared" si="58"/>
        <v>1.25</v>
      </c>
      <c r="M851" s="14">
        <f t="shared" si="59"/>
        <v>1.25</v>
      </c>
      <c r="N851" s="5"/>
      <c r="O851" s="5"/>
      <c r="P851" s="5">
        <v>0</v>
      </c>
      <c r="Q851" s="5">
        <v>0</v>
      </c>
      <c r="R851" s="5" t="s">
        <v>2592</v>
      </c>
    </row>
    <row r="852" spans="1:18" x14ac:dyDescent="0.3">
      <c r="A852" s="26">
        <v>307</v>
      </c>
      <c r="B852" s="5" t="s">
        <v>768</v>
      </c>
      <c r="C852" s="5" t="s">
        <v>246</v>
      </c>
      <c r="D852" s="5" t="s">
        <v>27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26</v>
      </c>
      <c r="K852" s="5">
        <v>82</v>
      </c>
      <c r="L852" s="14">
        <f t="shared" si="58"/>
        <v>1.3</v>
      </c>
      <c r="M852" s="14">
        <f t="shared" si="59"/>
        <v>3.1538461538461537</v>
      </c>
      <c r="N852" s="5"/>
      <c r="O852" s="5"/>
      <c r="P852" s="5">
        <v>0</v>
      </c>
      <c r="Q852" s="5">
        <v>0</v>
      </c>
      <c r="R852" s="5" t="s">
        <v>769</v>
      </c>
    </row>
    <row r="853" spans="1:18" x14ac:dyDescent="0.3">
      <c r="A853" s="5">
        <v>307</v>
      </c>
      <c r="B853" s="5" t="s">
        <v>768</v>
      </c>
      <c r="C853" s="5" t="s">
        <v>246</v>
      </c>
      <c r="D853" s="5" t="s">
        <v>27</v>
      </c>
      <c r="E853" s="5" t="s">
        <v>22</v>
      </c>
      <c r="F853" s="71">
        <v>45473</v>
      </c>
      <c r="G853" s="5">
        <v>2024</v>
      </c>
      <c r="H853" s="5" t="s">
        <v>699</v>
      </c>
      <c r="I853" s="6" t="s">
        <v>729</v>
      </c>
      <c r="J853" s="5">
        <v>100</v>
      </c>
      <c r="K853" s="5">
        <v>112</v>
      </c>
      <c r="L853" s="14">
        <f t="shared" si="58"/>
        <v>1.1200000000000001</v>
      </c>
      <c r="M853" s="14">
        <f t="shared" si="59"/>
        <v>1.1200000000000001</v>
      </c>
      <c r="N853" s="5"/>
      <c r="O853" s="5"/>
      <c r="P853" s="5">
        <v>0</v>
      </c>
      <c r="Q853" s="5">
        <v>0</v>
      </c>
      <c r="R853" s="5" t="s">
        <v>2593</v>
      </c>
    </row>
    <row r="854" spans="1:18" x14ac:dyDescent="0.3">
      <c r="A854" s="5">
        <v>307</v>
      </c>
      <c r="B854" s="5" t="s">
        <v>768</v>
      </c>
      <c r="C854" s="5" t="s">
        <v>246</v>
      </c>
      <c r="D854" s="5" t="s">
        <v>27</v>
      </c>
      <c r="E854" s="5" t="s">
        <v>22</v>
      </c>
      <c r="F854" s="71">
        <v>45657</v>
      </c>
      <c r="G854" s="5">
        <v>2024</v>
      </c>
      <c r="H854" s="5" t="s">
        <v>23</v>
      </c>
      <c r="I854" s="6" t="s">
        <v>30</v>
      </c>
      <c r="J854" s="5">
        <v>100</v>
      </c>
      <c r="K854" s="10">
        <v>413.33</v>
      </c>
      <c r="L854" s="14">
        <f t="shared" si="58"/>
        <v>1.3</v>
      </c>
      <c r="M854" s="14">
        <f t="shared" si="59"/>
        <v>4.1333000000000002</v>
      </c>
      <c r="N854" s="5"/>
      <c r="O854" s="5"/>
      <c r="P854" s="5">
        <v>0</v>
      </c>
      <c r="Q854" s="5">
        <v>0</v>
      </c>
      <c r="R854" s="5" t="s">
        <v>770</v>
      </c>
    </row>
    <row r="855" spans="1:18" x14ac:dyDescent="0.3">
      <c r="A855" s="28">
        <v>308</v>
      </c>
      <c r="B855" s="5" t="s">
        <v>771</v>
      </c>
      <c r="C855" s="5" t="s">
        <v>246</v>
      </c>
      <c r="D855" s="5" t="s">
        <v>27</v>
      </c>
      <c r="E855" s="5" t="s">
        <v>22</v>
      </c>
      <c r="F855" s="71">
        <v>45107</v>
      </c>
      <c r="G855" s="5">
        <v>2023</v>
      </c>
      <c r="H855" s="5" t="s">
        <v>699</v>
      </c>
      <c r="I855" s="6" t="s">
        <v>1512</v>
      </c>
      <c r="J855" s="5">
        <v>12</v>
      </c>
      <c r="K855" s="5">
        <v>27</v>
      </c>
      <c r="L855" s="14">
        <f t="shared" si="58"/>
        <v>1.3</v>
      </c>
      <c r="M855" s="14">
        <f t="shared" si="59"/>
        <v>2.25</v>
      </c>
      <c r="N855" s="5"/>
      <c r="O855" s="5"/>
      <c r="P855" s="5">
        <v>0</v>
      </c>
      <c r="Q855" s="5">
        <v>0</v>
      </c>
      <c r="R855" s="5" t="s">
        <v>2594</v>
      </c>
    </row>
    <row r="856" spans="1:18" x14ac:dyDescent="0.3">
      <c r="A856" s="26">
        <v>308</v>
      </c>
      <c r="B856" s="5" t="s">
        <v>771</v>
      </c>
      <c r="C856" s="5" t="s">
        <v>246</v>
      </c>
      <c r="D856" s="5" t="s">
        <v>27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20</v>
      </c>
      <c r="K856" s="5">
        <v>54</v>
      </c>
      <c r="L856" s="14">
        <f t="shared" si="58"/>
        <v>1.3</v>
      </c>
      <c r="M856" s="14">
        <f t="shared" si="59"/>
        <v>2.7</v>
      </c>
      <c r="N856" s="5"/>
      <c r="O856" s="5"/>
      <c r="P856" s="5">
        <v>0</v>
      </c>
      <c r="Q856" s="5">
        <v>0</v>
      </c>
      <c r="R856" s="5" t="s">
        <v>772</v>
      </c>
    </row>
    <row r="857" spans="1:18" x14ac:dyDescent="0.3">
      <c r="A857" s="5">
        <v>308</v>
      </c>
      <c r="B857" s="5" t="s">
        <v>771</v>
      </c>
      <c r="C857" s="5" t="s">
        <v>246</v>
      </c>
      <c r="D857" s="5" t="s">
        <v>27</v>
      </c>
      <c r="E857" s="5" t="s">
        <v>22</v>
      </c>
      <c r="F857" s="71">
        <v>45473</v>
      </c>
      <c r="G857" s="5">
        <v>2024</v>
      </c>
      <c r="H857" s="5" t="s">
        <v>699</v>
      </c>
      <c r="I857" s="6" t="s">
        <v>729</v>
      </c>
      <c r="J857" s="5">
        <v>100</v>
      </c>
      <c r="K857" s="5">
        <v>100</v>
      </c>
      <c r="L857" s="14">
        <f t="shared" si="58"/>
        <v>1</v>
      </c>
      <c r="M857" s="14">
        <f t="shared" si="59"/>
        <v>1</v>
      </c>
      <c r="N857" s="5"/>
      <c r="O857" s="5"/>
      <c r="P857" s="5">
        <v>0</v>
      </c>
      <c r="Q857" s="5">
        <v>0</v>
      </c>
      <c r="R857" s="5" t="s">
        <v>2595</v>
      </c>
    </row>
    <row r="858" spans="1:18" x14ac:dyDescent="0.3">
      <c r="A858" s="5">
        <v>308</v>
      </c>
      <c r="B858" s="5" t="s">
        <v>771</v>
      </c>
      <c r="C858" s="5" t="s">
        <v>246</v>
      </c>
      <c r="D858" s="5" t="s">
        <v>27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15">
        <v>100</v>
      </c>
      <c r="L858" s="14">
        <f t="shared" si="58"/>
        <v>1</v>
      </c>
      <c r="M858" s="14">
        <f t="shared" si="59"/>
        <v>1</v>
      </c>
      <c r="N858" s="5"/>
      <c r="O858" s="5"/>
      <c r="P858" s="5">
        <v>0</v>
      </c>
      <c r="Q858" s="5">
        <v>0</v>
      </c>
      <c r="R858" s="5" t="s">
        <v>773</v>
      </c>
    </row>
    <row r="859" spans="1:18" x14ac:dyDescent="0.3">
      <c r="A859" s="26">
        <v>309</v>
      </c>
      <c r="B859" s="5" t="s">
        <v>774</v>
      </c>
      <c r="C859" s="5" t="s">
        <v>246</v>
      </c>
      <c r="D859" s="5" t="s">
        <v>27</v>
      </c>
      <c r="E859" s="5" t="s">
        <v>22</v>
      </c>
      <c r="F859" s="71">
        <v>45107</v>
      </c>
      <c r="G859" s="5">
        <v>2023</v>
      </c>
      <c r="H859" s="5" t="s">
        <v>699</v>
      </c>
      <c r="I859" s="6" t="s">
        <v>1512</v>
      </c>
      <c r="J859" s="5">
        <v>19</v>
      </c>
      <c r="K859" s="48">
        <v>27</v>
      </c>
      <c r="L859" s="74">
        <f t="shared" si="58"/>
        <v>1.3</v>
      </c>
      <c r="M859" s="14">
        <f t="shared" si="59"/>
        <v>1.4210526315789473</v>
      </c>
      <c r="N859" s="5"/>
      <c r="O859" s="5"/>
      <c r="P859" s="5">
        <v>0</v>
      </c>
      <c r="Q859" s="5">
        <v>0</v>
      </c>
      <c r="R859" s="5" t="s">
        <v>2596</v>
      </c>
    </row>
    <row r="860" spans="1:18" x14ac:dyDescent="0.3">
      <c r="A860" s="28">
        <v>309</v>
      </c>
      <c r="B860" t="s">
        <v>774</v>
      </c>
      <c r="C860" s="5" t="s">
        <v>246</v>
      </c>
      <c r="D860" s="5" t="s">
        <v>27</v>
      </c>
      <c r="E860" s="5" t="s">
        <v>22</v>
      </c>
      <c r="F860" s="71">
        <v>45291</v>
      </c>
      <c r="G860" s="5">
        <v>2023</v>
      </c>
      <c r="H860" s="5" t="s">
        <v>23</v>
      </c>
      <c r="I860" s="6" t="s">
        <v>28</v>
      </c>
      <c r="J860" s="5">
        <v>45</v>
      </c>
      <c r="K860" s="5">
        <v>76</v>
      </c>
      <c r="L860" s="74">
        <f t="shared" si="58"/>
        <v>1.3</v>
      </c>
      <c r="M860" s="14">
        <f t="shared" si="59"/>
        <v>1.6888888888888889</v>
      </c>
      <c r="N860" s="5"/>
      <c r="O860" s="5"/>
      <c r="P860" s="5">
        <v>0</v>
      </c>
      <c r="Q860" s="5">
        <v>0</v>
      </c>
      <c r="R860" s="5" t="s">
        <v>775</v>
      </c>
    </row>
    <row r="861" spans="1:18" x14ac:dyDescent="0.3">
      <c r="A861" s="26">
        <v>309</v>
      </c>
      <c r="B861" t="s">
        <v>776</v>
      </c>
      <c r="C861" s="5" t="s">
        <v>246</v>
      </c>
      <c r="D861" s="5" t="s">
        <v>27</v>
      </c>
      <c r="E861" s="5" t="s">
        <v>22</v>
      </c>
      <c r="F861" s="71">
        <v>45473</v>
      </c>
      <c r="G861" s="5">
        <v>2024</v>
      </c>
      <c r="H861" s="5" t="s">
        <v>699</v>
      </c>
      <c r="I861" s="6" t="s">
        <v>729</v>
      </c>
      <c r="J861" s="5">
        <v>100</v>
      </c>
      <c r="K861" s="5">
        <v>216</v>
      </c>
      <c r="L861" s="74">
        <f t="shared" si="58"/>
        <v>1.3</v>
      </c>
      <c r="M861" s="14">
        <f t="shared" si="59"/>
        <v>2.16</v>
      </c>
      <c r="N861" s="5"/>
      <c r="O861" s="5"/>
      <c r="P861" s="5">
        <v>0</v>
      </c>
      <c r="Q861" s="5">
        <v>0</v>
      </c>
      <c r="R861" s="5" t="s">
        <v>2597</v>
      </c>
    </row>
    <row r="862" spans="1:18" x14ac:dyDescent="0.3">
      <c r="A862" s="5">
        <v>309</v>
      </c>
      <c r="B862" t="s">
        <v>776</v>
      </c>
      <c r="C862" s="5" t="s">
        <v>246</v>
      </c>
      <c r="D862" s="5" t="s">
        <v>27</v>
      </c>
      <c r="E862" s="5" t="s">
        <v>22</v>
      </c>
      <c r="F862" s="71">
        <v>45657</v>
      </c>
      <c r="G862" s="5">
        <v>2024</v>
      </c>
      <c r="H862" s="5" t="s">
        <v>23</v>
      </c>
      <c r="I862" s="6" t="s">
        <v>30</v>
      </c>
      <c r="J862" s="5">
        <v>100</v>
      </c>
      <c r="K862" s="5">
        <v>154.66999999999999</v>
      </c>
      <c r="L862" s="14">
        <f t="shared" ref="L862:L884" si="60">IFERROR(IF(OR(J862=0,K862=""),"",IF(E862="Positivo",MIN(MAX(K862/J862,0),1.3),MIN(MAX(J862/K862,0),1.3))),"")</f>
        <v>1.3</v>
      </c>
      <c r="M862" s="14">
        <f t="shared" ref="M862:M884" si="61">IFERROR(IF(OR(J862=0,K862=""),"",IF(E862="Positivo",MAX(K862/J862,0),MAX(J862/K862,0))),"")</f>
        <v>1.5467</v>
      </c>
      <c r="N862" s="5"/>
      <c r="O862" s="5"/>
      <c r="P862" s="5">
        <v>0</v>
      </c>
      <c r="Q862" s="5">
        <v>0</v>
      </c>
      <c r="R862" s="5" t="s">
        <v>777</v>
      </c>
    </row>
    <row r="863" spans="1:18" x14ac:dyDescent="0.3">
      <c r="A863" s="5">
        <v>310</v>
      </c>
      <c r="B863" t="s">
        <v>778</v>
      </c>
      <c r="C863" s="5" t="s">
        <v>246</v>
      </c>
      <c r="D863" s="5" t="s">
        <v>27</v>
      </c>
      <c r="E863" s="5" t="s">
        <v>22</v>
      </c>
      <c r="F863" s="71">
        <v>45107</v>
      </c>
      <c r="G863" s="5">
        <v>2023</v>
      </c>
      <c r="H863" s="5" t="s">
        <v>699</v>
      </c>
      <c r="I863" s="6" t="s">
        <v>1512</v>
      </c>
      <c r="J863" s="5">
        <v>14</v>
      </c>
      <c r="K863" s="5">
        <v>48</v>
      </c>
      <c r="L863" s="14">
        <f t="shared" si="60"/>
        <v>1.3</v>
      </c>
      <c r="M863" s="14">
        <f t="shared" si="61"/>
        <v>3.4285714285714284</v>
      </c>
      <c r="N863" s="5"/>
      <c r="O863" s="5"/>
      <c r="P863" s="5">
        <v>0</v>
      </c>
      <c r="Q863" s="5">
        <v>0</v>
      </c>
      <c r="R863" s="5" t="s">
        <v>2598</v>
      </c>
    </row>
    <row r="864" spans="1:18" x14ac:dyDescent="0.3">
      <c r="A864" s="28">
        <v>310</v>
      </c>
      <c r="B864" s="5" t="s">
        <v>778</v>
      </c>
      <c r="C864" s="5" t="s">
        <v>246</v>
      </c>
      <c r="D864" s="5" t="s">
        <v>27</v>
      </c>
      <c r="E864" s="5" t="s">
        <v>22</v>
      </c>
      <c r="F864" s="71">
        <v>45291</v>
      </c>
      <c r="G864" s="5">
        <v>2023</v>
      </c>
      <c r="H864" s="5" t="s">
        <v>23</v>
      </c>
      <c r="I864" s="6" t="s">
        <v>28</v>
      </c>
      <c r="J864" s="5">
        <v>70</v>
      </c>
      <c r="K864" s="5">
        <v>118</v>
      </c>
      <c r="L864" s="14">
        <f t="shared" si="60"/>
        <v>1.3</v>
      </c>
      <c r="M864" s="14">
        <f t="shared" si="61"/>
        <v>1.6857142857142857</v>
      </c>
      <c r="N864" s="5"/>
      <c r="O864" s="5"/>
      <c r="P864" s="5">
        <v>0</v>
      </c>
      <c r="Q864" s="5">
        <v>0</v>
      </c>
      <c r="R864" s="5" t="s">
        <v>779</v>
      </c>
    </row>
    <row r="865" spans="1:18" x14ac:dyDescent="0.3">
      <c r="A865" s="26">
        <v>310</v>
      </c>
      <c r="B865" s="5" t="s">
        <v>778</v>
      </c>
      <c r="C865" s="5" t="s">
        <v>246</v>
      </c>
      <c r="D865" s="5" t="s">
        <v>27</v>
      </c>
      <c r="E865" s="5" t="s">
        <v>22</v>
      </c>
      <c r="F865" s="71">
        <v>45473</v>
      </c>
      <c r="G865" s="5">
        <v>2024</v>
      </c>
      <c r="H865" s="5" t="s">
        <v>699</v>
      </c>
      <c r="I865" s="6" t="s">
        <v>729</v>
      </c>
      <c r="J865" s="5">
        <v>100</v>
      </c>
      <c r="K865" s="5">
        <v>95.56</v>
      </c>
      <c r="L865" s="14">
        <f t="shared" si="60"/>
        <v>0.9556</v>
      </c>
      <c r="M865" s="14">
        <f t="shared" si="61"/>
        <v>0.9556</v>
      </c>
      <c r="N865" s="5"/>
      <c r="O865" s="5"/>
      <c r="P865" s="5">
        <v>0</v>
      </c>
      <c r="Q865" s="5">
        <v>0</v>
      </c>
      <c r="R865" s="5" t="s">
        <v>2599</v>
      </c>
    </row>
    <row r="866" spans="1:18" x14ac:dyDescent="0.3">
      <c r="A866" s="5">
        <v>310</v>
      </c>
      <c r="B866" s="5" t="s">
        <v>778</v>
      </c>
      <c r="C866" s="5" t="s">
        <v>246</v>
      </c>
      <c r="D866" s="5" t="s">
        <v>27</v>
      </c>
      <c r="E866" s="5" t="s">
        <v>22</v>
      </c>
      <c r="F866" s="71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5">
        <v>79.13</v>
      </c>
      <c r="L866" s="14">
        <f t="shared" si="60"/>
        <v>0.7913</v>
      </c>
      <c r="M866" s="14">
        <f t="shared" si="61"/>
        <v>0.7913</v>
      </c>
      <c r="N866" s="5"/>
      <c r="O866" s="5"/>
      <c r="P866" s="5">
        <v>0</v>
      </c>
      <c r="Q866" s="5">
        <v>0</v>
      </c>
      <c r="R866" s="5" t="s">
        <v>780</v>
      </c>
    </row>
    <row r="867" spans="1:18" x14ac:dyDescent="0.3">
      <c r="A867" s="5">
        <v>311</v>
      </c>
      <c r="B867" s="5" t="s">
        <v>781</v>
      </c>
      <c r="C867" s="5" t="s">
        <v>246</v>
      </c>
      <c r="D867" s="5" t="s">
        <v>27</v>
      </c>
      <c r="E867" s="5" t="s">
        <v>22</v>
      </c>
      <c r="F867" s="71">
        <v>45107</v>
      </c>
      <c r="G867" s="5">
        <v>2023</v>
      </c>
      <c r="H867" s="5" t="s">
        <v>699</v>
      </c>
      <c r="I867" s="6" t="s">
        <v>1512</v>
      </c>
      <c r="J867" s="5">
        <v>22</v>
      </c>
      <c r="K867" s="10">
        <v>85</v>
      </c>
      <c r="L867" s="14">
        <f t="shared" si="60"/>
        <v>1.3</v>
      </c>
      <c r="M867" s="14">
        <f t="shared" si="61"/>
        <v>3.8636363636363638</v>
      </c>
      <c r="N867" s="5"/>
      <c r="O867" s="5"/>
      <c r="P867" s="5">
        <v>0</v>
      </c>
      <c r="Q867" s="5">
        <v>0</v>
      </c>
      <c r="R867" s="5" t="s">
        <v>2600</v>
      </c>
    </row>
    <row r="868" spans="1:18" x14ac:dyDescent="0.3">
      <c r="A868" s="5">
        <v>311</v>
      </c>
      <c r="B868" s="5" t="s">
        <v>781</v>
      </c>
      <c r="C868" s="5" t="s">
        <v>246</v>
      </c>
      <c r="D868" s="5" t="s">
        <v>27</v>
      </c>
      <c r="E868" s="5" t="s">
        <v>22</v>
      </c>
      <c r="F868" s="70">
        <v>45291</v>
      </c>
      <c r="G868" s="15">
        <v>2023</v>
      </c>
      <c r="H868" s="6" t="s">
        <v>23</v>
      </c>
      <c r="I868" s="27" t="s">
        <v>28</v>
      </c>
      <c r="J868" s="5">
        <v>245</v>
      </c>
      <c r="K868" s="5">
        <v>247</v>
      </c>
      <c r="L868" s="14">
        <f t="shared" si="60"/>
        <v>1.0081632653061225</v>
      </c>
      <c r="M868" s="14">
        <f t="shared" si="61"/>
        <v>1.0081632653061225</v>
      </c>
      <c r="N868" s="5"/>
      <c r="O868" s="5"/>
      <c r="P868" s="5">
        <v>0</v>
      </c>
      <c r="Q868" s="5">
        <v>0</v>
      </c>
      <c r="R868" s="5" t="s">
        <v>782</v>
      </c>
    </row>
    <row r="869" spans="1:18" x14ac:dyDescent="0.3">
      <c r="A869" s="26">
        <v>311</v>
      </c>
      <c r="B869" s="5" t="s">
        <v>781</v>
      </c>
      <c r="C869" s="5" t="s">
        <v>246</v>
      </c>
      <c r="D869" s="5" t="s">
        <v>27</v>
      </c>
      <c r="E869" s="5" t="s">
        <v>22</v>
      </c>
      <c r="F869" s="71">
        <v>45473</v>
      </c>
      <c r="G869" s="5">
        <v>2024</v>
      </c>
      <c r="H869" s="5" t="s">
        <v>699</v>
      </c>
      <c r="I869" s="6" t="s">
        <v>729</v>
      </c>
      <c r="J869" s="5">
        <v>100</v>
      </c>
      <c r="K869" s="5">
        <v>117.65</v>
      </c>
      <c r="L869" s="14">
        <f t="shared" si="60"/>
        <v>1.1765000000000001</v>
      </c>
      <c r="M869" s="14">
        <f t="shared" si="61"/>
        <v>1.1765000000000001</v>
      </c>
      <c r="N869" s="5"/>
      <c r="O869" s="5"/>
      <c r="P869" s="5">
        <v>0</v>
      </c>
      <c r="Q869" s="5">
        <v>0</v>
      </c>
      <c r="R869" s="5" t="s">
        <v>2601</v>
      </c>
    </row>
    <row r="870" spans="1:18" x14ac:dyDescent="0.3">
      <c r="A870" s="5">
        <v>311</v>
      </c>
      <c r="B870" s="5" t="s">
        <v>781</v>
      </c>
      <c r="C870" s="5" t="s">
        <v>246</v>
      </c>
      <c r="D870" s="5" t="s">
        <v>27</v>
      </c>
      <c r="E870" s="5" t="s">
        <v>22</v>
      </c>
      <c r="F870" s="71">
        <v>45657</v>
      </c>
      <c r="G870" s="5">
        <v>2024</v>
      </c>
      <c r="H870" s="5" t="s">
        <v>23</v>
      </c>
      <c r="I870" s="6" t="s">
        <v>30</v>
      </c>
      <c r="J870" s="5">
        <v>100</v>
      </c>
      <c r="K870" s="5">
        <v>67.760000000000005</v>
      </c>
      <c r="L870" s="14">
        <f t="shared" si="60"/>
        <v>0.67760000000000009</v>
      </c>
      <c r="M870" s="14">
        <f t="shared" si="61"/>
        <v>0.67760000000000009</v>
      </c>
      <c r="N870" s="5"/>
      <c r="O870" s="5"/>
      <c r="P870" s="5">
        <v>0</v>
      </c>
      <c r="Q870" s="5">
        <v>0</v>
      </c>
      <c r="R870" s="5" t="s">
        <v>783</v>
      </c>
    </row>
    <row r="871" spans="1:18" x14ac:dyDescent="0.3">
      <c r="A871" s="5">
        <v>312</v>
      </c>
      <c r="B871" s="5" t="s">
        <v>784</v>
      </c>
      <c r="C871" s="5" t="s">
        <v>246</v>
      </c>
      <c r="D871" s="5" t="s">
        <v>27</v>
      </c>
      <c r="E871" s="5" t="s">
        <v>22</v>
      </c>
      <c r="F871" s="71">
        <v>45107</v>
      </c>
      <c r="G871" s="5">
        <v>2023</v>
      </c>
      <c r="H871" s="5" t="s">
        <v>699</v>
      </c>
      <c r="I871" s="6" t="s">
        <v>1512</v>
      </c>
      <c r="J871" s="5">
        <v>113</v>
      </c>
      <c r="K871" s="5">
        <v>125</v>
      </c>
      <c r="L871" s="14">
        <f t="shared" si="60"/>
        <v>1.1061946902654867</v>
      </c>
      <c r="M871" s="14">
        <f t="shared" si="61"/>
        <v>1.1061946902654867</v>
      </c>
      <c r="N871" s="5"/>
      <c r="O871" s="5"/>
      <c r="P871" s="5">
        <v>0</v>
      </c>
      <c r="Q871" s="5">
        <v>0</v>
      </c>
      <c r="R871" s="5" t="s">
        <v>2602</v>
      </c>
    </row>
    <row r="872" spans="1:18" x14ac:dyDescent="0.3">
      <c r="A872" s="28">
        <v>312</v>
      </c>
      <c r="B872" s="5" t="s">
        <v>784</v>
      </c>
      <c r="C872" s="5" t="s">
        <v>246</v>
      </c>
      <c r="D872" s="5" t="s">
        <v>27</v>
      </c>
      <c r="E872" s="5" t="s">
        <v>22</v>
      </c>
      <c r="F872" s="71">
        <v>45291</v>
      </c>
      <c r="G872" s="5">
        <v>2023</v>
      </c>
      <c r="H872" s="5" t="s">
        <v>23</v>
      </c>
      <c r="I872" s="6" t="s">
        <v>28</v>
      </c>
      <c r="J872" s="5">
        <v>108</v>
      </c>
      <c r="K872" s="5">
        <v>118</v>
      </c>
      <c r="L872" s="14">
        <f t="shared" si="60"/>
        <v>1.0925925925925926</v>
      </c>
      <c r="M872" s="14">
        <f t="shared" si="61"/>
        <v>1.0925925925925926</v>
      </c>
      <c r="N872" s="5"/>
      <c r="O872" s="5"/>
      <c r="P872" s="5">
        <v>0</v>
      </c>
      <c r="Q872" s="5">
        <v>0</v>
      </c>
      <c r="R872" s="5" t="s">
        <v>785</v>
      </c>
    </row>
    <row r="873" spans="1:18" x14ac:dyDescent="0.3">
      <c r="A873" s="26">
        <v>312</v>
      </c>
      <c r="B873" s="5" t="s">
        <v>784</v>
      </c>
      <c r="C873" s="5" t="s">
        <v>246</v>
      </c>
      <c r="D873" s="5" t="s">
        <v>27</v>
      </c>
      <c r="E873" s="5" t="s">
        <v>22</v>
      </c>
      <c r="F873" s="71">
        <v>45473</v>
      </c>
      <c r="G873" s="5">
        <v>2024</v>
      </c>
      <c r="H873" s="5" t="s">
        <v>699</v>
      </c>
      <c r="I873" s="6" t="s">
        <v>729</v>
      </c>
      <c r="J873" s="5">
        <v>100</v>
      </c>
      <c r="K873" s="5">
        <v>126</v>
      </c>
      <c r="L873" s="14">
        <f t="shared" si="60"/>
        <v>1.26</v>
      </c>
      <c r="M873" s="14">
        <f t="shared" si="61"/>
        <v>1.26</v>
      </c>
      <c r="N873" s="5"/>
      <c r="O873" s="5"/>
      <c r="P873" s="5">
        <v>0</v>
      </c>
      <c r="Q873" s="5">
        <v>0</v>
      </c>
      <c r="R873" s="5" t="s">
        <v>2603</v>
      </c>
    </row>
    <row r="874" spans="1:18" x14ac:dyDescent="0.3">
      <c r="A874" s="5">
        <v>312</v>
      </c>
      <c r="B874" s="5" t="s">
        <v>784</v>
      </c>
      <c r="C874" s="5" t="s">
        <v>246</v>
      </c>
      <c r="D874" s="5" t="s">
        <v>27</v>
      </c>
      <c r="E874" s="5" t="s">
        <v>22</v>
      </c>
      <c r="F874" s="71">
        <v>45657</v>
      </c>
      <c r="G874" s="5">
        <v>2024</v>
      </c>
      <c r="H874" s="5" t="s">
        <v>23</v>
      </c>
      <c r="I874" s="6" t="s">
        <v>30</v>
      </c>
      <c r="J874" s="5">
        <v>100</v>
      </c>
      <c r="K874" s="5">
        <v>137</v>
      </c>
      <c r="L874" s="14">
        <f t="shared" si="60"/>
        <v>1.3</v>
      </c>
      <c r="M874" s="14">
        <f t="shared" si="61"/>
        <v>1.37</v>
      </c>
      <c r="N874" s="5"/>
      <c r="O874" s="5"/>
      <c r="P874" s="5">
        <v>0</v>
      </c>
      <c r="Q874" s="5">
        <v>0</v>
      </c>
      <c r="R874" s="5" t="s">
        <v>786</v>
      </c>
    </row>
    <row r="875" spans="1:18" x14ac:dyDescent="0.3">
      <c r="A875" s="5">
        <v>313</v>
      </c>
      <c r="B875" s="5" t="s">
        <v>787</v>
      </c>
      <c r="C875" s="5" t="s">
        <v>246</v>
      </c>
      <c r="D875" s="5" t="s">
        <v>27</v>
      </c>
      <c r="E875" s="5" t="s">
        <v>22</v>
      </c>
      <c r="F875" s="71">
        <v>45107</v>
      </c>
      <c r="G875" s="5">
        <v>2023</v>
      </c>
      <c r="H875" s="5" t="s">
        <v>699</v>
      </c>
      <c r="I875" s="6" t="s">
        <v>1512</v>
      </c>
      <c r="J875" s="5">
        <v>13</v>
      </c>
      <c r="K875" s="10">
        <v>13</v>
      </c>
      <c r="L875" s="14">
        <f t="shared" si="60"/>
        <v>1</v>
      </c>
      <c r="M875" s="14">
        <f t="shared" si="61"/>
        <v>1</v>
      </c>
      <c r="N875" s="5"/>
      <c r="O875" s="5"/>
      <c r="P875" s="5">
        <v>0</v>
      </c>
      <c r="Q875" s="5">
        <v>0</v>
      </c>
      <c r="R875" s="5" t="s">
        <v>2604</v>
      </c>
    </row>
    <row r="876" spans="1:18" x14ac:dyDescent="0.3">
      <c r="A876" s="28">
        <v>313</v>
      </c>
      <c r="B876" s="5" t="s">
        <v>787</v>
      </c>
      <c r="C876" s="5" t="s">
        <v>246</v>
      </c>
      <c r="D876" s="5" t="s">
        <v>27</v>
      </c>
      <c r="E876" s="5" t="s">
        <v>22</v>
      </c>
      <c r="F876" s="71">
        <v>45291</v>
      </c>
      <c r="G876" s="5">
        <v>2023</v>
      </c>
      <c r="H876" s="5" t="s">
        <v>23</v>
      </c>
      <c r="I876" s="6" t="s">
        <v>28</v>
      </c>
      <c r="J876" s="5">
        <v>15</v>
      </c>
      <c r="K876" s="5">
        <v>12</v>
      </c>
      <c r="L876" s="14">
        <f t="shared" si="60"/>
        <v>0.8</v>
      </c>
      <c r="M876" s="14">
        <f t="shared" si="61"/>
        <v>0.8</v>
      </c>
      <c r="N876" s="5"/>
      <c r="O876" s="5"/>
      <c r="P876" s="5">
        <v>0</v>
      </c>
      <c r="Q876" s="5">
        <v>0</v>
      </c>
      <c r="R876" s="5" t="s">
        <v>788</v>
      </c>
    </row>
    <row r="877" spans="1:18" x14ac:dyDescent="0.3">
      <c r="A877" s="26">
        <v>313</v>
      </c>
      <c r="B877" s="5" t="s">
        <v>787</v>
      </c>
      <c r="C877" s="5" t="s">
        <v>246</v>
      </c>
      <c r="D877" s="5" t="s">
        <v>27</v>
      </c>
      <c r="E877" s="5" t="s">
        <v>22</v>
      </c>
      <c r="F877" s="71">
        <v>45473</v>
      </c>
      <c r="G877" s="5">
        <v>2024</v>
      </c>
      <c r="H877" s="5" t="s">
        <v>699</v>
      </c>
      <c r="I877" s="6" t="s">
        <v>729</v>
      </c>
      <c r="J877" s="5">
        <v>100</v>
      </c>
      <c r="K877" s="5">
        <v>100</v>
      </c>
      <c r="L877" s="14">
        <f t="shared" si="60"/>
        <v>1</v>
      </c>
      <c r="M877" s="14">
        <f t="shared" si="61"/>
        <v>1</v>
      </c>
      <c r="N877" s="5"/>
      <c r="O877" s="5"/>
      <c r="P877" s="5">
        <v>0</v>
      </c>
      <c r="Q877" s="5">
        <v>0</v>
      </c>
      <c r="R877" s="5" t="s">
        <v>2605</v>
      </c>
    </row>
    <row r="878" spans="1:18" x14ac:dyDescent="0.3">
      <c r="A878" s="5">
        <v>313</v>
      </c>
      <c r="B878" s="5" t="s">
        <v>787</v>
      </c>
      <c r="C878" s="5" t="s">
        <v>246</v>
      </c>
      <c r="D878" s="5" t="s">
        <v>27</v>
      </c>
      <c r="E878" s="5" t="s">
        <v>22</v>
      </c>
      <c r="F878" s="71">
        <v>45657</v>
      </c>
      <c r="G878" s="5">
        <v>2024</v>
      </c>
      <c r="H878" s="5" t="s">
        <v>23</v>
      </c>
      <c r="I878" s="6" t="s">
        <v>30</v>
      </c>
      <c r="J878" s="5">
        <v>100</v>
      </c>
      <c r="K878" s="5">
        <v>100</v>
      </c>
      <c r="L878" s="14">
        <f t="shared" si="60"/>
        <v>1</v>
      </c>
      <c r="M878" s="14">
        <f t="shared" si="61"/>
        <v>1</v>
      </c>
      <c r="N878" s="5"/>
      <c r="O878" s="5"/>
      <c r="P878" s="5">
        <v>0</v>
      </c>
      <c r="Q878" s="5">
        <v>0</v>
      </c>
      <c r="R878" s="5" t="s">
        <v>789</v>
      </c>
    </row>
    <row r="879" spans="1:18" x14ac:dyDescent="0.3">
      <c r="A879" s="5">
        <v>314</v>
      </c>
      <c r="B879" s="5" t="s">
        <v>790</v>
      </c>
      <c r="C879" s="5" t="s">
        <v>246</v>
      </c>
      <c r="D879" s="5" t="s">
        <v>27</v>
      </c>
      <c r="E879" s="5" t="s">
        <v>22</v>
      </c>
      <c r="F879" s="71">
        <v>45107</v>
      </c>
      <c r="G879" s="5">
        <v>2023</v>
      </c>
      <c r="H879" s="5" t="s">
        <v>699</v>
      </c>
      <c r="I879" s="6" t="s">
        <v>1512</v>
      </c>
      <c r="J879" s="5">
        <v>9</v>
      </c>
      <c r="K879" s="5">
        <v>13</v>
      </c>
      <c r="L879" s="14">
        <f t="shared" si="60"/>
        <v>1.3</v>
      </c>
      <c r="M879" s="14">
        <f t="shared" si="61"/>
        <v>1.4444444444444444</v>
      </c>
      <c r="N879" s="5"/>
      <c r="O879" s="5"/>
      <c r="P879" s="5">
        <v>0</v>
      </c>
      <c r="Q879" s="5">
        <v>0</v>
      </c>
      <c r="R879" s="5" t="s">
        <v>2606</v>
      </c>
    </row>
    <row r="880" spans="1:18" x14ac:dyDescent="0.3">
      <c r="A880" s="26">
        <v>314</v>
      </c>
      <c r="B880" s="5" t="s">
        <v>790</v>
      </c>
      <c r="C880" s="5" t="s">
        <v>246</v>
      </c>
      <c r="D880" s="5" t="s">
        <v>27</v>
      </c>
      <c r="E880" s="5" t="s">
        <v>22</v>
      </c>
      <c r="F880" s="71">
        <v>45291</v>
      </c>
      <c r="G880" s="5">
        <v>2023</v>
      </c>
      <c r="H880" s="5" t="s">
        <v>23</v>
      </c>
      <c r="I880" s="6" t="s">
        <v>28</v>
      </c>
      <c r="J880" s="5">
        <v>14</v>
      </c>
      <c r="K880" s="5">
        <v>16</v>
      </c>
      <c r="L880" s="74">
        <f t="shared" si="60"/>
        <v>1.1428571428571428</v>
      </c>
      <c r="M880" s="14">
        <f t="shared" si="61"/>
        <v>1.1428571428571428</v>
      </c>
      <c r="N880" s="5"/>
      <c r="O880" s="5"/>
      <c r="P880" s="5">
        <v>0</v>
      </c>
      <c r="Q880" s="5">
        <v>0</v>
      </c>
      <c r="R880" s="5" t="s">
        <v>791</v>
      </c>
    </row>
    <row r="881" spans="1:18" x14ac:dyDescent="0.3">
      <c r="A881" s="5">
        <v>314</v>
      </c>
      <c r="B881" s="5" t="s">
        <v>790</v>
      </c>
      <c r="C881" s="5" t="s">
        <v>246</v>
      </c>
      <c r="D881" s="5" t="s">
        <v>27</v>
      </c>
      <c r="E881" s="5" t="s">
        <v>22</v>
      </c>
      <c r="F881" s="71">
        <v>45473</v>
      </c>
      <c r="G881" s="5">
        <v>2024</v>
      </c>
      <c r="H881" s="5" t="s">
        <v>699</v>
      </c>
      <c r="I881" s="6" t="s">
        <v>729</v>
      </c>
      <c r="J881" s="5">
        <v>100</v>
      </c>
      <c r="K881" s="5">
        <v>140</v>
      </c>
      <c r="L881" s="14">
        <f t="shared" si="60"/>
        <v>1.3</v>
      </c>
      <c r="M881" s="14">
        <f t="shared" si="61"/>
        <v>1.4</v>
      </c>
      <c r="N881" s="5"/>
      <c r="O881" s="5"/>
      <c r="P881" s="5">
        <v>0</v>
      </c>
      <c r="Q881" s="5">
        <v>0</v>
      </c>
      <c r="R881" s="5" t="s">
        <v>2607</v>
      </c>
    </row>
    <row r="882" spans="1:18" x14ac:dyDescent="0.3">
      <c r="A882" s="28">
        <v>314</v>
      </c>
      <c r="B882" s="5" t="s">
        <v>790</v>
      </c>
      <c r="C882" s="5" t="s">
        <v>246</v>
      </c>
      <c r="D882" s="5" t="s">
        <v>27</v>
      </c>
      <c r="E882" s="5" t="s">
        <v>22</v>
      </c>
      <c r="F882" s="71">
        <v>45657</v>
      </c>
      <c r="G882" s="5">
        <v>2024</v>
      </c>
      <c r="H882" s="5" t="s">
        <v>23</v>
      </c>
      <c r="I882" s="6" t="s">
        <v>30</v>
      </c>
      <c r="J882" s="5">
        <v>100</v>
      </c>
      <c r="K882" s="5">
        <v>145</v>
      </c>
      <c r="L882" s="74">
        <f t="shared" si="60"/>
        <v>1.3</v>
      </c>
      <c r="M882" s="14">
        <f t="shared" si="61"/>
        <v>1.45</v>
      </c>
      <c r="N882" s="5"/>
      <c r="O882" s="5"/>
      <c r="P882" s="5">
        <v>0</v>
      </c>
      <c r="Q882" s="5">
        <v>0</v>
      </c>
      <c r="R882" s="5" t="s">
        <v>792</v>
      </c>
    </row>
    <row r="883" spans="1:18" x14ac:dyDescent="0.3">
      <c r="A883" s="26">
        <v>315</v>
      </c>
      <c r="B883" s="5" t="s">
        <v>793</v>
      </c>
      <c r="C883" s="5" t="s">
        <v>246</v>
      </c>
      <c r="D883" s="5" t="s">
        <v>27</v>
      </c>
      <c r="E883" s="5" t="s">
        <v>22</v>
      </c>
      <c r="F883" s="71">
        <v>45107</v>
      </c>
      <c r="G883" s="5">
        <v>2023</v>
      </c>
      <c r="H883" s="5" t="s">
        <v>699</v>
      </c>
      <c r="I883" s="6" t="s">
        <v>1512</v>
      </c>
      <c r="J883" s="5">
        <v>5</v>
      </c>
      <c r="K883" s="5">
        <v>7</v>
      </c>
      <c r="L883" s="74">
        <f t="shared" si="60"/>
        <v>1.3</v>
      </c>
      <c r="M883" s="14">
        <f t="shared" si="61"/>
        <v>1.4</v>
      </c>
      <c r="N883" s="5"/>
      <c r="O883" s="5"/>
      <c r="P883" s="5">
        <v>0</v>
      </c>
      <c r="Q883" s="5">
        <v>0</v>
      </c>
      <c r="R883" s="5" t="s">
        <v>2608</v>
      </c>
    </row>
    <row r="884" spans="1:18" x14ac:dyDescent="0.3">
      <c r="A884" s="5">
        <v>315</v>
      </c>
      <c r="B884" s="5" t="s">
        <v>793</v>
      </c>
      <c r="C884" s="5" t="s">
        <v>246</v>
      </c>
      <c r="D884" s="5" t="s">
        <v>27</v>
      </c>
      <c r="E884" s="5" t="s">
        <v>22</v>
      </c>
      <c r="F884" s="71">
        <v>45291</v>
      </c>
      <c r="G884" s="5">
        <v>2023</v>
      </c>
      <c r="H884" s="5" t="s">
        <v>23</v>
      </c>
      <c r="I884" s="6" t="s">
        <v>28</v>
      </c>
      <c r="J884" s="5">
        <v>0</v>
      </c>
      <c r="K884" s="5">
        <v>0</v>
      </c>
      <c r="L884" s="14" t="str">
        <f t="shared" si="60"/>
        <v/>
      </c>
      <c r="M884" s="14" t="str">
        <f t="shared" si="61"/>
        <v/>
      </c>
      <c r="N884" s="5"/>
      <c r="O884" s="5"/>
      <c r="P884" s="5">
        <v>0</v>
      </c>
      <c r="Q884" s="5">
        <v>0</v>
      </c>
      <c r="R884" s="5" t="s">
        <v>794</v>
      </c>
    </row>
    <row r="885" spans="1:18" x14ac:dyDescent="0.3">
      <c r="A885" s="5">
        <v>315</v>
      </c>
      <c r="B885" s="5" t="s">
        <v>795</v>
      </c>
      <c r="C885" s="5" t="s">
        <v>246</v>
      </c>
      <c r="D885" s="5" t="s">
        <v>27</v>
      </c>
      <c r="E885" s="5" t="s">
        <v>22</v>
      </c>
      <c r="F885" s="71">
        <v>45473</v>
      </c>
      <c r="G885" s="5">
        <v>2024</v>
      </c>
      <c r="H885" s="5" t="s">
        <v>699</v>
      </c>
      <c r="I885" s="6" t="s">
        <v>729</v>
      </c>
      <c r="J885" s="5"/>
      <c r="K885" s="5"/>
      <c r="L885" s="14"/>
      <c r="M885" s="14"/>
      <c r="N885" s="5"/>
      <c r="O885" s="5"/>
      <c r="P885" s="5">
        <v>0</v>
      </c>
      <c r="Q885" s="5">
        <v>0</v>
      </c>
      <c r="R885" s="5" t="s">
        <v>3249</v>
      </c>
    </row>
    <row r="886" spans="1:18" x14ac:dyDescent="0.3">
      <c r="A886" s="28">
        <v>315</v>
      </c>
      <c r="B886" s="5" t="s">
        <v>795</v>
      </c>
      <c r="C886" s="5" t="s">
        <v>246</v>
      </c>
      <c r="D886" s="5" t="s">
        <v>27</v>
      </c>
      <c r="E886" s="5" t="s">
        <v>22</v>
      </c>
      <c r="F886" s="71">
        <v>45657</v>
      </c>
      <c r="G886" s="5">
        <v>2024</v>
      </c>
      <c r="H886" s="5" t="s">
        <v>23</v>
      </c>
      <c r="I886" s="6" t="s">
        <v>30</v>
      </c>
      <c r="J886" s="5"/>
      <c r="K886" s="5"/>
      <c r="L886" s="14"/>
      <c r="M886" s="14"/>
      <c r="N886" s="5"/>
      <c r="O886" s="5"/>
      <c r="P886" s="5">
        <v>0</v>
      </c>
      <c r="Q886" s="5">
        <v>0</v>
      </c>
      <c r="R886" s="5" t="s">
        <v>796</v>
      </c>
    </row>
    <row r="887" spans="1:18" x14ac:dyDescent="0.3">
      <c r="A887" s="26">
        <v>316</v>
      </c>
      <c r="B887" s="5" t="s">
        <v>797</v>
      </c>
      <c r="C887" s="5" t="s">
        <v>246</v>
      </c>
      <c r="D887" s="5" t="s">
        <v>27</v>
      </c>
      <c r="E887" s="5" t="s">
        <v>22</v>
      </c>
      <c r="F887" s="71">
        <v>45107</v>
      </c>
      <c r="G887" s="5">
        <v>2023</v>
      </c>
      <c r="H887" s="5" t="s">
        <v>699</v>
      </c>
      <c r="I887" s="6" t="s">
        <v>1512</v>
      </c>
      <c r="J887" s="5">
        <v>9</v>
      </c>
      <c r="K887" s="5">
        <v>11</v>
      </c>
      <c r="L887" s="14">
        <f t="shared" ref="L887:L914" si="62">IFERROR(IF(OR(J887=0,K887=""),"",IF(E887="Positivo",MIN(MAX(K887/J887,0),1.3),MIN(MAX(J887/K887,0),1.3))),"")</f>
        <v>1.2222222222222223</v>
      </c>
      <c r="M887" s="14">
        <f t="shared" ref="M887:M914" si="63">IFERROR(IF(OR(J887=0,K887=""),"",IF(E887="Positivo",MAX(K887/J887,0),MAX(J887/K887,0))),"")</f>
        <v>1.2222222222222223</v>
      </c>
      <c r="N887" s="5"/>
      <c r="O887" s="5"/>
      <c r="P887" s="5">
        <v>0</v>
      </c>
      <c r="Q887" s="5">
        <v>0</v>
      </c>
      <c r="R887" s="5" t="s">
        <v>2609</v>
      </c>
    </row>
    <row r="888" spans="1:18" x14ac:dyDescent="0.3">
      <c r="A888" s="5">
        <v>316</v>
      </c>
      <c r="B888" s="5" t="s">
        <v>797</v>
      </c>
      <c r="C888" s="5" t="s">
        <v>246</v>
      </c>
      <c r="D888" s="5" t="s">
        <v>27</v>
      </c>
      <c r="E888" s="5" t="s">
        <v>22</v>
      </c>
      <c r="F888" s="71">
        <v>45291</v>
      </c>
      <c r="G888" s="5">
        <v>2023</v>
      </c>
      <c r="H888" s="5" t="s">
        <v>23</v>
      </c>
      <c r="I888" s="6" t="s">
        <v>28</v>
      </c>
      <c r="J888" s="5">
        <v>12</v>
      </c>
      <c r="K888" s="5">
        <v>11</v>
      </c>
      <c r="L888" s="14">
        <f t="shared" si="62"/>
        <v>0.91666666666666663</v>
      </c>
      <c r="M888" s="14">
        <f t="shared" si="63"/>
        <v>0.91666666666666663</v>
      </c>
      <c r="N888" s="5"/>
      <c r="O888" s="5"/>
      <c r="P888" s="5">
        <v>0</v>
      </c>
      <c r="Q888" s="5">
        <v>0</v>
      </c>
      <c r="R888" s="5" t="s">
        <v>798</v>
      </c>
    </row>
    <row r="889" spans="1:18" x14ac:dyDescent="0.3">
      <c r="A889" s="5">
        <v>317</v>
      </c>
      <c r="B889" s="5" t="s">
        <v>799</v>
      </c>
      <c r="C889" s="5" t="s">
        <v>246</v>
      </c>
      <c r="D889" s="5" t="s">
        <v>71</v>
      </c>
      <c r="E889" s="5" t="s">
        <v>22</v>
      </c>
      <c r="F889" s="71">
        <v>45291</v>
      </c>
      <c r="G889" s="5">
        <v>2023</v>
      </c>
      <c r="H889" s="5" t="s">
        <v>23</v>
      </c>
      <c r="I889" s="6" t="s">
        <v>28</v>
      </c>
      <c r="J889" s="5">
        <v>12</v>
      </c>
      <c r="K889" s="5">
        <v>12</v>
      </c>
      <c r="L889" s="14">
        <f t="shared" si="62"/>
        <v>1</v>
      </c>
      <c r="M889" s="14">
        <f t="shared" si="63"/>
        <v>1</v>
      </c>
      <c r="N889" s="5"/>
      <c r="O889" s="5"/>
      <c r="P889" s="5">
        <v>0</v>
      </c>
      <c r="Q889" s="5">
        <v>0</v>
      </c>
      <c r="R889" s="5" t="s">
        <v>800</v>
      </c>
    </row>
    <row r="890" spans="1:18" x14ac:dyDescent="0.3">
      <c r="A890" s="28">
        <v>317</v>
      </c>
      <c r="B890" s="5" t="s">
        <v>799</v>
      </c>
      <c r="C890" s="5" t="s">
        <v>246</v>
      </c>
      <c r="D890" s="5" t="s">
        <v>71</v>
      </c>
      <c r="E890" s="5" t="s">
        <v>22</v>
      </c>
      <c r="F890" s="71">
        <v>45657</v>
      </c>
      <c r="G890" s="5">
        <v>2024</v>
      </c>
      <c r="H890" s="5" t="s">
        <v>23</v>
      </c>
      <c r="I890" s="6" t="s">
        <v>30</v>
      </c>
      <c r="J890" s="5">
        <v>100</v>
      </c>
      <c r="K890" s="5">
        <v>100</v>
      </c>
      <c r="L890" s="74">
        <f t="shared" si="62"/>
        <v>1</v>
      </c>
      <c r="M890" s="14">
        <f t="shared" si="63"/>
        <v>1</v>
      </c>
      <c r="N890" s="5"/>
      <c r="O890" s="5"/>
      <c r="P890" s="5">
        <v>0</v>
      </c>
      <c r="Q890" s="5">
        <v>0</v>
      </c>
      <c r="R890" s="5" t="s">
        <v>801</v>
      </c>
    </row>
    <row r="891" spans="1:18" x14ac:dyDescent="0.3">
      <c r="A891" s="26">
        <v>318</v>
      </c>
      <c r="B891" s="5" t="s">
        <v>802</v>
      </c>
      <c r="C891" s="5" t="s">
        <v>246</v>
      </c>
      <c r="D891" s="5" t="s">
        <v>27</v>
      </c>
      <c r="E891" s="5" t="s">
        <v>22</v>
      </c>
      <c r="F891" s="71">
        <v>45107</v>
      </c>
      <c r="G891" s="5">
        <v>2023</v>
      </c>
      <c r="H891" s="5" t="s">
        <v>699</v>
      </c>
      <c r="I891" s="6" t="s">
        <v>1512</v>
      </c>
      <c r="J891" s="5">
        <v>80</v>
      </c>
      <c r="K891" s="5">
        <v>85.981308411214997</v>
      </c>
      <c r="L891" s="74">
        <f t="shared" si="62"/>
        <v>1.0747663551401874</v>
      </c>
      <c r="M891" s="14">
        <f t="shared" si="63"/>
        <v>1.0747663551401874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2610</v>
      </c>
    </row>
    <row r="892" spans="1:18" x14ac:dyDescent="0.3">
      <c r="A892" s="5">
        <v>318</v>
      </c>
      <c r="B892" s="5" t="s">
        <v>802</v>
      </c>
      <c r="C892" s="5" t="s">
        <v>246</v>
      </c>
      <c r="D892" s="5" t="s">
        <v>27</v>
      </c>
      <c r="E892" s="5" t="s">
        <v>22</v>
      </c>
      <c r="F892" s="71">
        <v>45291</v>
      </c>
      <c r="G892" s="5">
        <v>2023</v>
      </c>
      <c r="H892" s="5" t="s">
        <v>23</v>
      </c>
      <c r="I892" s="6" t="s">
        <v>28</v>
      </c>
      <c r="J892" s="5">
        <v>80</v>
      </c>
      <c r="K892" s="5">
        <v>90.909090909090907</v>
      </c>
      <c r="L892" s="14">
        <f t="shared" si="62"/>
        <v>1.1363636363636362</v>
      </c>
      <c r="M892" s="14">
        <f t="shared" si="63"/>
        <v>1.1363636363636362</v>
      </c>
      <c r="N892" s="5" t="s">
        <v>25</v>
      </c>
      <c r="O892" s="5" t="s">
        <v>25</v>
      </c>
      <c r="P892" s="5">
        <v>0</v>
      </c>
      <c r="Q892" s="5">
        <v>0</v>
      </c>
      <c r="R892" s="5" t="s">
        <v>803</v>
      </c>
    </row>
    <row r="893" spans="1:18" x14ac:dyDescent="0.3">
      <c r="A893" s="5">
        <v>318</v>
      </c>
      <c r="B893" s="5" t="s">
        <v>804</v>
      </c>
      <c r="C893" s="5" t="s">
        <v>246</v>
      </c>
      <c r="D893" s="5" t="s">
        <v>71</v>
      </c>
      <c r="E893" s="5" t="s">
        <v>22</v>
      </c>
      <c r="F893" s="71">
        <v>45657</v>
      </c>
      <c r="G893" s="5">
        <v>2024</v>
      </c>
      <c r="H893" s="5" t="s">
        <v>23</v>
      </c>
      <c r="I893" s="6" t="s">
        <v>30</v>
      </c>
      <c r="J893" s="5">
        <v>80</v>
      </c>
      <c r="K893" s="5">
        <v>90.28</v>
      </c>
      <c r="L893" s="14">
        <f t="shared" si="62"/>
        <v>1.1285000000000001</v>
      </c>
      <c r="M893" s="14">
        <f t="shared" si="63"/>
        <v>1.1285000000000001</v>
      </c>
      <c r="N893" s="5"/>
      <c r="O893" s="5"/>
      <c r="P893" s="5">
        <v>0</v>
      </c>
      <c r="Q893" s="5">
        <v>0</v>
      </c>
      <c r="R893" s="5" t="s">
        <v>805</v>
      </c>
    </row>
    <row r="894" spans="1:18" x14ac:dyDescent="0.3">
      <c r="A894" s="26">
        <v>318</v>
      </c>
      <c r="B894" s="5" t="s">
        <v>804</v>
      </c>
      <c r="C894" s="5" t="s">
        <v>246</v>
      </c>
      <c r="D894" s="5" t="s">
        <v>71</v>
      </c>
      <c r="E894" s="5" t="s">
        <v>22</v>
      </c>
      <c r="F894" s="71">
        <v>46022</v>
      </c>
      <c r="G894" s="5">
        <v>2025</v>
      </c>
      <c r="H894" s="5" t="s">
        <v>23</v>
      </c>
      <c r="I894" s="6" t="s">
        <v>32</v>
      </c>
      <c r="J894" s="5">
        <v>85</v>
      </c>
      <c r="K894" s="5">
        <v>86.16</v>
      </c>
      <c r="L894" s="74">
        <f t="shared" si="62"/>
        <v>1.0136470588235293</v>
      </c>
      <c r="M894" s="14">
        <f t="shared" si="63"/>
        <v>1.0136470588235293</v>
      </c>
      <c r="N894" s="5" t="s">
        <v>25</v>
      </c>
      <c r="O894" s="5" t="s">
        <v>25</v>
      </c>
      <c r="P894" s="5">
        <v>0</v>
      </c>
      <c r="Q894" s="5">
        <v>0</v>
      </c>
      <c r="R894" s="5" t="s">
        <v>806</v>
      </c>
    </row>
    <row r="895" spans="1:18" x14ac:dyDescent="0.3">
      <c r="A895" s="5">
        <v>319</v>
      </c>
      <c r="B895" s="5" t="s">
        <v>807</v>
      </c>
      <c r="C895" s="5" t="s">
        <v>246</v>
      </c>
      <c r="D895" s="5" t="s">
        <v>27</v>
      </c>
      <c r="E895" s="5" t="s">
        <v>22</v>
      </c>
      <c r="F895" s="71">
        <v>45107</v>
      </c>
      <c r="G895" s="5">
        <v>2023</v>
      </c>
      <c r="H895" s="5" t="s">
        <v>699</v>
      </c>
      <c r="I895" s="6" t="s">
        <v>1512</v>
      </c>
      <c r="J895" s="5">
        <v>100</v>
      </c>
      <c r="K895" s="5">
        <v>80</v>
      </c>
      <c r="L895" s="14">
        <f t="shared" si="62"/>
        <v>0.8</v>
      </c>
      <c r="M895" s="14">
        <f t="shared" si="63"/>
        <v>0.8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2611</v>
      </c>
    </row>
    <row r="896" spans="1:18" x14ac:dyDescent="0.3">
      <c r="A896" s="5">
        <v>319</v>
      </c>
      <c r="B896" s="5" t="s">
        <v>807</v>
      </c>
      <c r="C896" s="5" t="s">
        <v>246</v>
      </c>
      <c r="D896" s="5" t="s">
        <v>27</v>
      </c>
      <c r="E896" s="5" t="s">
        <v>22</v>
      </c>
      <c r="F896" s="71">
        <v>45291</v>
      </c>
      <c r="G896" s="5">
        <v>2023</v>
      </c>
      <c r="H896" s="5" t="s">
        <v>23</v>
      </c>
      <c r="I896" s="6" t="s">
        <v>28</v>
      </c>
      <c r="J896" s="5">
        <v>100</v>
      </c>
      <c r="K896" s="5">
        <v>100</v>
      </c>
      <c r="L896" s="14">
        <f t="shared" si="62"/>
        <v>1</v>
      </c>
      <c r="M896" s="14">
        <f t="shared" si="63"/>
        <v>1</v>
      </c>
      <c r="N896" s="5" t="s">
        <v>25</v>
      </c>
      <c r="O896" s="5" t="s">
        <v>25</v>
      </c>
      <c r="P896" s="5">
        <v>0</v>
      </c>
      <c r="Q896" s="5">
        <v>0</v>
      </c>
      <c r="R896" s="5" t="s">
        <v>808</v>
      </c>
    </row>
    <row r="897" spans="1:18" x14ac:dyDescent="0.3">
      <c r="A897" s="26">
        <v>319</v>
      </c>
      <c r="B897" s="5" t="s">
        <v>807</v>
      </c>
      <c r="C897" s="5" t="s">
        <v>246</v>
      </c>
      <c r="D897" s="5" t="s">
        <v>27</v>
      </c>
      <c r="E897" s="5" t="s">
        <v>22</v>
      </c>
      <c r="F897" s="71">
        <v>45473</v>
      </c>
      <c r="G897" s="5">
        <v>2024</v>
      </c>
      <c r="H897" s="5" t="s">
        <v>699</v>
      </c>
      <c r="I897" s="6" t="s">
        <v>729</v>
      </c>
      <c r="J897" s="5">
        <v>100</v>
      </c>
      <c r="K897" s="5">
        <v>100</v>
      </c>
      <c r="L897" s="74">
        <f t="shared" si="62"/>
        <v>1</v>
      </c>
      <c r="M897" s="14">
        <f t="shared" si="63"/>
        <v>1</v>
      </c>
      <c r="N897" s="5"/>
      <c r="O897" s="5"/>
      <c r="P897" s="5">
        <v>0</v>
      </c>
      <c r="Q897" s="5">
        <v>0</v>
      </c>
      <c r="R897" s="5" t="s">
        <v>2612</v>
      </c>
    </row>
    <row r="898" spans="1:18" x14ac:dyDescent="0.3">
      <c r="A898" s="5">
        <v>319</v>
      </c>
      <c r="B898" s="5" t="s">
        <v>807</v>
      </c>
      <c r="C898" s="5" t="s">
        <v>246</v>
      </c>
      <c r="D898" s="5" t="s">
        <v>27</v>
      </c>
      <c r="E898" s="5" t="s">
        <v>22</v>
      </c>
      <c r="F898" s="71">
        <v>45657</v>
      </c>
      <c r="G898" s="5">
        <v>2024</v>
      </c>
      <c r="H898" s="5" t="s">
        <v>23</v>
      </c>
      <c r="I898" s="6" t="s">
        <v>30</v>
      </c>
      <c r="J898" s="5">
        <v>100</v>
      </c>
      <c r="K898" s="5">
        <v>100</v>
      </c>
      <c r="L898" s="14">
        <f t="shared" si="62"/>
        <v>1</v>
      </c>
      <c r="M898" s="14">
        <f t="shared" si="63"/>
        <v>1</v>
      </c>
      <c r="N898" s="5"/>
      <c r="O898" s="5"/>
      <c r="P898" s="5">
        <v>0</v>
      </c>
      <c r="Q898" s="5">
        <v>0</v>
      </c>
      <c r="R898" s="5" t="s">
        <v>809</v>
      </c>
    </row>
    <row r="899" spans="1:18" x14ac:dyDescent="0.3">
      <c r="A899" s="5">
        <v>320</v>
      </c>
      <c r="B899" s="5" t="s">
        <v>810</v>
      </c>
      <c r="C899" s="5" t="s">
        <v>246</v>
      </c>
      <c r="D899" s="5" t="s">
        <v>27</v>
      </c>
      <c r="E899" s="5" t="s">
        <v>22</v>
      </c>
      <c r="F899" s="71">
        <v>45107</v>
      </c>
      <c r="G899" s="5">
        <v>2023</v>
      </c>
      <c r="H899" s="5" t="s">
        <v>699</v>
      </c>
      <c r="I899" s="6" t="s">
        <v>1512</v>
      </c>
      <c r="J899" s="5">
        <v>26</v>
      </c>
      <c r="K899" s="5">
        <v>12</v>
      </c>
      <c r="L899" s="14">
        <f t="shared" si="62"/>
        <v>0.46153846153846156</v>
      </c>
      <c r="M899" s="14">
        <f t="shared" si="63"/>
        <v>0.46153846153846156</v>
      </c>
      <c r="N899" s="5"/>
      <c r="O899" s="5"/>
      <c r="P899" s="5">
        <v>0</v>
      </c>
      <c r="Q899" s="5">
        <v>0</v>
      </c>
      <c r="R899" s="5" t="s">
        <v>2613</v>
      </c>
    </row>
    <row r="900" spans="1:18" x14ac:dyDescent="0.3">
      <c r="A900" s="26">
        <v>320</v>
      </c>
      <c r="B900" s="5" t="s">
        <v>810</v>
      </c>
      <c r="C900" s="5" t="s">
        <v>246</v>
      </c>
      <c r="D900" s="5" t="s">
        <v>27</v>
      </c>
      <c r="E900" s="5" t="s">
        <v>22</v>
      </c>
      <c r="F900" s="71">
        <v>45291</v>
      </c>
      <c r="G900" s="5">
        <v>2023</v>
      </c>
      <c r="H900" s="5" t="s">
        <v>23</v>
      </c>
      <c r="I900" s="6" t="s">
        <v>28</v>
      </c>
      <c r="J900" s="5">
        <v>15</v>
      </c>
      <c r="K900" s="5">
        <v>17</v>
      </c>
      <c r="L900" s="74">
        <f t="shared" si="62"/>
        <v>1.1333333333333333</v>
      </c>
      <c r="M900" s="14">
        <f t="shared" si="63"/>
        <v>1.1333333333333333</v>
      </c>
      <c r="N900" s="5"/>
      <c r="O900" s="5"/>
      <c r="P900" s="5">
        <v>0</v>
      </c>
      <c r="Q900" s="5">
        <v>0</v>
      </c>
      <c r="R900" s="5" t="s">
        <v>811</v>
      </c>
    </row>
    <row r="901" spans="1:18" x14ac:dyDescent="0.3">
      <c r="A901" s="5">
        <v>320</v>
      </c>
      <c r="B901" s="5" t="s">
        <v>812</v>
      </c>
      <c r="C901" s="5" t="s">
        <v>246</v>
      </c>
      <c r="D901" s="5" t="s">
        <v>27</v>
      </c>
      <c r="E901" s="5" t="s">
        <v>22</v>
      </c>
      <c r="F901" s="71">
        <v>45473</v>
      </c>
      <c r="G901" s="5">
        <v>2024</v>
      </c>
      <c r="H901" s="5" t="s">
        <v>699</v>
      </c>
      <c r="I901" s="6" t="s">
        <v>729</v>
      </c>
      <c r="J901" s="5">
        <v>100</v>
      </c>
      <c r="K901" s="5">
        <v>140</v>
      </c>
      <c r="L901" s="14">
        <f t="shared" si="62"/>
        <v>1.3</v>
      </c>
      <c r="M901" s="14">
        <f t="shared" si="63"/>
        <v>1.4</v>
      </c>
      <c r="N901" s="5"/>
      <c r="O901" s="5"/>
      <c r="P901" s="5">
        <v>0</v>
      </c>
      <c r="Q901" s="5">
        <v>0</v>
      </c>
      <c r="R901" s="5" t="s">
        <v>2614</v>
      </c>
    </row>
    <row r="902" spans="1:18" x14ac:dyDescent="0.3">
      <c r="A902" s="5">
        <v>320</v>
      </c>
      <c r="B902" s="5" t="s">
        <v>812</v>
      </c>
      <c r="C902" s="5" t="s">
        <v>246</v>
      </c>
      <c r="D902" s="5" t="s">
        <v>27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100</v>
      </c>
      <c r="K902" s="5">
        <v>115</v>
      </c>
      <c r="L902" s="14">
        <f t="shared" si="62"/>
        <v>1.1499999999999999</v>
      </c>
      <c r="M902" s="14">
        <f t="shared" si="63"/>
        <v>1.1499999999999999</v>
      </c>
      <c r="N902" s="5"/>
      <c r="O902" s="5"/>
      <c r="P902" s="5">
        <v>0</v>
      </c>
      <c r="Q902" s="5">
        <v>0</v>
      </c>
      <c r="R902" s="5" t="s">
        <v>813</v>
      </c>
    </row>
    <row r="903" spans="1:18" x14ac:dyDescent="0.3">
      <c r="A903" s="26">
        <v>321</v>
      </c>
      <c r="B903" s="5" t="s">
        <v>814</v>
      </c>
      <c r="C903" s="5" t="s">
        <v>246</v>
      </c>
      <c r="D903" s="5" t="s">
        <v>27</v>
      </c>
      <c r="E903" s="5" t="s">
        <v>22</v>
      </c>
      <c r="F903" s="71">
        <v>45107</v>
      </c>
      <c r="G903" s="5">
        <v>2023</v>
      </c>
      <c r="H903" s="5" t="s">
        <v>699</v>
      </c>
      <c r="I903" s="6" t="s">
        <v>1512</v>
      </c>
      <c r="J903" s="5">
        <v>180</v>
      </c>
      <c r="K903" s="5">
        <v>236</v>
      </c>
      <c r="L903" s="74">
        <f t="shared" si="62"/>
        <v>1.3</v>
      </c>
      <c r="M903" s="14">
        <f t="shared" si="63"/>
        <v>1.3111111111111111</v>
      </c>
      <c r="N903" s="5"/>
      <c r="O903" s="5"/>
      <c r="P903" s="5">
        <v>0</v>
      </c>
      <c r="Q903" s="5">
        <v>0</v>
      </c>
      <c r="R903" s="5" t="s">
        <v>2615</v>
      </c>
    </row>
    <row r="904" spans="1:18" x14ac:dyDescent="0.3">
      <c r="A904" s="26">
        <v>321</v>
      </c>
      <c r="B904" s="5" t="s">
        <v>814</v>
      </c>
      <c r="C904" s="5" t="s">
        <v>246</v>
      </c>
      <c r="D904" s="5" t="s">
        <v>27</v>
      </c>
      <c r="E904" s="5" t="s">
        <v>22</v>
      </c>
      <c r="F904" s="71">
        <v>45291</v>
      </c>
      <c r="G904" s="5">
        <v>2023</v>
      </c>
      <c r="H904" s="5" t="s">
        <v>23</v>
      </c>
      <c r="I904" s="6" t="s">
        <v>28</v>
      </c>
      <c r="J904" s="5">
        <v>180</v>
      </c>
      <c r="K904" s="5">
        <v>231</v>
      </c>
      <c r="L904" s="74">
        <f t="shared" si="62"/>
        <v>1.2833333333333334</v>
      </c>
      <c r="M904" s="14">
        <f t="shared" si="63"/>
        <v>1.2833333333333334</v>
      </c>
      <c r="N904" s="5"/>
      <c r="O904" s="5"/>
      <c r="P904" s="5">
        <v>0</v>
      </c>
      <c r="Q904" s="5">
        <v>0</v>
      </c>
      <c r="R904" s="5" t="s">
        <v>815</v>
      </c>
    </row>
    <row r="905" spans="1:18" x14ac:dyDescent="0.3">
      <c r="A905" s="5">
        <v>321</v>
      </c>
      <c r="B905" s="5" t="s">
        <v>816</v>
      </c>
      <c r="C905" s="5" t="s">
        <v>246</v>
      </c>
      <c r="D905" s="5" t="s">
        <v>27</v>
      </c>
      <c r="E905" s="5" t="s">
        <v>22</v>
      </c>
      <c r="F905" s="71">
        <v>45473</v>
      </c>
      <c r="G905" s="5">
        <v>2024</v>
      </c>
      <c r="H905" s="5" t="s">
        <v>699</v>
      </c>
      <c r="I905" s="6" t="s">
        <v>729</v>
      </c>
      <c r="J905" s="5">
        <v>100</v>
      </c>
      <c r="K905" s="5">
        <v>106.52</v>
      </c>
      <c r="L905" s="14">
        <f t="shared" si="62"/>
        <v>1.0651999999999999</v>
      </c>
      <c r="M905" s="14">
        <f t="shared" si="63"/>
        <v>1.0651999999999999</v>
      </c>
      <c r="N905" s="5"/>
      <c r="O905" s="5"/>
      <c r="P905" s="5">
        <v>0</v>
      </c>
      <c r="Q905" s="5">
        <v>0</v>
      </c>
      <c r="R905" s="5" t="s">
        <v>2616</v>
      </c>
    </row>
    <row r="906" spans="1:18" x14ac:dyDescent="0.3">
      <c r="A906" s="5">
        <v>321</v>
      </c>
      <c r="B906" s="5" t="s">
        <v>816</v>
      </c>
      <c r="C906" s="5" t="s">
        <v>246</v>
      </c>
      <c r="D906" s="5" t="s">
        <v>27</v>
      </c>
      <c r="E906" s="5" t="s">
        <v>22</v>
      </c>
      <c r="F906" s="71">
        <v>45657</v>
      </c>
      <c r="G906" s="5">
        <v>2024</v>
      </c>
      <c r="H906" s="5" t="s">
        <v>23</v>
      </c>
      <c r="I906" s="6" t="s">
        <v>30</v>
      </c>
      <c r="J906" s="5">
        <v>100</v>
      </c>
      <c r="K906" s="5">
        <v>502.17</v>
      </c>
      <c r="L906" s="14">
        <f t="shared" si="62"/>
        <v>1.3</v>
      </c>
      <c r="M906" s="14">
        <f t="shared" si="63"/>
        <v>5.0217000000000001</v>
      </c>
      <c r="N906" s="5"/>
      <c r="O906" s="5"/>
      <c r="P906" s="5">
        <v>0</v>
      </c>
      <c r="Q906" s="5">
        <v>0</v>
      </c>
      <c r="R906" s="5" t="s">
        <v>817</v>
      </c>
    </row>
    <row r="907" spans="1:18" x14ac:dyDescent="0.3">
      <c r="A907" s="26">
        <v>323</v>
      </c>
      <c r="B907" s="5" t="s">
        <v>818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100</v>
      </c>
      <c r="L907" s="74">
        <f t="shared" si="62"/>
        <v>1</v>
      </c>
      <c r="M907" s="14">
        <f t="shared" si="63"/>
        <v>1</v>
      </c>
      <c r="N907" s="5"/>
      <c r="O907" s="5"/>
      <c r="P907" s="5">
        <v>0</v>
      </c>
      <c r="Q907" s="5">
        <v>0</v>
      </c>
      <c r="R907" s="5" t="s">
        <v>2617</v>
      </c>
    </row>
    <row r="908" spans="1:18" x14ac:dyDescent="0.3">
      <c r="A908" s="28">
        <v>323</v>
      </c>
      <c r="B908" s="5" t="s">
        <v>818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/>
      <c r="O908" s="5"/>
      <c r="P908" s="5">
        <v>0</v>
      </c>
      <c r="Q908" s="5">
        <v>0</v>
      </c>
      <c r="R908" s="5" t="s">
        <v>820</v>
      </c>
    </row>
    <row r="909" spans="1:18" x14ac:dyDescent="0.3">
      <c r="A909" s="26">
        <v>323</v>
      </c>
      <c r="B909" s="5" t="s">
        <v>818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>
        <v>100</v>
      </c>
      <c r="L909" s="74">
        <f t="shared" si="62"/>
        <v>1</v>
      </c>
      <c r="M909" s="14">
        <f t="shared" si="63"/>
        <v>1</v>
      </c>
      <c r="N909" s="5"/>
      <c r="O909" s="5"/>
      <c r="P909" s="5">
        <v>0</v>
      </c>
      <c r="Q909" s="5">
        <v>0</v>
      </c>
      <c r="R909" s="5" t="s">
        <v>2618</v>
      </c>
    </row>
    <row r="910" spans="1:18" x14ac:dyDescent="0.3">
      <c r="A910" s="26">
        <v>323</v>
      </c>
      <c r="B910" s="5" t="s">
        <v>818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0</v>
      </c>
      <c r="L910" s="74">
        <f t="shared" si="62"/>
        <v>0</v>
      </c>
      <c r="M910" s="14">
        <f t="shared" si="63"/>
        <v>0</v>
      </c>
      <c r="N910" s="5"/>
      <c r="O910" s="5"/>
      <c r="P910" s="5">
        <v>0</v>
      </c>
      <c r="Q910" s="5">
        <v>0</v>
      </c>
      <c r="R910" s="5" t="s">
        <v>821</v>
      </c>
    </row>
    <row r="911" spans="1:18" x14ac:dyDescent="0.3">
      <c r="A911" s="5">
        <v>323</v>
      </c>
      <c r="B911" s="5" t="s">
        <v>818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14">
        <f t="shared" si="62"/>
        <v>1</v>
      </c>
      <c r="M911" s="14">
        <f t="shared" si="63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2619</v>
      </c>
    </row>
    <row r="912" spans="1:18" x14ac:dyDescent="0.3">
      <c r="A912" s="26">
        <v>323</v>
      </c>
      <c r="B912" s="5" t="s">
        <v>818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100</v>
      </c>
      <c r="L912" s="74">
        <f t="shared" si="62"/>
        <v>1</v>
      </c>
      <c r="M912" s="14">
        <f t="shared" si="63"/>
        <v>1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822</v>
      </c>
    </row>
    <row r="913" spans="1:19" x14ac:dyDescent="0.3">
      <c r="A913" s="5">
        <v>324</v>
      </c>
      <c r="B913" s="5" t="s">
        <v>823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0</v>
      </c>
      <c r="L913" s="14">
        <f t="shared" si="62"/>
        <v>0</v>
      </c>
      <c r="M913" s="14">
        <f t="shared" si="63"/>
        <v>0</v>
      </c>
      <c r="N913" s="5"/>
      <c r="O913" s="5"/>
      <c r="P913" s="5">
        <v>0</v>
      </c>
      <c r="Q913" s="5">
        <v>0</v>
      </c>
      <c r="R913" s="5" t="s">
        <v>2620</v>
      </c>
    </row>
    <row r="914" spans="1:19" x14ac:dyDescent="0.3">
      <c r="A914" s="34">
        <v>324</v>
      </c>
      <c r="B914" s="5" t="s">
        <v>823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100</v>
      </c>
      <c r="L914" s="74">
        <f t="shared" si="62"/>
        <v>1</v>
      </c>
      <c r="M914" s="14">
        <f t="shared" si="63"/>
        <v>1</v>
      </c>
      <c r="N914" s="5" t="s">
        <v>128</v>
      </c>
      <c r="O914" s="5" t="s">
        <v>128</v>
      </c>
      <c r="P914" s="5">
        <v>0</v>
      </c>
      <c r="Q914" s="5">
        <v>0</v>
      </c>
      <c r="R914" s="5" t="s">
        <v>824</v>
      </c>
    </row>
    <row r="915" spans="1:19" x14ac:dyDescent="0.3">
      <c r="A915" s="26">
        <v>324</v>
      </c>
      <c r="B915" s="5" t="s">
        <v>823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/>
      <c r="L915" s="18"/>
      <c r="M915" s="14"/>
      <c r="N915" s="5"/>
      <c r="O915" s="5"/>
      <c r="P915" s="5">
        <v>0</v>
      </c>
      <c r="Q915" s="5">
        <v>0</v>
      </c>
      <c r="R915" s="5" t="s">
        <v>2621</v>
      </c>
    </row>
    <row r="916" spans="1:19" x14ac:dyDescent="0.3">
      <c r="A916" s="28">
        <v>324</v>
      </c>
      <c r="B916" s="5" t="s">
        <v>823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ref="L916:L923" si="64">IFERROR(IF(OR(J916=0,K916=""),"",IF(E916="Positivo",MIN(MAX(K916/J916,0),1.3),MIN(MAX(J916/K916,0),1.3))),"")</f>
        <v>1</v>
      </c>
      <c r="M916" s="14">
        <f t="shared" ref="M916:M923" si="65">IFERROR(IF(OR(J916=0,K916=""),"",IF(E916="Positivo",MAX(K916/J916,0),MAX(J916/K916,0))),"")</f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825</v>
      </c>
    </row>
    <row r="917" spans="1:19" x14ac:dyDescent="0.3">
      <c r="A917" s="26">
        <v>324</v>
      </c>
      <c r="B917" s="5" t="s">
        <v>823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100</v>
      </c>
      <c r="K917" s="5">
        <v>100</v>
      </c>
      <c r="L917" s="74">
        <f t="shared" si="64"/>
        <v>1</v>
      </c>
      <c r="M917" s="14">
        <f t="shared" si="65"/>
        <v>1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2622</v>
      </c>
    </row>
    <row r="918" spans="1:19" x14ac:dyDescent="0.3">
      <c r="A918" s="5">
        <v>324</v>
      </c>
      <c r="B918" s="5" t="s">
        <v>823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>
        <v>100</v>
      </c>
      <c r="K918" s="5">
        <v>200</v>
      </c>
      <c r="L918" s="14">
        <f t="shared" si="64"/>
        <v>1.3</v>
      </c>
      <c r="M918" s="14">
        <f t="shared" si="65"/>
        <v>2</v>
      </c>
      <c r="N918" s="5" t="s">
        <v>128</v>
      </c>
      <c r="O918" s="5" t="s">
        <v>128</v>
      </c>
      <c r="P918" s="5">
        <v>0</v>
      </c>
      <c r="Q918" s="5">
        <v>0</v>
      </c>
      <c r="R918" s="5" t="s">
        <v>826</v>
      </c>
    </row>
    <row r="919" spans="1:19" x14ac:dyDescent="0.3">
      <c r="A919" s="5">
        <v>325</v>
      </c>
      <c r="B919" s="5" t="s">
        <v>827</v>
      </c>
      <c r="C919" s="5" t="s">
        <v>819</v>
      </c>
      <c r="D919" s="5" t="s">
        <v>27</v>
      </c>
      <c r="E919" s="5" t="s">
        <v>22</v>
      </c>
      <c r="F919" s="71">
        <v>45107</v>
      </c>
      <c r="G919" s="5">
        <v>2023</v>
      </c>
      <c r="H919" s="5" t="s">
        <v>699</v>
      </c>
      <c r="I919" s="6" t="s">
        <v>1512</v>
      </c>
      <c r="J919" s="5">
        <v>100</v>
      </c>
      <c r="K919" s="5">
        <v>100</v>
      </c>
      <c r="L919" s="14">
        <f t="shared" si="64"/>
        <v>1</v>
      </c>
      <c r="M919" s="14">
        <f t="shared" si="65"/>
        <v>1</v>
      </c>
      <c r="N919" s="5" t="s">
        <v>128</v>
      </c>
      <c r="O919" s="5" t="s">
        <v>128</v>
      </c>
      <c r="P919" s="5">
        <v>0</v>
      </c>
      <c r="Q919" s="5">
        <v>0</v>
      </c>
      <c r="R919" s="5" t="s">
        <v>2623</v>
      </c>
    </row>
    <row r="920" spans="1:19" x14ac:dyDescent="0.3">
      <c r="A920" s="34">
        <v>325</v>
      </c>
      <c r="B920" s="5" t="s">
        <v>827</v>
      </c>
      <c r="C920" s="5" t="s">
        <v>819</v>
      </c>
      <c r="D920" s="5" t="s">
        <v>27</v>
      </c>
      <c r="E920" s="5" t="s">
        <v>22</v>
      </c>
      <c r="F920" s="71">
        <v>45291</v>
      </c>
      <c r="G920" s="5">
        <v>2023</v>
      </c>
      <c r="H920" s="5" t="s">
        <v>23</v>
      </c>
      <c r="I920" s="6" t="s">
        <v>28</v>
      </c>
      <c r="J920" s="5">
        <v>100</v>
      </c>
      <c r="K920" s="5">
        <v>0</v>
      </c>
      <c r="L920" s="74">
        <f t="shared" si="64"/>
        <v>0</v>
      </c>
      <c r="M920" s="14">
        <f t="shared" si="65"/>
        <v>0</v>
      </c>
      <c r="N920" s="5"/>
      <c r="O920" s="5"/>
      <c r="P920" s="5">
        <v>0</v>
      </c>
      <c r="Q920" s="5">
        <v>0</v>
      </c>
      <c r="R920" s="5" t="s">
        <v>828</v>
      </c>
    </row>
    <row r="921" spans="1:19" x14ac:dyDescent="0.3">
      <c r="A921" s="26">
        <v>325</v>
      </c>
      <c r="B921" s="5" t="s">
        <v>827</v>
      </c>
      <c r="C921" s="5" t="s">
        <v>819</v>
      </c>
      <c r="D921" s="5" t="s">
        <v>27</v>
      </c>
      <c r="E921" s="5" t="s">
        <v>22</v>
      </c>
      <c r="F921" s="71">
        <v>45473</v>
      </c>
      <c r="G921" s="5">
        <v>2024</v>
      </c>
      <c r="H921" s="5" t="s">
        <v>699</v>
      </c>
      <c r="I921" s="6" t="s">
        <v>729</v>
      </c>
      <c r="J921" s="5">
        <v>100</v>
      </c>
      <c r="K921" s="5">
        <v>100</v>
      </c>
      <c r="L921" s="74">
        <f t="shared" si="64"/>
        <v>1</v>
      </c>
      <c r="M921" s="14">
        <f t="shared" si="65"/>
        <v>1</v>
      </c>
      <c r="N921" s="5" t="s">
        <v>128</v>
      </c>
      <c r="O921" s="5" t="s">
        <v>128</v>
      </c>
      <c r="P921" s="5">
        <v>0</v>
      </c>
      <c r="Q921" s="5">
        <v>0</v>
      </c>
      <c r="R921" s="5" t="s">
        <v>2624</v>
      </c>
    </row>
    <row r="922" spans="1:19" x14ac:dyDescent="0.3">
      <c r="A922" s="28">
        <v>325</v>
      </c>
      <c r="B922" s="5" t="s">
        <v>827</v>
      </c>
      <c r="C922" s="5" t="s">
        <v>819</v>
      </c>
      <c r="D922" s="5" t="s">
        <v>27</v>
      </c>
      <c r="E922" s="5" t="s">
        <v>22</v>
      </c>
      <c r="F922" s="71">
        <v>45657</v>
      </c>
      <c r="G922" s="5">
        <v>2024</v>
      </c>
      <c r="H922" s="5" t="s">
        <v>23</v>
      </c>
      <c r="I922" s="6" t="s">
        <v>30</v>
      </c>
      <c r="J922" s="5">
        <v>100</v>
      </c>
      <c r="K922" s="5">
        <v>100</v>
      </c>
      <c r="L922" s="74">
        <f t="shared" si="64"/>
        <v>1</v>
      </c>
      <c r="M922" s="14">
        <f t="shared" si="65"/>
        <v>1</v>
      </c>
      <c r="N922" s="5" t="s">
        <v>128</v>
      </c>
      <c r="O922" s="5" t="s">
        <v>128</v>
      </c>
      <c r="P922" s="5">
        <v>0</v>
      </c>
      <c r="Q922" s="5">
        <v>0</v>
      </c>
      <c r="R922" s="5" t="s">
        <v>829</v>
      </c>
    </row>
    <row r="923" spans="1:19" x14ac:dyDescent="0.3">
      <c r="A923" s="26">
        <v>325</v>
      </c>
      <c r="B923" s="5" t="s">
        <v>827</v>
      </c>
      <c r="C923" s="5" t="s">
        <v>819</v>
      </c>
      <c r="D923" s="5" t="s">
        <v>27</v>
      </c>
      <c r="E923" s="5" t="s">
        <v>22</v>
      </c>
      <c r="F923" s="71">
        <v>45838</v>
      </c>
      <c r="G923" s="5">
        <v>2025</v>
      </c>
      <c r="H923" s="5" t="s">
        <v>699</v>
      </c>
      <c r="I923" s="6" t="s">
        <v>700</v>
      </c>
      <c r="J923" s="5">
        <v>8</v>
      </c>
      <c r="K923" s="5">
        <v>100</v>
      </c>
      <c r="L923" s="74">
        <f t="shared" si="64"/>
        <v>1.3</v>
      </c>
      <c r="M923" s="14">
        <f t="shared" si="65"/>
        <v>12.5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2625</v>
      </c>
    </row>
    <row r="924" spans="1:19" x14ac:dyDescent="0.3">
      <c r="A924" s="5">
        <v>325</v>
      </c>
      <c r="B924" s="5" t="s">
        <v>2626</v>
      </c>
      <c r="C924" s="5" t="s">
        <v>819</v>
      </c>
      <c r="D924" s="5" t="s">
        <v>21</v>
      </c>
      <c r="E924" s="5" t="s">
        <v>22</v>
      </c>
      <c r="F924" s="71">
        <v>46022</v>
      </c>
      <c r="G924" s="5">
        <v>2025</v>
      </c>
      <c r="H924" s="5" t="s">
        <v>23</v>
      </c>
      <c r="I924" s="6" t="s">
        <v>32</v>
      </c>
      <c r="J924" s="5"/>
      <c r="K924" s="5">
        <v>100</v>
      </c>
      <c r="L924" s="14"/>
      <c r="M924" s="14"/>
      <c r="N924" s="5" t="s">
        <v>128</v>
      </c>
      <c r="O924" s="5" t="s">
        <v>128</v>
      </c>
      <c r="P924" s="5">
        <v>0</v>
      </c>
      <c r="Q924" s="5">
        <v>0</v>
      </c>
      <c r="R924" s="5" t="s">
        <v>830</v>
      </c>
      <c r="S924" t="s">
        <v>263</v>
      </c>
    </row>
    <row r="925" spans="1:19" x14ac:dyDescent="0.3">
      <c r="A925" s="5">
        <v>326</v>
      </c>
      <c r="B925" s="5" t="s">
        <v>831</v>
      </c>
      <c r="C925" s="5" t="s">
        <v>644</v>
      </c>
      <c r="D925" s="5" t="s">
        <v>71</v>
      </c>
      <c r="E925" s="5" t="s">
        <v>22</v>
      </c>
      <c r="F925" s="71">
        <v>45291</v>
      </c>
      <c r="G925" s="5">
        <v>2023</v>
      </c>
      <c r="H925" s="5" t="s">
        <v>23</v>
      </c>
      <c r="I925" s="6" t="s">
        <v>28</v>
      </c>
      <c r="J925" s="5">
        <v>100</v>
      </c>
      <c r="K925" s="5">
        <v>100</v>
      </c>
      <c r="L925" s="14">
        <f>IFERROR(IF(OR(J925=0,K925=""),"",IF(E925="Positivo",MIN(MAX(K925/J925,0),1.3),MIN(MAX(J925/K925,0),1.3))),"")</f>
        <v>1</v>
      </c>
      <c r="M925" s="14">
        <f>IFERROR(IF(OR(J925=0,K925=""),"",IF(E925="Positivo",MAX(K925/J925,0),MAX(J925/K925,0))),"")</f>
        <v>1</v>
      </c>
      <c r="N925" s="5"/>
      <c r="O925" s="5"/>
      <c r="P925" s="5">
        <v>0</v>
      </c>
      <c r="Q925" s="5">
        <v>0</v>
      </c>
      <c r="R925" s="5" t="s">
        <v>832</v>
      </c>
    </row>
    <row r="926" spans="1:19" x14ac:dyDescent="0.3">
      <c r="A926" s="34">
        <v>326</v>
      </c>
      <c r="B926" s="5" t="s">
        <v>831</v>
      </c>
      <c r="C926" s="5" t="s">
        <v>644</v>
      </c>
      <c r="D926" s="5" t="s">
        <v>71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0</v>
      </c>
      <c r="K926" s="5"/>
      <c r="L926" s="18"/>
      <c r="M926" s="14"/>
      <c r="N926" s="5" t="s">
        <v>128</v>
      </c>
      <c r="O926" s="5" t="s">
        <v>1949</v>
      </c>
      <c r="P926" s="5">
        <v>0</v>
      </c>
      <c r="Q926" s="5">
        <v>0</v>
      </c>
      <c r="R926" s="5" t="s">
        <v>834</v>
      </c>
    </row>
    <row r="927" spans="1:19" x14ac:dyDescent="0.3">
      <c r="A927" s="26">
        <v>326</v>
      </c>
      <c r="B927" s="5" t="s">
        <v>833</v>
      </c>
      <c r="C927" s="5" t="s">
        <v>644</v>
      </c>
      <c r="D927" s="5" t="s">
        <v>71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3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835</v>
      </c>
      <c r="S927" t="s">
        <v>263</v>
      </c>
    </row>
    <row r="928" spans="1:19" x14ac:dyDescent="0.3">
      <c r="A928" s="28">
        <v>327</v>
      </c>
      <c r="B928" s="5" t="s">
        <v>836</v>
      </c>
      <c r="C928" s="5" t="s">
        <v>644</v>
      </c>
      <c r="D928" s="5" t="s">
        <v>27</v>
      </c>
      <c r="E928" s="5" t="s">
        <v>22</v>
      </c>
      <c r="F928" s="71">
        <v>45107</v>
      </c>
      <c r="G928" s="5">
        <v>2023</v>
      </c>
      <c r="H928" s="5" t="s">
        <v>699</v>
      </c>
      <c r="I928" s="6" t="s">
        <v>1512</v>
      </c>
      <c r="J928" s="5">
        <v>100</v>
      </c>
      <c r="K928" s="5">
        <v>0</v>
      </c>
      <c r="L928" s="74">
        <f>IFERROR(IF(OR(J928=0,K928=""),"",IF(E928="Positivo",MIN(MAX(K928/J928,0),1.3),MIN(MAX(J928/K928,0),1.3))),"")</f>
        <v>0</v>
      </c>
      <c r="M928" s="14">
        <f>IFERROR(IF(OR(J928=0,K928=""),"",IF(E928="Positivo",MAX(K928/J928,0),MAX(J928/K928,0))),"")</f>
        <v>0</v>
      </c>
      <c r="N928" s="5"/>
      <c r="O928" s="5"/>
      <c r="P928" s="5">
        <v>0</v>
      </c>
      <c r="Q928" s="5">
        <v>0</v>
      </c>
      <c r="R928" s="5" t="s">
        <v>2627</v>
      </c>
    </row>
    <row r="929" spans="1:19" x14ac:dyDescent="0.3">
      <c r="A929" s="26">
        <v>327</v>
      </c>
      <c r="B929" s="5" t="s">
        <v>836</v>
      </c>
      <c r="C929" s="5" t="s">
        <v>644</v>
      </c>
      <c r="D929" s="5" t="s">
        <v>27</v>
      </c>
      <c r="E929" s="5" t="s">
        <v>22</v>
      </c>
      <c r="F929" s="71">
        <v>45291</v>
      </c>
      <c r="G929" s="5">
        <v>2023</v>
      </c>
      <c r="H929" s="5" t="s">
        <v>23</v>
      </c>
      <c r="I929" s="6" t="s">
        <v>28</v>
      </c>
      <c r="J929" s="5">
        <v>100</v>
      </c>
      <c r="K929" s="5">
        <v>100</v>
      </c>
      <c r="L929" s="74">
        <f>IFERROR(IF(OR(J929=0,K929=""),"",IF(E929="Positivo",MIN(MAX(K929/J929,0),1.3),MIN(MAX(J929/K929,0),1.3))),"")</f>
        <v>1</v>
      </c>
      <c r="M929" s="14">
        <f>IFERROR(IF(OR(J929=0,K929=""),"",IF(E929="Positivo",MAX(K929/J929,0),MAX(J929/K929,0))),"")</f>
        <v>1</v>
      </c>
      <c r="N929" s="5" t="s">
        <v>128</v>
      </c>
      <c r="O929" s="5" t="s">
        <v>128</v>
      </c>
      <c r="P929" s="5">
        <v>0</v>
      </c>
      <c r="Q929" s="5">
        <v>0</v>
      </c>
      <c r="R929" s="5" t="s">
        <v>837</v>
      </c>
    </row>
    <row r="930" spans="1:19" x14ac:dyDescent="0.3">
      <c r="A930" s="5">
        <v>327</v>
      </c>
      <c r="B930" s="5" t="s">
        <v>836</v>
      </c>
      <c r="C930" s="5" t="s">
        <v>644</v>
      </c>
      <c r="D930" s="5" t="s">
        <v>27</v>
      </c>
      <c r="E930" s="5" t="s">
        <v>22</v>
      </c>
      <c r="F930" s="71">
        <v>45473</v>
      </c>
      <c r="G930" s="5">
        <v>2024</v>
      </c>
      <c r="H930" s="5" t="s">
        <v>699</v>
      </c>
      <c r="I930" s="6" t="s">
        <v>729</v>
      </c>
      <c r="J930" s="5">
        <v>100</v>
      </c>
      <c r="K930" s="5">
        <v>0</v>
      </c>
      <c r="L930" s="14">
        <f>IFERROR(IF(OR(J930=0,K930=""),"",IF(E930="Positivo",MIN(MAX(K930/J930,0),1.3),MIN(MAX(J930/K930,0),1.3))),"")</f>
        <v>0</v>
      </c>
      <c r="M930" s="14">
        <f>IFERROR(IF(OR(J930=0,K930=""),"",IF(E930="Positivo",MAX(K930/J930,0),MAX(J930/K930,0))),"")</f>
        <v>0</v>
      </c>
      <c r="N930" s="5"/>
      <c r="O930" s="5"/>
      <c r="P930" s="5">
        <v>0</v>
      </c>
      <c r="Q930" s="5">
        <v>0</v>
      </c>
      <c r="R930" s="5" t="s">
        <v>2628</v>
      </c>
    </row>
    <row r="931" spans="1:19" x14ac:dyDescent="0.3">
      <c r="A931" s="5">
        <v>327</v>
      </c>
      <c r="B931" s="5" t="s">
        <v>836</v>
      </c>
      <c r="C931" s="5" t="s">
        <v>644</v>
      </c>
      <c r="D931" s="5" t="s">
        <v>27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0</v>
      </c>
      <c r="L931" s="14">
        <f>IFERROR(IF(OR(J931=0,K931=""),"",IF(E931="Positivo",MIN(MAX(K931/J931,0),1.3),MIN(MAX(J931/K931,0),1.3))),"")</f>
        <v>0</v>
      </c>
      <c r="M931" s="14">
        <f>IFERROR(IF(OR(J931=0,K931=""),"",IF(E931="Positivo",MAX(K931/J931,0),MAX(J931/K931,0))),"")</f>
        <v>0</v>
      </c>
      <c r="N931" s="5"/>
      <c r="O931" s="5"/>
      <c r="P931" s="5">
        <v>0</v>
      </c>
      <c r="Q931" s="5">
        <v>0</v>
      </c>
      <c r="R931" s="5" t="s">
        <v>838</v>
      </c>
    </row>
    <row r="932" spans="1:19" x14ac:dyDescent="0.3">
      <c r="A932" s="34">
        <v>327</v>
      </c>
      <c r="B932" s="5" t="s">
        <v>836</v>
      </c>
      <c r="C932" s="5" t="s">
        <v>644</v>
      </c>
      <c r="D932" s="5" t="s">
        <v>27</v>
      </c>
      <c r="E932" s="5" t="s">
        <v>22</v>
      </c>
      <c r="F932" s="71">
        <v>45838</v>
      </c>
      <c r="G932" s="5">
        <v>2025</v>
      </c>
      <c r="H932" s="5" t="s">
        <v>699</v>
      </c>
      <c r="I932" s="6" t="s">
        <v>700</v>
      </c>
      <c r="J932" s="5">
        <v>100</v>
      </c>
      <c r="K932" s="5">
        <v>100</v>
      </c>
      <c r="L932" s="74">
        <f>IFERROR(IF(OR(J932=0,K932=""),"",IF(E932="Positivo",MIN(MAX(K932/J932,0),1.3),MIN(MAX(J932/K932,0),1.3))),"")</f>
        <v>1</v>
      </c>
      <c r="M932" s="14">
        <f>IFERROR(IF(OR(J932=0,K932=""),"",IF(E932="Positivo",MAX(K932/J932,0),MAX(J932/K932,0))),"")</f>
        <v>1</v>
      </c>
      <c r="N932" s="5" t="s">
        <v>128</v>
      </c>
      <c r="O932" s="5" t="s">
        <v>128</v>
      </c>
      <c r="P932" s="5">
        <v>0</v>
      </c>
      <c r="Q932" s="5">
        <v>0</v>
      </c>
      <c r="R932" s="5" t="s">
        <v>2629</v>
      </c>
    </row>
    <row r="933" spans="1:19" x14ac:dyDescent="0.3">
      <c r="A933" s="26">
        <v>327</v>
      </c>
      <c r="B933" s="5" t="s">
        <v>839</v>
      </c>
      <c r="C933" s="5" t="s">
        <v>644</v>
      </c>
      <c r="D933" s="5" t="s">
        <v>21</v>
      </c>
      <c r="E933" s="5" t="s">
        <v>22</v>
      </c>
      <c r="F933" s="71">
        <v>46022</v>
      </c>
      <c r="G933" s="5">
        <v>2025</v>
      </c>
      <c r="H933" s="5" t="s">
        <v>23</v>
      </c>
      <c r="I933" s="6" t="s">
        <v>32</v>
      </c>
      <c r="J933" s="5">
        <v>100</v>
      </c>
      <c r="K933" s="5">
        <v>100</v>
      </c>
      <c r="L933" s="18"/>
      <c r="M933" s="14"/>
      <c r="N933" s="5" t="s">
        <v>128</v>
      </c>
      <c r="O933" s="5" t="s">
        <v>128</v>
      </c>
      <c r="P933" s="5">
        <v>0</v>
      </c>
      <c r="Q933" s="5">
        <v>0</v>
      </c>
      <c r="R933" s="5" t="s">
        <v>840</v>
      </c>
      <c r="S933" t="s">
        <v>263</v>
      </c>
    </row>
    <row r="934" spans="1:19" x14ac:dyDescent="0.3">
      <c r="A934" s="28">
        <v>328</v>
      </c>
      <c r="B934" s="5" t="s">
        <v>841</v>
      </c>
      <c r="C934" s="5" t="s">
        <v>842</v>
      </c>
      <c r="D934" s="5" t="s">
        <v>71</v>
      </c>
      <c r="E934" s="5" t="s">
        <v>22</v>
      </c>
      <c r="F934" s="71">
        <v>45291</v>
      </c>
      <c r="G934" s="5">
        <v>2023</v>
      </c>
      <c r="H934" s="5" t="s">
        <v>23</v>
      </c>
      <c r="I934" s="6" t="s">
        <v>28</v>
      </c>
      <c r="J934" s="5">
        <v>800</v>
      </c>
      <c r="K934" s="5">
        <v>1035</v>
      </c>
      <c r="L934" s="74">
        <f t="shared" ref="L934:L953" si="66">IFERROR(IF(OR(J934=0,K934=""),"",IF(E934="Positivo",MIN(MAX(K934/J934,0),1.3),MIN(MAX(J934/K934,0),1.3))),"")</f>
        <v>1.29375</v>
      </c>
      <c r="M934" s="14">
        <f t="shared" ref="M934:M953" si="67">IFERROR(IF(OR(J934=0,K934=""),"",IF(E934="Positivo",MAX(K934/J934,0),MAX(J934/K934,0))),"")</f>
        <v>1.29375</v>
      </c>
      <c r="N934" s="5"/>
      <c r="O934" s="5"/>
      <c r="P934" s="5">
        <v>0</v>
      </c>
      <c r="Q934" s="5">
        <v>0</v>
      </c>
      <c r="R934" s="5" t="s">
        <v>843</v>
      </c>
    </row>
    <row r="935" spans="1:19" x14ac:dyDescent="0.3">
      <c r="A935" s="26">
        <v>328</v>
      </c>
      <c r="B935" s="5" t="s">
        <v>841</v>
      </c>
      <c r="C935" s="5" t="s">
        <v>842</v>
      </c>
      <c r="D935" s="5" t="s">
        <v>71</v>
      </c>
      <c r="E935" s="5" t="s">
        <v>22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100</v>
      </c>
      <c r="K935" s="5">
        <v>157</v>
      </c>
      <c r="L935" s="74">
        <f t="shared" si="66"/>
        <v>1.3</v>
      </c>
      <c r="M935" s="14">
        <f t="shared" si="67"/>
        <v>1.57</v>
      </c>
      <c r="N935" s="5"/>
      <c r="O935" s="5"/>
      <c r="P935" s="5">
        <v>0</v>
      </c>
      <c r="Q935" s="5">
        <v>0</v>
      </c>
      <c r="R935" s="5" t="s">
        <v>844</v>
      </c>
    </row>
    <row r="936" spans="1:19" x14ac:dyDescent="0.3">
      <c r="A936" s="5">
        <v>329</v>
      </c>
      <c r="B936" s="5" t="s">
        <v>845</v>
      </c>
      <c r="C936" s="5" t="s">
        <v>842</v>
      </c>
      <c r="D936" s="5" t="s">
        <v>71</v>
      </c>
      <c r="E936" s="5" t="s">
        <v>22</v>
      </c>
      <c r="F936" s="71">
        <v>45291</v>
      </c>
      <c r="G936" s="5">
        <v>2023</v>
      </c>
      <c r="H936" s="5" t="s">
        <v>23</v>
      </c>
      <c r="I936" s="6" t="s">
        <v>28</v>
      </c>
      <c r="J936" s="5">
        <v>3000</v>
      </c>
      <c r="K936" s="5">
        <v>3315</v>
      </c>
      <c r="L936" s="14">
        <f t="shared" si="66"/>
        <v>1.105</v>
      </c>
      <c r="M936" s="14">
        <f t="shared" si="67"/>
        <v>1.105</v>
      </c>
      <c r="N936" s="5"/>
      <c r="O936" s="5"/>
      <c r="P936" s="5">
        <v>0</v>
      </c>
      <c r="Q936" s="5">
        <v>0</v>
      </c>
      <c r="R936" s="5" t="s">
        <v>846</v>
      </c>
    </row>
    <row r="937" spans="1:19" x14ac:dyDescent="0.3">
      <c r="A937" s="5">
        <v>329</v>
      </c>
      <c r="B937" s="5" t="s">
        <v>845</v>
      </c>
      <c r="C937" s="5" t="s">
        <v>842</v>
      </c>
      <c r="D937" s="5" t="s">
        <v>71</v>
      </c>
      <c r="E937" s="5" t="s">
        <v>22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100</v>
      </c>
      <c r="K937" s="5">
        <v>106.63</v>
      </c>
      <c r="L937" s="14">
        <f t="shared" si="66"/>
        <v>1.0663</v>
      </c>
      <c r="M937" s="14">
        <f t="shared" si="67"/>
        <v>1.0663</v>
      </c>
      <c r="N937" s="5"/>
      <c r="O937" s="5"/>
      <c r="P937" s="5">
        <v>0</v>
      </c>
      <c r="Q937" s="5">
        <v>0</v>
      </c>
      <c r="R937" s="5" t="s">
        <v>847</v>
      </c>
    </row>
    <row r="938" spans="1:19" x14ac:dyDescent="0.3">
      <c r="A938" s="34">
        <v>331</v>
      </c>
      <c r="B938" s="5" t="s">
        <v>848</v>
      </c>
      <c r="C938" s="5" t="s">
        <v>842</v>
      </c>
      <c r="D938" s="5" t="s">
        <v>71</v>
      </c>
      <c r="E938" s="5" t="s">
        <v>22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0</v>
      </c>
      <c r="K938" s="5">
        <v>81</v>
      </c>
      <c r="L938" s="74" t="str">
        <f t="shared" si="66"/>
        <v/>
      </c>
      <c r="M938" s="14" t="str">
        <f t="shared" si="67"/>
        <v/>
      </c>
      <c r="N938" s="5" t="s">
        <v>263</v>
      </c>
      <c r="O938" s="5" t="s">
        <v>25</v>
      </c>
      <c r="P938" s="5">
        <v>0</v>
      </c>
      <c r="Q938" s="5">
        <v>0</v>
      </c>
      <c r="R938" s="5" t="s">
        <v>849</v>
      </c>
    </row>
    <row r="939" spans="1:19" x14ac:dyDescent="0.3">
      <c r="A939" s="26">
        <v>331</v>
      </c>
      <c r="B939" s="5" t="s">
        <v>848</v>
      </c>
      <c r="C939" s="5" t="s">
        <v>842</v>
      </c>
      <c r="D939" s="5" t="s">
        <v>71</v>
      </c>
      <c r="E939" s="5" t="s">
        <v>22</v>
      </c>
      <c r="F939" s="71">
        <v>45657</v>
      </c>
      <c r="G939" s="5">
        <v>2024</v>
      </c>
      <c r="H939" s="5" t="s">
        <v>23</v>
      </c>
      <c r="I939" s="6" t="s">
        <v>30</v>
      </c>
      <c r="J939" s="5">
        <v>0</v>
      </c>
      <c r="K939" s="5">
        <v>82</v>
      </c>
      <c r="L939" s="74" t="str">
        <f t="shared" si="66"/>
        <v/>
      </c>
      <c r="M939" s="14" t="str">
        <f t="shared" si="67"/>
        <v/>
      </c>
      <c r="N939" s="5" t="s">
        <v>263</v>
      </c>
      <c r="O939" s="5" t="s">
        <v>25</v>
      </c>
      <c r="P939" s="5">
        <v>0</v>
      </c>
      <c r="Q939" s="5">
        <v>0</v>
      </c>
      <c r="R939" s="5" t="s">
        <v>850</v>
      </c>
    </row>
    <row r="940" spans="1:19" x14ac:dyDescent="0.3">
      <c r="A940" s="28">
        <v>332</v>
      </c>
      <c r="B940" s="5" t="s">
        <v>851</v>
      </c>
      <c r="C940" s="5" t="s">
        <v>40</v>
      </c>
      <c r="D940" s="5" t="s">
        <v>27</v>
      </c>
      <c r="E940" s="5" t="s">
        <v>41</v>
      </c>
      <c r="F940" s="71">
        <v>45107</v>
      </c>
      <c r="G940" s="5">
        <v>2023</v>
      </c>
      <c r="H940" s="5" t="s">
        <v>699</v>
      </c>
      <c r="I940" s="6" t="s">
        <v>1512</v>
      </c>
      <c r="J940" s="5">
        <v>1.8</v>
      </c>
      <c r="K940" s="5">
        <v>1.57</v>
      </c>
      <c r="L940" s="74">
        <f t="shared" si="66"/>
        <v>1.1464968152866242</v>
      </c>
      <c r="M940" s="14">
        <f t="shared" si="67"/>
        <v>1.1464968152866242</v>
      </c>
      <c r="N940" s="5" t="s">
        <v>136</v>
      </c>
      <c r="O940" s="5" t="s">
        <v>136</v>
      </c>
      <c r="P940" s="5">
        <v>1</v>
      </c>
      <c r="Q940" s="5">
        <v>2</v>
      </c>
      <c r="R940" s="5" t="s">
        <v>2630</v>
      </c>
    </row>
    <row r="941" spans="1:19" x14ac:dyDescent="0.3">
      <c r="A941" s="26">
        <v>332</v>
      </c>
      <c r="B941" s="5" t="s">
        <v>851</v>
      </c>
      <c r="C941" s="5" t="s">
        <v>40</v>
      </c>
      <c r="D941" s="5" t="s">
        <v>27</v>
      </c>
      <c r="E941" s="5" t="s">
        <v>41</v>
      </c>
      <c r="F941" s="71">
        <v>45291</v>
      </c>
      <c r="G941" s="5">
        <v>2023</v>
      </c>
      <c r="H941" s="5" t="s">
        <v>23</v>
      </c>
      <c r="I941" s="6" t="s">
        <v>28</v>
      </c>
      <c r="J941" s="5">
        <v>1.8</v>
      </c>
      <c r="K941" s="5">
        <v>1.3</v>
      </c>
      <c r="L941" s="74">
        <f t="shared" si="66"/>
        <v>1.3</v>
      </c>
      <c r="M941" s="14">
        <f t="shared" si="67"/>
        <v>1.3846153846153846</v>
      </c>
      <c r="N941" s="5" t="s">
        <v>136</v>
      </c>
      <c r="O941" s="5" t="s">
        <v>136</v>
      </c>
      <c r="P941" s="5">
        <v>1</v>
      </c>
      <c r="Q941" s="5">
        <v>1</v>
      </c>
      <c r="R941" s="5" t="s">
        <v>852</v>
      </c>
    </row>
    <row r="942" spans="1:19" x14ac:dyDescent="0.3">
      <c r="A942" s="5">
        <v>332</v>
      </c>
      <c r="B942" s="5" t="s">
        <v>851</v>
      </c>
      <c r="C942" s="5" t="s">
        <v>40</v>
      </c>
      <c r="D942" s="5" t="s">
        <v>27</v>
      </c>
      <c r="E942" s="5" t="s">
        <v>41</v>
      </c>
      <c r="F942" s="71">
        <v>45473</v>
      </c>
      <c r="G942" s="5">
        <v>2024</v>
      </c>
      <c r="H942" s="5" t="s">
        <v>699</v>
      </c>
      <c r="I942" s="6" t="s">
        <v>729</v>
      </c>
      <c r="J942" s="5">
        <v>1.5</v>
      </c>
      <c r="K942" s="5">
        <v>1.48</v>
      </c>
      <c r="L942" s="14">
        <f t="shared" si="66"/>
        <v>1.0135135135135136</v>
      </c>
      <c r="M942" s="14">
        <f t="shared" si="67"/>
        <v>1.0135135135135136</v>
      </c>
      <c r="N942" s="5" t="s">
        <v>136</v>
      </c>
      <c r="O942" s="5" t="s">
        <v>136</v>
      </c>
      <c r="P942" s="5">
        <v>1</v>
      </c>
      <c r="Q942" s="5">
        <v>2</v>
      </c>
      <c r="R942" s="5" t="s">
        <v>2631</v>
      </c>
    </row>
    <row r="943" spans="1:19" x14ac:dyDescent="0.3">
      <c r="A943" s="5">
        <v>332</v>
      </c>
      <c r="B943" s="5" t="s">
        <v>851</v>
      </c>
      <c r="C943" s="5" t="s">
        <v>40</v>
      </c>
      <c r="D943" s="5" t="s">
        <v>27</v>
      </c>
      <c r="E943" s="5" t="s">
        <v>41</v>
      </c>
      <c r="F943" s="71">
        <v>45657</v>
      </c>
      <c r="G943" s="5">
        <v>2024</v>
      </c>
      <c r="H943" s="5" t="s">
        <v>23</v>
      </c>
      <c r="I943" s="6" t="s">
        <v>30</v>
      </c>
      <c r="J943" s="5">
        <v>1.8</v>
      </c>
      <c r="K943" s="5">
        <v>0.82</v>
      </c>
      <c r="L943" s="14">
        <f t="shared" si="66"/>
        <v>1.3</v>
      </c>
      <c r="M943" s="14">
        <f t="shared" si="67"/>
        <v>2.1951219512195124</v>
      </c>
      <c r="N943" s="5" t="s">
        <v>136</v>
      </c>
      <c r="O943" s="5" t="s">
        <v>136</v>
      </c>
      <c r="P943" s="5">
        <v>1</v>
      </c>
      <c r="Q943" s="5">
        <v>2</v>
      </c>
      <c r="R943" s="5" t="s">
        <v>853</v>
      </c>
    </row>
    <row r="944" spans="1:19" x14ac:dyDescent="0.3">
      <c r="A944" s="34">
        <v>332</v>
      </c>
      <c r="B944" s="5" t="s">
        <v>851</v>
      </c>
      <c r="C944" s="5" t="s">
        <v>40</v>
      </c>
      <c r="D944" s="5" t="s">
        <v>27</v>
      </c>
      <c r="E944" s="5" t="s">
        <v>41</v>
      </c>
      <c r="F944" s="71">
        <v>45838</v>
      </c>
      <c r="G944" s="5">
        <v>2025</v>
      </c>
      <c r="H944" s="5" t="s">
        <v>699</v>
      </c>
      <c r="I944" s="6" t="s">
        <v>700</v>
      </c>
      <c r="J944" s="5">
        <v>1.18</v>
      </c>
      <c r="K944" s="5">
        <v>0.85</v>
      </c>
      <c r="L944" s="74">
        <f t="shared" si="66"/>
        <v>1.3</v>
      </c>
      <c r="M944" s="14">
        <f t="shared" si="67"/>
        <v>1.388235294117647</v>
      </c>
      <c r="N944" s="5" t="s">
        <v>136</v>
      </c>
      <c r="O944" s="5" t="s">
        <v>136</v>
      </c>
      <c r="P944" s="5">
        <v>2</v>
      </c>
      <c r="Q944" s="5">
        <v>2</v>
      </c>
      <c r="R944" s="5" t="s">
        <v>2632</v>
      </c>
    </row>
    <row r="945" spans="1:18" x14ac:dyDescent="0.3">
      <c r="A945" s="26">
        <v>332</v>
      </c>
      <c r="B945" s="5" t="s">
        <v>851</v>
      </c>
      <c r="C945" s="5" t="s">
        <v>40</v>
      </c>
      <c r="D945" s="5" t="s">
        <v>21</v>
      </c>
      <c r="E945" s="5" t="s">
        <v>41</v>
      </c>
      <c r="F945" s="71">
        <v>46022</v>
      </c>
      <c r="G945" s="5">
        <v>2025</v>
      </c>
      <c r="H945" s="5" t="s">
        <v>23</v>
      </c>
      <c r="I945" s="6" t="s">
        <v>32</v>
      </c>
      <c r="J945" s="5">
        <v>1.18</v>
      </c>
      <c r="K945" s="5">
        <v>0.93</v>
      </c>
      <c r="L945" s="74">
        <f t="shared" si="66"/>
        <v>1.268817204301075</v>
      </c>
      <c r="M945" s="14">
        <f t="shared" si="67"/>
        <v>1.268817204301075</v>
      </c>
      <c r="N945" s="5" t="s">
        <v>136</v>
      </c>
      <c r="O945" s="5" t="s">
        <v>136</v>
      </c>
      <c r="P945" s="5">
        <v>2</v>
      </c>
      <c r="Q945" s="5">
        <v>2</v>
      </c>
      <c r="R945" s="5" t="s">
        <v>854</v>
      </c>
    </row>
    <row r="946" spans="1:18" x14ac:dyDescent="0.3">
      <c r="A946" s="28">
        <v>334</v>
      </c>
      <c r="B946" s="5" t="s">
        <v>855</v>
      </c>
      <c r="C946" s="5" t="s">
        <v>40</v>
      </c>
      <c r="D946" s="5" t="s">
        <v>71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88</v>
      </c>
      <c r="K946" s="5">
        <v>88.39</v>
      </c>
      <c r="L946" s="74">
        <f t="shared" si="66"/>
        <v>1.0044318181818181</v>
      </c>
      <c r="M946" s="14">
        <f t="shared" si="67"/>
        <v>1.0044318181818181</v>
      </c>
      <c r="N946" s="5"/>
      <c r="O946" s="5"/>
      <c r="P946" s="5">
        <v>0</v>
      </c>
      <c r="Q946" s="5">
        <v>0</v>
      </c>
      <c r="R946" s="5" t="s">
        <v>856</v>
      </c>
    </row>
    <row r="947" spans="1:18" x14ac:dyDescent="0.3">
      <c r="A947" s="26">
        <v>334</v>
      </c>
      <c r="B947" s="5" t="s">
        <v>855</v>
      </c>
      <c r="C947" s="5" t="s">
        <v>40</v>
      </c>
      <c r="D947" s="5" t="s">
        <v>71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88</v>
      </c>
      <c r="K947" s="5">
        <v>88.84</v>
      </c>
      <c r="L947" s="74">
        <f t="shared" si="66"/>
        <v>1.0095454545454545</v>
      </c>
      <c r="M947" s="14">
        <f t="shared" si="67"/>
        <v>1.0095454545454545</v>
      </c>
      <c r="N947" s="5"/>
      <c r="O947" s="5"/>
      <c r="P947" s="5">
        <v>0</v>
      </c>
      <c r="Q947" s="5">
        <v>0</v>
      </c>
      <c r="R947" s="5" t="s">
        <v>857</v>
      </c>
    </row>
    <row r="948" spans="1:18" x14ac:dyDescent="0.3">
      <c r="A948" s="34">
        <v>334</v>
      </c>
      <c r="B948" s="5" t="s">
        <v>855</v>
      </c>
      <c r="C948" s="5" t="s">
        <v>40</v>
      </c>
      <c r="D948" s="5" t="s">
        <v>71</v>
      </c>
      <c r="E948" s="5" t="s">
        <v>22</v>
      </c>
      <c r="F948" s="71">
        <v>46022</v>
      </c>
      <c r="G948" s="5">
        <v>2025</v>
      </c>
      <c r="H948" s="5" t="s">
        <v>23</v>
      </c>
      <c r="I948" s="6" t="s">
        <v>32</v>
      </c>
      <c r="J948" s="5">
        <v>89</v>
      </c>
      <c r="K948" s="5">
        <v>90.1</v>
      </c>
      <c r="L948" s="74">
        <f t="shared" si="66"/>
        <v>1.0123595505617977</v>
      </c>
      <c r="M948" s="14">
        <f t="shared" si="67"/>
        <v>1.0123595505617977</v>
      </c>
      <c r="N948" s="5" t="s">
        <v>128</v>
      </c>
      <c r="O948" s="5" t="s">
        <v>136</v>
      </c>
      <c r="P948" s="5">
        <v>0</v>
      </c>
      <c r="Q948" s="5">
        <v>1</v>
      </c>
      <c r="R948" s="5" t="s">
        <v>858</v>
      </c>
    </row>
    <row r="949" spans="1:18" x14ac:dyDescent="0.3">
      <c r="A949" s="26">
        <v>335</v>
      </c>
      <c r="B949" s="5" t="s">
        <v>859</v>
      </c>
      <c r="C949" s="5" t="s">
        <v>40</v>
      </c>
      <c r="D949" s="5" t="s">
        <v>71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80</v>
      </c>
      <c r="K949" s="5">
        <v>93.85</v>
      </c>
      <c r="L949" s="74">
        <f t="shared" si="66"/>
        <v>1.173125</v>
      </c>
      <c r="M949" s="14">
        <f t="shared" si="67"/>
        <v>1.173125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860</v>
      </c>
    </row>
    <row r="950" spans="1:18" x14ac:dyDescent="0.3">
      <c r="A950" s="28">
        <v>335</v>
      </c>
      <c r="B950" s="5" t="s">
        <v>859</v>
      </c>
      <c r="C950" s="5" t="s">
        <v>40</v>
      </c>
      <c r="D950" s="5" t="s">
        <v>71</v>
      </c>
      <c r="E950" s="5" t="s">
        <v>22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82</v>
      </c>
      <c r="K950" s="5">
        <v>80.95</v>
      </c>
      <c r="L950" s="74">
        <f t="shared" si="66"/>
        <v>0.9871951219512195</v>
      </c>
      <c r="M950" s="14">
        <f t="shared" si="67"/>
        <v>0.9871951219512195</v>
      </c>
      <c r="N950" s="5"/>
      <c r="O950" s="5"/>
      <c r="P950" s="5">
        <v>0</v>
      </c>
      <c r="Q950" s="5">
        <v>0</v>
      </c>
      <c r="R950" s="5" t="s">
        <v>861</v>
      </c>
    </row>
    <row r="951" spans="1:18" x14ac:dyDescent="0.3">
      <c r="A951" s="26">
        <v>336</v>
      </c>
      <c r="B951" s="5" t="s">
        <v>862</v>
      </c>
      <c r="C951" s="5" t="s">
        <v>254</v>
      </c>
      <c r="D951" s="5" t="s">
        <v>71</v>
      </c>
      <c r="E951" s="5" t="s">
        <v>41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2</v>
      </c>
      <c r="K951" s="5">
        <v>1.742198218602321</v>
      </c>
      <c r="L951" s="74">
        <f t="shared" si="66"/>
        <v>1.1479750000000002</v>
      </c>
      <c r="M951" s="14">
        <f t="shared" si="67"/>
        <v>1.1479750000000002</v>
      </c>
      <c r="N951" s="5"/>
      <c r="O951" s="5"/>
      <c r="P951" s="5">
        <v>0</v>
      </c>
      <c r="Q951" s="5">
        <v>0</v>
      </c>
      <c r="R951" s="5" t="s">
        <v>863</v>
      </c>
    </row>
    <row r="952" spans="1:18" x14ac:dyDescent="0.3">
      <c r="A952" s="5">
        <v>336</v>
      </c>
      <c r="B952" s="5" t="s">
        <v>862</v>
      </c>
      <c r="C952" s="5" t="s">
        <v>254</v>
      </c>
      <c r="D952" s="5" t="s">
        <v>71</v>
      </c>
      <c r="E952" s="5" t="s">
        <v>41</v>
      </c>
      <c r="F952" s="71">
        <v>45657</v>
      </c>
      <c r="G952" s="5">
        <v>2024</v>
      </c>
      <c r="H952" s="5" t="s">
        <v>23</v>
      </c>
      <c r="I952" s="6" t="s">
        <v>30</v>
      </c>
      <c r="J952" s="5">
        <v>2</v>
      </c>
      <c r="K952" s="5">
        <v>0.79</v>
      </c>
      <c r="L952" s="14">
        <f t="shared" si="66"/>
        <v>1.3</v>
      </c>
      <c r="M952" s="14">
        <f t="shared" si="67"/>
        <v>2.5316455696202529</v>
      </c>
      <c r="N952" s="5"/>
      <c r="O952" s="5"/>
      <c r="P952" s="5">
        <v>0</v>
      </c>
      <c r="Q952" s="5">
        <v>0</v>
      </c>
      <c r="R952" s="5" t="s">
        <v>864</v>
      </c>
    </row>
    <row r="953" spans="1:18" x14ac:dyDescent="0.3">
      <c r="A953" s="5">
        <v>336</v>
      </c>
      <c r="B953" s="5" t="s">
        <v>862</v>
      </c>
      <c r="C953" s="5" t="s">
        <v>254</v>
      </c>
      <c r="D953" s="5" t="s">
        <v>71</v>
      </c>
      <c r="E953" s="5" t="s">
        <v>41</v>
      </c>
      <c r="F953" s="71">
        <v>46022</v>
      </c>
      <c r="G953" s="5">
        <v>2025</v>
      </c>
      <c r="H953" s="5" t="s">
        <v>23</v>
      </c>
      <c r="I953" s="6" t="s">
        <v>32</v>
      </c>
      <c r="J953" s="5">
        <v>2</v>
      </c>
      <c r="K953" s="5">
        <v>0.36</v>
      </c>
      <c r="L953" s="14">
        <f t="shared" si="66"/>
        <v>1.3</v>
      </c>
      <c r="M953" s="14">
        <f t="shared" si="67"/>
        <v>5.5555555555555554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865</v>
      </c>
    </row>
    <row r="954" spans="1:18" x14ac:dyDescent="0.3">
      <c r="A954" s="28">
        <v>337</v>
      </c>
      <c r="B954" s="5" t="s">
        <v>866</v>
      </c>
      <c r="C954" s="5" t="s">
        <v>644</v>
      </c>
      <c r="D954" s="5" t="s">
        <v>27</v>
      </c>
      <c r="E954" s="5" t="s">
        <v>22</v>
      </c>
      <c r="F954" s="71">
        <v>45107</v>
      </c>
      <c r="G954" s="5">
        <v>2023</v>
      </c>
      <c r="H954" s="5" t="s">
        <v>699</v>
      </c>
      <c r="I954" s="6" t="s">
        <v>1512</v>
      </c>
      <c r="J954" s="5">
        <v>100</v>
      </c>
      <c r="K954" s="5"/>
      <c r="L954" s="19"/>
      <c r="M954" s="14"/>
      <c r="N954" s="5"/>
      <c r="O954" s="5"/>
      <c r="P954" s="5">
        <v>0</v>
      </c>
      <c r="Q954" s="5">
        <v>0</v>
      </c>
      <c r="R954" s="5" t="s">
        <v>2633</v>
      </c>
    </row>
    <row r="955" spans="1:18" x14ac:dyDescent="0.3">
      <c r="A955" s="26">
        <v>337</v>
      </c>
      <c r="B955" s="5" t="s">
        <v>866</v>
      </c>
      <c r="C955" s="5" t="s">
        <v>644</v>
      </c>
      <c r="D955" s="5" t="s">
        <v>27</v>
      </c>
      <c r="E955" s="5" t="s">
        <v>22</v>
      </c>
      <c r="F955" s="71">
        <v>45291</v>
      </c>
      <c r="G955" s="5">
        <v>2023</v>
      </c>
      <c r="H955" s="5" t="s">
        <v>23</v>
      </c>
      <c r="I955" s="6" t="s">
        <v>28</v>
      </c>
      <c r="J955" s="5">
        <v>100</v>
      </c>
      <c r="K955" s="5">
        <v>100</v>
      </c>
      <c r="L955" s="14">
        <f>IFERROR(IF(OR(J955=0,K955=""),"",IF(E955="Positivo",MIN(MAX(K955/J955,0),1.3),MIN(MAX(J955/K955,0),1.3))),"")</f>
        <v>1</v>
      </c>
      <c r="M955" s="14">
        <f>IFERROR(IF(OR(J955=0,K955=""),"",IF(E955="Positivo",MAX(K955/J955,0),MAX(J955/K955,0))),"")</f>
        <v>1</v>
      </c>
      <c r="N955" s="5" t="s">
        <v>128</v>
      </c>
      <c r="O955" s="5" t="s">
        <v>128</v>
      </c>
      <c r="P955" s="5">
        <v>0</v>
      </c>
      <c r="Q955" s="5">
        <v>0</v>
      </c>
      <c r="R955" s="5" t="s">
        <v>867</v>
      </c>
    </row>
    <row r="956" spans="1:18" x14ac:dyDescent="0.3">
      <c r="A956" s="26">
        <v>337</v>
      </c>
      <c r="B956" s="5" t="s">
        <v>866</v>
      </c>
      <c r="C956" s="5" t="s">
        <v>644</v>
      </c>
      <c r="D956" s="5" t="s">
        <v>27</v>
      </c>
      <c r="E956" s="5" t="s">
        <v>22</v>
      </c>
      <c r="F956" s="71">
        <v>45473</v>
      </c>
      <c r="G956" s="5">
        <v>2024</v>
      </c>
      <c r="H956" s="5" t="s">
        <v>699</v>
      </c>
      <c r="I956" s="6" t="s">
        <v>729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2634</v>
      </c>
    </row>
    <row r="957" spans="1:18" x14ac:dyDescent="0.3">
      <c r="A957" s="5">
        <v>337</v>
      </c>
      <c r="B957" s="5" t="s">
        <v>866</v>
      </c>
      <c r="C957" s="5" t="s">
        <v>644</v>
      </c>
      <c r="D957" s="5" t="s">
        <v>27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100</v>
      </c>
      <c r="K957" s="5"/>
      <c r="L957" s="14"/>
      <c r="M957" s="14"/>
      <c r="N957" s="5"/>
      <c r="O957" s="5"/>
      <c r="P957" s="5">
        <v>0</v>
      </c>
      <c r="Q957" s="5">
        <v>0</v>
      </c>
      <c r="R957" s="5" t="s">
        <v>868</v>
      </c>
    </row>
    <row r="958" spans="1:18" x14ac:dyDescent="0.3">
      <c r="A958" s="28">
        <v>338</v>
      </c>
      <c r="B958" s="5" t="s">
        <v>2636</v>
      </c>
      <c r="C958" s="5" t="s">
        <v>644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11">
        <v>100</v>
      </c>
      <c r="K958" s="11">
        <v>100</v>
      </c>
      <c r="L958" s="74">
        <f>IFERROR(IF(OR(J958=0,K958=""),"",IF(E958="Positivo",MIN(MAX(K958/J958,0),1.3),MIN(MAX(J958/K958,0),1.3))),"")</f>
        <v>1</v>
      </c>
      <c r="M958" s="14">
        <f>IFERROR(IF(OR(J958=0,K958=""),"",IF(E958="Positivo",MAX(K958/J958,0),MAX(J958/K958,0))),"")</f>
        <v>1</v>
      </c>
      <c r="N958" s="5" t="s">
        <v>128</v>
      </c>
      <c r="O958" s="5" t="s">
        <v>128</v>
      </c>
      <c r="P958" s="5">
        <v>0</v>
      </c>
      <c r="Q958" s="5">
        <v>0</v>
      </c>
      <c r="R958" s="5" t="s">
        <v>2637</v>
      </c>
    </row>
    <row r="959" spans="1:18" x14ac:dyDescent="0.3">
      <c r="A959" s="26">
        <v>338</v>
      </c>
      <c r="B959" s="5" t="s">
        <v>2636</v>
      </c>
      <c r="C959" s="5" t="s">
        <v>644</v>
      </c>
      <c r="D959" s="5" t="s">
        <v>27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100</v>
      </c>
      <c r="K959" s="5">
        <v>0</v>
      </c>
      <c r="L959" s="74">
        <f>IFERROR(IF(OR(J959=0,K959=""),"",IF(E959="Positivo",MIN(MAX(K959/J959,0),1.3),MIN(MAX(J959/K959,0),1.3))),"")</f>
        <v>0</v>
      </c>
      <c r="M959" s="14">
        <f>IFERROR(IF(OR(J959=0,K959=""),"",IF(E959="Positivo",MAX(K959/J959,0),MAX(J959/K959,0))),"")</f>
        <v>0</v>
      </c>
      <c r="N959" s="5"/>
      <c r="O959" s="5"/>
      <c r="P959" s="5">
        <v>0</v>
      </c>
      <c r="Q959" s="5">
        <v>0</v>
      </c>
      <c r="R959" s="5" t="s">
        <v>872</v>
      </c>
    </row>
    <row r="960" spans="1:18" x14ac:dyDescent="0.3">
      <c r="A960" s="5">
        <v>338</v>
      </c>
      <c r="B960" s="5" t="s">
        <v>2636</v>
      </c>
      <c r="C960" s="5" t="s">
        <v>644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100</v>
      </c>
      <c r="K960" s="5">
        <v>100</v>
      </c>
      <c r="L960" s="14">
        <f>IFERROR(IF(OR(J960=0,K960=""),"",IF(E960="Positivo",MIN(MAX(K960/J960,0),1.3),MIN(MAX(J960/K960,0),1.3))),"")</f>
        <v>1</v>
      </c>
      <c r="M960" s="14">
        <f>IFERROR(IF(OR(J960=0,K960=""),"",IF(E960="Positivo",MAX(K960/J960,0),MAX(J960/K960,0))),"")</f>
        <v>1</v>
      </c>
      <c r="N960" s="5" t="s">
        <v>128</v>
      </c>
      <c r="O960" s="5" t="s">
        <v>128</v>
      </c>
      <c r="P960" s="5">
        <v>0</v>
      </c>
      <c r="Q960" s="5">
        <v>0</v>
      </c>
      <c r="R960" s="5" t="s">
        <v>2638</v>
      </c>
    </row>
    <row r="961" spans="1:19" x14ac:dyDescent="0.3">
      <c r="A961" s="5">
        <v>338</v>
      </c>
      <c r="B961" s="5" t="s">
        <v>2636</v>
      </c>
      <c r="C961" s="5" t="s">
        <v>644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100</v>
      </c>
      <c r="K961" s="5">
        <v>0</v>
      </c>
      <c r="L961" s="14">
        <f>IFERROR(IF(OR(J961=0,K961=""),"",IF(E961="Positivo",MIN(MAX(K961/J961,0),1.3),MIN(MAX(J961/K961,0),1.3))),"")</f>
        <v>0</v>
      </c>
      <c r="M961" s="14">
        <f>IFERROR(IF(OR(J961=0,K961=""),"",IF(E961="Positivo",MAX(K961/J961,0),MAX(J961/K961,0))),"")</f>
        <v>0</v>
      </c>
      <c r="N961" s="5"/>
      <c r="O961" s="5"/>
      <c r="P961" s="5">
        <v>0</v>
      </c>
      <c r="Q961" s="5">
        <v>0</v>
      </c>
      <c r="R961" s="5" t="s">
        <v>873</v>
      </c>
    </row>
    <row r="962" spans="1:19" x14ac:dyDescent="0.3">
      <c r="A962" s="26">
        <v>338</v>
      </c>
      <c r="B962" s="5" t="s">
        <v>2636</v>
      </c>
      <c r="C962" s="5" t="s">
        <v>644</v>
      </c>
      <c r="D962" s="5" t="s">
        <v>27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100</v>
      </c>
      <c r="K962" s="5">
        <v>100</v>
      </c>
      <c r="L962" s="14">
        <f>IFERROR(IF(OR(J962=0,K962=""),"",IF(E962="Positivo",MIN(MAX(K962/J962,0),1.3),MIN(MAX(J962/K962,0),1.3))),"")</f>
        <v>1</v>
      </c>
      <c r="M962" s="14">
        <f>IFERROR(IF(OR(J962=0,K962=""),"",IF(E962="Positivo",MAX(K962/J962,0),MAX(J962/K962,0))),"")</f>
        <v>1</v>
      </c>
      <c r="N962" s="5" t="s">
        <v>128</v>
      </c>
      <c r="O962" s="5" t="s">
        <v>128</v>
      </c>
      <c r="P962" s="5">
        <v>0</v>
      </c>
      <c r="Q962" s="5">
        <v>0</v>
      </c>
      <c r="R962" s="5" t="s">
        <v>2639</v>
      </c>
    </row>
    <row r="963" spans="1:19" x14ac:dyDescent="0.3">
      <c r="A963" s="5">
        <v>338</v>
      </c>
      <c r="B963" s="5" t="s">
        <v>874</v>
      </c>
      <c r="C963" s="5" t="s">
        <v>644</v>
      </c>
      <c r="D963" s="5" t="s">
        <v>21</v>
      </c>
      <c r="E963" s="5" t="s">
        <v>22</v>
      </c>
      <c r="F963" s="71">
        <v>46022</v>
      </c>
      <c r="G963" s="5">
        <v>2025</v>
      </c>
      <c r="H963" s="5" t="s">
        <v>23</v>
      </c>
      <c r="I963" s="6" t="s">
        <v>32</v>
      </c>
      <c r="J963" s="5">
        <v>100</v>
      </c>
      <c r="K963" s="5">
        <v>100</v>
      </c>
      <c r="L963" s="14"/>
      <c r="M963" s="14"/>
      <c r="N963" s="5" t="s">
        <v>128</v>
      </c>
      <c r="O963" s="5" t="s">
        <v>128</v>
      </c>
      <c r="P963" s="5">
        <v>0</v>
      </c>
      <c r="Q963" s="5">
        <v>0</v>
      </c>
      <c r="R963" s="5" t="s">
        <v>875</v>
      </c>
      <c r="S963" t="s">
        <v>263</v>
      </c>
    </row>
    <row r="964" spans="1:19" x14ac:dyDescent="0.3">
      <c r="A964" s="26">
        <v>339</v>
      </c>
      <c r="B964" s="5" t="s">
        <v>2640</v>
      </c>
      <c r="C964" s="5" t="s">
        <v>877</v>
      </c>
      <c r="D964" s="5" t="s">
        <v>71</v>
      </c>
      <c r="E964" s="5" t="s">
        <v>22</v>
      </c>
      <c r="F964" s="71">
        <v>45291</v>
      </c>
      <c r="G964" s="5">
        <v>2023</v>
      </c>
      <c r="H964" s="5" t="s">
        <v>23</v>
      </c>
      <c r="I964" s="6" t="s">
        <v>28</v>
      </c>
      <c r="J964" s="5">
        <v>30</v>
      </c>
      <c r="K964" s="5">
        <v>28.571428571428569</v>
      </c>
      <c r="L964" s="14">
        <f t="shared" ref="L964:L982" si="68">IFERROR(IF(OR(J964=0,K964=""),"",IF(E964="Positivo",MIN(MAX(K964/J964,0),1.3),MIN(MAX(J964/K964,0),1.3))),"")</f>
        <v>0.95238095238095233</v>
      </c>
      <c r="M964" s="14">
        <f t="shared" ref="M964:M982" si="69">IFERROR(IF(OR(J964=0,K964=""),"",IF(E964="Positivo",MAX(K964/J964,0),MAX(J964/K964,0))),"")</f>
        <v>0.95238095238095233</v>
      </c>
      <c r="N964" s="5" t="s">
        <v>25</v>
      </c>
      <c r="O964" s="5" t="s">
        <v>25</v>
      </c>
      <c r="P964" s="5">
        <v>0</v>
      </c>
      <c r="Q964" s="5">
        <v>1</v>
      </c>
      <c r="R964" s="5" t="s">
        <v>878</v>
      </c>
    </row>
    <row r="965" spans="1:19" x14ac:dyDescent="0.3">
      <c r="A965" s="5">
        <v>339</v>
      </c>
      <c r="B965" s="5" t="s">
        <v>2640</v>
      </c>
      <c r="C965" s="5" t="s">
        <v>877</v>
      </c>
      <c r="D965" s="5" t="s">
        <v>71</v>
      </c>
      <c r="E965" s="5" t="s">
        <v>22</v>
      </c>
      <c r="F965" s="71">
        <v>45657</v>
      </c>
      <c r="G965" s="5">
        <v>2024</v>
      </c>
      <c r="H965" s="5" t="s">
        <v>23</v>
      </c>
      <c r="I965" s="6" t="s">
        <v>30</v>
      </c>
      <c r="J965" s="5">
        <v>30</v>
      </c>
      <c r="K965" s="5">
        <v>30.3</v>
      </c>
      <c r="L965" s="14">
        <f t="shared" si="68"/>
        <v>1.01</v>
      </c>
      <c r="M965" s="14">
        <f t="shared" si="69"/>
        <v>1.01</v>
      </c>
      <c r="N965" s="5" t="s">
        <v>25</v>
      </c>
      <c r="O965" s="5" t="s">
        <v>25</v>
      </c>
      <c r="P965" s="5">
        <v>0</v>
      </c>
      <c r="Q965" s="5">
        <v>1</v>
      </c>
      <c r="R965" s="5" t="s">
        <v>879</v>
      </c>
    </row>
    <row r="966" spans="1:19" x14ac:dyDescent="0.3">
      <c r="A966" s="26">
        <v>339</v>
      </c>
      <c r="B966" s="5" t="s">
        <v>2640</v>
      </c>
      <c r="C966" s="5" t="s">
        <v>877</v>
      </c>
      <c r="D966" s="5" t="s">
        <v>71</v>
      </c>
      <c r="E966" s="5" t="s">
        <v>22</v>
      </c>
      <c r="F966" s="71">
        <v>46022</v>
      </c>
      <c r="G966" s="5">
        <v>2025</v>
      </c>
      <c r="H966" s="5" t="s">
        <v>23</v>
      </c>
      <c r="I966" s="6" t="s">
        <v>32</v>
      </c>
      <c r="J966" s="5">
        <v>30</v>
      </c>
      <c r="K966" s="5">
        <v>35.29</v>
      </c>
      <c r="L966" s="74">
        <f t="shared" si="68"/>
        <v>1.1763333333333332</v>
      </c>
      <c r="M966" s="14">
        <f t="shared" si="69"/>
        <v>1.1763333333333332</v>
      </c>
      <c r="N966" s="5" t="s">
        <v>25</v>
      </c>
      <c r="O966" s="5" t="s">
        <v>25</v>
      </c>
      <c r="P966" s="5">
        <v>0</v>
      </c>
      <c r="Q966" s="5">
        <v>1</v>
      </c>
      <c r="R966" s="5" t="s">
        <v>880</v>
      </c>
    </row>
    <row r="967" spans="1:19" x14ac:dyDescent="0.3">
      <c r="A967" s="5">
        <v>340</v>
      </c>
      <c r="B967" s="5" t="s">
        <v>881</v>
      </c>
      <c r="C967" s="5" t="s">
        <v>167</v>
      </c>
      <c r="D967" s="5" t="s">
        <v>21</v>
      </c>
      <c r="E967" s="5" t="s">
        <v>22</v>
      </c>
      <c r="F967" s="71">
        <v>45107</v>
      </c>
      <c r="G967" s="5">
        <v>2023</v>
      </c>
      <c r="H967" s="5" t="s">
        <v>699</v>
      </c>
      <c r="I967" s="6" t="s">
        <v>1512</v>
      </c>
      <c r="J967" s="5">
        <v>90</v>
      </c>
      <c r="K967" s="5">
        <v>100</v>
      </c>
      <c r="L967" s="14">
        <f t="shared" si="68"/>
        <v>1.1111111111111112</v>
      </c>
      <c r="M967" s="14">
        <f t="shared" si="69"/>
        <v>1.1111111111111112</v>
      </c>
      <c r="N967" s="5" t="s">
        <v>25</v>
      </c>
      <c r="O967" s="5" t="s">
        <v>25</v>
      </c>
      <c r="P967" s="5">
        <v>0</v>
      </c>
      <c r="Q967" s="5">
        <v>0</v>
      </c>
      <c r="R967" s="5" t="s">
        <v>2642</v>
      </c>
    </row>
    <row r="968" spans="1:19" x14ac:dyDescent="0.3">
      <c r="A968" s="5">
        <v>340</v>
      </c>
      <c r="B968" s="5" t="s">
        <v>881</v>
      </c>
      <c r="C968" s="5" t="s">
        <v>167</v>
      </c>
      <c r="D968" s="5" t="s">
        <v>21</v>
      </c>
      <c r="E968" s="5" t="s">
        <v>22</v>
      </c>
      <c r="F968" s="71">
        <v>45291</v>
      </c>
      <c r="G968" s="5">
        <v>2023</v>
      </c>
      <c r="H968" s="5" t="s">
        <v>23</v>
      </c>
      <c r="I968" s="6" t="s">
        <v>28</v>
      </c>
      <c r="J968" s="5">
        <v>90</v>
      </c>
      <c r="K968" s="5">
        <v>100</v>
      </c>
      <c r="L968" s="14">
        <f t="shared" si="68"/>
        <v>1.1111111111111112</v>
      </c>
      <c r="M968" s="14">
        <f t="shared" si="69"/>
        <v>1.1111111111111112</v>
      </c>
      <c r="N968" s="5" t="s">
        <v>25</v>
      </c>
      <c r="O968" s="5" t="s">
        <v>25</v>
      </c>
      <c r="P968" s="5">
        <v>0</v>
      </c>
      <c r="Q968" s="5">
        <v>0</v>
      </c>
      <c r="R968" s="5" t="s">
        <v>882</v>
      </c>
    </row>
    <row r="969" spans="1:19" x14ac:dyDescent="0.3">
      <c r="A969" s="28">
        <v>340</v>
      </c>
      <c r="B969" s="5" t="s">
        <v>881</v>
      </c>
      <c r="C969" s="5" t="s">
        <v>167</v>
      </c>
      <c r="D969" s="5" t="s">
        <v>21</v>
      </c>
      <c r="E969" s="5" t="s">
        <v>22</v>
      </c>
      <c r="F969" s="71">
        <v>45473</v>
      </c>
      <c r="G969" s="5">
        <v>2024</v>
      </c>
      <c r="H969" s="5" t="s">
        <v>699</v>
      </c>
      <c r="I969" s="6" t="s">
        <v>729</v>
      </c>
      <c r="J969" s="5">
        <v>95</v>
      </c>
      <c r="K969" s="5">
        <v>100</v>
      </c>
      <c r="L969" s="74">
        <f t="shared" si="68"/>
        <v>1.0526315789473684</v>
      </c>
      <c r="M969" s="14">
        <f t="shared" si="69"/>
        <v>1.0526315789473684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2645</v>
      </c>
    </row>
    <row r="970" spans="1:19" x14ac:dyDescent="0.3">
      <c r="A970" s="26">
        <v>340</v>
      </c>
      <c r="B970" s="5" t="s">
        <v>881</v>
      </c>
      <c r="C970" s="5" t="s">
        <v>167</v>
      </c>
      <c r="D970" s="5" t="s">
        <v>21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95</v>
      </c>
      <c r="K970" s="5">
        <v>100</v>
      </c>
      <c r="L970" s="74">
        <f t="shared" si="68"/>
        <v>1.0526315789473684</v>
      </c>
      <c r="M970" s="14">
        <f t="shared" si="69"/>
        <v>1.0526315789473684</v>
      </c>
      <c r="N970" s="5" t="s">
        <v>25</v>
      </c>
      <c r="O970" s="5" t="s">
        <v>25</v>
      </c>
      <c r="P970" s="5">
        <v>0</v>
      </c>
      <c r="Q970" s="5">
        <v>0</v>
      </c>
      <c r="R970" s="5" t="s">
        <v>883</v>
      </c>
    </row>
    <row r="971" spans="1:19" x14ac:dyDescent="0.3">
      <c r="A971" s="5">
        <v>341</v>
      </c>
      <c r="B971" s="5" t="s">
        <v>884</v>
      </c>
      <c r="C971" s="5" t="s">
        <v>20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100</v>
      </c>
      <c r="K971" s="5">
        <v>123.86966666667</v>
      </c>
      <c r="L971" s="14">
        <f t="shared" si="68"/>
        <v>1.2386966666667001</v>
      </c>
      <c r="M971" s="14">
        <f t="shared" si="69"/>
        <v>1.2386966666667001</v>
      </c>
      <c r="N971" s="5" t="s">
        <v>205</v>
      </c>
      <c r="O971" s="5" t="s">
        <v>205</v>
      </c>
      <c r="P971" s="5">
        <v>0</v>
      </c>
      <c r="Q971" s="5">
        <v>0</v>
      </c>
      <c r="R971" s="5" t="s">
        <v>2647</v>
      </c>
    </row>
    <row r="972" spans="1:19" x14ac:dyDescent="0.3">
      <c r="A972" s="5">
        <v>341</v>
      </c>
      <c r="B972" s="5" t="s">
        <v>884</v>
      </c>
      <c r="C972" s="5" t="s">
        <v>20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100</v>
      </c>
      <c r="K972" s="5">
        <v>130.57</v>
      </c>
      <c r="L972" s="14">
        <f t="shared" si="68"/>
        <v>1.3</v>
      </c>
      <c r="M972" s="14">
        <f t="shared" si="69"/>
        <v>1.3056999999999999</v>
      </c>
      <c r="N972" s="5" t="s">
        <v>205</v>
      </c>
      <c r="O972" s="5" t="s">
        <v>205</v>
      </c>
      <c r="P972" s="5">
        <v>0</v>
      </c>
      <c r="Q972" s="5">
        <v>0</v>
      </c>
      <c r="R972" s="5" t="s">
        <v>885</v>
      </c>
    </row>
    <row r="973" spans="1:19" x14ac:dyDescent="0.3">
      <c r="A973" s="28">
        <v>341</v>
      </c>
      <c r="B973" s="5" t="s">
        <v>886</v>
      </c>
      <c r="C973" s="5" t="s">
        <v>20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100</v>
      </c>
      <c r="K973" s="5">
        <v>125</v>
      </c>
      <c r="L973" s="14">
        <f t="shared" si="68"/>
        <v>1.25</v>
      </c>
      <c r="M973" s="14">
        <f t="shared" si="69"/>
        <v>1.25</v>
      </c>
      <c r="N973" s="5" t="s">
        <v>205</v>
      </c>
      <c r="O973" s="5" t="s">
        <v>205</v>
      </c>
      <c r="P973" s="5">
        <v>0</v>
      </c>
      <c r="Q973" s="5">
        <v>0</v>
      </c>
      <c r="R973" s="5" t="s">
        <v>2648</v>
      </c>
    </row>
    <row r="974" spans="1:19" x14ac:dyDescent="0.3">
      <c r="A974" s="26">
        <v>341</v>
      </c>
      <c r="B974" s="5" t="s">
        <v>886</v>
      </c>
      <c r="C974" s="5" t="s">
        <v>20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5">
        <v>102.44</v>
      </c>
      <c r="L974" s="14">
        <f t="shared" si="68"/>
        <v>1.0244</v>
      </c>
      <c r="M974" s="14">
        <f t="shared" si="69"/>
        <v>1.0244</v>
      </c>
      <c r="N974" s="5" t="s">
        <v>205</v>
      </c>
      <c r="O974" s="5" t="s">
        <v>205</v>
      </c>
      <c r="P974" s="5">
        <v>0</v>
      </c>
      <c r="Q974" s="5">
        <v>0</v>
      </c>
      <c r="R974" s="5" t="s">
        <v>887</v>
      </c>
    </row>
    <row r="975" spans="1:19" x14ac:dyDescent="0.3">
      <c r="A975" s="5">
        <v>341</v>
      </c>
      <c r="B975" s="5" t="s">
        <v>886</v>
      </c>
      <c r="C975" s="5" t="s">
        <v>20</v>
      </c>
      <c r="D975" s="5" t="s">
        <v>27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100</v>
      </c>
      <c r="K975" s="5">
        <v>102.25</v>
      </c>
      <c r="L975" s="14">
        <f t="shared" si="68"/>
        <v>1.0225</v>
      </c>
      <c r="M975" s="14">
        <f t="shared" si="69"/>
        <v>1.0225</v>
      </c>
      <c r="N975" s="5" t="s">
        <v>205</v>
      </c>
      <c r="O975" s="5" t="s">
        <v>205</v>
      </c>
      <c r="P975" s="5">
        <v>0</v>
      </c>
      <c r="Q975" s="5">
        <v>0</v>
      </c>
      <c r="R975" s="5" t="s">
        <v>2649</v>
      </c>
    </row>
    <row r="976" spans="1:19" x14ac:dyDescent="0.3">
      <c r="A976" s="5">
        <v>341</v>
      </c>
      <c r="B976" s="5" t="s">
        <v>888</v>
      </c>
      <c r="C976" s="5" t="s">
        <v>20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100</v>
      </c>
      <c r="K976" s="5">
        <v>102.65</v>
      </c>
      <c r="L976" s="14">
        <f t="shared" si="68"/>
        <v>1.0265</v>
      </c>
      <c r="M976" s="14">
        <f t="shared" si="69"/>
        <v>1.0265</v>
      </c>
      <c r="N976" s="5" t="s">
        <v>205</v>
      </c>
      <c r="O976" s="5" t="s">
        <v>205</v>
      </c>
      <c r="P976" s="5">
        <v>0</v>
      </c>
      <c r="Q976" s="5">
        <v>0</v>
      </c>
      <c r="R976" s="5" t="s">
        <v>889</v>
      </c>
    </row>
    <row r="977" spans="1:18" x14ac:dyDescent="0.3">
      <c r="A977" s="28">
        <v>344</v>
      </c>
      <c r="B977" s="5" t="s">
        <v>890</v>
      </c>
      <c r="C977" s="5" t="s">
        <v>40</v>
      </c>
      <c r="D977" s="5" t="s">
        <v>27</v>
      </c>
      <c r="E977" s="5" t="s">
        <v>22</v>
      </c>
      <c r="F977" s="71">
        <v>45107</v>
      </c>
      <c r="G977" s="5">
        <v>2023</v>
      </c>
      <c r="H977" s="5" t="s">
        <v>699</v>
      </c>
      <c r="I977" s="6" t="s">
        <v>1512</v>
      </c>
      <c r="J977" s="5">
        <v>90</v>
      </c>
      <c r="K977" s="5">
        <v>97.744360902256005</v>
      </c>
      <c r="L977" s="14">
        <f t="shared" si="68"/>
        <v>1.0860484544695113</v>
      </c>
      <c r="M977" s="14">
        <f t="shared" si="69"/>
        <v>1.0860484544695113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2650</v>
      </c>
    </row>
    <row r="978" spans="1:18" x14ac:dyDescent="0.3">
      <c r="A978" s="26">
        <v>344</v>
      </c>
      <c r="B978" s="5" t="s">
        <v>890</v>
      </c>
      <c r="C978" s="5" t="s">
        <v>40</v>
      </c>
      <c r="D978" s="5" t="s">
        <v>27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97.76</v>
      </c>
      <c r="L978" s="14">
        <f t="shared" si="68"/>
        <v>1.0862222222222222</v>
      </c>
      <c r="M978" s="14">
        <f t="shared" si="69"/>
        <v>1.0862222222222222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891</v>
      </c>
    </row>
    <row r="979" spans="1:18" x14ac:dyDescent="0.3">
      <c r="A979" s="5">
        <v>344</v>
      </c>
      <c r="B979" s="5" t="s">
        <v>890</v>
      </c>
      <c r="C979" s="5" t="s">
        <v>40</v>
      </c>
      <c r="D979" s="5" t="s">
        <v>27</v>
      </c>
      <c r="E979" s="5" t="s">
        <v>22</v>
      </c>
      <c r="F979" s="71">
        <v>45473</v>
      </c>
      <c r="G979" s="5">
        <v>2024</v>
      </c>
      <c r="H979" s="5" t="s">
        <v>699</v>
      </c>
      <c r="I979" s="6" t="s">
        <v>729</v>
      </c>
      <c r="J979" s="5">
        <v>93</v>
      </c>
      <c r="K979" s="5">
        <v>97.34</v>
      </c>
      <c r="L979" s="14">
        <f t="shared" si="68"/>
        <v>1.0466666666666666</v>
      </c>
      <c r="M979" s="14">
        <f t="shared" si="69"/>
        <v>1.0466666666666666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2651</v>
      </c>
    </row>
    <row r="980" spans="1:18" x14ac:dyDescent="0.3">
      <c r="A980" s="5">
        <v>344</v>
      </c>
      <c r="B980" s="5" t="s">
        <v>890</v>
      </c>
      <c r="C980" s="5" t="s">
        <v>40</v>
      </c>
      <c r="D980" s="5" t="s">
        <v>27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5">
        <v>93</v>
      </c>
      <c r="K980" s="5">
        <v>99.19</v>
      </c>
      <c r="L980" s="14">
        <f t="shared" si="68"/>
        <v>1.0665591397849463</v>
      </c>
      <c r="M980" s="14">
        <f t="shared" si="69"/>
        <v>1.0665591397849463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892</v>
      </c>
    </row>
    <row r="981" spans="1:18" x14ac:dyDescent="0.3">
      <c r="A981" s="28">
        <v>344</v>
      </c>
      <c r="B981" s="5" t="s">
        <v>890</v>
      </c>
      <c r="C981" s="5" t="s">
        <v>40</v>
      </c>
      <c r="D981" s="5" t="s">
        <v>21</v>
      </c>
      <c r="E981" s="5" t="s">
        <v>22</v>
      </c>
      <c r="F981" s="71">
        <v>45838</v>
      </c>
      <c r="G981" s="5">
        <v>2025</v>
      </c>
      <c r="H981" s="5" t="s">
        <v>699</v>
      </c>
      <c r="I981" s="6" t="s">
        <v>700</v>
      </c>
      <c r="J981" s="5">
        <v>93</v>
      </c>
      <c r="K981" s="5">
        <v>99.43</v>
      </c>
      <c r="L981" s="14">
        <f t="shared" si="68"/>
        <v>1.0691397849462367</v>
      </c>
      <c r="M981" s="14">
        <f t="shared" si="69"/>
        <v>1.0691397849462367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2652</v>
      </c>
    </row>
    <row r="982" spans="1:18" x14ac:dyDescent="0.3">
      <c r="A982" s="26">
        <v>344</v>
      </c>
      <c r="B982" s="5" t="s">
        <v>890</v>
      </c>
      <c r="C982" s="5" t="s">
        <v>40</v>
      </c>
      <c r="D982" s="5" t="s">
        <v>21</v>
      </c>
      <c r="E982" s="5" t="s">
        <v>22</v>
      </c>
      <c r="F982" s="71">
        <v>46022</v>
      </c>
      <c r="G982" s="5">
        <v>2025</v>
      </c>
      <c r="H982" s="5" t="s">
        <v>23</v>
      </c>
      <c r="I982" s="6" t="s">
        <v>32</v>
      </c>
      <c r="J982" s="5">
        <v>93</v>
      </c>
      <c r="K982" s="5">
        <v>100</v>
      </c>
      <c r="L982" s="14">
        <f t="shared" si="68"/>
        <v>1.075268817204301</v>
      </c>
      <c r="M982" s="14">
        <f t="shared" si="69"/>
        <v>1.075268817204301</v>
      </c>
      <c r="N982" s="5" t="s">
        <v>25</v>
      </c>
      <c r="O982" s="5" t="s">
        <v>25</v>
      </c>
      <c r="P982" s="5">
        <v>0</v>
      </c>
      <c r="Q982" s="5">
        <v>0</v>
      </c>
      <c r="R982" s="5" t="s">
        <v>893</v>
      </c>
    </row>
    <row r="983" spans="1:18" x14ac:dyDescent="0.3">
      <c r="A983" s="5">
        <v>345</v>
      </c>
      <c r="B983" s="5" t="s">
        <v>894</v>
      </c>
      <c r="C983" s="5" t="s">
        <v>40</v>
      </c>
      <c r="D983" s="5" t="s">
        <v>71</v>
      </c>
      <c r="E983" s="5" t="s">
        <v>22</v>
      </c>
      <c r="F983" s="71">
        <v>45291</v>
      </c>
      <c r="G983" s="5">
        <v>2023</v>
      </c>
      <c r="H983" s="5" t="s">
        <v>23</v>
      </c>
      <c r="I983" s="6" t="s">
        <v>28</v>
      </c>
      <c r="J983" s="5"/>
      <c r="K983" s="5">
        <v>94.85</v>
      </c>
      <c r="L983" s="14"/>
      <c r="M983" s="14"/>
      <c r="N983" s="5" t="s">
        <v>3246</v>
      </c>
      <c r="O983" s="5" t="s">
        <v>25</v>
      </c>
      <c r="P983" s="5">
        <v>0</v>
      </c>
      <c r="Q983" s="5">
        <v>0</v>
      </c>
      <c r="R983" s="5" t="s">
        <v>895</v>
      </c>
    </row>
    <row r="984" spans="1:18" x14ac:dyDescent="0.3">
      <c r="A984" s="5">
        <v>346</v>
      </c>
      <c r="B984" s="5" t="s">
        <v>896</v>
      </c>
      <c r="C984" s="5" t="s">
        <v>40</v>
      </c>
      <c r="D984" s="5" t="s">
        <v>71</v>
      </c>
      <c r="E984" s="5" t="s">
        <v>22</v>
      </c>
      <c r="F984" s="71">
        <v>45291</v>
      </c>
      <c r="G984" s="5">
        <v>2023</v>
      </c>
      <c r="H984" s="5" t="s">
        <v>23</v>
      </c>
      <c r="I984" s="6" t="s">
        <v>28</v>
      </c>
      <c r="J984" s="5"/>
      <c r="K984" s="5">
        <v>83.91608391608392</v>
      </c>
      <c r="L984" s="14"/>
      <c r="M984" s="14"/>
      <c r="N984" s="5" t="s">
        <v>3246</v>
      </c>
      <c r="O984" s="5" t="s">
        <v>25</v>
      </c>
      <c r="P984" s="5">
        <v>0</v>
      </c>
      <c r="Q984" s="5">
        <v>0</v>
      </c>
      <c r="R984" s="5" t="s">
        <v>897</v>
      </c>
    </row>
    <row r="985" spans="1:18" x14ac:dyDescent="0.3">
      <c r="A985" s="26">
        <v>346</v>
      </c>
      <c r="B985" s="5" t="s">
        <v>896</v>
      </c>
      <c r="C985" s="5" t="s">
        <v>40</v>
      </c>
      <c r="D985" s="5" t="s">
        <v>71</v>
      </c>
      <c r="E985" s="5" t="s">
        <v>22</v>
      </c>
      <c r="F985" s="71">
        <v>45657</v>
      </c>
      <c r="G985" s="5">
        <v>2024</v>
      </c>
      <c r="H985" s="5" t="s">
        <v>23</v>
      </c>
      <c r="I985" s="6" t="s">
        <v>30</v>
      </c>
      <c r="J985" s="73">
        <v>85</v>
      </c>
      <c r="K985" s="12">
        <v>91.88</v>
      </c>
      <c r="L985" s="74">
        <f t="shared" ref="L985:L1000" si="70">IFERROR(IF(OR(J985=0,K985=""),"",IF(E985="Positivo",MIN(MAX(K985/J985,0),1.3),MIN(MAX(J985/K985,0),1.3))),"")</f>
        <v>1.0809411764705881</v>
      </c>
      <c r="M985" s="14">
        <f t="shared" ref="M985:M1000" si="71">IFERROR(IF(OR(J985=0,K985=""),"",IF(E985="Positivo",MAX(K985/J985,0),MAX(J985/K985,0))),"")</f>
        <v>1.0809411764705881</v>
      </c>
      <c r="N985" s="5"/>
      <c r="O985" s="5"/>
      <c r="P985" s="5">
        <v>0</v>
      </c>
      <c r="Q985" s="5">
        <v>0</v>
      </c>
      <c r="R985" s="5" t="s">
        <v>898</v>
      </c>
    </row>
    <row r="986" spans="1:18" x14ac:dyDescent="0.3">
      <c r="A986" s="26">
        <v>346</v>
      </c>
      <c r="B986" s="5" t="s">
        <v>896</v>
      </c>
      <c r="C986" s="5" t="s">
        <v>40</v>
      </c>
      <c r="D986" s="5" t="s">
        <v>71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32</v>
      </c>
      <c r="J986" s="73">
        <v>85</v>
      </c>
      <c r="K986" s="12">
        <v>97.28</v>
      </c>
      <c r="L986" s="74">
        <f t="shared" si="70"/>
        <v>1.1444705882352941</v>
      </c>
      <c r="M986" s="14">
        <f t="shared" si="71"/>
        <v>1.1444705882352941</v>
      </c>
      <c r="N986" s="5" t="s">
        <v>355</v>
      </c>
      <c r="O986" s="5" t="s">
        <v>25</v>
      </c>
      <c r="P986" s="5">
        <v>0</v>
      </c>
      <c r="Q986" s="5">
        <v>0</v>
      </c>
      <c r="R986" s="5" t="s">
        <v>899</v>
      </c>
    </row>
    <row r="987" spans="1:18" x14ac:dyDescent="0.3">
      <c r="A987" s="26">
        <v>347</v>
      </c>
      <c r="B987" s="5" t="s">
        <v>900</v>
      </c>
      <c r="C987" s="5" t="s">
        <v>901</v>
      </c>
      <c r="D987" s="5" t="s">
        <v>21</v>
      </c>
      <c r="E987" s="5" t="s">
        <v>41</v>
      </c>
      <c r="F987" s="71">
        <v>45107</v>
      </c>
      <c r="G987" s="5">
        <v>2023</v>
      </c>
      <c r="H987" s="5" t="s">
        <v>699</v>
      </c>
      <c r="I987" s="6" t="s">
        <v>1512</v>
      </c>
      <c r="J987" s="73">
        <v>0</v>
      </c>
      <c r="K987" s="12">
        <v>6.5</v>
      </c>
      <c r="L987" s="74" t="str">
        <f t="shared" si="70"/>
        <v/>
      </c>
      <c r="M987" s="14" t="str">
        <f t="shared" si="71"/>
        <v/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2654</v>
      </c>
    </row>
    <row r="988" spans="1:18" x14ac:dyDescent="0.3">
      <c r="A988" s="5">
        <v>347</v>
      </c>
      <c r="B988" s="5" t="s">
        <v>900</v>
      </c>
      <c r="C988" s="5" t="s">
        <v>901</v>
      </c>
      <c r="D988" s="5" t="s">
        <v>21</v>
      </c>
      <c r="E988" s="5" t="s">
        <v>41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0</v>
      </c>
      <c r="K988" s="5">
        <v>7</v>
      </c>
      <c r="L988" s="14" t="str">
        <f t="shared" si="70"/>
        <v/>
      </c>
      <c r="M988" s="14" t="str">
        <f t="shared" si="71"/>
        <v/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902</v>
      </c>
    </row>
    <row r="989" spans="1:18" x14ac:dyDescent="0.3">
      <c r="A989" s="5">
        <v>347</v>
      </c>
      <c r="B989" s="5" t="s">
        <v>900</v>
      </c>
      <c r="C989" s="5" t="s">
        <v>901</v>
      </c>
      <c r="D989" s="5" t="s">
        <v>21</v>
      </c>
      <c r="E989" s="5" t="s">
        <v>41</v>
      </c>
      <c r="F989" s="71">
        <v>45473</v>
      </c>
      <c r="G989" s="15">
        <v>2024</v>
      </c>
      <c r="H989" s="6" t="s">
        <v>699</v>
      </c>
      <c r="I989" s="6" t="s">
        <v>729</v>
      </c>
      <c r="J989" s="5">
        <v>5</v>
      </c>
      <c r="K989" s="5">
        <v>1.5</v>
      </c>
      <c r="L989" s="74">
        <f t="shared" si="70"/>
        <v>1.3</v>
      </c>
      <c r="M989" s="14">
        <f t="shared" si="71"/>
        <v>3.3333333333333335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2657</v>
      </c>
    </row>
    <row r="990" spans="1:18" x14ac:dyDescent="0.3">
      <c r="A990" s="26">
        <v>347</v>
      </c>
      <c r="B990" s="5" t="s">
        <v>900</v>
      </c>
      <c r="C990" s="5" t="s">
        <v>901</v>
      </c>
      <c r="D990" s="5" t="s">
        <v>21</v>
      </c>
      <c r="E990" s="5" t="s">
        <v>41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5</v>
      </c>
      <c r="K990" s="5">
        <v>0</v>
      </c>
      <c r="L990" s="74" t="str">
        <f t="shared" si="70"/>
        <v/>
      </c>
      <c r="M990" s="14" t="str">
        <f t="shared" si="71"/>
        <v/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903</v>
      </c>
    </row>
    <row r="991" spans="1:18" x14ac:dyDescent="0.3">
      <c r="A991" s="5">
        <v>347</v>
      </c>
      <c r="B991" s="5" t="s">
        <v>900</v>
      </c>
      <c r="C991" s="5" t="s">
        <v>901</v>
      </c>
      <c r="D991" s="5" t="s">
        <v>21</v>
      </c>
      <c r="E991" s="5" t="s">
        <v>41</v>
      </c>
      <c r="F991" s="71">
        <v>45838</v>
      </c>
      <c r="G991" s="5">
        <v>2025</v>
      </c>
      <c r="H991" s="5" t="s">
        <v>699</v>
      </c>
      <c r="I991" s="6" t="s">
        <v>700</v>
      </c>
      <c r="J991" s="5">
        <v>5</v>
      </c>
      <c r="K991" s="5">
        <v>1</v>
      </c>
      <c r="L991" s="14">
        <f t="shared" si="70"/>
        <v>1.3</v>
      </c>
      <c r="M991" s="14">
        <f t="shared" si="71"/>
        <v>5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2660</v>
      </c>
    </row>
    <row r="992" spans="1:18" x14ac:dyDescent="0.3">
      <c r="A992" s="5">
        <v>347</v>
      </c>
      <c r="B992" s="5" t="s">
        <v>900</v>
      </c>
      <c r="C992" s="5" t="s">
        <v>901</v>
      </c>
      <c r="D992" s="5" t="s">
        <v>27</v>
      </c>
      <c r="E992" s="5" t="s">
        <v>41</v>
      </c>
      <c r="F992" s="71">
        <v>46022</v>
      </c>
      <c r="G992" s="5">
        <v>2025</v>
      </c>
      <c r="H992" s="5" t="s">
        <v>23</v>
      </c>
      <c r="I992" s="6" t="s">
        <v>32</v>
      </c>
      <c r="J992" s="5">
        <v>5</v>
      </c>
      <c r="K992" s="5">
        <v>3.5</v>
      </c>
      <c r="L992" s="14">
        <f t="shared" si="70"/>
        <v>1.3</v>
      </c>
      <c r="M992" s="14">
        <f t="shared" si="71"/>
        <v>1.4285714285714286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904</v>
      </c>
    </row>
    <row r="993" spans="1:18" x14ac:dyDescent="0.3">
      <c r="A993" s="26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45016</v>
      </c>
      <c r="G993" s="5">
        <v>2023</v>
      </c>
      <c r="H993" s="5" t="s">
        <v>1516</v>
      </c>
      <c r="I993" s="6" t="s">
        <v>1512</v>
      </c>
      <c r="J993" s="5">
        <v>99</v>
      </c>
      <c r="K993" s="5">
        <v>99.81769557994599</v>
      </c>
      <c r="L993" s="74">
        <f t="shared" si="70"/>
        <v>1.0082595513125858</v>
      </c>
      <c r="M993" s="14">
        <f t="shared" si="71"/>
        <v>1.0082595513125858</v>
      </c>
      <c r="N993" s="5" t="s">
        <v>25</v>
      </c>
      <c r="O993" s="5" t="s">
        <v>25</v>
      </c>
      <c r="P993" s="5">
        <v>0</v>
      </c>
      <c r="Q993" s="5">
        <v>1</v>
      </c>
      <c r="R993" s="5" t="s">
        <v>2662</v>
      </c>
    </row>
    <row r="994" spans="1:18" x14ac:dyDescent="0.3">
      <c r="A994" s="5">
        <v>348</v>
      </c>
      <c r="B994" s="5" t="s">
        <v>905</v>
      </c>
      <c r="C994" s="5" t="s">
        <v>901</v>
      </c>
      <c r="D994" s="5" t="s">
        <v>21</v>
      </c>
      <c r="E994" s="5" t="s">
        <v>22</v>
      </c>
      <c r="F994" s="71">
        <v>45107</v>
      </c>
      <c r="G994" s="5">
        <v>2023</v>
      </c>
      <c r="H994" s="5" t="s">
        <v>699</v>
      </c>
      <c r="I994" s="6" t="s">
        <v>1512</v>
      </c>
      <c r="J994" s="5">
        <v>99</v>
      </c>
      <c r="K994" s="5">
        <v>99.81769557994599</v>
      </c>
      <c r="L994" s="14">
        <f t="shared" si="70"/>
        <v>1.0082595513125858</v>
      </c>
      <c r="M994" s="14">
        <f t="shared" si="71"/>
        <v>1.0082595513125858</v>
      </c>
      <c r="N994" s="5" t="s">
        <v>25</v>
      </c>
      <c r="O994" s="5" t="s">
        <v>25</v>
      </c>
      <c r="P994" s="5">
        <v>0</v>
      </c>
      <c r="Q994" s="5">
        <v>1</v>
      </c>
      <c r="R994" s="5" t="s">
        <v>2663</v>
      </c>
    </row>
    <row r="995" spans="1:18" x14ac:dyDescent="0.3">
      <c r="A995" s="5">
        <v>348</v>
      </c>
      <c r="B995" s="5" t="s">
        <v>905</v>
      </c>
      <c r="C995" s="5" t="s">
        <v>901</v>
      </c>
      <c r="D995" s="5" t="s">
        <v>21</v>
      </c>
      <c r="E995" s="5" t="s">
        <v>22</v>
      </c>
      <c r="F995" s="71">
        <v>45199</v>
      </c>
      <c r="G995" s="5">
        <v>2023</v>
      </c>
      <c r="H995" s="5" t="s">
        <v>162</v>
      </c>
      <c r="I995" s="6" t="s">
        <v>28</v>
      </c>
      <c r="J995" s="5">
        <v>99</v>
      </c>
      <c r="K995" s="5">
        <v>100</v>
      </c>
      <c r="L995" s="14">
        <f t="shared" si="70"/>
        <v>1.0101010101010102</v>
      </c>
      <c r="M995" s="14">
        <f t="shared" si="71"/>
        <v>1.0101010101010102</v>
      </c>
      <c r="N995" s="5" t="s">
        <v>25</v>
      </c>
      <c r="O995" s="5" t="s">
        <v>25</v>
      </c>
      <c r="P995" s="5">
        <v>0</v>
      </c>
      <c r="Q995" s="5">
        <v>1</v>
      </c>
      <c r="R995" s="5" t="s">
        <v>2664</v>
      </c>
    </row>
    <row r="996" spans="1:18" x14ac:dyDescent="0.3">
      <c r="A996" s="28">
        <v>348</v>
      </c>
      <c r="B996" s="5" t="s">
        <v>905</v>
      </c>
      <c r="C996" s="5" t="s">
        <v>901</v>
      </c>
      <c r="D996" s="5" t="s">
        <v>21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>
        <v>99</v>
      </c>
      <c r="K996" s="5">
        <v>100</v>
      </c>
      <c r="L996" s="14">
        <f t="shared" si="70"/>
        <v>1.0101010101010102</v>
      </c>
      <c r="M996" s="14">
        <f t="shared" si="71"/>
        <v>1.0101010101010102</v>
      </c>
      <c r="N996" s="5" t="s">
        <v>25</v>
      </c>
      <c r="O996" s="5" t="s">
        <v>25</v>
      </c>
      <c r="P996" s="5">
        <v>0</v>
      </c>
      <c r="Q996" s="5">
        <v>1</v>
      </c>
      <c r="R996" s="5" t="s">
        <v>906</v>
      </c>
    </row>
    <row r="997" spans="1:18" x14ac:dyDescent="0.3">
      <c r="A997" s="26">
        <v>348</v>
      </c>
      <c r="B997" s="5" t="s">
        <v>905</v>
      </c>
      <c r="C997" s="5" t="s">
        <v>901</v>
      </c>
      <c r="D997" s="5" t="s">
        <v>21</v>
      </c>
      <c r="E997" s="5" t="s">
        <v>22</v>
      </c>
      <c r="F997" s="71">
        <v>45473</v>
      </c>
      <c r="G997" s="5">
        <v>2024</v>
      </c>
      <c r="H997" s="5" t="s">
        <v>699</v>
      </c>
      <c r="I997" s="6" t="s">
        <v>729</v>
      </c>
      <c r="J997" s="5">
        <v>99</v>
      </c>
      <c r="K997" s="5">
        <v>99.925000000000011</v>
      </c>
      <c r="L997" s="14">
        <f t="shared" si="70"/>
        <v>1.0093434343434344</v>
      </c>
      <c r="M997" s="14">
        <f t="shared" si="71"/>
        <v>1.0093434343434344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2666</v>
      </c>
    </row>
    <row r="998" spans="1:18" x14ac:dyDescent="0.3">
      <c r="A998" s="5">
        <v>348</v>
      </c>
      <c r="B998" s="5" t="s">
        <v>905</v>
      </c>
      <c r="C998" s="5" t="s">
        <v>901</v>
      </c>
      <c r="D998" s="5" t="s">
        <v>21</v>
      </c>
      <c r="E998" s="5" t="s">
        <v>22</v>
      </c>
      <c r="F998" s="71">
        <v>45657</v>
      </c>
      <c r="G998" s="5">
        <v>2024</v>
      </c>
      <c r="H998" s="5" t="s">
        <v>23</v>
      </c>
      <c r="I998" s="6" t="s">
        <v>30</v>
      </c>
      <c r="J998" s="5">
        <v>99</v>
      </c>
      <c r="K998" s="5">
        <v>100</v>
      </c>
      <c r="L998" s="14">
        <f t="shared" si="70"/>
        <v>1.0101010101010102</v>
      </c>
      <c r="M998" s="14">
        <f t="shared" si="71"/>
        <v>1.0101010101010102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907</v>
      </c>
    </row>
    <row r="999" spans="1:18" x14ac:dyDescent="0.3">
      <c r="A999" s="5">
        <v>348</v>
      </c>
      <c r="B999" s="5" t="s">
        <v>905</v>
      </c>
      <c r="C999" s="5" t="s">
        <v>901</v>
      </c>
      <c r="D999" s="5" t="s">
        <v>21</v>
      </c>
      <c r="E999" s="5" t="s">
        <v>22</v>
      </c>
      <c r="F999" s="71">
        <v>45838</v>
      </c>
      <c r="G999" s="5">
        <v>2025</v>
      </c>
      <c r="H999" s="5" t="s">
        <v>699</v>
      </c>
      <c r="I999" s="6" t="s">
        <v>700</v>
      </c>
      <c r="J999" s="5">
        <v>99</v>
      </c>
      <c r="K999" s="5">
        <v>100</v>
      </c>
      <c r="L999" s="14">
        <f t="shared" si="70"/>
        <v>1.0101010101010102</v>
      </c>
      <c r="M999" s="14">
        <f t="shared" si="71"/>
        <v>1.0101010101010102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2669</v>
      </c>
    </row>
    <row r="1000" spans="1:18" x14ac:dyDescent="0.3">
      <c r="A1000" s="26">
        <v>348</v>
      </c>
      <c r="B1000" s="5" t="s">
        <v>905</v>
      </c>
      <c r="C1000" s="5" t="s">
        <v>901</v>
      </c>
      <c r="D1000" s="5" t="s">
        <v>27</v>
      </c>
      <c r="E1000" s="5" t="s">
        <v>22</v>
      </c>
      <c r="F1000" s="71">
        <v>46022</v>
      </c>
      <c r="G1000" s="5">
        <v>2025</v>
      </c>
      <c r="H1000" s="5" t="s">
        <v>23</v>
      </c>
      <c r="I1000" s="6" t="s">
        <v>32</v>
      </c>
      <c r="J1000" s="5">
        <v>99</v>
      </c>
      <c r="K1000" s="5">
        <v>100</v>
      </c>
      <c r="L1000" s="14">
        <f t="shared" si="70"/>
        <v>1.0101010101010102</v>
      </c>
      <c r="M1000" s="14">
        <f t="shared" si="71"/>
        <v>1.0101010101010102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908</v>
      </c>
    </row>
    <row r="1001" spans="1:18" x14ac:dyDescent="0.3">
      <c r="A1001" s="26">
        <v>349</v>
      </c>
      <c r="B1001" s="5" t="s">
        <v>909</v>
      </c>
      <c r="C1001" s="5" t="s">
        <v>127</v>
      </c>
      <c r="D1001" s="5" t="s">
        <v>71</v>
      </c>
      <c r="E1001" s="5" t="s">
        <v>22</v>
      </c>
      <c r="F1001" s="71">
        <v>45291</v>
      </c>
      <c r="G1001" s="5">
        <v>2023</v>
      </c>
      <c r="H1001" s="5" t="s">
        <v>23</v>
      </c>
      <c r="I1001" s="6" t="s">
        <v>28</v>
      </c>
      <c r="J1001" s="5"/>
      <c r="K1001" s="5">
        <v>0</v>
      </c>
      <c r="L1001" s="14"/>
      <c r="M1001" s="14"/>
      <c r="N1001" s="5"/>
      <c r="O1001" s="5"/>
      <c r="P1001" s="5">
        <v>0</v>
      </c>
      <c r="Q1001" s="5">
        <v>0</v>
      </c>
      <c r="R1001" s="5" t="s">
        <v>910</v>
      </c>
    </row>
    <row r="1002" spans="1:18" x14ac:dyDescent="0.3">
      <c r="A1002" s="26">
        <v>350</v>
      </c>
      <c r="B1002" s="5" t="s">
        <v>911</v>
      </c>
      <c r="C1002" s="5" t="s">
        <v>127</v>
      </c>
      <c r="D1002" s="5" t="s">
        <v>71</v>
      </c>
      <c r="E1002" s="5" t="s">
        <v>22</v>
      </c>
      <c r="F1002" s="71">
        <v>45291</v>
      </c>
      <c r="G1002" s="5">
        <v>2023</v>
      </c>
      <c r="H1002" s="5" t="s">
        <v>23</v>
      </c>
      <c r="I1002" s="6" t="s">
        <v>28</v>
      </c>
      <c r="J1002" s="5"/>
      <c r="K1002" s="5">
        <v>0</v>
      </c>
      <c r="L1002" s="14"/>
      <c r="M1002" s="14"/>
      <c r="N1002" s="5"/>
      <c r="O1002" s="5"/>
      <c r="P1002" s="5">
        <v>0</v>
      </c>
      <c r="Q1002" s="5">
        <v>0</v>
      </c>
      <c r="R1002" s="5" t="s">
        <v>912</v>
      </c>
    </row>
    <row r="1003" spans="1:18" x14ac:dyDescent="0.3">
      <c r="A1003" s="26">
        <v>351</v>
      </c>
      <c r="B1003" s="5" t="s">
        <v>913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9.8260420414915259</v>
      </c>
      <c r="L1003" s="14" t="str">
        <f t="shared" ref="L1003:L1028" si="72">IFERROR(IF(OR(J1003=0,K1003=""),"",IF(E1003="Positivo",MIN(MAX(K1003/J1003,0),1.3),MIN(MAX(J1003/K1003,0),1.3))),"")</f>
        <v/>
      </c>
      <c r="M1003" s="14" t="str">
        <f t="shared" ref="M1003:M1028" si="73">IFERROR(IF(OR(J1003=0,K1003=""),"",IF(E1003="Positivo",MAX(K1003/J1003,0),MAX(J1003/K1003,0))),"")</f>
        <v/>
      </c>
      <c r="N1003" s="5" t="s">
        <v>128</v>
      </c>
      <c r="O1003" s="5" t="s">
        <v>128</v>
      </c>
      <c r="P1003" s="5">
        <v>0</v>
      </c>
      <c r="Q1003" s="5">
        <v>1</v>
      </c>
      <c r="R1003" s="5" t="s">
        <v>2672</v>
      </c>
    </row>
    <row r="1004" spans="1:18" x14ac:dyDescent="0.3">
      <c r="A1004" s="5">
        <v>351</v>
      </c>
      <c r="B1004" s="5" t="s">
        <v>913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6.921122099497337</v>
      </c>
      <c r="L1004" s="14" t="str">
        <f t="shared" si="72"/>
        <v/>
      </c>
      <c r="M1004" s="14" t="str">
        <f t="shared" si="73"/>
        <v/>
      </c>
      <c r="N1004" s="5" t="s">
        <v>128</v>
      </c>
      <c r="O1004" s="5" t="s">
        <v>128</v>
      </c>
      <c r="P1004" s="5">
        <v>0</v>
      </c>
      <c r="Q1004" s="5">
        <v>1</v>
      </c>
      <c r="R1004" s="5" t="s">
        <v>914</v>
      </c>
    </row>
    <row r="1005" spans="1:18" x14ac:dyDescent="0.3">
      <c r="A1005" s="5">
        <v>351</v>
      </c>
      <c r="B1005" s="5" t="s">
        <v>913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8.7646009838309578</v>
      </c>
      <c r="L1005" s="14" t="str">
        <f t="shared" si="72"/>
        <v/>
      </c>
      <c r="M1005" s="14" t="str">
        <f t="shared" si="73"/>
        <v/>
      </c>
      <c r="N1005" s="5" t="s">
        <v>128</v>
      </c>
      <c r="O1005" s="5" t="s">
        <v>128</v>
      </c>
      <c r="P1005" s="5">
        <v>0</v>
      </c>
      <c r="Q1005" s="5">
        <v>1</v>
      </c>
      <c r="R1005" s="5" t="s">
        <v>2675</v>
      </c>
    </row>
    <row r="1006" spans="1:18" x14ac:dyDescent="0.3">
      <c r="A1006" s="28">
        <v>351</v>
      </c>
      <c r="B1006" s="5" t="s">
        <v>913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2.338777826654054</v>
      </c>
      <c r="L1006" s="74" t="str">
        <f t="shared" si="72"/>
        <v/>
      </c>
      <c r="M1006" s="14" t="str">
        <f t="shared" si="73"/>
        <v/>
      </c>
      <c r="N1006" s="5" t="s">
        <v>128</v>
      </c>
      <c r="O1006" s="5" t="s">
        <v>128</v>
      </c>
      <c r="P1006" s="5">
        <v>0</v>
      </c>
      <c r="Q1006" s="5">
        <v>1</v>
      </c>
      <c r="R1006" s="5" t="s">
        <v>915</v>
      </c>
    </row>
    <row r="1007" spans="1:18" x14ac:dyDescent="0.3">
      <c r="A1007" s="26">
        <v>351</v>
      </c>
      <c r="B1007" s="5" t="s">
        <v>913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0.56000000000000005</v>
      </c>
      <c r="L1007" s="74" t="str">
        <f t="shared" si="72"/>
        <v/>
      </c>
      <c r="M1007" s="14" t="str">
        <f t="shared" si="73"/>
        <v/>
      </c>
      <c r="N1007" s="5" t="s">
        <v>128</v>
      </c>
      <c r="O1007" s="5" t="s">
        <v>128</v>
      </c>
      <c r="P1007" s="5">
        <v>0</v>
      </c>
      <c r="Q1007" s="5">
        <v>1</v>
      </c>
      <c r="R1007" s="5" t="s">
        <v>2678</v>
      </c>
    </row>
    <row r="1008" spans="1:18" x14ac:dyDescent="0.3">
      <c r="A1008" s="5">
        <v>351</v>
      </c>
      <c r="B1008" s="5" t="s">
        <v>913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0.26</v>
      </c>
      <c r="L1008" s="14" t="str">
        <f t="shared" si="72"/>
        <v/>
      </c>
      <c r="M1008" s="14" t="str">
        <f t="shared" si="73"/>
        <v/>
      </c>
      <c r="N1008" s="5" t="s">
        <v>128</v>
      </c>
      <c r="O1008" s="5" t="s">
        <v>136</v>
      </c>
      <c r="P1008" s="5">
        <v>0</v>
      </c>
      <c r="Q1008" s="5">
        <v>1</v>
      </c>
      <c r="R1008" s="5" t="s">
        <v>3250</v>
      </c>
    </row>
    <row r="1009" spans="1:18" x14ac:dyDescent="0.3">
      <c r="A1009" s="5">
        <v>352</v>
      </c>
      <c r="B1009" s="5" t="s">
        <v>917</v>
      </c>
      <c r="C1009" s="5" t="s">
        <v>901</v>
      </c>
      <c r="D1009" s="5" t="s">
        <v>21</v>
      </c>
      <c r="E1009" s="5" t="s">
        <v>41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0</v>
      </c>
      <c r="K1009" s="5">
        <v>1.9043399790705452E-2</v>
      </c>
      <c r="L1009" s="14" t="str">
        <f t="shared" si="72"/>
        <v/>
      </c>
      <c r="M1009" s="14" t="str">
        <f t="shared" si="73"/>
        <v/>
      </c>
      <c r="N1009" s="5" t="s">
        <v>25</v>
      </c>
      <c r="O1009" s="5" t="s">
        <v>25</v>
      </c>
      <c r="P1009" s="5">
        <v>2</v>
      </c>
      <c r="Q1009" s="5">
        <v>2</v>
      </c>
      <c r="R1009" s="5" t="s">
        <v>2680</v>
      </c>
    </row>
    <row r="1010" spans="1:18" x14ac:dyDescent="0.3">
      <c r="A1010" s="26">
        <v>352</v>
      </c>
      <c r="B1010" s="5" t="s">
        <v>917</v>
      </c>
      <c r="C1010" s="5" t="s">
        <v>901</v>
      </c>
      <c r="D1010" s="5" t="s">
        <v>21</v>
      </c>
      <c r="E1010" s="5" t="s">
        <v>41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0</v>
      </c>
      <c r="K1010" s="5">
        <v>0.15419608078323019</v>
      </c>
      <c r="L1010" s="14" t="str">
        <f t="shared" si="72"/>
        <v/>
      </c>
      <c r="M1010" s="14" t="str">
        <f t="shared" si="73"/>
        <v/>
      </c>
      <c r="N1010" s="5" t="s">
        <v>25</v>
      </c>
      <c r="O1010" s="5" t="s">
        <v>25</v>
      </c>
      <c r="P1010" s="5">
        <v>2</v>
      </c>
      <c r="Q1010" s="5">
        <v>2</v>
      </c>
      <c r="R1010" s="5" t="s">
        <v>918</v>
      </c>
    </row>
    <row r="1011" spans="1:18" x14ac:dyDescent="0.3">
      <c r="A1011" s="5">
        <v>352</v>
      </c>
      <c r="B1011" s="5" t="s">
        <v>917</v>
      </c>
      <c r="C1011" s="5" t="s">
        <v>901</v>
      </c>
      <c r="D1011" s="5" t="s">
        <v>21</v>
      </c>
      <c r="E1011" s="5" t="s">
        <v>41</v>
      </c>
      <c r="F1011" s="71">
        <v>45473</v>
      </c>
      <c r="G1011" s="5">
        <v>2024</v>
      </c>
      <c r="H1011" s="5" t="s">
        <v>699</v>
      </c>
      <c r="I1011" s="6" t="s">
        <v>729</v>
      </c>
      <c r="J1011" s="5">
        <v>0</v>
      </c>
      <c r="K1011" s="5">
        <v>8.6601680125227301E-2</v>
      </c>
      <c r="L1011" s="14" t="str">
        <f t="shared" si="72"/>
        <v/>
      </c>
      <c r="M1011" s="14" t="str">
        <f t="shared" si="73"/>
        <v/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2683</v>
      </c>
    </row>
    <row r="1012" spans="1:18" x14ac:dyDescent="0.3">
      <c r="A1012" s="5">
        <v>352</v>
      </c>
      <c r="B1012" s="5" t="s">
        <v>917</v>
      </c>
      <c r="C1012" s="5" t="s">
        <v>901</v>
      </c>
      <c r="D1012" s="5" t="s">
        <v>21</v>
      </c>
      <c r="E1012" s="5" t="s">
        <v>41</v>
      </c>
      <c r="F1012" s="71">
        <v>45657</v>
      </c>
      <c r="G1012" s="5">
        <v>2024</v>
      </c>
      <c r="H1012" s="5" t="s">
        <v>23</v>
      </c>
      <c r="I1012" s="6" t="s">
        <v>30</v>
      </c>
      <c r="J1012" s="5">
        <v>0</v>
      </c>
      <c r="K1012" s="5">
        <v>4.8259287499875E-4</v>
      </c>
      <c r="L1012" s="14" t="str">
        <f t="shared" si="72"/>
        <v/>
      </c>
      <c r="M1012" s="14" t="str">
        <f t="shared" si="73"/>
        <v/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919</v>
      </c>
    </row>
    <row r="1013" spans="1:18" x14ac:dyDescent="0.3">
      <c r="A1013" s="26">
        <v>352</v>
      </c>
      <c r="B1013" s="5" t="s">
        <v>917</v>
      </c>
      <c r="C1013" s="5" t="s">
        <v>901</v>
      </c>
      <c r="D1013" s="5" t="s">
        <v>21</v>
      </c>
      <c r="E1013" s="5" t="s">
        <v>41</v>
      </c>
      <c r="F1013" s="71">
        <v>45838</v>
      </c>
      <c r="G1013" s="5">
        <v>2025</v>
      </c>
      <c r="H1013" s="5" t="s">
        <v>699</v>
      </c>
      <c r="I1013" s="6" t="s">
        <v>700</v>
      </c>
      <c r="J1013" s="5">
        <v>0</v>
      </c>
      <c r="K1013" s="5">
        <v>5.0000000000000001E-3</v>
      </c>
      <c r="L1013" s="74" t="str">
        <f t="shared" si="72"/>
        <v/>
      </c>
      <c r="M1013" s="14" t="str">
        <f t="shared" si="73"/>
        <v/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2686</v>
      </c>
    </row>
    <row r="1014" spans="1:18" x14ac:dyDescent="0.3">
      <c r="A1014" s="5">
        <v>352</v>
      </c>
      <c r="B1014" s="5" t="s">
        <v>917</v>
      </c>
      <c r="C1014" s="5" t="s">
        <v>901</v>
      </c>
      <c r="D1014" s="5" t="s">
        <v>27</v>
      </c>
      <c r="E1014" s="5" t="s">
        <v>41</v>
      </c>
      <c r="F1014" s="71">
        <v>46022</v>
      </c>
      <c r="G1014" s="5">
        <v>2025</v>
      </c>
      <c r="H1014" s="5" t="s">
        <v>23</v>
      </c>
      <c r="I1014" s="6" t="s">
        <v>32</v>
      </c>
      <c r="J1014" s="5">
        <v>0</v>
      </c>
      <c r="K1014" s="5">
        <v>0.01</v>
      </c>
      <c r="L1014" s="14" t="str">
        <f t="shared" si="72"/>
        <v/>
      </c>
      <c r="M1014" s="14" t="str">
        <f t="shared" si="73"/>
        <v/>
      </c>
      <c r="N1014" s="5" t="s">
        <v>25</v>
      </c>
      <c r="O1014" s="5" t="s">
        <v>25</v>
      </c>
      <c r="P1014" s="5">
        <v>0</v>
      </c>
      <c r="Q1014" s="5">
        <v>2</v>
      </c>
      <c r="R1014" s="5" t="s">
        <v>3251</v>
      </c>
    </row>
    <row r="1015" spans="1:18" x14ac:dyDescent="0.3">
      <c r="A1015" s="26">
        <v>353</v>
      </c>
      <c r="B1015" s="5" t="s">
        <v>921</v>
      </c>
      <c r="C1015" s="5" t="s">
        <v>922</v>
      </c>
      <c r="D1015" s="5" t="s">
        <v>27</v>
      </c>
      <c r="E1015" s="5" t="s">
        <v>22</v>
      </c>
      <c r="F1015" s="71">
        <v>45107</v>
      </c>
      <c r="G1015" s="5">
        <v>2023</v>
      </c>
      <c r="H1015" s="5" t="s">
        <v>699</v>
      </c>
      <c r="I1015" s="6" t="s">
        <v>1512</v>
      </c>
      <c r="J1015" s="5">
        <v>25</v>
      </c>
      <c r="K1015" s="5">
        <v>40.384615384615401</v>
      </c>
      <c r="L1015" s="74">
        <f t="shared" si="72"/>
        <v>1.3</v>
      </c>
      <c r="M1015" s="14">
        <f t="shared" si="73"/>
        <v>1.6153846153846161</v>
      </c>
      <c r="N1015" s="5"/>
      <c r="O1015" s="5"/>
      <c r="P1015" s="5">
        <v>1</v>
      </c>
      <c r="Q1015" s="5">
        <v>1</v>
      </c>
      <c r="R1015" s="5" t="s">
        <v>2687</v>
      </c>
    </row>
    <row r="1016" spans="1:18" x14ac:dyDescent="0.3">
      <c r="A1016" s="26">
        <v>353</v>
      </c>
      <c r="B1016" s="5" t="s">
        <v>921</v>
      </c>
      <c r="C1016" s="5" t="s">
        <v>922</v>
      </c>
      <c r="D1016" s="5" t="s">
        <v>27</v>
      </c>
      <c r="E1016" s="5" t="s">
        <v>22</v>
      </c>
      <c r="F1016" s="71">
        <v>45291</v>
      </c>
      <c r="G1016" s="5">
        <v>2023</v>
      </c>
      <c r="H1016" s="5" t="s">
        <v>23</v>
      </c>
      <c r="I1016" s="6" t="s">
        <v>28</v>
      </c>
      <c r="J1016" s="5">
        <v>35</v>
      </c>
      <c r="K1016" s="5">
        <v>40.384615384615401</v>
      </c>
      <c r="L1016" s="74">
        <f t="shared" si="72"/>
        <v>1.1538461538461544</v>
      </c>
      <c r="M1016" s="14">
        <f t="shared" si="73"/>
        <v>1.1538461538461544</v>
      </c>
      <c r="N1016" s="5"/>
      <c r="O1016" s="5"/>
      <c r="P1016" s="5">
        <v>1</v>
      </c>
      <c r="Q1016" s="5">
        <v>1</v>
      </c>
      <c r="R1016" s="5" t="s">
        <v>923</v>
      </c>
    </row>
    <row r="1017" spans="1:18" x14ac:dyDescent="0.3">
      <c r="A1017" s="5">
        <v>354</v>
      </c>
      <c r="B1017" s="5" t="s">
        <v>924</v>
      </c>
      <c r="C1017" s="5" t="s">
        <v>922</v>
      </c>
      <c r="D1017" s="5" t="s">
        <v>27</v>
      </c>
      <c r="E1017" s="5" t="s">
        <v>22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10</v>
      </c>
      <c r="K1017" s="5">
        <v>5.07</v>
      </c>
      <c r="L1017" s="14">
        <f t="shared" si="72"/>
        <v>0.50700000000000001</v>
      </c>
      <c r="M1017" s="14">
        <f t="shared" si="73"/>
        <v>0.50700000000000001</v>
      </c>
      <c r="N1017" s="5"/>
      <c r="O1017" s="5"/>
      <c r="P1017" s="5">
        <v>1</v>
      </c>
      <c r="Q1017" s="5">
        <v>1</v>
      </c>
      <c r="R1017" s="5" t="s">
        <v>2688</v>
      </c>
    </row>
    <row r="1018" spans="1:18" x14ac:dyDescent="0.3">
      <c r="A1018" s="5">
        <v>354</v>
      </c>
      <c r="B1018" s="5" t="s">
        <v>924</v>
      </c>
      <c r="C1018" s="5" t="s">
        <v>922</v>
      </c>
      <c r="D1018" s="5" t="s">
        <v>27</v>
      </c>
      <c r="E1018" s="5" t="s">
        <v>22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10</v>
      </c>
      <c r="K1018" s="5">
        <v>31.77</v>
      </c>
      <c r="L1018" s="14">
        <f t="shared" si="72"/>
        <v>1.3</v>
      </c>
      <c r="M1018" s="14">
        <f t="shared" si="73"/>
        <v>3.177</v>
      </c>
      <c r="N1018" s="5"/>
      <c r="O1018" s="5"/>
      <c r="P1018" s="5">
        <v>1</v>
      </c>
      <c r="Q1018" s="5">
        <v>1</v>
      </c>
      <c r="R1018" s="5" t="s">
        <v>925</v>
      </c>
    </row>
    <row r="1019" spans="1:18" x14ac:dyDescent="0.3">
      <c r="A1019" s="26">
        <v>355</v>
      </c>
      <c r="B1019" s="5" t="s">
        <v>926</v>
      </c>
      <c r="C1019" s="5" t="s">
        <v>927</v>
      </c>
      <c r="D1019" s="5" t="s">
        <v>71</v>
      </c>
      <c r="E1019" s="5" t="s">
        <v>22</v>
      </c>
      <c r="F1019" s="71">
        <v>45107</v>
      </c>
      <c r="G1019" s="5">
        <v>2023</v>
      </c>
      <c r="H1019" s="5" t="s">
        <v>699</v>
      </c>
      <c r="I1019" s="6" t="s">
        <v>1512</v>
      </c>
      <c r="J1019" s="5">
        <v>1</v>
      </c>
      <c r="K1019" s="5">
        <v>0.31754780991781001</v>
      </c>
      <c r="L1019" s="74">
        <f t="shared" si="72"/>
        <v>0.31754780991781001</v>
      </c>
      <c r="M1019" s="14">
        <f t="shared" si="73"/>
        <v>0.31754780991781001</v>
      </c>
      <c r="N1019" s="5" t="s">
        <v>128</v>
      </c>
      <c r="O1019" s="5" t="s">
        <v>136</v>
      </c>
      <c r="P1019" s="5">
        <v>1</v>
      </c>
      <c r="Q1019" s="5">
        <v>1</v>
      </c>
      <c r="R1019" s="5" t="s">
        <v>2689</v>
      </c>
    </row>
    <row r="1020" spans="1:18" x14ac:dyDescent="0.3">
      <c r="A1020" s="5">
        <v>355</v>
      </c>
      <c r="B1020" s="5" t="s">
        <v>926</v>
      </c>
      <c r="C1020" s="5" t="s">
        <v>927</v>
      </c>
      <c r="D1020" s="5" t="s">
        <v>71</v>
      </c>
      <c r="E1020" s="5" t="s">
        <v>22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1</v>
      </c>
      <c r="K1020" s="5">
        <v>1.64916004403234</v>
      </c>
      <c r="L1020" s="14">
        <f t="shared" si="72"/>
        <v>1.3</v>
      </c>
      <c r="M1020" s="14">
        <f t="shared" si="73"/>
        <v>1.64916004403234</v>
      </c>
      <c r="N1020" s="5"/>
      <c r="O1020" s="5"/>
      <c r="P1020" s="5">
        <v>1</v>
      </c>
      <c r="Q1020" s="5">
        <v>1</v>
      </c>
      <c r="R1020" s="5" t="s">
        <v>928</v>
      </c>
    </row>
    <row r="1021" spans="1:18" x14ac:dyDescent="0.3">
      <c r="A1021" s="5">
        <v>355</v>
      </c>
      <c r="B1021" s="5" t="s">
        <v>926</v>
      </c>
      <c r="C1021" s="5" t="s">
        <v>927</v>
      </c>
      <c r="D1021" s="5" t="s">
        <v>71</v>
      </c>
      <c r="E1021" s="5" t="s">
        <v>22</v>
      </c>
      <c r="F1021" s="71">
        <v>45657</v>
      </c>
      <c r="G1021" s="5">
        <v>2024</v>
      </c>
      <c r="H1021" s="5" t="s">
        <v>23</v>
      </c>
      <c r="I1021" s="6" t="s">
        <v>30</v>
      </c>
      <c r="J1021" s="5">
        <v>1.7</v>
      </c>
      <c r="K1021" s="5">
        <v>1.69</v>
      </c>
      <c r="L1021" s="14">
        <f t="shared" si="72"/>
        <v>0.99411764705882355</v>
      </c>
      <c r="M1021" s="14">
        <f t="shared" si="73"/>
        <v>0.99411764705882355</v>
      </c>
      <c r="N1021" s="5"/>
      <c r="O1021" s="5"/>
      <c r="P1021" s="5">
        <v>0</v>
      </c>
      <c r="Q1021" s="5">
        <v>0</v>
      </c>
      <c r="R1021" s="5" t="s">
        <v>929</v>
      </c>
    </row>
    <row r="1022" spans="1:18" x14ac:dyDescent="0.3">
      <c r="A1022" s="5">
        <v>355</v>
      </c>
      <c r="B1022" s="5" t="s">
        <v>926</v>
      </c>
      <c r="C1022" s="5" t="s">
        <v>927</v>
      </c>
      <c r="D1022" s="5" t="s">
        <v>71</v>
      </c>
      <c r="E1022" s="5" t="s">
        <v>22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1.4</v>
      </c>
      <c r="K1022" s="5">
        <v>1.56</v>
      </c>
      <c r="L1022" s="14">
        <f t="shared" si="72"/>
        <v>1.1142857142857143</v>
      </c>
      <c r="M1022" s="14">
        <f t="shared" si="73"/>
        <v>1.1142857142857143</v>
      </c>
      <c r="N1022" s="5" t="s">
        <v>128</v>
      </c>
      <c r="O1022" s="5" t="s">
        <v>136</v>
      </c>
      <c r="P1022" s="5">
        <v>1</v>
      </c>
      <c r="Q1022" s="5">
        <v>1</v>
      </c>
      <c r="R1022" s="5" t="s">
        <v>930</v>
      </c>
    </row>
    <row r="1023" spans="1:18" x14ac:dyDescent="0.3">
      <c r="A1023" s="5">
        <v>356</v>
      </c>
      <c r="B1023" s="5" t="s">
        <v>931</v>
      </c>
      <c r="C1023" s="5" t="s">
        <v>927</v>
      </c>
      <c r="D1023" s="5" t="s">
        <v>27</v>
      </c>
      <c r="E1023" s="5" t="s">
        <v>41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>
        <v>60</v>
      </c>
      <c r="K1023" s="5">
        <v>49.213961407602</v>
      </c>
      <c r="L1023" s="14">
        <f t="shared" si="72"/>
        <v>1.219166234212796</v>
      </c>
      <c r="M1023" s="14">
        <f t="shared" si="73"/>
        <v>1.219166234212796</v>
      </c>
      <c r="N1023" s="5" t="s">
        <v>25</v>
      </c>
      <c r="O1023" s="5" t="s">
        <v>25</v>
      </c>
      <c r="P1023" s="5">
        <v>1</v>
      </c>
      <c r="Q1023" s="5">
        <v>1</v>
      </c>
      <c r="R1023" s="5" t="s">
        <v>2690</v>
      </c>
    </row>
    <row r="1024" spans="1:18" x14ac:dyDescent="0.3">
      <c r="A1024" s="5">
        <v>356</v>
      </c>
      <c r="B1024" s="5" t="s">
        <v>931</v>
      </c>
      <c r="C1024" s="5" t="s">
        <v>927</v>
      </c>
      <c r="D1024" s="5" t="s">
        <v>27</v>
      </c>
      <c r="E1024" s="5" t="s">
        <v>41</v>
      </c>
      <c r="F1024" s="71">
        <v>45291</v>
      </c>
      <c r="G1024" s="5">
        <v>2023</v>
      </c>
      <c r="H1024" s="5" t="s">
        <v>23</v>
      </c>
      <c r="I1024" s="6" t="s">
        <v>28</v>
      </c>
      <c r="J1024" s="5">
        <v>60</v>
      </c>
      <c r="K1024" s="5">
        <v>61.54</v>
      </c>
      <c r="L1024" s="14">
        <f t="shared" si="72"/>
        <v>0.9749756256093598</v>
      </c>
      <c r="M1024" s="14">
        <f t="shared" si="73"/>
        <v>0.9749756256093598</v>
      </c>
      <c r="N1024" s="5" t="s">
        <v>25</v>
      </c>
      <c r="O1024" s="5" t="s">
        <v>25</v>
      </c>
      <c r="P1024" s="5">
        <v>1</v>
      </c>
      <c r="Q1024" s="5">
        <v>1</v>
      </c>
      <c r="R1024" s="5" t="s">
        <v>932</v>
      </c>
    </row>
    <row r="1025" spans="1:19" x14ac:dyDescent="0.3">
      <c r="A1025" s="5">
        <v>356</v>
      </c>
      <c r="B1025" s="5" t="s">
        <v>931</v>
      </c>
      <c r="C1025" s="5" t="s">
        <v>927</v>
      </c>
      <c r="D1025" s="5" t="s">
        <v>27</v>
      </c>
      <c r="E1025" s="5" t="s">
        <v>41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>
        <v>60</v>
      </c>
      <c r="K1025" s="5">
        <v>54.08</v>
      </c>
      <c r="L1025" s="14">
        <f t="shared" si="72"/>
        <v>1.1094674556213018</v>
      </c>
      <c r="M1025" s="14">
        <f t="shared" si="73"/>
        <v>1.1094674556213018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2691</v>
      </c>
    </row>
    <row r="1026" spans="1:19" x14ac:dyDescent="0.3">
      <c r="A1026" s="5">
        <v>356</v>
      </c>
      <c r="B1026" s="5" t="s">
        <v>931</v>
      </c>
      <c r="C1026" s="5" t="s">
        <v>927</v>
      </c>
      <c r="D1026" s="5" t="s">
        <v>27</v>
      </c>
      <c r="E1026" s="5" t="s">
        <v>41</v>
      </c>
      <c r="F1026" s="71">
        <v>45657</v>
      </c>
      <c r="G1026" s="5">
        <v>2024</v>
      </c>
      <c r="H1026" s="5" t="s">
        <v>23</v>
      </c>
      <c r="I1026" s="6" t="s">
        <v>30</v>
      </c>
      <c r="J1026" s="5">
        <v>60</v>
      </c>
      <c r="K1026" s="5">
        <v>65.55</v>
      </c>
      <c r="L1026" s="14">
        <f t="shared" si="72"/>
        <v>0.91533180778032042</v>
      </c>
      <c r="M1026" s="14">
        <f t="shared" si="73"/>
        <v>0.91533180778032042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933</v>
      </c>
    </row>
    <row r="1027" spans="1:19" x14ac:dyDescent="0.3">
      <c r="A1027" s="5">
        <v>356</v>
      </c>
      <c r="B1027" s="5" t="s">
        <v>931</v>
      </c>
      <c r="C1027" s="5" t="s">
        <v>927</v>
      </c>
      <c r="D1027" s="5" t="s">
        <v>27</v>
      </c>
      <c r="E1027" s="5" t="s">
        <v>41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>
        <v>60</v>
      </c>
      <c r="K1027" s="5">
        <v>49.14</v>
      </c>
      <c r="L1027" s="14">
        <f t="shared" si="72"/>
        <v>1.2210012210012209</v>
      </c>
      <c r="M1027" s="14">
        <f t="shared" si="73"/>
        <v>1.2210012210012209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2692</v>
      </c>
    </row>
    <row r="1028" spans="1:19" x14ac:dyDescent="0.3">
      <c r="A1028" s="5">
        <v>356</v>
      </c>
      <c r="B1028" s="5" t="s">
        <v>931</v>
      </c>
      <c r="C1028" s="5" t="s">
        <v>927</v>
      </c>
      <c r="D1028" s="5" t="s">
        <v>21</v>
      </c>
      <c r="E1028" s="5" t="s">
        <v>41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60</v>
      </c>
      <c r="K1028" s="5">
        <v>64.77</v>
      </c>
      <c r="L1028" s="14">
        <f t="shared" si="72"/>
        <v>0.92635479388605846</v>
      </c>
      <c r="M1028" s="14">
        <f t="shared" si="73"/>
        <v>0.92635479388605846</v>
      </c>
      <c r="N1028" s="5" t="s">
        <v>25</v>
      </c>
      <c r="O1028" s="5" t="s">
        <v>25</v>
      </c>
      <c r="P1028" s="5">
        <v>0</v>
      </c>
      <c r="Q1028" s="5">
        <v>1</v>
      </c>
      <c r="R1028" s="5" t="s">
        <v>934</v>
      </c>
    </row>
    <row r="1029" spans="1:19" x14ac:dyDescent="0.3">
      <c r="A1029" s="5">
        <v>357</v>
      </c>
      <c r="B1029" s="5" t="s">
        <v>935</v>
      </c>
      <c r="C1029" s="5" t="s">
        <v>927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/>
      <c r="K1029" s="5">
        <v>3.0055354363175999</v>
      </c>
      <c r="L1029" s="14"/>
      <c r="M1029" s="14"/>
      <c r="N1029" s="5" t="s">
        <v>263</v>
      </c>
      <c r="O1029" s="5"/>
      <c r="P1029" s="5">
        <v>0</v>
      </c>
      <c r="Q1029" s="5">
        <v>2</v>
      </c>
      <c r="R1029" s="5" t="s">
        <v>2693</v>
      </c>
    </row>
    <row r="1030" spans="1:19" x14ac:dyDescent="0.3">
      <c r="A1030" s="5">
        <v>357</v>
      </c>
      <c r="B1030" s="5" t="s">
        <v>935</v>
      </c>
      <c r="C1030" s="5" t="s">
        <v>927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/>
      <c r="K1030" s="5">
        <v>4.45</v>
      </c>
      <c r="L1030" s="14"/>
      <c r="M1030" s="14"/>
      <c r="N1030" s="5" t="s">
        <v>263</v>
      </c>
      <c r="O1030" s="5"/>
      <c r="P1030" s="5">
        <v>0</v>
      </c>
      <c r="Q1030" s="5">
        <v>2</v>
      </c>
      <c r="R1030" s="5" t="s">
        <v>936</v>
      </c>
    </row>
    <row r="1031" spans="1:19" x14ac:dyDescent="0.3">
      <c r="A1031" s="5">
        <v>357</v>
      </c>
      <c r="B1031" s="5" t="s">
        <v>935</v>
      </c>
      <c r="C1031" s="5" t="s">
        <v>927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/>
      <c r="K1031" s="5">
        <v>3.87</v>
      </c>
      <c r="L1031" s="14"/>
      <c r="M1031" s="14"/>
      <c r="N1031" s="5" t="s">
        <v>263</v>
      </c>
      <c r="O1031" s="5"/>
      <c r="P1031" s="5">
        <v>0</v>
      </c>
      <c r="Q1031" s="5">
        <v>2</v>
      </c>
      <c r="R1031" s="5" t="s">
        <v>2694</v>
      </c>
    </row>
    <row r="1032" spans="1:19" x14ac:dyDescent="0.3">
      <c r="A1032" s="5">
        <v>357</v>
      </c>
      <c r="B1032" s="5" t="s">
        <v>935</v>
      </c>
      <c r="C1032" s="5" t="s">
        <v>927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/>
      <c r="K1032" s="5">
        <v>0.51</v>
      </c>
      <c r="L1032" s="14"/>
      <c r="M1032" s="14"/>
      <c r="N1032" s="5" t="s">
        <v>263</v>
      </c>
      <c r="O1032" s="5"/>
      <c r="P1032" s="5">
        <v>0</v>
      </c>
      <c r="Q1032" s="5">
        <v>2</v>
      </c>
      <c r="R1032" s="5" t="s">
        <v>937</v>
      </c>
    </row>
    <row r="1033" spans="1:19" x14ac:dyDescent="0.3">
      <c r="A1033" s="5">
        <v>357</v>
      </c>
      <c r="B1033" s="5" t="s">
        <v>935</v>
      </c>
      <c r="C1033" s="5" t="s">
        <v>927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/>
      <c r="K1033" s="5">
        <v>0.85</v>
      </c>
      <c r="L1033" s="14"/>
      <c r="M1033" s="14"/>
      <c r="N1033" s="5" t="s">
        <v>263</v>
      </c>
      <c r="O1033" s="5"/>
      <c r="P1033" s="5">
        <v>0</v>
      </c>
      <c r="Q1033" s="5">
        <v>2</v>
      </c>
      <c r="R1033" s="5" t="s">
        <v>2695</v>
      </c>
    </row>
    <row r="1034" spans="1:19" x14ac:dyDescent="0.3">
      <c r="A1034" s="5">
        <v>357</v>
      </c>
      <c r="B1034" s="5" t="s">
        <v>938</v>
      </c>
      <c r="C1034" s="5" t="s">
        <v>927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10049277970</v>
      </c>
      <c r="K1034" s="5">
        <v>0.44</v>
      </c>
      <c r="L1034" s="14"/>
      <c r="M1034" s="14"/>
      <c r="N1034" s="5" t="s">
        <v>263</v>
      </c>
      <c r="O1034" s="5"/>
      <c r="P1034" s="5">
        <v>0</v>
      </c>
      <c r="Q1034" s="5">
        <v>2</v>
      </c>
      <c r="R1034" s="5" t="s">
        <v>939</v>
      </c>
      <c r="S1034" t="s">
        <v>263</v>
      </c>
    </row>
    <row r="1035" spans="1:19" x14ac:dyDescent="0.3">
      <c r="A1035" s="5">
        <v>358</v>
      </c>
      <c r="B1035" s="5" t="s">
        <v>940</v>
      </c>
      <c r="C1035" s="5" t="s">
        <v>941</v>
      </c>
      <c r="D1035" s="5" t="s">
        <v>27</v>
      </c>
      <c r="E1035" s="5" t="s">
        <v>22</v>
      </c>
      <c r="F1035" s="71">
        <v>45107</v>
      </c>
      <c r="G1035" s="5">
        <v>2023</v>
      </c>
      <c r="H1035" s="5" t="s">
        <v>699</v>
      </c>
      <c r="I1035" s="6" t="s">
        <v>1512</v>
      </c>
      <c r="J1035" s="5">
        <v>87</v>
      </c>
      <c r="K1035" s="5">
        <v>86.984536082473994</v>
      </c>
      <c r="L1035" s="14">
        <f t="shared" ref="L1035:L1040" si="74">IFERROR(IF(OR(J1035=0,K1035=""),"",IF(E1035="Positivo",MIN(MAX(K1035/J1035,0),1.3),MIN(MAX(J1035/K1035,0),1.3))),"")</f>
        <v>0.99982225382154011</v>
      </c>
      <c r="M1035" s="14">
        <f t="shared" ref="M1035:M1040" si="75">IFERROR(IF(OR(J1035=0,K1035=""),"",IF(E1035="Positivo",MAX(K1035/J1035,0),MAX(J1035/K1035,0))),"")</f>
        <v>0.99982225382154011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2696</v>
      </c>
    </row>
    <row r="1036" spans="1:19" x14ac:dyDescent="0.3">
      <c r="A1036" s="5">
        <v>358</v>
      </c>
      <c r="B1036" s="5" t="s">
        <v>940</v>
      </c>
      <c r="C1036" s="5" t="s">
        <v>941</v>
      </c>
      <c r="D1036" s="5" t="s">
        <v>27</v>
      </c>
      <c r="E1036" s="5" t="s">
        <v>22</v>
      </c>
      <c r="F1036" s="71">
        <v>45291</v>
      </c>
      <c r="G1036" s="5">
        <v>2023</v>
      </c>
      <c r="H1036" s="5" t="s">
        <v>23</v>
      </c>
      <c r="I1036" s="6" t="s">
        <v>28</v>
      </c>
      <c r="J1036" s="5">
        <v>87</v>
      </c>
      <c r="K1036" s="5">
        <v>95</v>
      </c>
      <c r="L1036" s="14">
        <f t="shared" si="74"/>
        <v>1.0919540229885059</v>
      </c>
      <c r="M1036" s="14">
        <f t="shared" si="75"/>
        <v>1.0919540229885059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942</v>
      </c>
    </row>
    <row r="1037" spans="1:19" x14ac:dyDescent="0.3">
      <c r="A1037" s="5">
        <v>358</v>
      </c>
      <c r="B1037" s="5" t="s">
        <v>940</v>
      </c>
      <c r="C1037" s="5" t="s">
        <v>941</v>
      </c>
      <c r="D1037" s="5" t="s">
        <v>27</v>
      </c>
      <c r="E1037" s="5" t="s">
        <v>22</v>
      </c>
      <c r="F1037" s="71">
        <v>45473</v>
      </c>
      <c r="G1037" s="5">
        <v>2024</v>
      </c>
      <c r="H1037" s="5" t="s">
        <v>699</v>
      </c>
      <c r="I1037" s="6" t="s">
        <v>729</v>
      </c>
      <c r="J1037" s="5">
        <v>87</v>
      </c>
      <c r="K1037" s="5">
        <v>97.99</v>
      </c>
      <c r="L1037" s="14">
        <f t="shared" si="74"/>
        <v>1.1263218390804597</v>
      </c>
      <c r="M1037" s="14">
        <f t="shared" si="75"/>
        <v>1.1263218390804597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2697</v>
      </c>
    </row>
    <row r="1038" spans="1:19" x14ac:dyDescent="0.3">
      <c r="A1038" s="5">
        <v>358</v>
      </c>
      <c r="B1038" s="5" t="s">
        <v>940</v>
      </c>
      <c r="C1038" s="5" t="s">
        <v>941</v>
      </c>
      <c r="D1038" s="5" t="s">
        <v>27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5">
        <v>87</v>
      </c>
      <c r="K1038" s="5">
        <v>100</v>
      </c>
      <c r="L1038" s="14">
        <f t="shared" si="74"/>
        <v>1.1494252873563218</v>
      </c>
      <c r="M1038" s="14">
        <f t="shared" si="75"/>
        <v>1.1494252873563218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943</v>
      </c>
    </row>
    <row r="1039" spans="1:19" x14ac:dyDescent="0.3">
      <c r="A1039" s="5">
        <v>358</v>
      </c>
      <c r="B1039" s="5" t="s">
        <v>940</v>
      </c>
      <c r="C1039" s="5" t="s">
        <v>941</v>
      </c>
      <c r="D1039" s="5" t="s">
        <v>27</v>
      </c>
      <c r="E1039" s="5" t="s">
        <v>22</v>
      </c>
      <c r="F1039" s="71">
        <v>45838</v>
      </c>
      <c r="G1039" s="5">
        <v>2025</v>
      </c>
      <c r="H1039" s="5" t="s">
        <v>699</v>
      </c>
      <c r="I1039" s="6" t="s">
        <v>700</v>
      </c>
      <c r="J1039" s="5">
        <v>100</v>
      </c>
      <c r="K1039" s="5">
        <v>100</v>
      </c>
      <c r="L1039" s="14">
        <f t="shared" si="74"/>
        <v>1</v>
      </c>
      <c r="M1039" s="14">
        <f t="shared" si="75"/>
        <v>1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2698</v>
      </c>
    </row>
    <row r="1040" spans="1:19" x14ac:dyDescent="0.3">
      <c r="A1040" s="5">
        <v>358</v>
      </c>
      <c r="B1040" s="5" t="s">
        <v>944</v>
      </c>
      <c r="C1040" s="5" t="s">
        <v>941</v>
      </c>
      <c r="D1040" s="5" t="s">
        <v>21</v>
      </c>
      <c r="E1040" s="5" t="s">
        <v>22</v>
      </c>
      <c r="F1040" s="71">
        <v>46022</v>
      </c>
      <c r="G1040" s="5">
        <v>2025</v>
      </c>
      <c r="H1040" s="5" t="s">
        <v>23</v>
      </c>
      <c r="I1040" s="6" t="s">
        <v>32</v>
      </c>
      <c r="J1040" s="5">
        <v>100</v>
      </c>
      <c r="K1040" s="5">
        <v>100</v>
      </c>
      <c r="L1040" s="14">
        <f t="shared" si="74"/>
        <v>1</v>
      </c>
      <c r="M1040" s="14">
        <f t="shared" si="75"/>
        <v>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945</v>
      </c>
    </row>
    <row r="1041" spans="1:18" x14ac:dyDescent="0.3">
      <c r="A1041" s="5">
        <v>359</v>
      </c>
      <c r="B1041" s="5" t="s">
        <v>3252</v>
      </c>
      <c r="C1041" s="5" t="s">
        <v>653</v>
      </c>
      <c r="D1041" s="5" t="s">
        <v>71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/>
      <c r="K1041" s="5">
        <v>0</v>
      </c>
      <c r="L1041" s="14"/>
      <c r="M1041" s="14"/>
      <c r="N1041" s="5"/>
      <c r="O1041" s="5"/>
      <c r="P1041" s="5">
        <v>0</v>
      </c>
      <c r="Q1041" s="5">
        <v>0</v>
      </c>
      <c r="R1041" s="5" t="s">
        <v>3253</v>
      </c>
    </row>
    <row r="1042" spans="1:18" x14ac:dyDescent="0.3">
      <c r="A1042" s="5">
        <v>359</v>
      </c>
      <c r="B1042" s="5" t="s">
        <v>948</v>
      </c>
      <c r="C1042" s="5" t="s">
        <v>653</v>
      </c>
      <c r="D1042" s="5" t="s">
        <v>21</v>
      </c>
      <c r="E1042" s="5" t="s">
        <v>22</v>
      </c>
      <c r="F1042" s="71">
        <v>45473</v>
      </c>
      <c r="G1042" s="5">
        <v>2024</v>
      </c>
      <c r="H1042" s="5" t="s">
        <v>699</v>
      </c>
      <c r="I1042" s="6" t="s">
        <v>729</v>
      </c>
      <c r="J1042" s="5">
        <v>80</v>
      </c>
      <c r="K1042" s="5">
        <v>0</v>
      </c>
      <c r="L1042" s="14">
        <f t="shared" ref="L1042:L1048" si="76">IFERROR(IF(OR(J1042=0,K1042=""),"",IF(E1042="Positivo",MIN(MAX(K1042/J1042,0),1.3),MIN(MAX(J1042/K1042,0),1.3))),"")</f>
        <v>0</v>
      </c>
      <c r="M1042" s="14">
        <f t="shared" ref="M1042:M1048" si="77">IFERROR(IF(OR(J1042=0,K1042=""),"",IF(E1042="Positivo",MAX(K1042/J1042,0),MAX(J1042/K1042,0))),"")</f>
        <v>0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2699</v>
      </c>
    </row>
    <row r="1043" spans="1:18" x14ac:dyDescent="0.3">
      <c r="A1043" s="5">
        <v>359</v>
      </c>
      <c r="B1043" s="5" t="s">
        <v>946</v>
      </c>
      <c r="C1043" s="5" t="s">
        <v>653</v>
      </c>
      <c r="D1043" s="5" t="s">
        <v>27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80</v>
      </c>
      <c r="K1043" s="5">
        <v>86</v>
      </c>
      <c r="L1043" s="14">
        <f t="shared" si="76"/>
        <v>1.075</v>
      </c>
      <c r="M1043" s="14">
        <f t="shared" si="77"/>
        <v>1.075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947</v>
      </c>
    </row>
    <row r="1044" spans="1:18" x14ac:dyDescent="0.3">
      <c r="A1044" s="5">
        <v>359</v>
      </c>
      <c r="B1044" s="5" t="s">
        <v>946</v>
      </c>
      <c r="C1044" s="5" t="s">
        <v>653</v>
      </c>
      <c r="D1044" s="5" t="s">
        <v>27</v>
      </c>
      <c r="E1044" s="5" t="s">
        <v>22</v>
      </c>
      <c r="F1044" s="71">
        <v>45838</v>
      </c>
      <c r="G1044" s="5">
        <v>2025</v>
      </c>
      <c r="H1044" s="5" t="s">
        <v>699</v>
      </c>
      <c r="I1044" s="6" t="s">
        <v>700</v>
      </c>
      <c r="J1044" s="5">
        <v>80</v>
      </c>
      <c r="K1044" s="5">
        <v>90</v>
      </c>
      <c r="L1044" s="14">
        <f t="shared" si="76"/>
        <v>1.125</v>
      </c>
      <c r="M1044" s="14">
        <f t="shared" si="77"/>
        <v>1.125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2700</v>
      </c>
    </row>
    <row r="1045" spans="1:18" x14ac:dyDescent="0.3">
      <c r="A1045" s="5">
        <v>359</v>
      </c>
      <c r="B1045" s="5" t="s">
        <v>948</v>
      </c>
      <c r="C1045" s="5" t="s">
        <v>653</v>
      </c>
      <c r="D1045" s="5" t="s">
        <v>21</v>
      </c>
      <c r="E1045" s="5" t="s">
        <v>22</v>
      </c>
      <c r="F1045" s="71">
        <v>46022</v>
      </c>
      <c r="G1045" s="5">
        <v>2025</v>
      </c>
      <c r="H1045" s="5" t="s">
        <v>23</v>
      </c>
      <c r="I1045" s="6" t="s">
        <v>32</v>
      </c>
      <c r="J1045" s="5">
        <v>85</v>
      </c>
      <c r="K1045" s="5">
        <v>89.9</v>
      </c>
      <c r="L1045" s="14">
        <f t="shared" si="76"/>
        <v>1.0576470588235294</v>
      </c>
      <c r="M1045" s="14">
        <f t="shared" si="77"/>
        <v>1.0576470588235294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949</v>
      </c>
    </row>
    <row r="1046" spans="1:18" x14ac:dyDescent="0.3">
      <c r="A1046" s="5">
        <v>360</v>
      </c>
      <c r="B1046" s="5" t="s">
        <v>2701</v>
      </c>
      <c r="C1046" s="5" t="s">
        <v>653</v>
      </c>
      <c r="D1046" s="5" t="s">
        <v>27</v>
      </c>
      <c r="E1046" s="5" t="s">
        <v>22</v>
      </c>
      <c r="F1046" s="71">
        <v>45107</v>
      </c>
      <c r="G1046" s="5">
        <v>2023</v>
      </c>
      <c r="H1046" s="5" t="s">
        <v>699</v>
      </c>
      <c r="I1046" s="6" t="s">
        <v>1512</v>
      </c>
      <c r="J1046" s="5">
        <v>0</v>
      </c>
      <c r="K1046" s="5">
        <v>0</v>
      </c>
      <c r="L1046" s="14" t="str">
        <f t="shared" si="76"/>
        <v/>
      </c>
      <c r="M1046" s="14" t="str">
        <f t="shared" si="77"/>
        <v/>
      </c>
      <c r="N1046" s="5"/>
      <c r="O1046" s="5"/>
      <c r="P1046" s="5">
        <v>0</v>
      </c>
      <c r="Q1046" s="5">
        <v>0</v>
      </c>
      <c r="R1046" s="5" t="s">
        <v>2703</v>
      </c>
    </row>
    <row r="1047" spans="1:18" x14ac:dyDescent="0.3">
      <c r="A1047" s="5">
        <v>360</v>
      </c>
      <c r="B1047" s="5" t="s">
        <v>2701</v>
      </c>
      <c r="C1047" s="5" t="s">
        <v>653</v>
      </c>
      <c r="D1047" s="5" t="s">
        <v>27</v>
      </c>
      <c r="E1047" s="5" t="s">
        <v>22</v>
      </c>
      <c r="F1047" s="71">
        <v>45291</v>
      </c>
      <c r="G1047" s="5">
        <v>2023</v>
      </c>
      <c r="H1047" s="5" t="s">
        <v>23</v>
      </c>
      <c r="I1047" s="6" t="s">
        <v>28</v>
      </c>
      <c r="J1047" s="5">
        <v>0</v>
      </c>
      <c r="K1047" s="5">
        <v>0</v>
      </c>
      <c r="L1047" s="14" t="str">
        <f t="shared" si="76"/>
        <v/>
      </c>
      <c r="M1047" s="14" t="str">
        <f t="shared" si="77"/>
        <v/>
      </c>
      <c r="N1047" s="5"/>
      <c r="O1047" s="5"/>
      <c r="P1047" s="5">
        <v>0</v>
      </c>
      <c r="Q1047" s="5">
        <v>0</v>
      </c>
      <c r="R1047" s="5" t="s">
        <v>2704</v>
      </c>
    </row>
    <row r="1048" spans="1:18" x14ac:dyDescent="0.3">
      <c r="A1048" s="5">
        <v>361</v>
      </c>
      <c r="B1048" s="5" t="s">
        <v>3254</v>
      </c>
      <c r="C1048" s="5" t="s">
        <v>951</v>
      </c>
      <c r="D1048" s="5" t="s">
        <v>71</v>
      </c>
      <c r="E1048" s="5" t="s">
        <v>22</v>
      </c>
      <c r="F1048" s="71">
        <v>45291</v>
      </c>
      <c r="G1048" s="5">
        <v>2023</v>
      </c>
      <c r="H1048" s="5" t="s">
        <v>23</v>
      </c>
      <c r="I1048" s="6" t="s">
        <v>28</v>
      </c>
      <c r="J1048" s="5">
        <v>4.5</v>
      </c>
      <c r="K1048" s="5">
        <v>4.5599999999999996</v>
      </c>
      <c r="L1048" s="14">
        <f t="shared" si="76"/>
        <v>1.0133333333333332</v>
      </c>
      <c r="M1048" s="14">
        <f t="shared" si="77"/>
        <v>1.0133333333333332</v>
      </c>
      <c r="N1048" s="5"/>
      <c r="O1048" s="5"/>
      <c r="P1048" s="5">
        <v>2</v>
      </c>
      <c r="Q1048" s="5">
        <v>2</v>
      </c>
      <c r="R1048" s="5" t="s">
        <v>952</v>
      </c>
    </row>
    <row r="1049" spans="1:18" x14ac:dyDescent="0.3">
      <c r="A1049" s="5">
        <v>361</v>
      </c>
      <c r="B1049" s="5" t="s">
        <v>3254</v>
      </c>
      <c r="C1049" s="5" t="s">
        <v>951</v>
      </c>
      <c r="D1049" s="5" t="s">
        <v>71</v>
      </c>
      <c r="E1049" s="5" t="s">
        <v>22</v>
      </c>
      <c r="F1049" s="71">
        <v>45657</v>
      </c>
      <c r="G1049" s="5">
        <v>2024</v>
      </c>
      <c r="H1049" s="5" t="s">
        <v>23</v>
      </c>
      <c r="I1049" s="6" t="s">
        <v>30</v>
      </c>
      <c r="J1049" s="5">
        <v>0</v>
      </c>
      <c r="K1049" s="5"/>
      <c r="L1049" s="14"/>
      <c r="M1049" s="14"/>
      <c r="N1049" s="5" t="s">
        <v>128</v>
      </c>
      <c r="O1049" s="5" t="s">
        <v>1949</v>
      </c>
      <c r="P1049" s="5">
        <v>0</v>
      </c>
      <c r="Q1049" s="5">
        <v>0</v>
      </c>
      <c r="R1049" s="5" t="s">
        <v>953</v>
      </c>
    </row>
    <row r="1050" spans="1:18" x14ac:dyDescent="0.3">
      <c r="A1050" s="5">
        <v>361</v>
      </c>
      <c r="B1050" s="5" t="s">
        <v>950</v>
      </c>
      <c r="C1050" s="5" t="s">
        <v>951</v>
      </c>
      <c r="D1050" s="5" t="s">
        <v>71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4.5999999999999996</v>
      </c>
      <c r="K1050" s="5">
        <v>4.78</v>
      </c>
      <c r="L1050" s="14">
        <f t="shared" ref="L1050:L1081" si="78">IFERROR(IF(OR(J1050=0,K1050=""),"",IF(E1050="Positivo",MIN(MAX(K1050/J1050,0),1.3),MIN(MAX(J1050/K1050,0),1.3))),"")</f>
        <v>1.0391304347826089</v>
      </c>
      <c r="M1050" s="14">
        <f t="shared" ref="M1050:M1081" si="79">IFERROR(IF(OR(J1050=0,K1050=""),"",IF(E1050="Positivo",MAX(K1050/J1050,0),MAX(J1050/K1050,0))),"")</f>
        <v>1.0391304347826089</v>
      </c>
      <c r="N1050" s="5" t="s">
        <v>136</v>
      </c>
      <c r="O1050" s="5" t="s">
        <v>136</v>
      </c>
      <c r="P1050" s="5">
        <v>1</v>
      </c>
      <c r="Q1050" s="5">
        <v>2</v>
      </c>
      <c r="R1050" s="5" t="s">
        <v>954</v>
      </c>
    </row>
    <row r="1051" spans="1:18" x14ac:dyDescent="0.3">
      <c r="A1051" s="5">
        <v>362</v>
      </c>
      <c r="B1051" s="5" t="s">
        <v>955</v>
      </c>
      <c r="C1051" s="5" t="s">
        <v>3255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99.156641448591998</v>
      </c>
      <c r="L1051" s="14">
        <f t="shared" si="78"/>
        <v>0.99156641448591998</v>
      </c>
      <c r="M1051" s="14">
        <f t="shared" si="79"/>
        <v>0.99156641448591998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957</v>
      </c>
    </row>
    <row r="1052" spans="1:18" x14ac:dyDescent="0.3">
      <c r="A1052" s="5">
        <v>362</v>
      </c>
      <c r="B1052" s="5" t="s">
        <v>955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98</v>
      </c>
      <c r="K1052" s="5">
        <v>99.584323040380056</v>
      </c>
      <c r="L1052" s="14">
        <f t="shared" si="78"/>
        <v>1.0161665616365312</v>
      </c>
      <c r="M1052" s="14">
        <f t="shared" si="79"/>
        <v>1.0161665616365312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2708</v>
      </c>
    </row>
    <row r="1053" spans="1:18" x14ac:dyDescent="0.3">
      <c r="A1053" s="5">
        <v>362</v>
      </c>
      <c r="B1053" s="5" t="s">
        <v>955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98</v>
      </c>
      <c r="K1053" s="5">
        <v>99.49</v>
      </c>
      <c r="L1053" s="14">
        <f t="shared" si="78"/>
        <v>1.0152040816326531</v>
      </c>
      <c r="M1053" s="14">
        <f t="shared" si="79"/>
        <v>1.0152040816326531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958</v>
      </c>
    </row>
    <row r="1054" spans="1:18" x14ac:dyDescent="0.3">
      <c r="A1054" s="5">
        <v>362</v>
      </c>
      <c r="B1054" s="5" t="s">
        <v>955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98</v>
      </c>
      <c r="K1054" s="5">
        <v>99.63</v>
      </c>
      <c r="L1054" s="14">
        <f t="shared" si="78"/>
        <v>1.0166326530612244</v>
      </c>
      <c r="M1054" s="14">
        <f t="shared" si="79"/>
        <v>1.0166326530612244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2709</v>
      </c>
    </row>
    <row r="1055" spans="1:18" x14ac:dyDescent="0.3">
      <c r="A1055" s="5">
        <v>362</v>
      </c>
      <c r="B1055" s="5" t="s">
        <v>955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98</v>
      </c>
      <c r="K1055" s="5">
        <v>99.7</v>
      </c>
      <c r="L1055" s="14">
        <f t="shared" si="78"/>
        <v>1.0173469387755103</v>
      </c>
      <c r="M1055" s="14">
        <f t="shared" si="79"/>
        <v>1.0173469387755103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959</v>
      </c>
    </row>
    <row r="1056" spans="1:18" x14ac:dyDescent="0.3">
      <c r="A1056" s="5">
        <v>363</v>
      </c>
      <c r="B1056" s="5" t="s">
        <v>960</v>
      </c>
      <c r="C1056" s="5" t="s">
        <v>3256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0</v>
      </c>
      <c r="L1056" s="14" t="str">
        <f t="shared" si="78"/>
        <v/>
      </c>
      <c r="M1056" s="14" t="str">
        <f t="shared" si="79"/>
        <v/>
      </c>
      <c r="N1056" s="5"/>
      <c r="O1056" s="5"/>
      <c r="P1056" s="5">
        <v>0</v>
      </c>
      <c r="Q1056" s="5">
        <v>0</v>
      </c>
      <c r="R1056" s="5" t="s">
        <v>3257</v>
      </c>
    </row>
    <row r="1057" spans="1:18" x14ac:dyDescent="0.3">
      <c r="A1057" s="5">
        <v>363</v>
      </c>
      <c r="B1057" s="5" t="s">
        <v>960</v>
      </c>
      <c r="C1057" s="5" t="s">
        <v>3256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100</v>
      </c>
      <c r="K1057" s="5">
        <v>100</v>
      </c>
      <c r="L1057" s="14">
        <f t="shared" si="78"/>
        <v>1</v>
      </c>
      <c r="M1057" s="14">
        <f t="shared" si="79"/>
        <v>1</v>
      </c>
      <c r="N1057" s="5"/>
      <c r="O1057" s="5"/>
      <c r="P1057" s="5">
        <v>0</v>
      </c>
      <c r="Q1057" s="5">
        <v>0</v>
      </c>
      <c r="R1057" s="5" t="s">
        <v>961</v>
      </c>
    </row>
    <row r="1058" spans="1:18" x14ac:dyDescent="0.3">
      <c r="A1058" s="5">
        <v>363</v>
      </c>
      <c r="B1058" s="5" t="s">
        <v>960</v>
      </c>
      <c r="C1058" s="5" t="s">
        <v>956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100</v>
      </c>
      <c r="L1058" s="14">
        <f t="shared" si="78"/>
        <v>1</v>
      </c>
      <c r="M1058" s="14">
        <f t="shared" si="79"/>
        <v>1</v>
      </c>
      <c r="N1058" s="5"/>
      <c r="O1058" s="5"/>
      <c r="P1058" s="5">
        <v>0</v>
      </c>
      <c r="Q1058" s="5">
        <v>0</v>
      </c>
      <c r="R1058" s="5" t="s">
        <v>2710</v>
      </c>
    </row>
    <row r="1059" spans="1:18" x14ac:dyDescent="0.3">
      <c r="A1059" s="5">
        <v>363</v>
      </c>
      <c r="B1059" s="5" t="s">
        <v>960</v>
      </c>
      <c r="C1059" s="5" t="s">
        <v>956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100</v>
      </c>
      <c r="L1059" s="14">
        <f t="shared" si="78"/>
        <v>1</v>
      </c>
      <c r="M1059" s="14">
        <f t="shared" si="79"/>
        <v>1</v>
      </c>
      <c r="N1059" s="5"/>
      <c r="O1059" s="5"/>
      <c r="P1059" s="5">
        <v>0</v>
      </c>
      <c r="Q1059" s="5">
        <v>0</v>
      </c>
      <c r="R1059" s="5" t="s">
        <v>962</v>
      </c>
    </row>
    <row r="1060" spans="1:18" x14ac:dyDescent="0.3">
      <c r="A1060" s="5">
        <v>363</v>
      </c>
      <c r="B1060" s="5" t="s">
        <v>960</v>
      </c>
      <c r="C1060" s="5" t="s">
        <v>956</v>
      </c>
      <c r="D1060" s="5" t="s">
        <v>27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100</v>
      </c>
      <c r="L1060" s="14">
        <f t="shared" si="78"/>
        <v>1</v>
      </c>
      <c r="M1060" s="14">
        <f t="shared" si="79"/>
        <v>1</v>
      </c>
      <c r="N1060" s="5"/>
      <c r="O1060" s="5"/>
      <c r="P1060" s="5">
        <v>0</v>
      </c>
      <c r="Q1060" s="5">
        <v>0</v>
      </c>
      <c r="R1060" s="5" t="s">
        <v>2711</v>
      </c>
    </row>
    <row r="1061" spans="1:18" x14ac:dyDescent="0.3">
      <c r="A1061" s="5">
        <v>363</v>
      </c>
      <c r="B1061" s="5" t="s">
        <v>960</v>
      </c>
      <c r="C1061" s="5" t="s">
        <v>956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100</v>
      </c>
      <c r="L1061" s="14">
        <f t="shared" si="78"/>
        <v>1</v>
      </c>
      <c r="M1061" s="14">
        <f t="shared" si="79"/>
        <v>1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963</v>
      </c>
    </row>
    <row r="1062" spans="1:18" x14ac:dyDescent="0.3">
      <c r="A1062" s="5">
        <v>364</v>
      </c>
      <c r="B1062" s="5" t="s">
        <v>964</v>
      </c>
      <c r="C1062" s="5" t="s">
        <v>951</v>
      </c>
      <c r="D1062" s="5" t="s">
        <v>27</v>
      </c>
      <c r="E1062" s="5" t="s">
        <v>41</v>
      </c>
      <c r="F1062" s="71">
        <v>45107</v>
      </c>
      <c r="G1062" s="5">
        <v>2023</v>
      </c>
      <c r="H1062" s="5" t="s">
        <v>699</v>
      </c>
      <c r="I1062" s="6" t="s">
        <v>1512</v>
      </c>
      <c r="J1062" s="5">
        <v>0</v>
      </c>
      <c r="K1062" s="5">
        <v>30244</v>
      </c>
      <c r="L1062" s="14" t="str">
        <f t="shared" si="78"/>
        <v/>
      </c>
      <c r="M1062" s="14" t="str">
        <f t="shared" si="79"/>
        <v/>
      </c>
      <c r="N1062" s="5" t="s">
        <v>3246</v>
      </c>
      <c r="O1062" s="5" t="s">
        <v>128</v>
      </c>
      <c r="P1062" s="5">
        <v>0</v>
      </c>
      <c r="Q1062" s="5">
        <v>0</v>
      </c>
      <c r="R1062" s="5" t="s">
        <v>2712</v>
      </c>
    </row>
    <row r="1063" spans="1:18" x14ac:dyDescent="0.3">
      <c r="A1063" s="5">
        <v>364</v>
      </c>
      <c r="B1063" s="5" t="s">
        <v>964</v>
      </c>
      <c r="C1063" s="5" t="s">
        <v>951</v>
      </c>
      <c r="D1063" s="5" t="s">
        <v>27</v>
      </c>
      <c r="E1063" s="5" t="s">
        <v>41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0</v>
      </c>
      <c r="K1063" s="5">
        <v>78450</v>
      </c>
      <c r="L1063" s="14" t="str">
        <f t="shared" si="78"/>
        <v/>
      </c>
      <c r="M1063" s="14" t="str">
        <f t="shared" si="79"/>
        <v/>
      </c>
      <c r="N1063" s="5" t="s">
        <v>3246</v>
      </c>
      <c r="O1063" s="5" t="s">
        <v>128</v>
      </c>
      <c r="P1063" s="5">
        <v>0</v>
      </c>
      <c r="Q1063" s="5">
        <v>0</v>
      </c>
      <c r="R1063" s="5" t="s">
        <v>965</v>
      </c>
    </row>
    <row r="1064" spans="1:18" x14ac:dyDescent="0.3">
      <c r="A1064" s="5">
        <v>364</v>
      </c>
      <c r="B1064" s="5" t="s">
        <v>964</v>
      </c>
      <c r="C1064" s="5" t="s">
        <v>951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699</v>
      </c>
      <c r="I1064" s="6" t="s">
        <v>729</v>
      </c>
      <c r="J1064" s="5">
        <v>100</v>
      </c>
      <c r="K1064" s="5">
        <v>132.72999999999999</v>
      </c>
      <c r="L1064" s="14">
        <f t="shared" si="78"/>
        <v>1.3</v>
      </c>
      <c r="M1064" s="14">
        <f t="shared" si="79"/>
        <v>1.3272999999999999</v>
      </c>
      <c r="N1064" s="5" t="s">
        <v>128</v>
      </c>
      <c r="O1064" s="5" t="s">
        <v>128</v>
      </c>
      <c r="P1064" s="5">
        <v>0</v>
      </c>
      <c r="Q1064" s="5">
        <v>0</v>
      </c>
      <c r="R1064" s="5" t="s">
        <v>2713</v>
      </c>
    </row>
    <row r="1065" spans="1:18" x14ac:dyDescent="0.3">
      <c r="A1065" s="5">
        <v>364</v>
      </c>
      <c r="B1065" s="5" t="s">
        <v>964</v>
      </c>
      <c r="C1065" s="5" t="s">
        <v>951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100</v>
      </c>
      <c r="K1065" s="5">
        <v>98.09</v>
      </c>
      <c r="L1065" s="14">
        <f t="shared" si="78"/>
        <v>0.98089999999999999</v>
      </c>
      <c r="M1065" s="14">
        <f t="shared" si="79"/>
        <v>0.98089999999999999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966</v>
      </c>
    </row>
    <row r="1066" spans="1:18" x14ac:dyDescent="0.3">
      <c r="A1066" s="5">
        <v>364</v>
      </c>
      <c r="B1066" s="5" t="s">
        <v>964</v>
      </c>
      <c r="C1066" s="5" t="s">
        <v>951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699</v>
      </c>
      <c r="I1066" s="6" t="s">
        <v>700</v>
      </c>
      <c r="J1066" s="5">
        <v>100</v>
      </c>
      <c r="K1066" s="5">
        <v>93.89</v>
      </c>
      <c r="L1066" s="14">
        <f t="shared" si="78"/>
        <v>0.93889999999999996</v>
      </c>
      <c r="M1066" s="14">
        <f t="shared" si="79"/>
        <v>0.93889999999999996</v>
      </c>
      <c r="N1066" s="5" t="s">
        <v>128</v>
      </c>
      <c r="O1066" s="5" t="s">
        <v>128</v>
      </c>
      <c r="P1066" s="5">
        <v>0</v>
      </c>
      <c r="Q1066" s="5">
        <v>0</v>
      </c>
      <c r="R1066" s="5" t="s">
        <v>2714</v>
      </c>
    </row>
    <row r="1067" spans="1:18" x14ac:dyDescent="0.3">
      <c r="A1067" s="5">
        <v>364</v>
      </c>
      <c r="B1067" s="5" t="s">
        <v>964</v>
      </c>
      <c r="C1067" s="5" t="s">
        <v>951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32</v>
      </c>
      <c r="J1067" s="5">
        <v>100</v>
      </c>
      <c r="K1067" s="5">
        <v>78.11</v>
      </c>
      <c r="L1067" s="14">
        <f t="shared" si="78"/>
        <v>0.78110000000000002</v>
      </c>
      <c r="M1067" s="14">
        <f t="shared" si="79"/>
        <v>0.78110000000000002</v>
      </c>
      <c r="N1067" s="5" t="s">
        <v>128</v>
      </c>
      <c r="O1067" s="5" t="s">
        <v>128</v>
      </c>
      <c r="P1067" s="5">
        <v>0</v>
      </c>
      <c r="Q1067" s="5">
        <v>0</v>
      </c>
      <c r="R1067" s="5" t="s">
        <v>967</v>
      </c>
    </row>
    <row r="1068" spans="1:18" x14ac:dyDescent="0.3">
      <c r="A1068" s="5">
        <v>365</v>
      </c>
      <c r="B1068" s="5" t="s">
        <v>968</v>
      </c>
      <c r="C1068" s="5" t="s">
        <v>3255</v>
      </c>
      <c r="D1068" s="5" t="s">
        <v>27</v>
      </c>
      <c r="E1068" s="5" t="s">
        <v>22</v>
      </c>
      <c r="F1068" s="71">
        <v>45291</v>
      </c>
      <c r="G1068" s="5">
        <v>2023</v>
      </c>
      <c r="H1068" s="5" t="s">
        <v>23</v>
      </c>
      <c r="I1068" s="6" t="s">
        <v>28</v>
      </c>
      <c r="J1068" s="5">
        <v>100</v>
      </c>
      <c r="K1068" s="5">
        <v>100</v>
      </c>
      <c r="L1068" s="14">
        <f t="shared" si="78"/>
        <v>1</v>
      </c>
      <c r="M1068" s="14">
        <f t="shared" si="79"/>
        <v>1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969</v>
      </c>
    </row>
    <row r="1069" spans="1:18" x14ac:dyDescent="0.3">
      <c r="A1069" s="5">
        <v>366</v>
      </c>
      <c r="B1069" s="5" t="s">
        <v>970</v>
      </c>
      <c r="C1069" s="5" t="s">
        <v>3255</v>
      </c>
      <c r="D1069" s="5" t="s">
        <v>71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100</v>
      </c>
      <c r="K1069" s="5">
        <v>100</v>
      </c>
      <c r="L1069" s="14">
        <f t="shared" si="78"/>
        <v>1</v>
      </c>
      <c r="M1069" s="14">
        <f t="shared" si="79"/>
        <v>1</v>
      </c>
      <c r="N1069" s="5"/>
      <c r="O1069" s="5"/>
      <c r="P1069" s="5">
        <v>0</v>
      </c>
      <c r="Q1069" s="5">
        <v>0</v>
      </c>
      <c r="R1069" s="5" t="s">
        <v>971</v>
      </c>
    </row>
    <row r="1070" spans="1:18" x14ac:dyDescent="0.3">
      <c r="A1070" s="5">
        <v>366</v>
      </c>
      <c r="B1070" s="5" t="s">
        <v>970</v>
      </c>
      <c r="C1070" s="5" t="s">
        <v>956</v>
      </c>
      <c r="D1070" s="5" t="s">
        <v>71</v>
      </c>
      <c r="E1070" s="5" t="s">
        <v>22</v>
      </c>
      <c r="F1070" s="71">
        <v>45657</v>
      </c>
      <c r="G1070" s="5">
        <v>2024</v>
      </c>
      <c r="H1070" s="5" t="s">
        <v>23</v>
      </c>
      <c r="I1070" s="6" t="s">
        <v>30</v>
      </c>
      <c r="J1070" s="5">
        <v>100</v>
      </c>
      <c r="K1070" s="5">
        <v>100</v>
      </c>
      <c r="L1070" s="14">
        <f t="shared" si="78"/>
        <v>1</v>
      </c>
      <c r="M1070" s="14">
        <f t="shared" si="79"/>
        <v>1</v>
      </c>
      <c r="N1070" s="5"/>
      <c r="O1070" s="5"/>
      <c r="P1070" s="5">
        <v>0</v>
      </c>
      <c r="Q1070" s="5">
        <v>0</v>
      </c>
      <c r="R1070" s="5" t="s">
        <v>972</v>
      </c>
    </row>
    <row r="1071" spans="1:18" x14ac:dyDescent="0.3">
      <c r="A1071" s="5">
        <v>366</v>
      </c>
      <c r="B1071" s="5" t="s">
        <v>970</v>
      </c>
      <c r="C1071" s="5" t="s">
        <v>956</v>
      </c>
      <c r="D1071" s="5" t="s">
        <v>71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32</v>
      </c>
      <c r="J1071" s="5">
        <v>100</v>
      </c>
      <c r="K1071" s="5">
        <v>100</v>
      </c>
      <c r="L1071" s="14">
        <f t="shared" si="78"/>
        <v>1</v>
      </c>
      <c r="M1071" s="14">
        <f t="shared" si="79"/>
        <v>1</v>
      </c>
      <c r="N1071" s="5" t="s">
        <v>128</v>
      </c>
      <c r="O1071" s="5" t="s">
        <v>128</v>
      </c>
      <c r="P1071" s="5">
        <v>0</v>
      </c>
      <c r="Q1071" s="5">
        <v>0</v>
      </c>
      <c r="R1071" s="5" t="s">
        <v>973</v>
      </c>
    </row>
    <row r="1072" spans="1:18" x14ac:dyDescent="0.3">
      <c r="A1072" s="5">
        <v>367</v>
      </c>
      <c r="B1072" s="5" t="s">
        <v>2715</v>
      </c>
      <c r="C1072" s="5" t="s">
        <v>951</v>
      </c>
      <c r="D1072" s="5" t="s">
        <v>71</v>
      </c>
      <c r="E1072" s="5" t="s">
        <v>22</v>
      </c>
      <c r="F1072" s="71">
        <v>45291</v>
      </c>
      <c r="G1072" s="5">
        <v>2023</v>
      </c>
      <c r="H1072" s="5" t="s">
        <v>23</v>
      </c>
      <c r="I1072" s="6" t="s">
        <v>28</v>
      </c>
      <c r="J1072" s="5">
        <v>5</v>
      </c>
      <c r="K1072" s="5">
        <v>6.2497567052045619</v>
      </c>
      <c r="L1072" s="14">
        <f t="shared" si="78"/>
        <v>1.2499513410409124</v>
      </c>
      <c r="M1072" s="14">
        <f t="shared" si="79"/>
        <v>1.2499513410409124</v>
      </c>
      <c r="N1072" s="5" t="s">
        <v>25</v>
      </c>
      <c r="O1072" s="5" t="s">
        <v>25</v>
      </c>
      <c r="P1072" s="5">
        <v>2</v>
      </c>
      <c r="Q1072" s="5">
        <v>2</v>
      </c>
      <c r="R1072" s="5" t="s">
        <v>975</v>
      </c>
    </row>
    <row r="1073" spans="1:18" x14ac:dyDescent="0.3">
      <c r="A1073" s="5">
        <v>367</v>
      </c>
      <c r="B1073" s="5" t="s">
        <v>2715</v>
      </c>
      <c r="C1073" s="5" t="s">
        <v>951</v>
      </c>
      <c r="D1073" s="5" t="s">
        <v>71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5</v>
      </c>
      <c r="K1073" s="5">
        <v>4.96</v>
      </c>
      <c r="L1073" s="14">
        <f t="shared" si="78"/>
        <v>0.99199999999999999</v>
      </c>
      <c r="M1073" s="14">
        <f t="shared" si="79"/>
        <v>0.99199999999999999</v>
      </c>
      <c r="N1073" s="5" t="s">
        <v>25</v>
      </c>
      <c r="O1073" s="5" t="s">
        <v>25</v>
      </c>
      <c r="P1073" s="5">
        <v>2</v>
      </c>
      <c r="Q1073" s="5">
        <v>2</v>
      </c>
      <c r="R1073" s="5" t="s">
        <v>976</v>
      </c>
    </row>
    <row r="1074" spans="1:18" x14ac:dyDescent="0.3">
      <c r="A1074" s="21">
        <v>367</v>
      </c>
      <c r="B1074" s="20" t="s">
        <v>2715</v>
      </c>
      <c r="C1074" s="5" t="s">
        <v>951</v>
      </c>
      <c r="D1074" s="5" t="s">
        <v>71</v>
      </c>
      <c r="E1074" s="5" t="s">
        <v>22</v>
      </c>
      <c r="F1074" s="71">
        <v>46022</v>
      </c>
      <c r="G1074" s="5">
        <v>2025</v>
      </c>
      <c r="H1074" s="5" t="s">
        <v>23</v>
      </c>
      <c r="I1074" s="6" t="s">
        <v>32</v>
      </c>
      <c r="J1074" s="5">
        <v>5</v>
      </c>
      <c r="K1074" s="52">
        <v>3.82</v>
      </c>
      <c r="L1074" s="14">
        <f t="shared" si="78"/>
        <v>0.76400000000000001</v>
      </c>
      <c r="M1074" s="14">
        <f t="shared" si="79"/>
        <v>0.76400000000000001</v>
      </c>
      <c r="N1074" s="5" t="s">
        <v>25</v>
      </c>
      <c r="O1074" s="5" t="s">
        <v>25</v>
      </c>
      <c r="P1074" s="5">
        <v>0</v>
      </c>
      <c r="Q1074" s="5">
        <v>2</v>
      </c>
      <c r="R1074" s="5" t="s">
        <v>977</v>
      </c>
    </row>
    <row r="1075" spans="1:18" x14ac:dyDescent="0.3">
      <c r="A1075" s="5">
        <v>368</v>
      </c>
      <c r="B1075" s="5" t="s">
        <v>978</v>
      </c>
      <c r="C1075" s="5" t="s">
        <v>979</v>
      </c>
      <c r="D1075" s="5" t="s">
        <v>21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90</v>
      </c>
      <c r="K1075" s="15">
        <v>94.5</v>
      </c>
      <c r="L1075" s="14">
        <f t="shared" si="78"/>
        <v>1.05</v>
      </c>
      <c r="M1075" s="14">
        <f t="shared" si="79"/>
        <v>1.05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980</v>
      </c>
    </row>
    <row r="1076" spans="1:18" x14ac:dyDescent="0.3">
      <c r="A1076" s="5">
        <v>368</v>
      </c>
      <c r="B1076" s="5" t="s">
        <v>978</v>
      </c>
      <c r="C1076" s="5" t="s">
        <v>979</v>
      </c>
      <c r="D1076" s="5" t="s">
        <v>21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90</v>
      </c>
      <c r="K1076" s="5">
        <v>94.5</v>
      </c>
      <c r="L1076" s="14">
        <f t="shared" si="78"/>
        <v>1.05</v>
      </c>
      <c r="M1076" s="14">
        <f t="shared" si="79"/>
        <v>1.05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2718</v>
      </c>
    </row>
    <row r="1077" spans="1:18" x14ac:dyDescent="0.3">
      <c r="A1077" s="5">
        <v>368</v>
      </c>
      <c r="B1077" s="5" t="s">
        <v>978</v>
      </c>
      <c r="C1077" s="5" t="s">
        <v>979</v>
      </c>
      <c r="D1077" s="5" t="s">
        <v>21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90</v>
      </c>
      <c r="K1077" s="5">
        <v>94</v>
      </c>
      <c r="L1077" s="14">
        <f t="shared" si="78"/>
        <v>1.0444444444444445</v>
      </c>
      <c r="M1077" s="14">
        <f t="shared" si="79"/>
        <v>1.0444444444444445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981</v>
      </c>
    </row>
    <row r="1078" spans="1:18" x14ac:dyDescent="0.3">
      <c r="A1078" s="5">
        <v>368</v>
      </c>
      <c r="B1078" s="5" t="s">
        <v>978</v>
      </c>
      <c r="C1078" s="5" t="s">
        <v>979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93</v>
      </c>
      <c r="K1078" s="5">
        <v>95</v>
      </c>
      <c r="L1078" s="14">
        <f t="shared" si="78"/>
        <v>1.021505376344086</v>
      </c>
      <c r="M1078" s="14">
        <f t="shared" si="79"/>
        <v>1.021505376344086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2721</v>
      </c>
    </row>
    <row r="1079" spans="1:18" x14ac:dyDescent="0.3">
      <c r="A1079" s="5">
        <v>368</v>
      </c>
      <c r="B1079" s="5" t="s">
        <v>978</v>
      </c>
      <c r="C1079" s="5" t="s">
        <v>982</v>
      </c>
      <c r="D1079" s="5" t="s">
        <v>27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93</v>
      </c>
      <c r="K1079" s="5">
        <v>95</v>
      </c>
      <c r="L1079" s="14">
        <f t="shared" si="78"/>
        <v>1.021505376344086</v>
      </c>
      <c r="M1079" s="14">
        <f t="shared" si="79"/>
        <v>1.021505376344086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983</v>
      </c>
    </row>
    <row r="1080" spans="1:18" x14ac:dyDescent="0.3">
      <c r="A1080" s="5">
        <v>369</v>
      </c>
      <c r="B1080" s="5" t="s">
        <v>984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78</v>
      </c>
      <c r="L1080" s="14" t="str">
        <f t="shared" si="78"/>
        <v/>
      </c>
      <c r="M1080" s="14" t="str">
        <f t="shared" si="79"/>
        <v/>
      </c>
      <c r="N1080" s="5" t="s">
        <v>355</v>
      </c>
      <c r="O1080" s="5" t="s">
        <v>128</v>
      </c>
      <c r="P1080" s="5">
        <v>0</v>
      </c>
      <c r="Q1080" s="5">
        <v>0</v>
      </c>
      <c r="R1080" s="5" t="s">
        <v>2723</v>
      </c>
    </row>
    <row r="1081" spans="1:18" x14ac:dyDescent="0.3">
      <c r="A1081" s="5">
        <v>369</v>
      </c>
      <c r="B1081" s="5" t="s">
        <v>984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96</v>
      </c>
      <c r="L1081" s="14" t="str">
        <f t="shared" si="78"/>
        <v/>
      </c>
      <c r="M1081" s="14" t="str">
        <f t="shared" si="79"/>
        <v/>
      </c>
      <c r="N1081" s="5" t="s">
        <v>355</v>
      </c>
      <c r="O1081" s="5" t="s">
        <v>128</v>
      </c>
      <c r="P1081" s="5">
        <v>0</v>
      </c>
      <c r="Q1081" s="5">
        <v>0</v>
      </c>
      <c r="R1081" s="5" t="s">
        <v>985</v>
      </c>
    </row>
    <row r="1082" spans="1:18" x14ac:dyDescent="0.3">
      <c r="A1082" s="5">
        <v>369</v>
      </c>
      <c r="B1082" s="5" t="s">
        <v>984</v>
      </c>
      <c r="C1082" s="5" t="s">
        <v>951</v>
      </c>
      <c r="D1082" s="5" t="s">
        <v>27</v>
      </c>
      <c r="E1082" s="5" t="s">
        <v>22</v>
      </c>
      <c r="F1082" s="71">
        <v>45473</v>
      </c>
      <c r="G1082" s="5">
        <v>2024</v>
      </c>
      <c r="H1082" s="5" t="s">
        <v>699</v>
      </c>
      <c r="I1082" s="6" t="s">
        <v>729</v>
      </c>
      <c r="J1082" s="5">
        <v>100</v>
      </c>
      <c r="K1082" s="5">
        <v>76.25</v>
      </c>
      <c r="L1082" s="14">
        <f t="shared" ref="L1082:L1099" si="80">IFERROR(IF(OR(J1082=0,K1082=""),"",IF(E1082="Positivo",MIN(MAX(K1082/J1082,0),1.3),MIN(MAX(J1082/K1082,0),1.3))),"")</f>
        <v>0.76249999999999996</v>
      </c>
      <c r="M1082" s="14">
        <f t="shared" ref="M1082:M1113" si="81">IFERROR(IF(OR(J1082=0,K1082=""),"",IF(E1082="Positivo",MAX(K1082/J1082,0),MAX(J1082/K1082,0))),"")</f>
        <v>0.76249999999999996</v>
      </c>
      <c r="N1082" s="5" t="s">
        <v>128</v>
      </c>
      <c r="O1082" s="5" t="s">
        <v>128</v>
      </c>
      <c r="P1082" s="5">
        <v>0</v>
      </c>
      <c r="Q1082" s="5">
        <v>0</v>
      </c>
      <c r="R1082" s="5" t="s">
        <v>2724</v>
      </c>
    </row>
    <row r="1083" spans="1:18" x14ac:dyDescent="0.3">
      <c r="A1083" s="5">
        <v>369</v>
      </c>
      <c r="B1083" s="5" t="s">
        <v>984</v>
      </c>
      <c r="C1083" s="5" t="s">
        <v>951</v>
      </c>
      <c r="D1083" s="5" t="s">
        <v>27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100</v>
      </c>
      <c r="K1083" s="5">
        <v>71.3</v>
      </c>
      <c r="L1083" s="14">
        <f t="shared" si="80"/>
        <v>0.71299999999999997</v>
      </c>
      <c r="M1083" s="14">
        <f t="shared" si="81"/>
        <v>0.71299999999999997</v>
      </c>
      <c r="N1083" s="5" t="s">
        <v>128</v>
      </c>
      <c r="O1083" s="5" t="s">
        <v>128</v>
      </c>
      <c r="P1083" s="5">
        <v>0</v>
      </c>
      <c r="Q1083" s="5">
        <v>0</v>
      </c>
      <c r="R1083" s="5" t="s">
        <v>986</v>
      </c>
    </row>
    <row r="1084" spans="1:18" x14ac:dyDescent="0.3">
      <c r="A1084" s="5">
        <v>369</v>
      </c>
      <c r="B1084" s="5" t="s">
        <v>984</v>
      </c>
      <c r="C1084" s="5" t="s">
        <v>951</v>
      </c>
      <c r="D1084" s="5" t="s">
        <v>21</v>
      </c>
      <c r="E1084" s="5" t="s">
        <v>22</v>
      </c>
      <c r="F1084" s="71">
        <v>45838</v>
      </c>
      <c r="G1084" s="5">
        <v>2025</v>
      </c>
      <c r="H1084" s="5" t="s">
        <v>699</v>
      </c>
      <c r="I1084" s="6" t="s">
        <v>700</v>
      </c>
      <c r="J1084" s="5">
        <v>100</v>
      </c>
      <c r="K1084" s="5">
        <v>88.89</v>
      </c>
      <c r="L1084" s="14">
        <f t="shared" si="80"/>
        <v>0.88890000000000002</v>
      </c>
      <c r="M1084" s="14">
        <f t="shared" si="81"/>
        <v>0.88890000000000002</v>
      </c>
      <c r="N1084" s="5" t="s">
        <v>128</v>
      </c>
      <c r="O1084" s="5" t="s">
        <v>128</v>
      </c>
      <c r="P1084" s="5">
        <v>0</v>
      </c>
      <c r="Q1084" s="5">
        <v>0</v>
      </c>
      <c r="R1084" s="5" t="s">
        <v>2725</v>
      </c>
    </row>
    <row r="1085" spans="1:18" x14ac:dyDescent="0.3">
      <c r="A1085" s="5">
        <v>369</v>
      </c>
      <c r="B1085" s="5" t="s">
        <v>984</v>
      </c>
      <c r="C1085" s="5" t="s">
        <v>951</v>
      </c>
      <c r="D1085" s="5" t="s">
        <v>21</v>
      </c>
      <c r="E1085" s="5" t="s">
        <v>22</v>
      </c>
      <c r="F1085" s="71">
        <v>46022</v>
      </c>
      <c r="G1085" s="5">
        <v>2025</v>
      </c>
      <c r="H1085" s="5" t="s">
        <v>23</v>
      </c>
      <c r="I1085" s="6" t="s">
        <v>32</v>
      </c>
      <c r="J1085" s="5">
        <v>100</v>
      </c>
      <c r="K1085" s="5">
        <v>108.26</v>
      </c>
      <c r="L1085" s="14">
        <f t="shared" si="80"/>
        <v>1.0826</v>
      </c>
      <c r="M1085" s="14">
        <f t="shared" si="81"/>
        <v>1.0826</v>
      </c>
      <c r="N1085" s="5" t="s">
        <v>128</v>
      </c>
      <c r="O1085" s="5" t="s">
        <v>128</v>
      </c>
      <c r="P1085" s="5">
        <v>0</v>
      </c>
      <c r="Q1085" s="5">
        <v>0</v>
      </c>
      <c r="R1085" s="5" t="s">
        <v>987</v>
      </c>
    </row>
    <row r="1086" spans="1:18" x14ac:dyDescent="0.3">
      <c r="A1086" s="5">
        <v>370</v>
      </c>
      <c r="B1086" s="5" t="s">
        <v>988</v>
      </c>
      <c r="C1086" s="5" t="s">
        <v>951</v>
      </c>
      <c r="D1086" s="5" t="s">
        <v>27</v>
      </c>
      <c r="E1086" s="5" t="s">
        <v>22</v>
      </c>
      <c r="F1086" s="71">
        <v>45107</v>
      </c>
      <c r="G1086" s="5">
        <v>2023</v>
      </c>
      <c r="H1086" s="5" t="s">
        <v>699</v>
      </c>
      <c r="I1086" s="6" t="s">
        <v>1512</v>
      </c>
      <c r="J1086" s="5">
        <v>0</v>
      </c>
      <c r="K1086" s="5">
        <v>0</v>
      </c>
      <c r="L1086" s="14" t="str">
        <f t="shared" si="80"/>
        <v/>
      </c>
      <c r="M1086" s="14" t="str">
        <f t="shared" si="81"/>
        <v/>
      </c>
      <c r="N1086" s="5"/>
      <c r="O1086" s="5"/>
      <c r="P1086" s="5">
        <v>0</v>
      </c>
      <c r="Q1086" s="5">
        <v>0</v>
      </c>
      <c r="R1086" s="5" t="s">
        <v>2726</v>
      </c>
    </row>
    <row r="1087" spans="1:18" x14ac:dyDescent="0.3">
      <c r="A1087" s="5">
        <v>370</v>
      </c>
      <c r="B1087" s="5" t="s">
        <v>988</v>
      </c>
      <c r="C1087" s="5" t="s">
        <v>951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0</v>
      </c>
      <c r="K1087" s="5">
        <v>0</v>
      </c>
      <c r="L1087" s="14" t="str">
        <f t="shared" si="80"/>
        <v/>
      </c>
      <c r="M1087" s="14" t="str">
        <f t="shared" si="81"/>
        <v/>
      </c>
      <c r="N1087" s="5"/>
      <c r="O1087" s="5"/>
      <c r="P1087" s="5">
        <v>0</v>
      </c>
      <c r="Q1087" s="5">
        <v>0</v>
      </c>
      <c r="R1087" s="5" t="s">
        <v>989</v>
      </c>
    </row>
    <row r="1088" spans="1:18" x14ac:dyDescent="0.3">
      <c r="A1088" s="5">
        <v>371</v>
      </c>
      <c r="B1088" s="5" t="s">
        <v>990</v>
      </c>
      <c r="C1088" s="5" t="s">
        <v>951</v>
      </c>
      <c r="D1088" s="5" t="s">
        <v>27</v>
      </c>
      <c r="E1088" s="5" t="s">
        <v>22</v>
      </c>
      <c r="F1088" s="71">
        <v>45107</v>
      </c>
      <c r="G1088" s="5">
        <v>2023</v>
      </c>
      <c r="H1088" s="5" t="s">
        <v>699</v>
      </c>
      <c r="I1088" s="6" t="s">
        <v>1512</v>
      </c>
      <c r="J1088" s="5">
        <v>100</v>
      </c>
      <c r="K1088" s="5">
        <v>157.50274243635999</v>
      </c>
      <c r="L1088" s="14">
        <f t="shared" si="80"/>
        <v>1.3</v>
      </c>
      <c r="M1088" s="14">
        <f t="shared" si="81"/>
        <v>1.5750274243636</v>
      </c>
      <c r="N1088" s="5" t="s">
        <v>205</v>
      </c>
      <c r="O1088" s="5" t="s">
        <v>205</v>
      </c>
      <c r="P1088" s="5">
        <v>0</v>
      </c>
      <c r="Q1088" s="5">
        <v>0</v>
      </c>
      <c r="R1088" s="5" t="s">
        <v>2727</v>
      </c>
    </row>
    <row r="1089" spans="1:18" x14ac:dyDescent="0.3">
      <c r="A1089" s="5">
        <v>371</v>
      </c>
      <c r="B1089" s="5" t="s">
        <v>990</v>
      </c>
      <c r="C1089" s="5" t="s">
        <v>951</v>
      </c>
      <c r="D1089" s="5" t="s">
        <v>27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100</v>
      </c>
      <c r="K1089" s="5">
        <v>173.07</v>
      </c>
      <c r="L1089" s="14">
        <f t="shared" si="80"/>
        <v>1.3</v>
      </c>
      <c r="M1089" s="14">
        <f t="shared" si="81"/>
        <v>1.7306999999999999</v>
      </c>
      <c r="N1089" s="5" t="s">
        <v>205</v>
      </c>
      <c r="O1089" s="5" t="s">
        <v>205</v>
      </c>
      <c r="P1089" s="5">
        <v>0</v>
      </c>
      <c r="Q1089" s="5">
        <v>0</v>
      </c>
      <c r="R1089" s="5" t="s">
        <v>991</v>
      </c>
    </row>
    <row r="1090" spans="1:18" x14ac:dyDescent="0.3">
      <c r="A1090" s="5">
        <v>371</v>
      </c>
      <c r="B1090" s="5" t="s">
        <v>990</v>
      </c>
      <c r="C1090" s="5" t="s">
        <v>951</v>
      </c>
      <c r="D1090" s="5" t="s">
        <v>27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100</v>
      </c>
      <c r="K1090" s="5">
        <v>149.72</v>
      </c>
      <c r="L1090" s="14">
        <f t="shared" si="80"/>
        <v>1.3</v>
      </c>
      <c r="M1090" s="14">
        <f t="shared" si="81"/>
        <v>1.4972000000000001</v>
      </c>
      <c r="N1090" s="5" t="s">
        <v>205</v>
      </c>
      <c r="O1090" s="5" t="s">
        <v>205</v>
      </c>
      <c r="P1090" s="5">
        <v>0</v>
      </c>
      <c r="Q1090" s="5">
        <v>0</v>
      </c>
      <c r="R1090" s="5" t="s">
        <v>2728</v>
      </c>
    </row>
    <row r="1091" spans="1:18" x14ac:dyDescent="0.3">
      <c r="A1091" s="5">
        <v>371</v>
      </c>
      <c r="B1091" s="5" t="s">
        <v>990</v>
      </c>
      <c r="C1091" s="5" t="s">
        <v>951</v>
      </c>
      <c r="D1091" s="5" t="s">
        <v>27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100</v>
      </c>
      <c r="K1091" s="5">
        <v>96.99</v>
      </c>
      <c r="L1091" s="14">
        <f t="shared" si="80"/>
        <v>0.96989999999999998</v>
      </c>
      <c r="M1091" s="14">
        <f t="shared" si="81"/>
        <v>0.96989999999999998</v>
      </c>
      <c r="N1091" s="5" t="s">
        <v>205</v>
      </c>
      <c r="O1091" s="5" t="s">
        <v>205</v>
      </c>
      <c r="P1091" s="5">
        <v>0</v>
      </c>
      <c r="Q1091" s="5">
        <v>0</v>
      </c>
      <c r="R1091" s="5" t="s">
        <v>992</v>
      </c>
    </row>
    <row r="1092" spans="1:18" x14ac:dyDescent="0.3">
      <c r="A1092" s="5">
        <v>371</v>
      </c>
      <c r="B1092" s="5" t="s">
        <v>990</v>
      </c>
      <c r="C1092" s="5" t="s">
        <v>951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100</v>
      </c>
      <c r="K1092" s="5">
        <v>73.69</v>
      </c>
      <c r="L1092" s="14">
        <f t="shared" si="80"/>
        <v>0.7369</v>
      </c>
      <c r="M1092" s="14">
        <f t="shared" si="81"/>
        <v>0.7369</v>
      </c>
      <c r="N1092" s="5" t="s">
        <v>205</v>
      </c>
      <c r="O1092" s="5" t="s">
        <v>205</v>
      </c>
      <c r="P1092" s="5">
        <v>0</v>
      </c>
      <c r="Q1092" s="5">
        <v>0</v>
      </c>
      <c r="R1092" s="5" t="s">
        <v>2729</v>
      </c>
    </row>
    <row r="1093" spans="1:18" x14ac:dyDescent="0.3">
      <c r="A1093" s="5">
        <v>371</v>
      </c>
      <c r="B1093" s="5" t="s">
        <v>990</v>
      </c>
      <c r="C1093" s="5" t="s">
        <v>951</v>
      </c>
      <c r="D1093" s="5" t="s">
        <v>21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100</v>
      </c>
      <c r="K1093" s="5">
        <v>83.42</v>
      </c>
      <c r="L1093" s="14">
        <f t="shared" si="80"/>
        <v>0.83420000000000005</v>
      </c>
      <c r="M1093" s="14">
        <f t="shared" si="81"/>
        <v>0.83420000000000005</v>
      </c>
      <c r="N1093" s="5" t="s">
        <v>205</v>
      </c>
      <c r="O1093" s="5" t="s">
        <v>205</v>
      </c>
      <c r="P1093" s="5">
        <v>0</v>
      </c>
      <c r="Q1093" s="5">
        <v>0</v>
      </c>
      <c r="R1093" s="5" t="s">
        <v>993</v>
      </c>
    </row>
    <row r="1094" spans="1:18" x14ac:dyDescent="0.3">
      <c r="A1094" s="5">
        <v>372</v>
      </c>
      <c r="B1094" s="5" t="s">
        <v>994</v>
      </c>
      <c r="C1094" s="5" t="s">
        <v>979</v>
      </c>
      <c r="D1094" s="5" t="s">
        <v>21</v>
      </c>
      <c r="E1094" s="5" t="s">
        <v>22</v>
      </c>
      <c r="F1094" s="71">
        <v>45199</v>
      </c>
      <c r="G1094" s="5">
        <v>2023</v>
      </c>
      <c r="H1094" s="5" t="s">
        <v>162</v>
      </c>
      <c r="I1094" s="6" t="s">
        <v>28</v>
      </c>
      <c r="J1094" s="5">
        <v>87</v>
      </c>
      <c r="K1094" s="5">
        <v>95.5</v>
      </c>
      <c r="L1094" s="14">
        <f t="shared" si="80"/>
        <v>1.0977011494252873</v>
      </c>
      <c r="M1094" s="14">
        <f t="shared" si="81"/>
        <v>1.0977011494252873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2730</v>
      </c>
    </row>
    <row r="1095" spans="1:18" x14ac:dyDescent="0.3">
      <c r="A1095" s="5">
        <v>372</v>
      </c>
      <c r="B1095" s="5" t="s">
        <v>994</v>
      </c>
      <c r="C1095" s="5" t="s">
        <v>979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87</v>
      </c>
      <c r="K1095" s="5">
        <v>95.5</v>
      </c>
      <c r="L1095" s="14">
        <f t="shared" si="80"/>
        <v>1.0977011494252873</v>
      </c>
      <c r="M1095" s="14">
        <f t="shared" si="81"/>
        <v>1.0977011494252873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995</v>
      </c>
    </row>
    <row r="1096" spans="1:18" x14ac:dyDescent="0.3">
      <c r="A1096" s="5">
        <v>372</v>
      </c>
      <c r="B1096" s="5" t="s">
        <v>994</v>
      </c>
      <c r="C1096" s="5" t="s">
        <v>979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87</v>
      </c>
      <c r="K1096" s="5">
        <v>91.5</v>
      </c>
      <c r="L1096" s="14">
        <f t="shared" si="80"/>
        <v>1.0517241379310345</v>
      </c>
      <c r="M1096" s="14">
        <f t="shared" si="81"/>
        <v>1.0517241379310345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2732</v>
      </c>
    </row>
    <row r="1097" spans="1:18" x14ac:dyDescent="0.3">
      <c r="A1097" s="5">
        <v>372</v>
      </c>
      <c r="B1097" s="5" t="s">
        <v>994</v>
      </c>
      <c r="C1097" s="5" t="s">
        <v>979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87</v>
      </c>
      <c r="K1097" s="5">
        <v>92</v>
      </c>
      <c r="L1097" s="14">
        <f t="shared" si="80"/>
        <v>1.0574712643678161</v>
      </c>
      <c r="M1097" s="14">
        <f t="shared" si="81"/>
        <v>1.0574712643678161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996</v>
      </c>
    </row>
    <row r="1098" spans="1:18" x14ac:dyDescent="0.3">
      <c r="A1098" s="5">
        <v>372</v>
      </c>
      <c r="B1098" s="5" t="s">
        <v>994</v>
      </c>
      <c r="C1098" s="5" t="s">
        <v>979</v>
      </c>
      <c r="D1098" s="5" t="s">
        <v>21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90</v>
      </c>
      <c r="K1098" s="5">
        <v>94</v>
      </c>
      <c r="L1098" s="14">
        <f t="shared" si="80"/>
        <v>1.0444444444444445</v>
      </c>
      <c r="M1098" s="14">
        <f t="shared" si="81"/>
        <v>1.0444444444444445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2735</v>
      </c>
    </row>
    <row r="1099" spans="1:18" x14ac:dyDescent="0.3">
      <c r="A1099" s="5">
        <v>372</v>
      </c>
      <c r="B1099" s="5" t="s">
        <v>994</v>
      </c>
      <c r="C1099" s="5" t="s">
        <v>982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90</v>
      </c>
      <c r="K1099" s="5">
        <v>97</v>
      </c>
      <c r="L1099" s="14">
        <f t="shared" si="80"/>
        <v>1.0777777777777777</v>
      </c>
      <c r="M1099" s="14">
        <f t="shared" si="81"/>
        <v>1.0777777777777777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997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21</v>
      </c>
      <c r="E1100" s="5" t="s">
        <v>22</v>
      </c>
      <c r="F1100" s="71">
        <v>45016</v>
      </c>
      <c r="G1100" s="5">
        <v>2023</v>
      </c>
      <c r="H1100" s="5" t="s">
        <v>1516</v>
      </c>
      <c r="I1100" s="6" t="s">
        <v>1512</v>
      </c>
      <c r="J1100" s="5">
        <v>100</v>
      </c>
      <c r="K1100" s="5">
        <v>53.585833333335003</v>
      </c>
      <c r="L1100" s="14">
        <f t="shared" ref="L1100:L1107" si="82">IFERROR(IF(OR(J1100=0,K1100=""),"",IF(E1100="Positivo",MIN(MAX(K1100/J1100,0),1),MIN(MAX(J1100/K1100,0),1))),"")</f>
        <v>0.53585833333334998</v>
      </c>
      <c r="M1100" s="14">
        <f t="shared" si="81"/>
        <v>0.53585833333334998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2737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53.585833333335003</v>
      </c>
      <c r="L1101" s="14">
        <f t="shared" si="82"/>
        <v>0.53585833333334998</v>
      </c>
      <c r="M1101" s="14">
        <f t="shared" si="81"/>
        <v>0.53585833333334998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2738</v>
      </c>
    </row>
    <row r="1102" spans="1:18" x14ac:dyDescent="0.3">
      <c r="A1102" s="5">
        <v>373</v>
      </c>
      <c r="B1102" s="5" t="s">
        <v>998</v>
      </c>
      <c r="C1102" s="5" t="s">
        <v>567</v>
      </c>
      <c r="D1102" s="5" t="s">
        <v>21</v>
      </c>
      <c r="E1102" s="5" t="s">
        <v>22</v>
      </c>
      <c r="F1102" s="71">
        <v>45199</v>
      </c>
      <c r="G1102" s="5">
        <v>2023</v>
      </c>
      <c r="H1102" s="5" t="s">
        <v>162</v>
      </c>
      <c r="I1102" s="6" t="s">
        <v>28</v>
      </c>
      <c r="J1102" s="5">
        <v>100</v>
      </c>
      <c r="K1102" s="5">
        <v>94.337500000000006</v>
      </c>
      <c r="L1102" s="14">
        <f t="shared" si="82"/>
        <v>0.94337500000000007</v>
      </c>
      <c r="M1102" s="14">
        <f t="shared" si="81"/>
        <v>0.94337500000000007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2739</v>
      </c>
    </row>
    <row r="1103" spans="1:18" x14ac:dyDescent="0.3">
      <c r="A1103" s="5">
        <v>373</v>
      </c>
      <c r="B1103" s="5" t="s">
        <v>998</v>
      </c>
      <c r="C1103" s="5" t="s">
        <v>567</v>
      </c>
      <c r="D1103" s="5" t="s">
        <v>21</v>
      </c>
      <c r="E1103" s="5" t="s">
        <v>22</v>
      </c>
      <c r="F1103" s="71">
        <v>45291</v>
      </c>
      <c r="G1103" s="5">
        <v>2023</v>
      </c>
      <c r="H1103" s="5" t="s">
        <v>23</v>
      </c>
      <c r="I1103" s="6" t="s">
        <v>28</v>
      </c>
      <c r="J1103" s="5">
        <v>100</v>
      </c>
      <c r="K1103" s="5">
        <v>94.337500000000006</v>
      </c>
      <c r="L1103" s="14">
        <f t="shared" si="82"/>
        <v>0.94337500000000007</v>
      </c>
      <c r="M1103" s="14">
        <f t="shared" si="81"/>
        <v>0.94337500000000007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999</v>
      </c>
    </row>
    <row r="1104" spans="1:18" x14ac:dyDescent="0.3">
      <c r="A1104" s="5">
        <v>373</v>
      </c>
      <c r="B1104" s="5" t="s">
        <v>998</v>
      </c>
      <c r="C1104" s="5" t="s">
        <v>567</v>
      </c>
      <c r="D1104" s="5" t="s">
        <v>21</v>
      </c>
      <c r="E1104" s="5" t="s">
        <v>22</v>
      </c>
      <c r="F1104" s="71">
        <v>45473</v>
      </c>
      <c r="G1104" s="5">
        <v>2024</v>
      </c>
      <c r="H1104" s="5" t="s">
        <v>699</v>
      </c>
      <c r="I1104" s="6" t="s">
        <v>729</v>
      </c>
      <c r="J1104" s="5">
        <v>100</v>
      </c>
      <c r="K1104" s="5">
        <v>97.91</v>
      </c>
      <c r="L1104" s="14">
        <f t="shared" si="82"/>
        <v>0.97909999999999997</v>
      </c>
      <c r="M1104" s="14">
        <f t="shared" si="81"/>
        <v>0.97909999999999997</v>
      </c>
      <c r="N1104" s="5"/>
      <c r="O1104" s="5"/>
      <c r="P1104" s="5">
        <v>0</v>
      </c>
      <c r="Q1104" s="5">
        <v>0</v>
      </c>
      <c r="R1104" s="5" t="s">
        <v>2741</v>
      </c>
    </row>
    <row r="1105" spans="1:18" x14ac:dyDescent="0.3">
      <c r="A1105" s="5">
        <v>373</v>
      </c>
      <c r="B1105" s="5" t="s">
        <v>998</v>
      </c>
      <c r="C1105" s="5" t="s">
        <v>567</v>
      </c>
      <c r="D1105" s="5" t="s">
        <v>21</v>
      </c>
      <c r="E1105" s="5" t="s">
        <v>22</v>
      </c>
      <c r="F1105" s="71">
        <v>45657</v>
      </c>
      <c r="G1105" s="5">
        <v>2024</v>
      </c>
      <c r="H1105" s="5" t="s">
        <v>23</v>
      </c>
      <c r="I1105" s="6" t="s">
        <v>30</v>
      </c>
      <c r="J1105" s="5">
        <v>100</v>
      </c>
      <c r="K1105" s="5">
        <v>99.14</v>
      </c>
      <c r="L1105" s="14">
        <f t="shared" si="82"/>
        <v>0.99140000000000006</v>
      </c>
      <c r="M1105" s="14">
        <f t="shared" si="81"/>
        <v>0.99140000000000006</v>
      </c>
      <c r="N1105" s="5"/>
      <c r="O1105" s="5"/>
      <c r="P1105" s="5">
        <v>0</v>
      </c>
      <c r="Q1105" s="5">
        <v>0</v>
      </c>
      <c r="R1105" s="5" t="s">
        <v>1000</v>
      </c>
    </row>
    <row r="1106" spans="1:18" x14ac:dyDescent="0.3">
      <c r="A1106" s="5">
        <v>373</v>
      </c>
      <c r="B1106" s="5" t="s">
        <v>998</v>
      </c>
      <c r="C1106" s="5" t="s">
        <v>567</v>
      </c>
      <c r="D1106" s="5" t="s">
        <v>27</v>
      </c>
      <c r="E1106" s="5" t="s">
        <v>22</v>
      </c>
      <c r="F1106" s="71">
        <v>45838</v>
      </c>
      <c r="G1106" s="5">
        <v>2025</v>
      </c>
      <c r="H1106" s="5" t="s">
        <v>699</v>
      </c>
      <c r="I1106" s="6" t="s">
        <v>700</v>
      </c>
      <c r="J1106" s="5">
        <v>100</v>
      </c>
      <c r="K1106" s="5">
        <v>104.605</v>
      </c>
      <c r="L1106" s="14">
        <f t="shared" si="82"/>
        <v>1</v>
      </c>
      <c r="M1106" s="14">
        <f t="shared" si="81"/>
        <v>1.0460500000000001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2744</v>
      </c>
    </row>
    <row r="1107" spans="1:18" x14ac:dyDescent="0.3">
      <c r="A1107" s="5">
        <v>373</v>
      </c>
      <c r="B1107" s="5" t="s">
        <v>998</v>
      </c>
      <c r="C1107" s="5" t="s">
        <v>567</v>
      </c>
      <c r="D1107" s="5" t="s">
        <v>27</v>
      </c>
      <c r="E1107" s="5" t="s">
        <v>22</v>
      </c>
      <c r="F1107" s="71">
        <v>46022</v>
      </c>
      <c r="G1107" s="5">
        <v>2025</v>
      </c>
      <c r="H1107" s="5" t="s">
        <v>23</v>
      </c>
      <c r="I1107" s="6" t="s">
        <v>32</v>
      </c>
      <c r="J1107" s="5">
        <v>100</v>
      </c>
      <c r="K1107" s="5">
        <v>97.824999999999989</v>
      </c>
      <c r="L1107" s="14">
        <f t="shared" si="82"/>
        <v>0.97824999999999984</v>
      </c>
      <c r="M1107" s="14">
        <f t="shared" si="81"/>
        <v>0.97824999999999984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1001</v>
      </c>
    </row>
    <row r="1108" spans="1:18" x14ac:dyDescent="0.3">
      <c r="A1108" s="5">
        <v>374</v>
      </c>
      <c r="B1108" s="5" t="s">
        <v>1002</v>
      </c>
      <c r="C1108" s="5" t="s">
        <v>3256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100</v>
      </c>
      <c r="K1108" s="5">
        <v>100</v>
      </c>
      <c r="L1108" s="14">
        <f t="shared" ref="L1108:L1139" si="83">IFERROR(IF(OR(J1108=0,K1108=""),"",IF(E1108="Positivo",MIN(MAX(K1108/J1108,0),1.3),MIN(MAX(J1108/K1108,0),1.3))),"")</f>
        <v>1</v>
      </c>
      <c r="M1108" s="14">
        <f t="shared" si="81"/>
        <v>1</v>
      </c>
      <c r="N1108" s="5"/>
      <c r="O1108" s="5"/>
      <c r="P1108" s="5">
        <v>0</v>
      </c>
      <c r="Q1108" s="5">
        <v>0</v>
      </c>
      <c r="R1108" s="5" t="s">
        <v>1003</v>
      </c>
    </row>
    <row r="1109" spans="1:18" x14ac:dyDescent="0.3">
      <c r="A1109" s="5">
        <v>375</v>
      </c>
      <c r="B1109" s="5" t="s">
        <v>1004</v>
      </c>
      <c r="C1109" s="5" t="s">
        <v>956</v>
      </c>
      <c r="D1109" s="5" t="s">
        <v>21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100</v>
      </c>
      <c r="K1109" s="5">
        <v>0</v>
      </c>
      <c r="L1109" s="14">
        <f t="shared" si="83"/>
        <v>0</v>
      </c>
      <c r="M1109" s="14">
        <f t="shared" si="81"/>
        <v>0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2747</v>
      </c>
    </row>
    <row r="1110" spans="1:18" x14ac:dyDescent="0.3">
      <c r="A1110" s="5">
        <v>375</v>
      </c>
      <c r="B1110" s="5" t="s">
        <v>1004</v>
      </c>
      <c r="C1110" s="5" t="s">
        <v>3255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100</v>
      </c>
      <c r="K1110" s="5">
        <v>100</v>
      </c>
      <c r="L1110" s="14">
        <f t="shared" si="83"/>
        <v>1</v>
      </c>
      <c r="M1110" s="14">
        <f t="shared" si="81"/>
        <v>1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1005</v>
      </c>
    </row>
    <row r="1111" spans="1:18" x14ac:dyDescent="0.3">
      <c r="A1111" s="5">
        <v>375</v>
      </c>
      <c r="B1111" s="5" t="s">
        <v>1004</v>
      </c>
      <c r="C1111" s="5" t="s">
        <v>956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100</v>
      </c>
      <c r="K1111" s="5">
        <v>100</v>
      </c>
      <c r="L1111" s="14">
        <f t="shared" si="83"/>
        <v>1</v>
      </c>
      <c r="M1111" s="14">
        <f t="shared" si="81"/>
        <v>1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2748</v>
      </c>
    </row>
    <row r="1112" spans="1:18" x14ac:dyDescent="0.3">
      <c r="A1112" s="5">
        <v>375</v>
      </c>
      <c r="B1112" s="5" t="s">
        <v>1004</v>
      </c>
      <c r="C1112" s="5" t="s">
        <v>956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100</v>
      </c>
      <c r="K1112" s="5">
        <v>100</v>
      </c>
      <c r="L1112" s="14">
        <f t="shared" si="83"/>
        <v>1</v>
      </c>
      <c r="M1112" s="14">
        <f t="shared" si="81"/>
        <v>1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1006</v>
      </c>
    </row>
    <row r="1113" spans="1:18" x14ac:dyDescent="0.3">
      <c r="A1113" s="5">
        <v>375</v>
      </c>
      <c r="B1113" s="5" t="s">
        <v>1004</v>
      </c>
      <c r="C1113" s="5" t="s">
        <v>956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100</v>
      </c>
      <c r="K1113" s="5">
        <v>100</v>
      </c>
      <c r="L1113" s="14">
        <f t="shared" si="83"/>
        <v>1</v>
      </c>
      <c r="M1113" s="14">
        <f t="shared" si="81"/>
        <v>1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2749</v>
      </c>
    </row>
    <row r="1114" spans="1:18" x14ac:dyDescent="0.3">
      <c r="A1114" s="5">
        <v>375</v>
      </c>
      <c r="B1114" s="5" t="s">
        <v>1004</v>
      </c>
      <c r="C1114" s="5" t="s">
        <v>956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100</v>
      </c>
      <c r="K1114" s="5">
        <v>100</v>
      </c>
      <c r="L1114" s="14">
        <f t="shared" si="83"/>
        <v>1</v>
      </c>
      <c r="M1114" s="14">
        <f t="shared" ref="M1114:M1145" si="84">IFERROR(IF(OR(J1114=0,K1114=""),"",IF(E1114="Positivo",MAX(K1114/J1114,0),MAX(J1114/K1114,0))),"")</f>
        <v>1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1007</v>
      </c>
    </row>
    <row r="1115" spans="1:18" x14ac:dyDescent="0.3">
      <c r="A1115" s="5">
        <v>376</v>
      </c>
      <c r="B1115" s="5" t="s">
        <v>2750</v>
      </c>
      <c r="C1115" s="5" t="s">
        <v>159</v>
      </c>
      <c r="D1115" s="5" t="s">
        <v>27</v>
      </c>
      <c r="E1115" s="5" t="s">
        <v>22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95</v>
      </c>
      <c r="K1115" s="5">
        <v>149.72237633949999</v>
      </c>
      <c r="L1115" s="14">
        <f t="shared" si="83"/>
        <v>1.3</v>
      </c>
      <c r="M1115" s="14">
        <f t="shared" si="84"/>
        <v>1.5760250140999998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2751</v>
      </c>
    </row>
    <row r="1116" spans="1:18" x14ac:dyDescent="0.3">
      <c r="A1116" s="5">
        <v>376</v>
      </c>
      <c r="B1116" s="5" t="s">
        <v>2750</v>
      </c>
      <c r="C1116" s="5" t="s">
        <v>159</v>
      </c>
      <c r="D1116" s="5" t="s">
        <v>27</v>
      </c>
      <c r="E1116" s="5" t="s">
        <v>22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95</v>
      </c>
      <c r="K1116" s="5">
        <v>101.26</v>
      </c>
      <c r="L1116" s="14">
        <f t="shared" si="83"/>
        <v>1.0658947368421052</v>
      </c>
      <c r="M1116" s="14">
        <f t="shared" si="84"/>
        <v>1.0658947368421052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1009</v>
      </c>
    </row>
    <row r="1117" spans="1:18" x14ac:dyDescent="0.3">
      <c r="A1117" s="5">
        <v>376</v>
      </c>
      <c r="B1117" s="5" t="s">
        <v>2750</v>
      </c>
      <c r="C1117" s="5" t="s">
        <v>159</v>
      </c>
      <c r="D1117" s="5" t="s">
        <v>27</v>
      </c>
      <c r="E1117" s="5" t="s">
        <v>22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95</v>
      </c>
      <c r="K1117" s="5">
        <v>104</v>
      </c>
      <c r="L1117" s="14">
        <f t="shared" si="83"/>
        <v>1.0947368421052632</v>
      </c>
      <c r="M1117" s="14">
        <f t="shared" si="84"/>
        <v>1.0947368421052632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2752</v>
      </c>
    </row>
    <row r="1118" spans="1:18" x14ac:dyDescent="0.3">
      <c r="A1118" s="5">
        <v>376</v>
      </c>
      <c r="B1118" s="5" t="s">
        <v>2750</v>
      </c>
      <c r="C1118" s="5" t="s">
        <v>159</v>
      </c>
      <c r="D1118" s="5" t="s">
        <v>27</v>
      </c>
      <c r="E1118" s="5" t="s">
        <v>22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95</v>
      </c>
      <c r="K1118" s="5">
        <v>109.1</v>
      </c>
      <c r="L1118" s="14">
        <f t="shared" si="83"/>
        <v>1.1484210526315788</v>
      </c>
      <c r="M1118" s="14">
        <f t="shared" si="84"/>
        <v>1.1484210526315788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1010</v>
      </c>
    </row>
    <row r="1119" spans="1:18" x14ac:dyDescent="0.3">
      <c r="A1119" s="5">
        <v>376</v>
      </c>
      <c r="B1119" s="5" t="s">
        <v>2750</v>
      </c>
      <c r="C1119" s="5" t="s">
        <v>159</v>
      </c>
      <c r="D1119" s="5" t="s">
        <v>27</v>
      </c>
      <c r="E1119" s="5" t="s">
        <v>22</v>
      </c>
      <c r="F1119" s="71">
        <v>45838</v>
      </c>
      <c r="G1119" s="5">
        <v>2025</v>
      </c>
      <c r="H1119" s="5" t="s">
        <v>699</v>
      </c>
      <c r="I1119" s="6" t="s">
        <v>700</v>
      </c>
      <c r="J1119" s="5">
        <v>95</v>
      </c>
      <c r="K1119" s="5">
        <v>117.87</v>
      </c>
      <c r="L1119" s="14">
        <f t="shared" si="83"/>
        <v>1.2407368421052631</v>
      </c>
      <c r="M1119" s="14">
        <f t="shared" si="84"/>
        <v>1.2407368421052631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2753</v>
      </c>
    </row>
    <row r="1120" spans="1:18" x14ac:dyDescent="0.3">
      <c r="A1120" s="5">
        <v>376</v>
      </c>
      <c r="B1120" s="5" t="s">
        <v>1008</v>
      </c>
      <c r="C1120" s="5" t="s">
        <v>159</v>
      </c>
      <c r="D1120" s="5" t="s">
        <v>21</v>
      </c>
      <c r="E1120" s="5" t="s">
        <v>22</v>
      </c>
      <c r="F1120" s="71">
        <v>46022</v>
      </c>
      <c r="G1120" s="5">
        <v>2025</v>
      </c>
      <c r="H1120" s="5" t="s">
        <v>23</v>
      </c>
      <c r="I1120" s="6" t="s">
        <v>32</v>
      </c>
      <c r="J1120" s="5">
        <v>95</v>
      </c>
      <c r="K1120" s="5">
        <v>117.51</v>
      </c>
      <c r="L1120" s="14">
        <f t="shared" si="83"/>
        <v>1.2369473684210528</v>
      </c>
      <c r="M1120" s="14">
        <f t="shared" si="84"/>
        <v>1.2369473684210528</v>
      </c>
      <c r="N1120" s="5" t="s">
        <v>205</v>
      </c>
      <c r="O1120" s="5" t="s">
        <v>205</v>
      </c>
      <c r="P1120" s="5">
        <v>0</v>
      </c>
      <c r="Q1120" s="5">
        <v>0</v>
      </c>
      <c r="R1120" s="5" t="s">
        <v>1011</v>
      </c>
    </row>
    <row r="1121" spans="1:18" x14ac:dyDescent="0.3">
      <c r="A1121" s="5">
        <v>377</v>
      </c>
      <c r="B1121" s="5" t="s">
        <v>1012</v>
      </c>
      <c r="C1121" s="5" t="s">
        <v>159</v>
      </c>
      <c r="D1121" s="5" t="s">
        <v>27</v>
      </c>
      <c r="E1121" s="5" t="s">
        <v>41</v>
      </c>
      <c r="F1121" s="71">
        <v>45107</v>
      </c>
      <c r="G1121" s="5">
        <v>2023</v>
      </c>
      <c r="H1121" s="5" t="s">
        <v>699</v>
      </c>
      <c r="I1121" s="6" t="s">
        <v>1512</v>
      </c>
      <c r="J1121" s="5">
        <v>100</v>
      </c>
      <c r="K1121" s="5">
        <v>22.314798348501999</v>
      </c>
      <c r="L1121" s="14">
        <f t="shared" si="83"/>
        <v>1.3</v>
      </c>
      <c r="M1121" s="14">
        <f t="shared" si="84"/>
        <v>4.4813311076464668</v>
      </c>
      <c r="N1121" s="5" t="s">
        <v>205</v>
      </c>
      <c r="O1121" s="5" t="s">
        <v>205</v>
      </c>
      <c r="P1121" s="5">
        <v>0</v>
      </c>
      <c r="Q1121" s="5">
        <v>0</v>
      </c>
      <c r="R1121" s="5" t="s">
        <v>2754</v>
      </c>
    </row>
    <row r="1122" spans="1:18" x14ac:dyDescent="0.3">
      <c r="A1122" s="5">
        <v>377</v>
      </c>
      <c r="B1122" s="5" t="s">
        <v>1012</v>
      </c>
      <c r="C1122" s="5" t="s">
        <v>159</v>
      </c>
      <c r="D1122" s="5" t="s">
        <v>27</v>
      </c>
      <c r="E1122" s="5" t="s">
        <v>41</v>
      </c>
      <c r="F1122" s="71">
        <v>45291</v>
      </c>
      <c r="G1122" s="5">
        <v>2023</v>
      </c>
      <c r="H1122" s="5" t="s">
        <v>23</v>
      </c>
      <c r="I1122" s="6" t="s">
        <v>28</v>
      </c>
      <c r="J1122" s="5">
        <v>100</v>
      </c>
      <c r="K1122" s="5">
        <v>60.77</v>
      </c>
      <c r="L1122" s="14">
        <f t="shared" si="83"/>
        <v>1.3</v>
      </c>
      <c r="M1122" s="14">
        <f t="shared" si="84"/>
        <v>1.6455487905216388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1013</v>
      </c>
    </row>
    <row r="1123" spans="1:18" x14ac:dyDescent="0.3">
      <c r="A1123" s="5">
        <v>377</v>
      </c>
      <c r="B1123" s="5" t="s">
        <v>1012</v>
      </c>
      <c r="C1123" s="5" t="s">
        <v>159</v>
      </c>
      <c r="D1123" s="5" t="s">
        <v>27</v>
      </c>
      <c r="E1123" s="5" t="s">
        <v>41</v>
      </c>
      <c r="F1123" s="71">
        <v>45473</v>
      </c>
      <c r="G1123" s="5">
        <v>2024</v>
      </c>
      <c r="H1123" s="5" t="s">
        <v>699</v>
      </c>
      <c r="I1123" s="6" t="s">
        <v>729</v>
      </c>
      <c r="J1123" s="5">
        <v>100</v>
      </c>
      <c r="K1123" s="10">
        <v>48.24</v>
      </c>
      <c r="L1123" s="14">
        <f t="shared" si="83"/>
        <v>1.3</v>
      </c>
      <c r="M1123" s="14">
        <f t="shared" si="84"/>
        <v>2.0729684908789388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2755</v>
      </c>
    </row>
    <row r="1124" spans="1:18" x14ac:dyDescent="0.3">
      <c r="A1124" s="5">
        <v>377</v>
      </c>
      <c r="B1124" s="5" t="s">
        <v>1012</v>
      </c>
      <c r="C1124" s="5" t="s">
        <v>159</v>
      </c>
      <c r="D1124" s="5" t="s">
        <v>27</v>
      </c>
      <c r="E1124" s="5" t="s">
        <v>41</v>
      </c>
      <c r="F1124" s="71">
        <v>45657</v>
      </c>
      <c r="G1124" s="5">
        <v>2024</v>
      </c>
      <c r="H1124" s="5" t="s">
        <v>23</v>
      </c>
      <c r="I1124" s="6" t="s">
        <v>30</v>
      </c>
      <c r="J1124" s="5">
        <v>100</v>
      </c>
      <c r="K1124" s="10">
        <v>125.01</v>
      </c>
      <c r="L1124" s="14">
        <f t="shared" si="83"/>
        <v>0.7999360051195904</v>
      </c>
      <c r="M1124" s="14">
        <f t="shared" si="84"/>
        <v>0.7999360051195904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1014</v>
      </c>
    </row>
    <row r="1125" spans="1:18" x14ac:dyDescent="0.3">
      <c r="A1125" s="26">
        <v>377</v>
      </c>
      <c r="B1125" s="5" t="s">
        <v>1012</v>
      </c>
      <c r="C1125" s="5" t="s">
        <v>159</v>
      </c>
      <c r="D1125" s="5" t="s">
        <v>71</v>
      </c>
      <c r="E1125" s="5" t="s">
        <v>22</v>
      </c>
      <c r="F1125" s="71">
        <v>46022</v>
      </c>
      <c r="G1125" s="15">
        <v>2025</v>
      </c>
      <c r="H1125" s="6" t="s">
        <v>23</v>
      </c>
      <c r="I1125" s="6" t="s">
        <v>32</v>
      </c>
      <c r="J1125" s="5">
        <v>100</v>
      </c>
      <c r="K1125" s="5">
        <v>107.11</v>
      </c>
      <c r="L1125" s="14">
        <f t="shared" si="83"/>
        <v>1.0710999999999999</v>
      </c>
      <c r="M1125" s="14">
        <f t="shared" si="84"/>
        <v>1.0710999999999999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1015</v>
      </c>
    </row>
    <row r="1126" spans="1:18" x14ac:dyDescent="0.3">
      <c r="A1126" s="26">
        <v>378</v>
      </c>
      <c r="B1126" s="5" t="s">
        <v>1016</v>
      </c>
      <c r="C1126" s="5" t="s">
        <v>53</v>
      </c>
      <c r="D1126" s="5" t="s">
        <v>54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92</v>
      </c>
      <c r="K1126" s="5">
        <v>93.83</v>
      </c>
      <c r="L1126" s="14">
        <f t="shared" si="83"/>
        <v>1.0198913043478262</v>
      </c>
      <c r="M1126" s="14">
        <f t="shared" si="84"/>
        <v>1.0198913043478262</v>
      </c>
      <c r="N1126" s="5" t="s">
        <v>25</v>
      </c>
      <c r="O1126" s="5" t="s">
        <v>25</v>
      </c>
      <c r="P1126" s="5">
        <v>0</v>
      </c>
      <c r="Q1126" s="5">
        <v>0</v>
      </c>
      <c r="R1126" s="5" t="s">
        <v>2761</v>
      </c>
    </row>
    <row r="1127" spans="1:18" x14ac:dyDescent="0.3">
      <c r="A1127" s="5">
        <v>378</v>
      </c>
      <c r="B1127" s="5" t="s">
        <v>1016</v>
      </c>
      <c r="C1127" s="5" t="s">
        <v>53</v>
      </c>
      <c r="D1127" s="5" t="s">
        <v>54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92</v>
      </c>
      <c r="K1127" s="5">
        <v>97.3</v>
      </c>
      <c r="L1127" s="14">
        <f t="shared" si="83"/>
        <v>1.057608695652174</v>
      </c>
      <c r="M1127" s="14">
        <f t="shared" si="84"/>
        <v>1.057608695652174</v>
      </c>
      <c r="N1127" s="5" t="s">
        <v>25</v>
      </c>
      <c r="O1127" s="5" t="s">
        <v>25</v>
      </c>
      <c r="P1127" s="5">
        <v>0</v>
      </c>
      <c r="Q1127" s="5">
        <v>0</v>
      </c>
      <c r="R1127" s="5" t="s">
        <v>1017</v>
      </c>
    </row>
    <row r="1128" spans="1:18" x14ac:dyDescent="0.3">
      <c r="A1128" s="5">
        <v>378</v>
      </c>
      <c r="B1128" s="5" t="s">
        <v>1016</v>
      </c>
      <c r="C1128" s="5" t="s">
        <v>53</v>
      </c>
      <c r="D1128" s="5" t="s">
        <v>54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92</v>
      </c>
      <c r="K1128" s="5">
        <v>98.5</v>
      </c>
      <c r="L1128" s="14">
        <f t="shared" si="83"/>
        <v>1.0706521739130435</v>
      </c>
      <c r="M1128" s="14">
        <f t="shared" si="84"/>
        <v>1.0706521739130435</v>
      </c>
      <c r="N1128" s="5"/>
      <c r="O1128" s="5"/>
      <c r="P1128" s="5">
        <v>0</v>
      </c>
      <c r="Q1128" s="5">
        <v>0</v>
      </c>
      <c r="R1128" s="5" t="s">
        <v>2772</v>
      </c>
    </row>
    <row r="1129" spans="1:18" x14ac:dyDescent="0.3">
      <c r="A1129" s="5">
        <v>378</v>
      </c>
      <c r="B1129" s="5" t="s">
        <v>1016</v>
      </c>
      <c r="C1129" s="5" t="s">
        <v>53</v>
      </c>
      <c r="D1129" s="5" t="s">
        <v>54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0</v>
      </c>
      <c r="K1129" s="5">
        <v>0</v>
      </c>
      <c r="L1129" s="14" t="str">
        <f t="shared" si="83"/>
        <v/>
      </c>
      <c r="M1129" s="14" t="str">
        <f t="shared" si="84"/>
        <v/>
      </c>
      <c r="N1129" s="5"/>
      <c r="O1129" s="5"/>
      <c r="P1129" s="5">
        <v>0</v>
      </c>
      <c r="Q1129" s="5">
        <v>0</v>
      </c>
      <c r="R1129" s="5" t="s">
        <v>1018</v>
      </c>
    </row>
    <row r="1130" spans="1:18" x14ac:dyDescent="0.3">
      <c r="A1130" s="5">
        <v>379</v>
      </c>
      <c r="B1130" s="5" t="s">
        <v>1019</v>
      </c>
      <c r="C1130" s="5" t="s">
        <v>1020</v>
      </c>
      <c r="D1130" s="5" t="s">
        <v>27</v>
      </c>
      <c r="E1130" s="5" t="s">
        <v>22</v>
      </c>
      <c r="F1130" s="71">
        <v>45107</v>
      </c>
      <c r="G1130" s="15">
        <v>2023</v>
      </c>
      <c r="H1130" s="6" t="s">
        <v>699</v>
      </c>
      <c r="I1130" s="6" t="s">
        <v>1512</v>
      </c>
      <c r="J1130" s="5">
        <v>100</v>
      </c>
      <c r="K1130" s="5">
        <v>102.72877164056</v>
      </c>
      <c r="L1130" s="14">
        <f t="shared" si="83"/>
        <v>1.0272877164056</v>
      </c>
      <c r="M1130" s="14">
        <f t="shared" si="84"/>
        <v>1.0272877164056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2778</v>
      </c>
    </row>
    <row r="1131" spans="1:18" x14ac:dyDescent="0.3">
      <c r="A1131" s="5">
        <v>379</v>
      </c>
      <c r="B1131" s="5" t="s">
        <v>1019</v>
      </c>
      <c r="C1131" s="5" t="s">
        <v>1020</v>
      </c>
      <c r="D1131" s="5" t="s">
        <v>27</v>
      </c>
      <c r="E1131" s="5" t="s">
        <v>22</v>
      </c>
      <c r="F1131" s="71">
        <v>45291</v>
      </c>
      <c r="G1131" s="15">
        <v>2023</v>
      </c>
      <c r="H1131" s="6" t="s">
        <v>23</v>
      </c>
      <c r="I1131" s="6" t="s">
        <v>28</v>
      </c>
      <c r="J1131" s="5">
        <v>100</v>
      </c>
      <c r="K1131" s="5">
        <v>108.65</v>
      </c>
      <c r="L1131" s="14">
        <f t="shared" si="83"/>
        <v>1.0865</v>
      </c>
      <c r="M1131" s="14">
        <f t="shared" si="84"/>
        <v>1.0865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1021</v>
      </c>
    </row>
    <row r="1132" spans="1:18" x14ac:dyDescent="0.3">
      <c r="A1132" s="5">
        <v>379</v>
      </c>
      <c r="B1132" s="5" t="s">
        <v>1019</v>
      </c>
      <c r="C1132" s="5" t="s">
        <v>1020</v>
      </c>
      <c r="D1132" s="5" t="s">
        <v>27</v>
      </c>
      <c r="E1132" s="5" t="s">
        <v>22</v>
      </c>
      <c r="F1132" s="71">
        <v>45473</v>
      </c>
      <c r="G1132" s="15">
        <v>2024</v>
      </c>
      <c r="H1132" s="6" t="s">
        <v>699</v>
      </c>
      <c r="I1132" s="6" t="s">
        <v>729</v>
      </c>
      <c r="J1132" s="5">
        <v>100</v>
      </c>
      <c r="K1132" s="5">
        <v>95.92</v>
      </c>
      <c r="L1132" s="14">
        <f t="shared" si="83"/>
        <v>0.95920000000000005</v>
      </c>
      <c r="M1132" s="14">
        <f t="shared" si="84"/>
        <v>0.95920000000000005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2779</v>
      </c>
    </row>
    <row r="1133" spans="1:18" x14ac:dyDescent="0.3">
      <c r="A1133" s="5">
        <v>379</v>
      </c>
      <c r="B1133" s="5" t="s">
        <v>1019</v>
      </c>
      <c r="C1133" s="5" t="s">
        <v>1020</v>
      </c>
      <c r="D1133" s="5" t="s">
        <v>27</v>
      </c>
      <c r="E1133" s="5" t="s">
        <v>22</v>
      </c>
      <c r="F1133" s="71">
        <v>45657</v>
      </c>
      <c r="G1133" s="15">
        <v>2024</v>
      </c>
      <c r="H1133" s="6" t="s">
        <v>23</v>
      </c>
      <c r="I1133" s="6" t="s">
        <v>30</v>
      </c>
      <c r="J1133" s="5">
        <v>100</v>
      </c>
      <c r="K1133" s="5">
        <v>99.31</v>
      </c>
      <c r="L1133" s="14">
        <f t="shared" si="83"/>
        <v>0.99309999999999998</v>
      </c>
      <c r="M1133" s="14">
        <f t="shared" si="84"/>
        <v>0.99309999999999998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1022</v>
      </c>
    </row>
    <row r="1134" spans="1:18" x14ac:dyDescent="0.3">
      <c r="A1134" s="5">
        <v>379</v>
      </c>
      <c r="B1134" s="5" t="s">
        <v>1019</v>
      </c>
      <c r="C1134" s="5" t="s">
        <v>1020</v>
      </c>
      <c r="D1134" s="5" t="s">
        <v>27</v>
      </c>
      <c r="E1134" s="5" t="s">
        <v>22</v>
      </c>
      <c r="F1134" s="71">
        <v>45838</v>
      </c>
      <c r="G1134" s="15">
        <v>2025</v>
      </c>
      <c r="H1134" s="6" t="s">
        <v>699</v>
      </c>
      <c r="I1134" s="6" t="s">
        <v>700</v>
      </c>
      <c r="J1134" s="5">
        <v>100</v>
      </c>
      <c r="K1134" s="5">
        <v>104.11</v>
      </c>
      <c r="L1134" s="14">
        <f t="shared" si="83"/>
        <v>1.0410999999999999</v>
      </c>
      <c r="M1134" s="14">
        <f t="shared" si="84"/>
        <v>1.0410999999999999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2780</v>
      </c>
    </row>
    <row r="1135" spans="1:18" x14ac:dyDescent="0.3">
      <c r="A1135" s="5">
        <v>379</v>
      </c>
      <c r="B1135" s="5" t="s">
        <v>1019</v>
      </c>
      <c r="C1135" s="5" t="s">
        <v>1020</v>
      </c>
      <c r="D1135" s="5" t="s">
        <v>21</v>
      </c>
      <c r="E1135" s="5" t="s">
        <v>22</v>
      </c>
      <c r="F1135" s="71">
        <v>46022</v>
      </c>
      <c r="G1135" s="15">
        <v>2025</v>
      </c>
      <c r="H1135" s="6" t="s">
        <v>23</v>
      </c>
      <c r="I1135" s="6" t="s">
        <v>32</v>
      </c>
      <c r="J1135" s="5">
        <v>100</v>
      </c>
      <c r="K1135" s="10">
        <v>102.41</v>
      </c>
      <c r="L1135" s="14">
        <f t="shared" si="83"/>
        <v>1.0241</v>
      </c>
      <c r="M1135" s="14">
        <f t="shared" si="84"/>
        <v>1.0241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1023</v>
      </c>
    </row>
    <row r="1136" spans="1:18" x14ac:dyDescent="0.3">
      <c r="A1136" s="5">
        <v>380</v>
      </c>
      <c r="B1136" s="5" t="s">
        <v>1024</v>
      </c>
      <c r="C1136" s="5" t="s">
        <v>1020</v>
      </c>
      <c r="D1136" s="5" t="s">
        <v>27</v>
      </c>
      <c r="E1136" s="5" t="s">
        <v>22</v>
      </c>
      <c r="F1136" s="71">
        <v>45107</v>
      </c>
      <c r="G1136" s="15">
        <v>2023</v>
      </c>
      <c r="H1136" s="6" t="s">
        <v>699</v>
      </c>
      <c r="I1136" s="6" t="s">
        <v>1512</v>
      </c>
      <c r="J1136" s="5">
        <v>24659.314309000001</v>
      </c>
      <c r="K1136" s="5">
        <v>25754.085545999998</v>
      </c>
      <c r="L1136" s="14">
        <f t="shared" si="83"/>
        <v>1.0443958507232471</v>
      </c>
      <c r="M1136" s="14">
        <f t="shared" si="84"/>
        <v>1.0443958507232471</v>
      </c>
      <c r="N1136" s="5" t="s">
        <v>205</v>
      </c>
      <c r="O1136" s="5" t="s">
        <v>205</v>
      </c>
      <c r="P1136" s="5">
        <v>0</v>
      </c>
      <c r="Q1136" s="5">
        <v>0</v>
      </c>
      <c r="R1136" s="5" t="s">
        <v>2781</v>
      </c>
    </row>
    <row r="1137" spans="1:18" x14ac:dyDescent="0.3">
      <c r="A1137" s="5">
        <v>380</v>
      </c>
      <c r="B1137" s="5" t="s">
        <v>1024</v>
      </c>
      <c r="C1137" s="5" t="s">
        <v>1020</v>
      </c>
      <c r="D1137" s="5" t="s">
        <v>27</v>
      </c>
      <c r="E1137" s="5" t="s">
        <v>22</v>
      </c>
      <c r="F1137" s="71">
        <v>45291</v>
      </c>
      <c r="G1137" s="15">
        <v>2023</v>
      </c>
      <c r="H1137" s="6" t="s">
        <v>23</v>
      </c>
      <c r="I1137" s="6" t="s">
        <v>28</v>
      </c>
      <c r="J1137" s="5">
        <v>24724.802793999999</v>
      </c>
      <c r="K1137" s="10">
        <v>25340.546505999999</v>
      </c>
      <c r="L1137" s="14">
        <f t="shared" si="83"/>
        <v>1.0249038876924601</v>
      </c>
      <c r="M1137" s="14">
        <f t="shared" si="84"/>
        <v>1.0249038876924601</v>
      </c>
      <c r="N1137" s="5" t="s">
        <v>205</v>
      </c>
      <c r="O1137" s="5" t="s">
        <v>205</v>
      </c>
      <c r="P1137" s="5">
        <v>0</v>
      </c>
      <c r="Q1137" s="5">
        <v>0</v>
      </c>
      <c r="R1137" s="5" t="s">
        <v>1025</v>
      </c>
    </row>
    <row r="1138" spans="1:18" x14ac:dyDescent="0.3">
      <c r="A1138" s="26">
        <v>380</v>
      </c>
      <c r="B1138" s="5" t="s">
        <v>1024</v>
      </c>
      <c r="C1138" s="5" t="s">
        <v>1020</v>
      </c>
      <c r="D1138" s="5" t="s">
        <v>27</v>
      </c>
      <c r="E1138" s="5" t="s">
        <v>22</v>
      </c>
      <c r="F1138" s="70">
        <v>45473</v>
      </c>
      <c r="G1138" s="15">
        <v>2024</v>
      </c>
      <c r="H1138" s="6" t="s">
        <v>699</v>
      </c>
      <c r="I1138" s="6" t="s">
        <v>729</v>
      </c>
      <c r="J1138" s="5">
        <v>29596.26987</v>
      </c>
      <c r="K1138" s="5">
        <v>28449.632913000001</v>
      </c>
      <c r="L1138" s="14">
        <f t="shared" si="83"/>
        <v>0.96125738270273453</v>
      </c>
      <c r="M1138" s="14">
        <f t="shared" si="84"/>
        <v>0.96125738270273453</v>
      </c>
      <c r="N1138" s="5" t="s">
        <v>205</v>
      </c>
      <c r="O1138" s="5" t="s">
        <v>205</v>
      </c>
      <c r="P1138" s="5">
        <v>0</v>
      </c>
      <c r="Q1138" s="5">
        <v>0</v>
      </c>
      <c r="R1138" s="5" t="s">
        <v>2782</v>
      </c>
    </row>
    <row r="1139" spans="1:18" x14ac:dyDescent="0.3">
      <c r="A1139" s="5">
        <v>380</v>
      </c>
      <c r="B1139" s="5" t="s">
        <v>1024</v>
      </c>
      <c r="C1139" s="5" t="s">
        <v>1020</v>
      </c>
      <c r="D1139" s="5" t="s">
        <v>27</v>
      </c>
      <c r="E1139" s="5" t="s">
        <v>22</v>
      </c>
      <c r="F1139" s="71">
        <v>45657</v>
      </c>
      <c r="G1139" s="15">
        <v>2024</v>
      </c>
      <c r="H1139" s="6" t="s">
        <v>23</v>
      </c>
      <c r="I1139" s="6" t="s">
        <v>30</v>
      </c>
      <c r="J1139" s="5">
        <v>100</v>
      </c>
      <c r="K1139" s="5">
        <v>78.92</v>
      </c>
      <c r="L1139" s="14">
        <f t="shared" si="83"/>
        <v>0.78920000000000001</v>
      </c>
      <c r="M1139" s="14">
        <f t="shared" si="84"/>
        <v>0.78920000000000001</v>
      </c>
      <c r="N1139" s="5"/>
      <c r="O1139" s="5"/>
      <c r="P1139" s="5">
        <v>0</v>
      </c>
      <c r="Q1139" s="5">
        <v>0</v>
      </c>
      <c r="R1139" s="5" t="s">
        <v>1026</v>
      </c>
    </row>
    <row r="1140" spans="1:18" x14ac:dyDescent="0.3">
      <c r="A1140" s="5">
        <v>381</v>
      </c>
      <c r="B1140" s="5" t="s">
        <v>1027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15">
        <v>2023</v>
      </c>
      <c r="H1140" s="6" t="s">
        <v>699</v>
      </c>
      <c r="I1140" s="6" t="s">
        <v>1512</v>
      </c>
      <c r="J1140" s="5">
        <v>100</v>
      </c>
      <c r="K1140" s="10">
        <v>104.27170868347</v>
      </c>
      <c r="L1140" s="14">
        <f t="shared" ref="L1140:L1171" si="85">IFERROR(IF(OR(J1140=0,K1140=""),"",IF(E1140="Positivo",MIN(MAX(K1140/J1140,0),1.3),MIN(MAX(J1140/K1140,0),1.3))),"")</f>
        <v>1.0427170868347</v>
      </c>
      <c r="M1140" s="14">
        <f t="shared" si="84"/>
        <v>1.0427170868347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2783</v>
      </c>
    </row>
    <row r="1141" spans="1:18" x14ac:dyDescent="0.3">
      <c r="A1141" s="5">
        <v>381</v>
      </c>
      <c r="B1141" s="5" t="s">
        <v>1027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15">
        <v>2023</v>
      </c>
      <c r="H1141" s="6" t="s">
        <v>23</v>
      </c>
      <c r="I1141" s="6" t="s">
        <v>28</v>
      </c>
      <c r="J1141" s="5">
        <v>100</v>
      </c>
      <c r="K1141" s="15">
        <v>113.7</v>
      </c>
      <c r="L1141" s="14">
        <f t="shared" si="85"/>
        <v>1.137</v>
      </c>
      <c r="M1141" s="14">
        <f t="shared" si="84"/>
        <v>1.137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1028</v>
      </c>
    </row>
    <row r="1142" spans="1:18" x14ac:dyDescent="0.3">
      <c r="A1142" s="5">
        <v>381</v>
      </c>
      <c r="B1142" s="5" t="s">
        <v>1027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15">
        <v>2024</v>
      </c>
      <c r="H1142" s="6" t="s">
        <v>699</v>
      </c>
      <c r="I1142" s="6" t="s">
        <v>729</v>
      </c>
      <c r="J1142" s="5">
        <v>100</v>
      </c>
      <c r="K1142" s="5">
        <v>105.26</v>
      </c>
      <c r="L1142" s="14">
        <f t="shared" si="85"/>
        <v>1.0526</v>
      </c>
      <c r="M1142" s="14">
        <f t="shared" si="84"/>
        <v>1.0526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2784</v>
      </c>
    </row>
    <row r="1143" spans="1:18" x14ac:dyDescent="0.3">
      <c r="A1143" s="5">
        <v>381</v>
      </c>
      <c r="B1143" s="5" t="s">
        <v>1027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15">
        <v>2024</v>
      </c>
      <c r="H1143" s="6" t="s">
        <v>23</v>
      </c>
      <c r="I1143" s="6" t="s">
        <v>30</v>
      </c>
      <c r="J1143" s="5">
        <v>100</v>
      </c>
      <c r="K1143" s="5">
        <v>89.19</v>
      </c>
      <c r="L1143" s="14">
        <f t="shared" si="85"/>
        <v>0.89190000000000003</v>
      </c>
      <c r="M1143" s="14">
        <f t="shared" si="84"/>
        <v>0.89190000000000003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1029</v>
      </c>
    </row>
    <row r="1144" spans="1:18" x14ac:dyDescent="0.3">
      <c r="A1144" s="5">
        <v>381</v>
      </c>
      <c r="B1144" s="5" t="s">
        <v>1027</v>
      </c>
      <c r="C1144" s="5" t="s">
        <v>1020</v>
      </c>
      <c r="D1144" s="5" t="s">
        <v>27</v>
      </c>
      <c r="E1144" s="5" t="s">
        <v>22</v>
      </c>
      <c r="F1144" s="71">
        <v>45838</v>
      </c>
      <c r="G1144" s="15">
        <v>2025</v>
      </c>
      <c r="H1144" s="6" t="s">
        <v>699</v>
      </c>
      <c r="I1144" s="6" t="s">
        <v>700</v>
      </c>
      <c r="J1144" s="5">
        <v>100</v>
      </c>
      <c r="K1144" s="5">
        <v>98.22</v>
      </c>
      <c r="L1144" s="14">
        <f t="shared" si="85"/>
        <v>0.98219999999999996</v>
      </c>
      <c r="M1144" s="14">
        <f t="shared" si="84"/>
        <v>0.98219999999999996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2785</v>
      </c>
    </row>
    <row r="1145" spans="1:18" x14ac:dyDescent="0.3">
      <c r="A1145" s="5">
        <v>381</v>
      </c>
      <c r="B1145" s="5" t="s">
        <v>1027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15">
        <v>2025</v>
      </c>
      <c r="H1145" s="6" t="s">
        <v>23</v>
      </c>
      <c r="I1145" s="6" t="s">
        <v>32</v>
      </c>
      <c r="J1145" s="5">
        <v>100</v>
      </c>
      <c r="K1145" s="5">
        <v>113.66</v>
      </c>
      <c r="L1145" s="14">
        <f t="shared" si="85"/>
        <v>1.1366000000000001</v>
      </c>
      <c r="M1145" s="14">
        <f t="shared" si="84"/>
        <v>1.1366000000000001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1030</v>
      </c>
    </row>
    <row r="1146" spans="1:18" x14ac:dyDescent="0.3">
      <c r="A1146" s="5">
        <v>382</v>
      </c>
      <c r="B1146" s="5" t="s">
        <v>1031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15">
        <v>2023</v>
      </c>
      <c r="H1146" s="6" t="s">
        <v>699</v>
      </c>
      <c r="I1146" s="6" t="s">
        <v>1512</v>
      </c>
      <c r="J1146" s="5">
        <v>100</v>
      </c>
      <c r="K1146" s="5">
        <v>101.25041131950999</v>
      </c>
      <c r="L1146" s="14">
        <f t="shared" si="85"/>
        <v>1.0125041131951</v>
      </c>
      <c r="M1146" s="14">
        <f t="shared" ref="M1146:M1176" si="86">IFERROR(IF(OR(J1146=0,K1146=""),"",IF(E1146="Positivo",MAX(K1146/J1146,0),MAX(J1146/K1146,0))),"")</f>
        <v>1.0125041131951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2786</v>
      </c>
    </row>
    <row r="1147" spans="1:18" x14ac:dyDescent="0.3">
      <c r="A1147" s="5">
        <v>382</v>
      </c>
      <c r="B1147" s="5" t="s">
        <v>1031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15">
        <v>2023</v>
      </c>
      <c r="H1147" s="6" t="s">
        <v>23</v>
      </c>
      <c r="I1147" s="6" t="s">
        <v>28</v>
      </c>
      <c r="J1147" s="5">
        <v>100</v>
      </c>
      <c r="K1147" s="5">
        <v>103.01</v>
      </c>
      <c r="L1147" s="14">
        <f t="shared" si="85"/>
        <v>1.0301</v>
      </c>
      <c r="M1147" s="14">
        <f t="shared" si="86"/>
        <v>1.0301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1032</v>
      </c>
    </row>
    <row r="1148" spans="1:18" x14ac:dyDescent="0.3">
      <c r="A1148" s="5">
        <v>382</v>
      </c>
      <c r="B1148" s="5" t="s">
        <v>1031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15">
        <v>2024</v>
      </c>
      <c r="H1148" s="6" t="s">
        <v>699</v>
      </c>
      <c r="I1148" s="6" t="s">
        <v>729</v>
      </c>
      <c r="J1148" s="5">
        <v>100</v>
      </c>
      <c r="K1148" s="5">
        <v>93.7</v>
      </c>
      <c r="L1148" s="14">
        <f t="shared" si="85"/>
        <v>0.93700000000000006</v>
      </c>
      <c r="M1148" s="14">
        <f t="shared" si="86"/>
        <v>0.93700000000000006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2787</v>
      </c>
    </row>
    <row r="1149" spans="1:18" x14ac:dyDescent="0.3">
      <c r="A1149" s="5">
        <v>382</v>
      </c>
      <c r="B1149" s="5" t="s">
        <v>1031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15">
        <v>2024</v>
      </c>
      <c r="H1149" s="6" t="s">
        <v>23</v>
      </c>
      <c r="I1149" s="6" t="s">
        <v>30</v>
      </c>
      <c r="J1149" s="5">
        <v>100</v>
      </c>
      <c r="K1149" s="5">
        <v>98.13</v>
      </c>
      <c r="L1149" s="14">
        <f t="shared" si="85"/>
        <v>0.98129999999999995</v>
      </c>
      <c r="M1149" s="14">
        <f t="shared" si="86"/>
        <v>0.98129999999999995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1033</v>
      </c>
    </row>
    <row r="1150" spans="1:18" x14ac:dyDescent="0.3">
      <c r="A1150" s="5">
        <v>382</v>
      </c>
      <c r="B1150" s="5" t="s">
        <v>1031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10">
        <v>99.85</v>
      </c>
      <c r="L1150" s="14">
        <f t="shared" si="85"/>
        <v>0.99849999999999994</v>
      </c>
      <c r="M1150" s="14">
        <f t="shared" si="86"/>
        <v>0.99849999999999994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2788</v>
      </c>
    </row>
    <row r="1151" spans="1:18" x14ac:dyDescent="0.3">
      <c r="A1151" s="5">
        <v>382</v>
      </c>
      <c r="B1151" s="5" t="s">
        <v>1031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5">
        <v>97.21</v>
      </c>
      <c r="L1151" s="14">
        <f t="shared" si="85"/>
        <v>0.97209999999999996</v>
      </c>
      <c r="M1151" s="14">
        <f t="shared" si="86"/>
        <v>0.97209999999999996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1034</v>
      </c>
    </row>
    <row r="1152" spans="1:18" x14ac:dyDescent="0.3">
      <c r="A1152" s="5">
        <v>383</v>
      </c>
      <c r="B1152" s="5" t="s">
        <v>1035</v>
      </c>
      <c r="C1152" s="5" t="s">
        <v>1020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109.38232994527</v>
      </c>
      <c r="L1152" s="74">
        <f t="shared" si="85"/>
        <v>1.0938232994527</v>
      </c>
      <c r="M1152" s="14">
        <f t="shared" si="86"/>
        <v>1.0938232994527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2789</v>
      </c>
    </row>
    <row r="1153" spans="1:18" x14ac:dyDescent="0.3">
      <c r="A1153" s="5">
        <v>383</v>
      </c>
      <c r="B1153" s="5" t="s">
        <v>1035</v>
      </c>
      <c r="C1153" s="5" t="s">
        <v>1020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5">
        <v>100</v>
      </c>
      <c r="K1153" s="10">
        <v>148.66</v>
      </c>
      <c r="L1153" s="14">
        <f t="shared" si="85"/>
        <v>1.3</v>
      </c>
      <c r="M1153" s="14">
        <f t="shared" si="86"/>
        <v>1.4865999999999999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1036</v>
      </c>
    </row>
    <row r="1154" spans="1:18" x14ac:dyDescent="0.3">
      <c r="A1154" s="5">
        <v>383</v>
      </c>
      <c r="B1154" s="5" t="s">
        <v>1035</v>
      </c>
      <c r="C1154" s="5" t="s">
        <v>1020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73">
        <v>100</v>
      </c>
      <c r="K1154" s="9">
        <v>100.2</v>
      </c>
      <c r="L1154" s="14">
        <f t="shared" si="85"/>
        <v>1.002</v>
      </c>
      <c r="M1154" s="14">
        <f t="shared" si="86"/>
        <v>1.002</v>
      </c>
      <c r="N1154" s="9" t="s">
        <v>128</v>
      </c>
      <c r="O1154" s="9" t="s">
        <v>128</v>
      </c>
      <c r="P1154" s="5">
        <v>0</v>
      </c>
      <c r="Q1154" s="5">
        <v>0</v>
      </c>
      <c r="R1154" s="5" t="s">
        <v>2790</v>
      </c>
    </row>
    <row r="1155" spans="1:18" x14ac:dyDescent="0.3">
      <c r="A1155" s="5">
        <v>383</v>
      </c>
      <c r="B1155" s="5" t="s">
        <v>1035</v>
      </c>
      <c r="C1155" s="5" t="s">
        <v>1020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5">
        <v>120.71</v>
      </c>
      <c r="L1155" s="14">
        <f t="shared" si="85"/>
        <v>1.2070999999999998</v>
      </c>
      <c r="M1155" s="14">
        <f t="shared" si="86"/>
        <v>1.2070999999999998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1037</v>
      </c>
    </row>
    <row r="1156" spans="1:18" x14ac:dyDescent="0.3">
      <c r="A1156" s="5">
        <v>383</v>
      </c>
      <c r="B1156" s="5" t="s">
        <v>1035</v>
      </c>
      <c r="C1156" s="5" t="s">
        <v>1020</v>
      </c>
      <c r="D1156" s="5" t="s">
        <v>21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5">
        <v>136.96</v>
      </c>
      <c r="L1156" s="14">
        <f t="shared" si="85"/>
        <v>1.3</v>
      </c>
      <c r="M1156" s="14">
        <f t="shared" si="86"/>
        <v>1.3696000000000002</v>
      </c>
      <c r="N1156" s="5" t="s">
        <v>128</v>
      </c>
      <c r="O1156" s="5" t="s">
        <v>128</v>
      </c>
      <c r="P1156" s="5">
        <v>0</v>
      </c>
      <c r="Q1156" s="5">
        <v>0</v>
      </c>
      <c r="R1156" s="5" t="s">
        <v>2791</v>
      </c>
    </row>
    <row r="1157" spans="1:18" x14ac:dyDescent="0.3">
      <c r="A1157" s="5">
        <v>383</v>
      </c>
      <c r="B1157" s="5" t="s">
        <v>1035</v>
      </c>
      <c r="C1157" s="5" t="s">
        <v>1020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127.87</v>
      </c>
      <c r="L1157" s="14">
        <f t="shared" si="85"/>
        <v>1.2786999999999999</v>
      </c>
      <c r="M1157" s="14">
        <f t="shared" si="86"/>
        <v>1.2786999999999999</v>
      </c>
      <c r="N1157" s="5" t="s">
        <v>128</v>
      </c>
      <c r="O1157" s="5" t="s">
        <v>128</v>
      </c>
      <c r="P1157" s="5">
        <v>0</v>
      </c>
      <c r="Q1157" s="5">
        <v>0</v>
      </c>
      <c r="R1157" s="5" t="s">
        <v>1038</v>
      </c>
    </row>
    <row r="1158" spans="1:18" x14ac:dyDescent="0.3">
      <c r="A1158" s="5">
        <v>384</v>
      </c>
      <c r="B1158" s="5" t="s">
        <v>1039</v>
      </c>
      <c r="C1158" s="5" t="s">
        <v>1020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111.76470588235</v>
      </c>
      <c r="L1158" s="14">
        <f t="shared" si="85"/>
        <v>1.1176470588234999</v>
      </c>
      <c r="M1158" s="14">
        <f t="shared" si="86"/>
        <v>1.1176470588234999</v>
      </c>
      <c r="N1158" s="5" t="s">
        <v>128</v>
      </c>
      <c r="O1158" s="5" t="s">
        <v>128</v>
      </c>
      <c r="P1158" s="5">
        <v>0</v>
      </c>
      <c r="Q1158" s="5">
        <v>0</v>
      </c>
      <c r="R1158" s="5" t="s">
        <v>2792</v>
      </c>
    </row>
    <row r="1159" spans="1:18" x14ac:dyDescent="0.3">
      <c r="A1159" s="5">
        <v>384</v>
      </c>
      <c r="B1159" s="5" t="s">
        <v>1039</v>
      </c>
      <c r="C1159" s="5" t="s">
        <v>1020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115.38</v>
      </c>
      <c r="L1159" s="14">
        <f t="shared" si="85"/>
        <v>1.1537999999999999</v>
      </c>
      <c r="M1159" s="14">
        <f t="shared" si="86"/>
        <v>1.1537999999999999</v>
      </c>
      <c r="N1159" s="5" t="s">
        <v>128</v>
      </c>
      <c r="O1159" s="5" t="s">
        <v>128</v>
      </c>
      <c r="P1159" s="5">
        <v>0</v>
      </c>
      <c r="Q1159" s="5">
        <v>0</v>
      </c>
      <c r="R1159" s="5" t="s">
        <v>1040</v>
      </c>
    </row>
    <row r="1160" spans="1:18" x14ac:dyDescent="0.3">
      <c r="A1160" s="5">
        <v>384</v>
      </c>
      <c r="B1160" s="5" t="s">
        <v>1039</v>
      </c>
      <c r="C1160" s="5" t="s">
        <v>1020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102.2</v>
      </c>
      <c r="L1160" s="14">
        <f t="shared" si="85"/>
        <v>1.022</v>
      </c>
      <c r="M1160" s="14">
        <f t="shared" si="86"/>
        <v>1.022</v>
      </c>
      <c r="N1160" s="5" t="s">
        <v>128</v>
      </c>
      <c r="O1160" s="5" t="s">
        <v>128</v>
      </c>
      <c r="P1160" s="5">
        <v>0</v>
      </c>
      <c r="Q1160" s="5">
        <v>0</v>
      </c>
      <c r="R1160" s="5" t="s">
        <v>2793</v>
      </c>
    </row>
    <row r="1161" spans="1:18" x14ac:dyDescent="0.3">
      <c r="A1161" s="5">
        <v>384</v>
      </c>
      <c r="B1161" s="5" t="s">
        <v>1039</v>
      </c>
      <c r="C1161" s="5" t="s">
        <v>1020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87.9</v>
      </c>
      <c r="L1161" s="14">
        <f t="shared" si="85"/>
        <v>0.879</v>
      </c>
      <c r="M1161" s="14">
        <f t="shared" si="86"/>
        <v>0.879</v>
      </c>
      <c r="N1161" s="5" t="s">
        <v>128</v>
      </c>
      <c r="O1161" s="5" t="s">
        <v>128</v>
      </c>
      <c r="P1161" s="5">
        <v>0</v>
      </c>
      <c r="Q1161" s="5">
        <v>0</v>
      </c>
      <c r="R1161" s="5" t="s">
        <v>1041</v>
      </c>
    </row>
    <row r="1162" spans="1:18" x14ac:dyDescent="0.3">
      <c r="A1162" s="5">
        <v>384</v>
      </c>
      <c r="B1162" s="5" t="s">
        <v>1039</v>
      </c>
      <c r="C1162" s="5" t="s">
        <v>1020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103.23</v>
      </c>
      <c r="L1162" s="14">
        <f t="shared" si="85"/>
        <v>1.0323</v>
      </c>
      <c r="M1162" s="14">
        <f t="shared" si="86"/>
        <v>1.0323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2794</v>
      </c>
    </row>
    <row r="1163" spans="1:18" x14ac:dyDescent="0.3">
      <c r="A1163" s="5">
        <v>384</v>
      </c>
      <c r="B1163" s="5" t="s">
        <v>1039</v>
      </c>
      <c r="C1163" s="5" t="s">
        <v>1020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100.93</v>
      </c>
      <c r="L1163" s="14">
        <f t="shared" si="85"/>
        <v>1.0093000000000001</v>
      </c>
      <c r="M1163" s="14">
        <f t="shared" si="86"/>
        <v>1.0093000000000001</v>
      </c>
      <c r="N1163" s="5" t="s">
        <v>128</v>
      </c>
      <c r="O1163" s="5" t="s">
        <v>128</v>
      </c>
      <c r="P1163" s="5">
        <v>0</v>
      </c>
      <c r="Q1163" s="5">
        <v>0</v>
      </c>
      <c r="R1163" s="5" t="s">
        <v>1042</v>
      </c>
    </row>
    <row r="1164" spans="1:18" x14ac:dyDescent="0.3">
      <c r="A1164" s="5">
        <v>385</v>
      </c>
      <c r="B1164" s="5" t="s">
        <v>1043</v>
      </c>
      <c r="C1164" s="5" t="s">
        <v>1044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100</v>
      </c>
      <c r="K1164" s="5">
        <v>102.98486566654</v>
      </c>
      <c r="L1164" s="14">
        <f t="shared" si="85"/>
        <v>1.0298486566653999</v>
      </c>
      <c r="M1164" s="14">
        <f t="shared" si="86"/>
        <v>1.0298486566653999</v>
      </c>
      <c r="N1164" s="5" t="s">
        <v>205</v>
      </c>
      <c r="O1164" s="5" t="s">
        <v>205</v>
      </c>
      <c r="P1164" s="5">
        <v>0</v>
      </c>
      <c r="Q1164" s="5">
        <v>0</v>
      </c>
      <c r="R1164" s="5" t="s">
        <v>2795</v>
      </c>
    </row>
    <row r="1165" spans="1:18" x14ac:dyDescent="0.3">
      <c r="A1165" s="5">
        <v>385</v>
      </c>
      <c r="B1165" s="5" t="s">
        <v>1043</v>
      </c>
      <c r="C1165" s="5" t="s">
        <v>1044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76">
        <v>100</v>
      </c>
      <c r="K1165" s="10">
        <v>124.93</v>
      </c>
      <c r="L1165" s="14">
        <f t="shared" si="85"/>
        <v>1.2493000000000001</v>
      </c>
      <c r="M1165" s="14">
        <f t="shared" si="86"/>
        <v>1.2493000000000001</v>
      </c>
      <c r="N1165" s="5" t="s">
        <v>205</v>
      </c>
      <c r="O1165" s="5" t="s">
        <v>205</v>
      </c>
      <c r="P1165" s="5">
        <v>0</v>
      </c>
      <c r="Q1165" s="5">
        <v>0</v>
      </c>
      <c r="R1165" s="5" t="s">
        <v>1045</v>
      </c>
    </row>
    <row r="1166" spans="1:18" x14ac:dyDescent="0.3">
      <c r="A1166" s="5">
        <v>385</v>
      </c>
      <c r="B1166" s="5" t="s">
        <v>1043</v>
      </c>
      <c r="C1166" s="5" t="s">
        <v>1044</v>
      </c>
      <c r="D1166" s="5" t="s">
        <v>27</v>
      </c>
      <c r="E1166" s="5" t="s">
        <v>22</v>
      </c>
      <c r="F1166" s="71">
        <v>45473</v>
      </c>
      <c r="G1166" s="5">
        <v>2024</v>
      </c>
      <c r="H1166" s="5" t="s">
        <v>699</v>
      </c>
      <c r="I1166" s="6" t="s">
        <v>729</v>
      </c>
      <c r="J1166" s="5">
        <v>100</v>
      </c>
      <c r="K1166" s="9">
        <v>113.63</v>
      </c>
      <c r="L1166" s="14">
        <f t="shared" si="85"/>
        <v>1.1362999999999999</v>
      </c>
      <c r="M1166" s="14">
        <f t="shared" si="86"/>
        <v>1.1362999999999999</v>
      </c>
      <c r="N1166" s="5" t="s">
        <v>205</v>
      </c>
      <c r="O1166" s="5" t="s">
        <v>205</v>
      </c>
      <c r="P1166" s="5">
        <v>0</v>
      </c>
      <c r="Q1166" s="5">
        <v>0</v>
      </c>
      <c r="R1166" s="5" t="s">
        <v>2796</v>
      </c>
    </row>
    <row r="1167" spans="1:18" x14ac:dyDescent="0.3">
      <c r="A1167" s="5">
        <v>385</v>
      </c>
      <c r="B1167" s="5" t="s">
        <v>1043</v>
      </c>
      <c r="C1167" s="5" t="s">
        <v>1044</v>
      </c>
      <c r="D1167" s="5" t="s">
        <v>27</v>
      </c>
      <c r="E1167" s="5" t="s">
        <v>22</v>
      </c>
      <c r="F1167" s="71">
        <v>45657</v>
      </c>
      <c r="G1167" s="5">
        <v>2024</v>
      </c>
      <c r="H1167" s="5" t="s">
        <v>23</v>
      </c>
      <c r="I1167" s="6" t="s">
        <v>30</v>
      </c>
      <c r="J1167" s="5">
        <v>100</v>
      </c>
      <c r="K1167" s="10">
        <v>88.56</v>
      </c>
      <c r="L1167" s="14">
        <f t="shared" si="85"/>
        <v>0.88560000000000005</v>
      </c>
      <c r="M1167" s="14">
        <f t="shared" si="86"/>
        <v>0.88560000000000005</v>
      </c>
      <c r="N1167" s="5" t="s">
        <v>205</v>
      </c>
      <c r="O1167" s="5" t="s">
        <v>205</v>
      </c>
      <c r="P1167" s="5">
        <v>0</v>
      </c>
      <c r="Q1167" s="5">
        <v>0</v>
      </c>
      <c r="R1167" s="5" t="s">
        <v>1046</v>
      </c>
    </row>
    <row r="1168" spans="1:18" x14ac:dyDescent="0.3">
      <c r="A1168" s="5">
        <v>385</v>
      </c>
      <c r="B1168" s="5" t="s">
        <v>1043</v>
      </c>
      <c r="C1168" s="5" t="s">
        <v>1044</v>
      </c>
      <c r="D1168" s="5" t="s">
        <v>27</v>
      </c>
      <c r="E1168" s="5" t="s">
        <v>22</v>
      </c>
      <c r="F1168" s="71">
        <v>45838</v>
      </c>
      <c r="G1168" s="5">
        <v>2025</v>
      </c>
      <c r="H1168" s="5" t="s">
        <v>699</v>
      </c>
      <c r="I1168" s="6" t="s">
        <v>700</v>
      </c>
      <c r="J1168" s="5">
        <v>100</v>
      </c>
      <c r="K1168" s="11">
        <v>118.92</v>
      </c>
      <c r="L1168" s="14">
        <f t="shared" si="85"/>
        <v>1.1892</v>
      </c>
      <c r="M1168" s="14">
        <f t="shared" si="86"/>
        <v>1.1892</v>
      </c>
      <c r="N1168" s="5" t="s">
        <v>205</v>
      </c>
      <c r="O1168" s="5" t="s">
        <v>205</v>
      </c>
      <c r="P1168" s="5">
        <v>0</v>
      </c>
      <c r="Q1168" s="5">
        <v>0</v>
      </c>
      <c r="R1168" s="5" t="s">
        <v>2797</v>
      </c>
    </row>
    <row r="1169" spans="1:18" x14ac:dyDescent="0.3">
      <c r="A1169" s="5">
        <v>385</v>
      </c>
      <c r="B1169" s="5" t="s">
        <v>1043</v>
      </c>
      <c r="C1169" s="5" t="s">
        <v>1044</v>
      </c>
      <c r="D1169" s="5" t="s">
        <v>21</v>
      </c>
      <c r="E1169" s="5" t="s">
        <v>22</v>
      </c>
      <c r="F1169" s="71">
        <v>46022</v>
      </c>
      <c r="G1169" s="5">
        <v>2025</v>
      </c>
      <c r="H1169" s="5" t="s">
        <v>23</v>
      </c>
      <c r="I1169" s="6" t="s">
        <v>32</v>
      </c>
      <c r="J1169" s="5">
        <v>100</v>
      </c>
      <c r="K1169" s="5">
        <v>108.89</v>
      </c>
      <c r="L1169" s="14">
        <f t="shared" si="85"/>
        <v>1.0889</v>
      </c>
      <c r="M1169" s="14">
        <f t="shared" si="86"/>
        <v>1.0889</v>
      </c>
      <c r="N1169" s="5" t="s">
        <v>205</v>
      </c>
      <c r="O1169" s="5" t="s">
        <v>205</v>
      </c>
      <c r="P1169" s="5">
        <v>0</v>
      </c>
      <c r="Q1169" s="5">
        <v>0</v>
      </c>
      <c r="R1169" s="5" t="s">
        <v>1047</v>
      </c>
    </row>
    <row r="1170" spans="1:18" x14ac:dyDescent="0.3">
      <c r="A1170" s="5">
        <v>386</v>
      </c>
      <c r="B1170" s="5" t="s">
        <v>1048</v>
      </c>
      <c r="C1170" s="5" t="s">
        <v>1044</v>
      </c>
      <c r="D1170" s="5" t="s">
        <v>27</v>
      </c>
      <c r="E1170" s="5" t="s">
        <v>22</v>
      </c>
      <c r="F1170" s="71">
        <v>45107</v>
      </c>
      <c r="G1170" s="5">
        <v>2023</v>
      </c>
      <c r="H1170" s="5" t="s">
        <v>699</v>
      </c>
      <c r="I1170" s="6" t="s">
        <v>1512</v>
      </c>
      <c r="J1170" s="5">
        <v>100</v>
      </c>
      <c r="K1170" s="5">
        <v>102.98486566654</v>
      </c>
      <c r="L1170" s="14">
        <f t="shared" si="85"/>
        <v>1.0298486566653999</v>
      </c>
      <c r="M1170" s="14">
        <f t="shared" si="86"/>
        <v>1.0298486566653999</v>
      </c>
      <c r="N1170" s="5" t="s">
        <v>205</v>
      </c>
      <c r="O1170" s="5" t="s">
        <v>205</v>
      </c>
      <c r="P1170" s="5">
        <v>0</v>
      </c>
      <c r="Q1170" s="5">
        <v>0</v>
      </c>
      <c r="R1170" s="5" t="s">
        <v>2798</v>
      </c>
    </row>
    <row r="1171" spans="1:18" x14ac:dyDescent="0.3">
      <c r="A1171" s="5">
        <v>386</v>
      </c>
      <c r="B1171" s="5" t="s">
        <v>1048</v>
      </c>
      <c r="C1171" s="5" t="s">
        <v>1044</v>
      </c>
      <c r="D1171" s="5" t="s">
        <v>27</v>
      </c>
      <c r="E1171" s="5" t="s">
        <v>22</v>
      </c>
      <c r="F1171" s="71">
        <v>45291</v>
      </c>
      <c r="G1171" s="5">
        <v>2023</v>
      </c>
      <c r="H1171" s="5" t="s">
        <v>23</v>
      </c>
      <c r="I1171" s="6" t="s">
        <v>28</v>
      </c>
      <c r="J1171" s="5">
        <v>100</v>
      </c>
      <c r="K1171" s="5">
        <v>138.22</v>
      </c>
      <c r="L1171" s="14">
        <f t="shared" si="85"/>
        <v>1.3</v>
      </c>
      <c r="M1171" s="14">
        <f t="shared" si="86"/>
        <v>1.3822000000000001</v>
      </c>
      <c r="N1171" s="5" t="s">
        <v>205</v>
      </c>
      <c r="O1171" s="5" t="s">
        <v>205</v>
      </c>
      <c r="P1171" s="5">
        <v>0</v>
      </c>
      <c r="Q1171" s="5">
        <v>0</v>
      </c>
      <c r="R1171" s="5" t="s">
        <v>1049</v>
      </c>
    </row>
    <row r="1172" spans="1:18" x14ac:dyDescent="0.3">
      <c r="A1172" s="5">
        <v>386</v>
      </c>
      <c r="B1172" s="5" t="s">
        <v>1048</v>
      </c>
      <c r="C1172" s="5" t="s">
        <v>1044</v>
      </c>
      <c r="D1172" s="5" t="s">
        <v>27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100</v>
      </c>
      <c r="K1172" s="5">
        <v>113.63</v>
      </c>
      <c r="L1172" s="14">
        <f t="shared" ref="L1172:L1176" si="87">IFERROR(IF(OR(J1172=0,K1172=""),"",IF(E1172="Positivo",MIN(MAX(K1172/J1172,0),1.3),MIN(MAX(J1172/K1172,0),1.3))),"")</f>
        <v>1.1362999999999999</v>
      </c>
      <c r="M1172" s="14">
        <f t="shared" si="86"/>
        <v>1.1362999999999999</v>
      </c>
      <c r="N1172" s="5" t="s">
        <v>205</v>
      </c>
      <c r="O1172" s="5" t="s">
        <v>205</v>
      </c>
      <c r="P1172" s="5">
        <v>0</v>
      </c>
      <c r="Q1172" s="5">
        <v>0</v>
      </c>
      <c r="R1172" s="5" t="s">
        <v>2799</v>
      </c>
    </row>
    <row r="1173" spans="1:18" x14ac:dyDescent="0.3">
      <c r="A1173" s="5">
        <v>386</v>
      </c>
      <c r="B1173" s="5" t="s">
        <v>1048</v>
      </c>
      <c r="C1173" s="5" t="s">
        <v>1044</v>
      </c>
      <c r="D1173" s="5" t="s">
        <v>27</v>
      </c>
      <c r="E1173" s="5" t="s">
        <v>22</v>
      </c>
      <c r="F1173" s="71">
        <v>45657</v>
      </c>
      <c r="G1173" s="5">
        <v>2024</v>
      </c>
      <c r="H1173" s="5" t="s">
        <v>23</v>
      </c>
      <c r="I1173" s="6" t="s">
        <v>30</v>
      </c>
      <c r="J1173" s="5">
        <v>100</v>
      </c>
      <c r="K1173" s="5">
        <v>75.010000000000005</v>
      </c>
      <c r="L1173" s="14">
        <f t="shared" si="87"/>
        <v>0.7501000000000001</v>
      </c>
      <c r="M1173" s="14">
        <f t="shared" si="86"/>
        <v>0.7501000000000001</v>
      </c>
      <c r="N1173" s="5" t="s">
        <v>205</v>
      </c>
      <c r="O1173" s="5" t="s">
        <v>205</v>
      </c>
      <c r="P1173" s="5">
        <v>0</v>
      </c>
      <c r="Q1173" s="5">
        <v>0</v>
      </c>
      <c r="R1173" s="5" t="s">
        <v>1050</v>
      </c>
    </row>
    <row r="1174" spans="1:18" x14ac:dyDescent="0.3">
      <c r="A1174" s="26">
        <v>386</v>
      </c>
      <c r="B1174" s="5" t="s">
        <v>1048</v>
      </c>
      <c r="C1174" s="5" t="s">
        <v>1044</v>
      </c>
      <c r="D1174" s="5" t="s">
        <v>27</v>
      </c>
      <c r="E1174" s="5" t="s">
        <v>22</v>
      </c>
      <c r="F1174" s="71">
        <v>45838</v>
      </c>
      <c r="G1174" s="5">
        <v>2025</v>
      </c>
      <c r="H1174" s="5" t="s">
        <v>699</v>
      </c>
      <c r="I1174" s="6" t="s">
        <v>700</v>
      </c>
      <c r="J1174" s="5">
        <v>100</v>
      </c>
      <c r="K1174" s="5">
        <v>118.92</v>
      </c>
      <c r="L1174" s="14">
        <f t="shared" si="87"/>
        <v>1.1892</v>
      </c>
      <c r="M1174" s="14">
        <f t="shared" si="86"/>
        <v>1.1892</v>
      </c>
      <c r="N1174" s="5" t="s">
        <v>205</v>
      </c>
      <c r="O1174" s="5" t="s">
        <v>205</v>
      </c>
      <c r="P1174" s="5">
        <v>0</v>
      </c>
      <c r="Q1174" s="5">
        <v>0</v>
      </c>
      <c r="R1174" s="5" t="s">
        <v>2800</v>
      </c>
    </row>
    <row r="1175" spans="1:18" x14ac:dyDescent="0.3">
      <c r="A1175" s="5">
        <v>386</v>
      </c>
      <c r="B1175" s="5" t="s">
        <v>1048</v>
      </c>
      <c r="C1175" s="5" t="s">
        <v>1044</v>
      </c>
      <c r="D1175" s="5" t="s">
        <v>21</v>
      </c>
      <c r="E1175" s="5" t="s">
        <v>22</v>
      </c>
      <c r="F1175" s="71">
        <v>46022</v>
      </c>
      <c r="G1175" s="5">
        <v>2025</v>
      </c>
      <c r="H1175" s="5" t="s">
        <v>23</v>
      </c>
      <c r="I1175" s="6" t="s">
        <v>32</v>
      </c>
      <c r="J1175" s="5">
        <v>100</v>
      </c>
      <c r="K1175" s="10">
        <v>106.54</v>
      </c>
      <c r="L1175" s="14">
        <f t="shared" si="87"/>
        <v>1.0654000000000001</v>
      </c>
      <c r="M1175" s="14">
        <f t="shared" si="86"/>
        <v>1.0654000000000001</v>
      </c>
      <c r="N1175" s="5" t="s">
        <v>25</v>
      </c>
      <c r="O1175" s="5" t="s">
        <v>25</v>
      </c>
      <c r="P1175" s="5">
        <v>0</v>
      </c>
      <c r="Q1175" s="5">
        <v>0</v>
      </c>
      <c r="R1175" s="5" t="s">
        <v>1051</v>
      </c>
    </row>
    <row r="1176" spans="1:18" x14ac:dyDescent="0.3">
      <c r="A1176" s="5">
        <v>387</v>
      </c>
      <c r="B1176" s="5" t="s">
        <v>1052</v>
      </c>
      <c r="C1176" s="5" t="s">
        <v>549</v>
      </c>
      <c r="D1176" s="5" t="s">
        <v>27</v>
      </c>
      <c r="E1176" s="5" t="s">
        <v>22</v>
      </c>
      <c r="F1176" s="71">
        <v>45107</v>
      </c>
      <c r="G1176" s="5">
        <v>2023</v>
      </c>
      <c r="H1176" s="5" t="s">
        <v>699</v>
      </c>
      <c r="I1176" s="6" t="s">
        <v>1512</v>
      </c>
      <c r="J1176" s="5">
        <v>38</v>
      </c>
      <c r="K1176" s="5">
        <v>38</v>
      </c>
      <c r="L1176" s="14">
        <f t="shared" si="87"/>
        <v>1</v>
      </c>
      <c r="M1176" s="14">
        <f t="shared" si="86"/>
        <v>1</v>
      </c>
      <c r="N1176" s="5"/>
      <c r="O1176" s="5"/>
      <c r="P1176" s="5">
        <v>0</v>
      </c>
      <c r="Q1176" s="5">
        <v>0</v>
      </c>
      <c r="R1176" s="5" t="s">
        <v>2801</v>
      </c>
    </row>
    <row r="1177" spans="1:18" x14ac:dyDescent="0.3">
      <c r="A1177" s="5">
        <v>387</v>
      </c>
      <c r="B1177" s="5" t="s">
        <v>1052</v>
      </c>
      <c r="C1177" s="5" t="s">
        <v>549</v>
      </c>
      <c r="D1177" s="5" t="s">
        <v>27</v>
      </c>
      <c r="E1177" s="5" t="s">
        <v>22</v>
      </c>
      <c r="F1177" s="71">
        <v>45291</v>
      </c>
      <c r="G1177" s="5">
        <v>2023</v>
      </c>
      <c r="H1177" s="5" t="s">
        <v>23</v>
      </c>
      <c r="I1177" s="6" t="s">
        <v>28</v>
      </c>
      <c r="J1177" s="5"/>
      <c r="K1177" s="10"/>
      <c r="L1177" s="14"/>
      <c r="M1177" s="14"/>
      <c r="N1177" s="5"/>
      <c r="O1177" s="5"/>
      <c r="P1177" s="5">
        <v>0</v>
      </c>
      <c r="Q1177" s="5">
        <v>0</v>
      </c>
      <c r="R1177" s="5" t="s">
        <v>1053</v>
      </c>
    </row>
    <row r="1178" spans="1:18" x14ac:dyDescent="0.3">
      <c r="A1178" s="5">
        <v>388</v>
      </c>
      <c r="B1178" s="5" t="s">
        <v>1054</v>
      </c>
      <c r="C1178" s="5" t="s">
        <v>549</v>
      </c>
      <c r="D1178" s="5" t="s">
        <v>27</v>
      </c>
      <c r="E1178" s="5" t="s">
        <v>22</v>
      </c>
      <c r="F1178" s="71">
        <v>45107</v>
      </c>
      <c r="G1178" s="5">
        <v>2023</v>
      </c>
      <c r="H1178" s="5" t="s">
        <v>699</v>
      </c>
      <c r="I1178" s="6" t="s">
        <v>1512</v>
      </c>
      <c r="J1178" s="5">
        <v>77</v>
      </c>
      <c r="K1178" s="5">
        <v>77</v>
      </c>
      <c r="L1178" s="14">
        <f t="shared" ref="L1178:L1183" si="88">IFERROR(IF(OR(J1178=0,K1178=""),"",IF(E1178="Positivo",MIN(MAX(K1178/J1178,0),1.3),MIN(MAX(J1178/K1178,0),1.3))),"")</f>
        <v>1</v>
      </c>
      <c r="M1178" s="14">
        <f t="shared" ref="M1178:M1183" si="89">IFERROR(IF(OR(J1178=0,K1178=""),"",IF(E1178="Positivo",MAX(K1178/J1178,0),MAX(J1178/K1178,0))),"")</f>
        <v>1</v>
      </c>
      <c r="N1178" s="5"/>
      <c r="O1178" s="5"/>
      <c r="P1178" s="5">
        <v>0</v>
      </c>
      <c r="Q1178" s="5">
        <v>0</v>
      </c>
      <c r="R1178" s="5" t="s">
        <v>2802</v>
      </c>
    </row>
    <row r="1179" spans="1:18" x14ac:dyDescent="0.3">
      <c r="A1179" s="5">
        <v>388</v>
      </c>
      <c r="B1179" s="5" t="s">
        <v>1054</v>
      </c>
      <c r="C1179" s="5" t="s">
        <v>549</v>
      </c>
      <c r="D1179" s="5" t="s">
        <v>27</v>
      </c>
      <c r="E1179" s="5" t="s">
        <v>22</v>
      </c>
      <c r="F1179" s="71">
        <v>45291</v>
      </c>
      <c r="G1179" s="5">
        <v>2023</v>
      </c>
      <c r="H1179" s="5" t="s">
        <v>23</v>
      </c>
      <c r="I1179" s="6" t="s">
        <v>28</v>
      </c>
      <c r="J1179" s="5">
        <v>16</v>
      </c>
      <c r="K1179" s="5">
        <v>16</v>
      </c>
      <c r="L1179" s="14">
        <f t="shared" si="88"/>
        <v>1</v>
      </c>
      <c r="M1179" s="14">
        <f t="shared" si="89"/>
        <v>1</v>
      </c>
      <c r="N1179" s="5"/>
      <c r="O1179" s="5"/>
      <c r="P1179" s="5">
        <v>0</v>
      </c>
      <c r="Q1179" s="5">
        <v>0</v>
      </c>
      <c r="R1179" s="5" t="s">
        <v>1055</v>
      </c>
    </row>
    <row r="1180" spans="1:18" x14ac:dyDescent="0.3">
      <c r="A1180" s="5">
        <v>389</v>
      </c>
      <c r="B1180" s="5" t="s">
        <v>1056</v>
      </c>
      <c r="C1180" s="5" t="s">
        <v>536</v>
      </c>
      <c r="D1180" s="5" t="s">
        <v>27</v>
      </c>
      <c r="E1180" s="5" t="s">
        <v>22</v>
      </c>
      <c r="F1180" s="71">
        <v>45107</v>
      </c>
      <c r="G1180" s="5">
        <v>2023</v>
      </c>
      <c r="H1180" s="5" t="s">
        <v>699</v>
      </c>
      <c r="I1180" s="6" t="s">
        <v>1512</v>
      </c>
      <c r="J1180" s="5">
        <v>91</v>
      </c>
      <c r="K1180" s="5">
        <v>0</v>
      </c>
      <c r="L1180" s="14">
        <f t="shared" si="88"/>
        <v>0</v>
      </c>
      <c r="M1180" s="14">
        <f t="shared" si="89"/>
        <v>0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2803</v>
      </c>
    </row>
    <row r="1181" spans="1:18" x14ac:dyDescent="0.3">
      <c r="A1181" s="5">
        <v>389</v>
      </c>
      <c r="B1181" s="5" t="s">
        <v>1056</v>
      </c>
      <c r="C1181" s="5" t="s">
        <v>536</v>
      </c>
      <c r="D1181" s="5" t="s">
        <v>27</v>
      </c>
      <c r="E1181" s="5" t="s">
        <v>22</v>
      </c>
      <c r="F1181" s="71">
        <v>45291</v>
      </c>
      <c r="G1181" s="5">
        <v>2023</v>
      </c>
      <c r="H1181" s="5" t="s">
        <v>23</v>
      </c>
      <c r="I1181" s="6" t="s">
        <v>28</v>
      </c>
      <c r="J1181" s="5">
        <v>91</v>
      </c>
      <c r="K1181" s="5">
        <v>0</v>
      </c>
      <c r="L1181" s="14">
        <f t="shared" si="88"/>
        <v>0</v>
      </c>
      <c r="M1181" s="14">
        <f t="shared" si="89"/>
        <v>0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1057</v>
      </c>
    </row>
    <row r="1182" spans="1:18" x14ac:dyDescent="0.3">
      <c r="A1182" s="5">
        <v>389</v>
      </c>
      <c r="B1182" s="5" t="s">
        <v>1056</v>
      </c>
      <c r="C1182" s="5" t="s">
        <v>536</v>
      </c>
      <c r="D1182" s="5" t="s">
        <v>27</v>
      </c>
      <c r="E1182" s="5" t="s">
        <v>22</v>
      </c>
      <c r="F1182" s="71">
        <v>45473</v>
      </c>
      <c r="G1182" s="5">
        <v>2024</v>
      </c>
      <c r="H1182" s="5" t="s">
        <v>699</v>
      </c>
      <c r="I1182" s="6" t="s">
        <v>729</v>
      </c>
      <c r="J1182" s="5">
        <v>85</v>
      </c>
      <c r="K1182" s="5">
        <v>84.433333333333323</v>
      </c>
      <c r="L1182" s="14">
        <f t="shared" si="88"/>
        <v>0.99333333333333318</v>
      </c>
      <c r="M1182" s="14">
        <f t="shared" si="89"/>
        <v>0.99333333333333318</v>
      </c>
      <c r="N1182" s="5"/>
      <c r="O1182" s="5"/>
      <c r="P1182" s="5">
        <v>0</v>
      </c>
      <c r="Q1182" s="5">
        <v>0</v>
      </c>
      <c r="R1182" s="5" t="s">
        <v>2804</v>
      </c>
    </row>
    <row r="1183" spans="1:18" x14ac:dyDescent="0.3">
      <c r="A1183" s="5">
        <v>389</v>
      </c>
      <c r="B1183" s="5" t="s">
        <v>1056</v>
      </c>
      <c r="C1183" s="5" t="s">
        <v>536</v>
      </c>
      <c r="D1183" s="5" t="s">
        <v>27</v>
      </c>
      <c r="E1183" s="5" t="s">
        <v>22</v>
      </c>
      <c r="F1183" s="71">
        <v>45657</v>
      </c>
      <c r="G1183" s="5">
        <v>2024</v>
      </c>
      <c r="H1183" s="5" t="s">
        <v>23</v>
      </c>
      <c r="I1183" s="6" t="s">
        <v>30</v>
      </c>
      <c r="J1183" s="81">
        <v>85</v>
      </c>
      <c r="K1183" s="51">
        <v>0</v>
      </c>
      <c r="L1183" s="14">
        <f t="shared" si="88"/>
        <v>0</v>
      </c>
      <c r="M1183" s="14">
        <f t="shared" si="89"/>
        <v>0</v>
      </c>
      <c r="N1183" s="5"/>
      <c r="O1183" s="5"/>
      <c r="P1183" s="5">
        <v>0</v>
      </c>
      <c r="Q1183" s="5">
        <v>0</v>
      </c>
      <c r="R1183" s="5" t="s">
        <v>1058</v>
      </c>
    </row>
    <row r="1184" spans="1:18" x14ac:dyDescent="0.3">
      <c r="A1184" s="26">
        <v>389</v>
      </c>
      <c r="B1184" s="5" t="s">
        <v>1056</v>
      </c>
      <c r="C1184" s="5" t="s">
        <v>1059</v>
      </c>
      <c r="D1184" s="5" t="s">
        <v>21</v>
      </c>
      <c r="E1184" s="5" t="s">
        <v>22</v>
      </c>
      <c r="F1184" s="70">
        <v>45838</v>
      </c>
      <c r="G1184" s="5">
        <v>2025</v>
      </c>
      <c r="H1184" s="5" t="s">
        <v>699</v>
      </c>
      <c r="I1184" s="6" t="s">
        <v>700</v>
      </c>
      <c r="J1184" s="5"/>
      <c r="K1184" s="5">
        <v>0</v>
      </c>
      <c r="L1184" s="8"/>
      <c r="M1184" s="14"/>
      <c r="N1184" s="5" t="s">
        <v>25</v>
      </c>
      <c r="O1184" s="5" t="s">
        <v>25</v>
      </c>
      <c r="P1184" s="5">
        <v>0</v>
      </c>
      <c r="Q1184" s="5">
        <v>0</v>
      </c>
      <c r="R1184" s="5" t="s">
        <v>2805</v>
      </c>
    </row>
    <row r="1185" spans="1:18" x14ac:dyDescent="0.3">
      <c r="A1185" s="5">
        <v>390</v>
      </c>
      <c r="B1185" s="5" t="s">
        <v>1061</v>
      </c>
      <c r="C1185" s="5" t="s">
        <v>567</v>
      </c>
      <c r="D1185" s="5" t="s">
        <v>21</v>
      </c>
      <c r="E1185" s="5" t="s">
        <v>22</v>
      </c>
      <c r="F1185" s="71">
        <v>45016</v>
      </c>
      <c r="G1185" s="5">
        <v>2023</v>
      </c>
      <c r="H1185" s="5" t="s">
        <v>1516</v>
      </c>
      <c r="I1185" s="6" t="s">
        <v>1512</v>
      </c>
      <c r="J1185" s="5">
        <v>100</v>
      </c>
      <c r="K1185" s="5">
        <v>0</v>
      </c>
      <c r="L1185" s="14">
        <f t="shared" ref="L1185:L1192" si="90">IFERROR(IF(OR(J1185=0,K1185=""),"",IF(E1185="Positivo",MIN(MAX(K1185/J1185,0),1),MIN(MAX(J1185/K1185,0),1))),"")</f>
        <v>0</v>
      </c>
      <c r="M1185" s="14">
        <f t="shared" ref="M1185:M1203" si="91">IFERROR(IF(OR(J1185=0,K1185=""),"",IF(E1185="Positivo",MAX(K1185/J1185,0),MAX(J1185/K1185,0))),"")</f>
        <v>0</v>
      </c>
      <c r="N1185" s="11"/>
      <c r="O1185" s="11"/>
      <c r="P1185" s="5">
        <v>0</v>
      </c>
      <c r="Q1185" s="5">
        <v>0</v>
      </c>
      <c r="R1185" s="5" t="s">
        <v>2806</v>
      </c>
    </row>
    <row r="1186" spans="1:18" x14ac:dyDescent="0.3">
      <c r="A1186" s="5">
        <v>390</v>
      </c>
      <c r="B1186" s="5" t="s">
        <v>1061</v>
      </c>
      <c r="C1186" s="5" t="s">
        <v>567</v>
      </c>
      <c r="D1186" s="5" t="s">
        <v>21</v>
      </c>
      <c r="E1186" s="5" t="s">
        <v>22</v>
      </c>
      <c r="F1186" s="71">
        <v>45107</v>
      </c>
      <c r="G1186" s="5">
        <v>2023</v>
      </c>
      <c r="H1186" s="5" t="s">
        <v>699</v>
      </c>
      <c r="I1186" s="6" t="s">
        <v>1512</v>
      </c>
      <c r="J1186" s="5">
        <v>100</v>
      </c>
      <c r="K1186" s="5">
        <v>110.38416666667</v>
      </c>
      <c r="L1186" s="14">
        <f t="shared" si="90"/>
        <v>1</v>
      </c>
      <c r="M1186" s="14">
        <f t="shared" si="91"/>
        <v>1.1038416666666999</v>
      </c>
      <c r="N1186" s="5"/>
      <c r="O1186" s="5"/>
      <c r="P1186" s="5">
        <v>0</v>
      </c>
      <c r="Q1186" s="5">
        <v>0</v>
      </c>
      <c r="R1186" s="5" t="s">
        <v>2807</v>
      </c>
    </row>
    <row r="1187" spans="1:18" x14ac:dyDescent="0.3">
      <c r="A1187" s="5">
        <v>390</v>
      </c>
      <c r="B1187" s="5" t="s">
        <v>1061</v>
      </c>
      <c r="C1187" s="5" t="s">
        <v>567</v>
      </c>
      <c r="D1187" s="5" t="s">
        <v>21</v>
      </c>
      <c r="E1187" s="5" t="s">
        <v>22</v>
      </c>
      <c r="F1187" s="71">
        <v>45199</v>
      </c>
      <c r="G1187" s="5">
        <v>2023</v>
      </c>
      <c r="H1187" s="5" t="s">
        <v>162</v>
      </c>
      <c r="I1187" s="6" t="s">
        <v>28</v>
      </c>
      <c r="J1187" s="5">
        <v>100</v>
      </c>
      <c r="K1187" s="5">
        <v>95.344166666666993</v>
      </c>
      <c r="L1187" s="14">
        <f t="shared" si="90"/>
        <v>0.95344166666666996</v>
      </c>
      <c r="M1187" s="14">
        <f t="shared" si="91"/>
        <v>0.95344166666666996</v>
      </c>
      <c r="N1187" s="5"/>
      <c r="O1187" s="5"/>
      <c r="P1187" s="5">
        <v>0</v>
      </c>
      <c r="Q1187" s="5">
        <v>0</v>
      </c>
      <c r="R1187" s="5" t="s">
        <v>2808</v>
      </c>
    </row>
    <row r="1188" spans="1:18" x14ac:dyDescent="0.3">
      <c r="A1188" s="5">
        <v>390</v>
      </c>
      <c r="B1188" s="5" t="s">
        <v>1061</v>
      </c>
      <c r="C1188" s="5" t="s">
        <v>567</v>
      </c>
      <c r="D1188" s="5" t="s">
        <v>21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100</v>
      </c>
      <c r="K1188" s="10">
        <v>99.249166666666994</v>
      </c>
      <c r="L1188" s="14">
        <f t="shared" si="90"/>
        <v>0.99249166666666999</v>
      </c>
      <c r="M1188" s="14">
        <f t="shared" si="91"/>
        <v>0.99249166666666999</v>
      </c>
      <c r="N1188" s="5"/>
      <c r="O1188" s="5"/>
      <c r="P1188" s="5">
        <v>0</v>
      </c>
      <c r="Q1188" s="5">
        <v>0</v>
      </c>
      <c r="R1188" s="5" t="s">
        <v>1062</v>
      </c>
    </row>
    <row r="1189" spans="1:18" x14ac:dyDescent="0.3">
      <c r="A1189" s="5">
        <v>390</v>
      </c>
      <c r="B1189" s="5" t="s">
        <v>1061</v>
      </c>
      <c r="C1189" s="5" t="s">
        <v>567</v>
      </c>
      <c r="D1189" s="5" t="s">
        <v>21</v>
      </c>
      <c r="E1189" s="5" t="s">
        <v>22</v>
      </c>
      <c r="F1189" s="71">
        <v>45473</v>
      </c>
      <c r="G1189" s="5">
        <v>2024</v>
      </c>
      <c r="H1189" s="5" t="s">
        <v>699</v>
      </c>
      <c r="I1189" s="6" t="s">
        <v>729</v>
      </c>
      <c r="J1189" s="5">
        <v>100</v>
      </c>
      <c r="K1189" s="5">
        <v>110.59</v>
      </c>
      <c r="L1189" s="14">
        <f t="shared" si="90"/>
        <v>1</v>
      </c>
      <c r="M1189" s="14">
        <f t="shared" si="91"/>
        <v>1.1059000000000001</v>
      </c>
      <c r="N1189" s="5"/>
      <c r="O1189" s="5"/>
      <c r="P1189" s="5">
        <v>0</v>
      </c>
      <c r="Q1189" s="5">
        <v>0</v>
      </c>
      <c r="R1189" s="5" t="s">
        <v>2810</v>
      </c>
    </row>
    <row r="1190" spans="1:18" x14ac:dyDescent="0.3">
      <c r="A1190" s="5">
        <v>390</v>
      </c>
      <c r="B1190" s="5" t="s">
        <v>1061</v>
      </c>
      <c r="C1190" s="5" t="s">
        <v>567</v>
      </c>
      <c r="D1190" s="5" t="s">
        <v>21</v>
      </c>
      <c r="E1190" s="5" t="s">
        <v>22</v>
      </c>
      <c r="F1190" s="71">
        <v>45657</v>
      </c>
      <c r="G1190" s="5">
        <v>2024</v>
      </c>
      <c r="H1190" s="5" t="s">
        <v>23</v>
      </c>
      <c r="I1190" s="6" t="s">
        <v>30</v>
      </c>
      <c r="J1190" s="5">
        <v>100</v>
      </c>
      <c r="K1190" s="5">
        <v>99.92</v>
      </c>
      <c r="L1190" s="14">
        <f t="shared" si="90"/>
        <v>0.99919999999999998</v>
      </c>
      <c r="M1190" s="14">
        <f t="shared" si="91"/>
        <v>0.99919999999999998</v>
      </c>
      <c r="N1190" s="5"/>
      <c r="O1190" s="5"/>
      <c r="P1190" s="5">
        <v>0</v>
      </c>
      <c r="Q1190" s="5">
        <v>0</v>
      </c>
      <c r="R1190" s="5" t="s">
        <v>1063</v>
      </c>
    </row>
    <row r="1191" spans="1:18" x14ac:dyDescent="0.3">
      <c r="A1191" s="5">
        <v>390</v>
      </c>
      <c r="B1191" s="5" t="s">
        <v>1061</v>
      </c>
      <c r="C1191" s="5" t="s">
        <v>567</v>
      </c>
      <c r="D1191" s="5" t="s">
        <v>27</v>
      </c>
      <c r="E1191" s="5" t="s">
        <v>22</v>
      </c>
      <c r="F1191" s="71">
        <v>45838</v>
      </c>
      <c r="G1191" s="5">
        <v>2025</v>
      </c>
      <c r="H1191" s="5" t="s">
        <v>699</v>
      </c>
      <c r="I1191" s="6" t="s">
        <v>700</v>
      </c>
      <c r="J1191" s="5">
        <v>100</v>
      </c>
      <c r="K1191" s="5">
        <v>103.55</v>
      </c>
      <c r="L1191" s="14">
        <f t="shared" si="90"/>
        <v>1</v>
      </c>
      <c r="M1191" s="14">
        <f t="shared" si="91"/>
        <v>1.0354999999999999</v>
      </c>
      <c r="N1191" s="5" t="s">
        <v>25</v>
      </c>
      <c r="O1191" s="5" t="s">
        <v>25</v>
      </c>
      <c r="P1191" s="5">
        <v>0</v>
      </c>
      <c r="Q1191" s="5">
        <v>0</v>
      </c>
      <c r="R1191" s="5" t="s">
        <v>2813</v>
      </c>
    </row>
    <row r="1192" spans="1:18" x14ac:dyDescent="0.3">
      <c r="A1192" s="5">
        <v>390</v>
      </c>
      <c r="B1192" s="5" t="s">
        <v>1061</v>
      </c>
      <c r="C1192" s="5" t="s">
        <v>567</v>
      </c>
      <c r="D1192" s="5" t="s">
        <v>27</v>
      </c>
      <c r="E1192" s="5" t="s">
        <v>22</v>
      </c>
      <c r="F1192" s="71">
        <v>46022</v>
      </c>
      <c r="G1192" s="5">
        <v>2025</v>
      </c>
      <c r="H1192" s="5" t="s">
        <v>23</v>
      </c>
      <c r="I1192" s="6" t="s">
        <v>32</v>
      </c>
      <c r="J1192" s="5">
        <v>100</v>
      </c>
      <c r="K1192" s="5">
        <v>99.78</v>
      </c>
      <c r="L1192" s="14">
        <f t="shared" si="90"/>
        <v>0.99780000000000002</v>
      </c>
      <c r="M1192" s="14">
        <f t="shared" si="91"/>
        <v>0.99780000000000002</v>
      </c>
      <c r="N1192" s="5" t="s">
        <v>25</v>
      </c>
      <c r="O1192" s="5" t="s">
        <v>25</v>
      </c>
      <c r="P1192" s="5">
        <v>0</v>
      </c>
      <c r="Q1192" s="5">
        <v>0</v>
      </c>
      <c r="R1192" s="5" t="s">
        <v>1064</v>
      </c>
    </row>
    <row r="1193" spans="1:18" x14ac:dyDescent="0.3">
      <c r="A1193" s="5">
        <v>391</v>
      </c>
      <c r="B1193" s="5" t="s">
        <v>1065</v>
      </c>
      <c r="C1193" s="5" t="s">
        <v>1066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10">
        <v>100</v>
      </c>
      <c r="L1193" s="14">
        <f t="shared" ref="L1193:L1203" si="92">IFERROR(IF(OR(J1193=0,K1193=""),"",IF(E1193="Positivo",MIN(MAX(K1193/J1193,0),1.3),MIN(MAX(J1193/K1193,0),1.3))),"")</f>
        <v>1</v>
      </c>
      <c r="M1193" s="14">
        <f t="shared" si="91"/>
        <v>1</v>
      </c>
      <c r="N1193" s="5" t="s">
        <v>25</v>
      </c>
      <c r="O1193" s="5" t="s">
        <v>25</v>
      </c>
      <c r="P1193" s="5">
        <v>0</v>
      </c>
      <c r="Q1193" s="5">
        <v>0</v>
      </c>
      <c r="R1193" s="5" t="s">
        <v>2815</v>
      </c>
    </row>
    <row r="1194" spans="1:18" x14ac:dyDescent="0.3">
      <c r="A1194" s="5">
        <v>391</v>
      </c>
      <c r="B1194" s="5" t="s">
        <v>1065</v>
      </c>
      <c r="C1194" s="5" t="s">
        <v>1066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100</v>
      </c>
      <c r="L1194" s="14">
        <f t="shared" si="92"/>
        <v>1</v>
      </c>
      <c r="M1194" s="14">
        <f t="shared" si="91"/>
        <v>1</v>
      </c>
      <c r="N1194" s="5" t="s">
        <v>25</v>
      </c>
      <c r="O1194" s="5" t="s">
        <v>25</v>
      </c>
      <c r="P1194" s="5">
        <v>0</v>
      </c>
      <c r="Q1194" s="5">
        <v>0</v>
      </c>
      <c r="R1194" s="5" t="s">
        <v>1067</v>
      </c>
    </row>
    <row r="1195" spans="1:18" x14ac:dyDescent="0.3">
      <c r="A1195" s="28">
        <v>391</v>
      </c>
      <c r="B1195" s="5" t="s">
        <v>1065</v>
      </c>
      <c r="C1195" s="5" t="s">
        <v>1066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96</v>
      </c>
      <c r="K1195" s="5">
        <v>100</v>
      </c>
      <c r="L1195" s="74">
        <f t="shared" si="92"/>
        <v>1.0416666666666667</v>
      </c>
      <c r="M1195" s="14">
        <f t="shared" si="91"/>
        <v>1.0416666666666667</v>
      </c>
      <c r="N1195" s="5"/>
      <c r="O1195" s="5"/>
      <c r="P1195" s="5">
        <v>0</v>
      </c>
      <c r="Q1195" s="5">
        <v>0</v>
      </c>
      <c r="R1195" s="5" t="s">
        <v>2816</v>
      </c>
    </row>
    <row r="1196" spans="1:18" x14ac:dyDescent="0.3">
      <c r="A1196" s="5">
        <v>391</v>
      </c>
      <c r="B1196" s="5" t="s">
        <v>1065</v>
      </c>
      <c r="C1196" s="5" t="s">
        <v>1066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73">
        <v>96</v>
      </c>
      <c r="K1196" s="9">
        <v>100</v>
      </c>
      <c r="L1196" s="14">
        <f t="shared" si="92"/>
        <v>1.0416666666666667</v>
      </c>
      <c r="M1196" s="14">
        <f t="shared" si="91"/>
        <v>1.0416666666666667</v>
      </c>
      <c r="N1196" s="5"/>
      <c r="O1196" s="5"/>
      <c r="P1196" s="5">
        <v>0</v>
      </c>
      <c r="Q1196" s="5">
        <v>0</v>
      </c>
      <c r="R1196" s="5" t="s">
        <v>1068</v>
      </c>
    </row>
    <row r="1197" spans="1:18" x14ac:dyDescent="0.3">
      <c r="A1197" s="5">
        <v>392</v>
      </c>
      <c r="B1197" s="5" t="s">
        <v>1069</v>
      </c>
      <c r="C1197" s="5" t="s">
        <v>1066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5">
        <v>110.09198322581</v>
      </c>
      <c r="L1197" s="14">
        <f t="shared" si="92"/>
        <v>1.1009198322581</v>
      </c>
      <c r="M1197" s="14">
        <f t="shared" si="91"/>
        <v>1.1009198322581</v>
      </c>
      <c r="N1197" s="5"/>
      <c r="O1197" s="5"/>
      <c r="P1197" s="5">
        <v>0</v>
      </c>
      <c r="Q1197" s="5">
        <v>0</v>
      </c>
      <c r="R1197" s="5" t="s">
        <v>2817</v>
      </c>
    </row>
    <row r="1198" spans="1:18" x14ac:dyDescent="0.3">
      <c r="A1198" s="5">
        <v>392</v>
      </c>
      <c r="B1198" s="5" t="s">
        <v>1069</v>
      </c>
      <c r="C1198" s="5" t="s">
        <v>1066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147.38</v>
      </c>
      <c r="L1198" s="14">
        <f t="shared" si="92"/>
        <v>1.3</v>
      </c>
      <c r="M1198" s="14">
        <f t="shared" si="91"/>
        <v>1.4738</v>
      </c>
      <c r="N1198" s="5"/>
      <c r="O1198" s="5"/>
      <c r="P1198" s="5">
        <v>0</v>
      </c>
      <c r="Q1198" s="5">
        <v>0</v>
      </c>
      <c r="R1198" s="5" t="s">
        <v>1070</v>
      </c>
    </row>
    <row r="1199" spans="1:18" x14ac:dyDescent="0.3">
      <c r="A1199" s="5">
        <v>392</v>
      </c>
      <c r="B1199" s="5" t="s">
        <v>1069</v>
      </c>
      <c r="C1199" s="5" t="s">
        <v>1066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98.11</v>
      </c>
      <c r="L1199" s="14">
        <f t="shared" si="92"/>
        <v>0.98109999999999997</v>
      </c>
      <c r="M1199" s="14">
        <f t="shared" si="91"/>
        <v>0.98109999999999997</v>
      </c>
      <c r="N1199" s="5"/>
      <c r="O1199" s="5"/>
      <c r="P1199" s="5">
        <v>0</v>
      </c>
      <c r="Q1199" s="5">
        <v>0</v>
      </c>
      <c r="R1199" s="5" t="s">
        <v>2818</v>
      </c>
    </row>
    <row r="1200" spans="1:18" x14ac:dyDescent="0.3">
      <c r="A1200" s="5">
        <v>392</v>
      </c>
      <c r="B1200" s="5" t="s">
        <v>1069</v>
      </c>
      <c r="C1200" s="5" t="s">
        <v>1066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5">
        <v>145.21</v>
      </c>
      <c r="L1200" s="14">
        <f t="shared" si="92"/>
        <v>1.3</v>
      </c>
      <c r="M1200" s="14">
        <f t="shared" si="91"/>
        <v>1.4521000000000002</v>
      </c>
      <c r="N1200" s="5"/>
      <c r="O1200" s="5"/>
      <c r="P1200" s="5">
        <v>0</v>
      </c>
      <c r="Q1200" s="5">
        <v>0</v>
      </c>
      <c r="R1200" s="5" t="s">
        <v>1071</v>
      </c>
    </row>
    <row r="1201" spans="1:18" x14ac:dyDescent="0.3">
      <c r="A1201" s="5">
        <v>392</v>
      </c>
      <c r="B1201" s="5" t="s">
        <v>1069</v>
      </c>
      <c r="C1201" s="5" t="s">
        <v>1066</v>
      </c>
      <c r="D1201" s="5" t="s">
        <v>71</v>
      </c>
      <c r="E1201" s="5" t="s">
        <v>22</v>
      </c>
      <c r="F1201" s="71">
        <v>46022</v>
      </c>
      <c r="G1201" s="5">
        <v>2025</v>
      </c>
      <c r="H1201" s="5" t="s">
        <v>23</v>
      </c>
      <c r="I1201" s="6" t="s">
        <v>32</v>
      </c>
      <c r="J1201" s="5">
        <v>100</v>
      </c>
      <c r="K1201" s="5">
        <v>100.8</v>
      </c>
      <c r="L1201" s="14">
        <f t="shared" si="92"/>
        <v>1.008</v>
      </c>
      <c r="M1201" s="14">
        <f t="shared" si="91"/>
        <v>1.008</v>
      </c>
      <c r="N1201" s="5" t="s">
        <v>205</v>
      </c>
      <c r="O1201" s="5" t="s">
        <v>205</v>
      </c>
      <c r="P1201" s="5">
        <v>0</v>
      </c>
      <c r="Q1201" s="5">
        <v>0</v>
      </c>
      <c r="R1201" s="5" t="s">
        <v>1072</v>
      </c>
    </row>
    <row r="1202" spans="1:18" x14ac:dyDescent="0.3">
      <c r="A1202" s="5">
        <v>393</v>
      </c>
      <c r="B1202" s="5" t="s">
        <v>1073</v>
      </c>
      <c r="C1202" s="5" t="s">
        <v>1066</v>
      </c>
      <c r="D1202" s="5" t="s">
        <v>71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15</v>
      </c>
      <c r="K1202" s="5">
        <v>15.45</v>
      </c>
      <c r="L1202" s="14">
        <f t="shared" si="92"/>
        <v>1.03</v>
      </c>
      <c r="M1202" s="14">
        <f t="shared" si="91"/>
        <v>1.03</v>
      </c>
      <c r="N1202" s="5"/>
      <c r="O1202" s="5"/>
      <c r="P1202" s="5">
        <v>1</v>
      </c>
      <c r="Q1202" s="5">
        <v>1</v>
      </c>
      <c r="R1202" s="5" t="s">
        <v>1074</v>
      </c>
    </row>
    <row r="1203" spans="1:18" x14ac:dyDescent="0.3">
      <c r="A1203" s="5">
        <v>393</v>
      </c>
      <c r="B1203" s="5" t="s">
        <v>1073</v>
      </c>
      <c r="C1203" s="5" t="s">
        <v>1066</v>
      </c>
      <c r="D1203" s="5" t="s">
        <v>71</v>
      </c>
      <c r="E1203" s="5" t="s">
        <v>41</v>
      </c>
      <c r="F1203" s="71">
        <v>45657</v>
      </c>
      <c r="G1203" s="5">
        <v>2024</v>
      </c>
      <c r="H1203" s="5" t="s">
        <v>23</v>
      </c>
      <c r="I1203" s="6" t="s">
        <v>30</v>
      </c>
      <c r="J1203" s="5">
        <v>15</v>
      </c>
      <c r="K1203" s="5">
        <v>13</v>
      </c>
      <c r="L1203" s="14">
        <f t="shared" si="92"/>
        <v>1.1538461538461537</v>
      </c>
      <c r="M1203" s="14">
        <f t="shared" si="91"/>
        <v>1.1538461538461537</v>
      </c>
      <c r="N1203" s="5"/>
      <c r="O1203" s="5"/>
      <c r="P1203" s="5">
        <v>0</v>
      </c>
      <c r="Q1203" s="5">
        <v>0</v>
      </c>
      <c r="R1203" s="5" t="s">
        <v>1075</v>
      </c>
    </row>
    <row r="1204" spans="1:18" x14ac:dyDescent="0.3">
      <c r="A1204" s="5">
        <v>393</v>
      </c>
      <c r="B1204" s="5" t="s">
        <v>1073</v>
      </c>
      <c r="C1204" s="5" t="s">
        <v>1066</v>
      </c>
      <c r="D1204" s="5" t="s">
        <v>71</v>
      </c>
      <c r="E1204" s="5" t="s">
        <v>41</v>
      </c>
      <c r="F1204" s="71">
        <v>46022</v>
      </c>
      <c r="G1204" s="5">
        <v>2025</v>
      </c>
      <c r="H1204" s="5" t="s">
        <v>23</v>
      </c>
      <c r="I1204" s="6" t="s">
        <v>32</v>
      </c>
      <c r="J1204" s="5"/>
      <c r="K1204" s="5">
        <v>12</v>
      </c>
      <c r="L1204" s="14"/>
      <c r="M1204" s="14"/>
      <c r="N1204" s="5" t="s">
        <v>128</v>
      </c>
      <c r="O1204" s="5" t="s">
        <v>136</v>
      </c>
      <c r="P1204" s="5">
        <v>1</v>
      </c>
      <c r="Q1204" s="5">
        <v>1</v>
      </c>
      <c r="R1204" s="5" t="s">
        <v>1076</v>
      </c>
    </row>
    <row r="1205" spans="1:18" x14ac:dyDescent="0.3">
      <c r="A1205" s="5">
        <v>394</v>
      </c>
      <c r="B1205" s="5" t="s">
        <v>1077</v>
      </c>
      <c r="C1205" s="5" t="s">
        <v>1078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100</v>
      </c>
      <c r="K1205" s="5">
        <v>275.42857142857002</v>
      </c>
      <c r="L1205" s="14">
        <f t="shared" ref="L1205:L1250" si="93">IFERROR(IF(OR(J1205=0,K1205=""),"",IF(E1205="Positivo",MIN(MAX(K1205/J1205,0),1.3),MIN(MAX(J1205/K1205,0),1.3))),"")</f>
        <v>1.3</v>
      </c>
      <c r="M1205" s="14">
        <f t="shared" ref="M1205:M1250" si="94">IFERROR(IF(OR(J1205=0,K1205=""),"",IF(E1205="Positivo",MAX(K1205/J1205,0),MAX(J1205/K1205,0))),"")</f>
        <v>2.7542857142857002</v>
      </c>
      <c r="N1205" s="5" t="s">
        <v>128</v>
      </c>
      <c r="O1205" s="5" t="s">
        <v>128</v>
      </c>
      <c r="P1205" s="5">
        <v>0</v>
      </c>
      <c r="Q1205" s="5">
        <v>0</v>
      </c>
      <c r="R1205" s="5" t="s">
        <v>2820</v>
      </c>
    </row>
    <row r="1206" spans="1:18" x14ac:dyDescent="0.3">
      <c r="A1206" s="5">
        <v>394</v>
      </c>
      <c r="B1206" s="5" t="s">
        <v>1077</v>
      </c>
      <c r="C1206" s="5" t="s">
        <v>1078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100</v>
      </c>
      <c r="K1206" s="5">
        <v>349.71</v>
      </c>
      <c r="L1206" s="14">
        <f t="shared" si="93"/>
        <v>1.3</v>
      </c>
      <c r="M1206" s="14">
        <f t="shared" si="94"/>
        <v>3.4970999999999997</v>
      </c>
      <c r="N1206" s="5" t="s">
        <v>128</v>
      </c>
      <c r="O1206" s="5" t="s">
        <v>128</v>
      </c>
      <c r="P1206" s="5">
        <v>0</v>
      </c>
      <c r="Q1206" s="5">
        <v>0</v>
      </c>
      <c r="R1206" s="5" t="s">
        <v>1079</v>
      </c>
    </row>
    <row r="1207" spans="1:18" x14ac:dyDescent="0.3">
      <c r="A1207" s="5">
        <v>394</v>
      </c>
      <c r="B1207" s="5" t="s">
        <v>1077</v>
      </c>
      <c r="C1207" s="5" t="s">
        <v>1078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100</v>
      </c>
      <c r="K1207" s="5">
        <v>118.6</v>
      </c>
      <c r="L1207" s="14">
        <f t="shared" si="93"/>
        <v>1.1859999999999999</v>
      </c>
      <c r="M1207" s="14">
        <f t="shared" si="94"/>
        <v>1.1859999999999999</v>
      </c>
      <c r="N1207" s="5" t="s">
        <v>128</v>
      </c>
      <c r="O1207" s="5" t="s">
        <v>128</v>
      </c>
      <c r="P1207" s="5">
        <v>0</v>
      </c>
      <c r="Q1207" s="5">
        <v>0</v>
      </c>
      <c r="R1207" s="5" t="s">
        <v>2823</v>
      </c>
    </row>
    <row r="1208" spans="1:18" x14ac:dyDescent="0.3">
      <c r="A1208" s="5">
        <v>394</v>
      </c>
      <c r="B1208" s="5" t="s">
        <v>1077</v>
      </c>
      <c r="C1208" s="5" t="s">
        <v>1078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100</v>
      </c>
      <c r="K1208" s="10">
        <v>192</v>
      </c>
      <c r="L1208" s="14">
        <f t="shared" si="93"/>
        <v>1.3</v>
      </c>
      <c r="M1208" s="14">
        <f t="shared" si="94"/>
        <v>1.92</v>
      </c>
      <c r="N1208" s="5" t="s">
        <v>128</v>
      </c>
      <c r="O1208" s="5" t="s">
        <v>128</v>
      </c>
      <c r="P1208" s="5">
        <v>0</v>
      </c>
      <c r="Q1208" s="5">
        <v>0</v>
      </c>
      <c r="R1208" s="5" t="s">
        <v>1080</v>
      </c>
    </row>
    <row r="1209" spans="1:18" x14ac:dyDescent="0.3">
      <c r="A1209" s="5">
        <v>394</v>
      </c>
      <c r="B1209" s="5" t="s">
        <v>1077</v>
      </c>
      <c r="C1209" s="5" t="s">
        <v>1078</v>
      </c>
      <c r="D1209" s="5" t="s">
        <v>27</v>
      </c>
      <c r="E1209" s="5" t="s">
        <v>22</v>
      </c>
      <c r="F1209" s="71">
        <v>45838</v>
      </c>
      <c r="G1209" s="5">
        <v>2025</v>
      </c>
      <c r="H1209" s="5" t="s">
        <v>699</v>
      </c>
      <c r="I1209" s="6" t="s">
        <v>700</v>
      </c>
      <c r="J1209" s="5">
        <v>100</v>
      </c>
      <c r="K1209" s="5">
        <v>162.18</v>
      </c>
      <c r="L1209" s="14">
        <f t="shared" si="93"/>
        <v>1.3</v>
      </c>
      <c r="M1209" s="14">
        <f t="shared" si="94"/>
        <v>1.6218000000000001</v>
      </c>
      <c r="N1209" s="5" t="s">
        <v>128</v>
      </c>
      <c r="O1209" s="5" t="s">
        <v>128</v>
      </c>
      <c r="P1209" s="5">
        <v>0</v>
      </c>
      <c r="Q1209" s="5">
        <v>0</v>
      </c>
      <c r="R1209" s="5" t="s">
        <v>2826</v>
      </c>
    </row>
    <row r="1210" spans="1:18" x14ac:dyDescent="0.3">
      <c r="A1210" s="5">
        <v>394</v>
      </c>
      <c r="B1210" s="5" t="s">
        <v>1077</v>
      </c>
      <c r="C1210" s="5" t="s">
        <v>1078</v>
      </c>
      <c r="D1210" s="5" t="s">
        <v>27</v>
      </c>
      <c r="E1210" s="5" t="s">
        <v>22</v>
      </c>
      <c r="F1210" s="71">
        <v>46022</v>
      </c>
      <c r="G1210" s="5">
        <v>2025</v>
      </c>
      <c r="H1210" s="5" t="s">
        <v>23</v>
      </c>
      <c r="I1210" s="6" t="s">
        <v>32</v>
      </c>
      <c r="J1210" s="5">
        <v>100</v>
      </c>
      <c r="K1210" s="5">
        <v>114.605</v>
      </c>
      <c r="L1210" s="14">
        <f t="shared" si="93"/>
        <v>1.14605</v>
      </c>
      <c r="M1210" s="14">
        <f t="shared" si="94"/>
        <v>1.14605</v>
      </c>
      <c r="N1210" s="5" t="s">
        <v>128</v>
      </c>
      <c r="O1210" s="5" t="s">
        <v>128</v>
      </c>
      <c r="P1210" s="5">
        <v>0</v>
      </c>
      <c r="Q1210" s="5">
        <v>0</v>
      </c>
      <c r="R1210" s="5" t="s">
        <v>1081</v>
      </c>
    </row>
    <row r="1211" spans="1:18" x14ac:dyDescent="0.3">
      <c r="A1211" s="5">
        <v>395</v>
      </c>
      <c r="B1211" s="5" t="s">
        <v>1082</v>
      </c>
      <c r="C1211" s="5" t="s">
        <v>1078</v>
      </c>
      <c r="D1211" s="5" t="s">
        <v>27</v>
      </c>
      <c r="E1211" s="5" t="s">
        <v>22</v>
      </c>
      <c r="F1211" s="71">
        <v>45107</v>
      </c>
      <c r="G1211" s="5">
        <v>2023</v>
      </c>
      <c r="H1211" s="5" t="s">
        <v>699</v>
      </c>
      <c r="I1211" s="6" t="s">
        <v>1512</v>
      </c>
      <c r="J1211" s="5">
        <v>100</v>
      </c>
      <c r="K1211" s="11">
        <v>294.11764705882001</v>
      </c>
      <c r="L1211" s="14">
        <f t="shared" si="93"/>
        <v>1.3</v>
      </c>
      <c r="M1211" s="14">
        <f t="shared" si="94"/>
        <v>2.9411764705882</v>
      </c>
      <c r="N1211" s="5" t="s">
        <v>128</v>
      </c>
      <c r="O1211" s="5" t="s">
        <v>128</v>
      </c>
      <c r="P1211" s="5">
        <v>0</v>
      </c>
      <c r="Q1211" s="5">
        <v>0</v>
      </c>
      <c r="R1211" s="5" t="s">
        <v>2829</v>
      </c>
    </row>
    <row r="1212" spans="1:18" x14ac:dyDescent="0.3">
      <c r="A1212" s="5">
        <v>395</v>
      </c>
      <c r="B1212" s="5" t="s">
        <v>1082</v>
      </c>
      <c r="C1212" s="5" t="s">
        <v>1078</v>
      </c>
      <c r="D1212" s="5" t="s">
        <v>27</v>
      </c>
      <c r="E1212" s="5" t="s">
        <v>22</v>
      </c>
      <c r="F1212" s="71">
        <v>45291</v>
      </c>
      <c r="G1212" s="5">
        <v>2023</v>
      </c>
      <c r="H1212" s="5" t="s">
        <v>23</v>
      </c>
      <c r="I1212" s="6" t="s">
        <v>28</v>
      </c>
      <c r="J1212" s="5">
        <v>100</v>
      </c>
      <c r="K1212" s="5">
        <v>266.67</v>
      </c>
      <c r="L1212" s="14">
        <f t="shared" si="93"/>
        <v>1.3</v>
      </c>
      <c r="M1212" s="14">
        <f t="shared" si="94"/>
        <v>2.6667000000000001</v>
      </c>
      <c r="N1212" s="5" t="s">
        <v>128</v>
      </c>
      <c r="O1212" s="5" t="s">
        <v>128</v>
      </c>
      <c r="P1212" s="5">
        <v>0</v>
      </c>
      <c r="Q1212" s="5">
        <v>0</v>
      </c>
      <c r="R1212" s="5" t="s">
        <v>1083</v>
      </c>
    </row>
    <row r="1213" spans="1:18" x14ac:dyDescent="0.3">
      <c r="A1213" s="26">
        <v>395</v>
      </c>
      <c r="B1213" s="5" t="s">
        <v>1084</v>
      </c>
      <c r="C1213" s="5" t="s">
        <v>1078</v>
      </c>
      <c r="D1213" s="5" t="s">
        <v>27</v>
      </c>
      <c r="E1213" s="5" t="s">
        <v>22</v>
      </c>
      <c r="F1213" s="71">
        <v>45473</v>
      </c>
      <c r="G1213" s="5">
        <v>2024</v>
      </c>
      <c r="H1213" s="5" t="s">
        <v>699</v>
      </c>
      <c r="I1213" s="6" t="s">
        <v>729</v>
      </c>
      <c r="J1213" s="5">
        <v>100</v>
      </c>
      <c r="K1213" s="5">
        <v>110</v>
      </c>
      <c r="L1213" s="74">
        <f t="shared" si="93"/>
        <v>1.1000000000000001</v>
      </c>
      <c r="M1213" s="14">
        <f t="shared" si="94"/>
        <v>1.1000000000000001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2831</v>
      </c>
    </row>
    <row r="1214" spans="1:18" x14ac:dyDescent="0.3">
      <c r="A1214" s="26">
        <v>395</v>
      </c>
      <c r="B1214" s="5" t="s">
        <v>1084</v>
      </c>
      <c r="C1214" s="5" t="s">
        <v>1078</v>
      </c>
      <c r="D1214" s="5" t="s">
        <v>27</v>
      </c>
      <c r="E1214" s="5" t="s">
        <v>22</v>
      </c>
      <c r="F1214" s="71">
        <v>45657</v>
      </c>
      <c r="G1214" s="5">
        <v>2024</v>
      </c>
      <c r="H1214" s="5" t="s">
        <v>23</v>
      </c>
      <c r="I1214" s="6" t="s">
        <v>30</v>
      </c>
      <c r="J1214" s="5">
        <v>100</v>
      </c>
      <c r="K1214" s="9">
        <v>148.88999999999999</v>
      </c>
      <c r="L1214" s="74">
        <f t="shared" si="93"/>
        <v>1.3</v>
      </c>
      <c r="M1214" s="14">
        <f t="shared" si="94"/>
        <v>1.4888999999999999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1085</v>
      </c>
    </row>
    <row r="1215" spans="1:18" x14ac:dyDescent="0.3">
      <c r="A1215" s="26">
        <v>395</v>
      </c>
      <c r="B1215" s="5" t="s">
        <v>1084</v>
      </c>
      <c r="C1215" s="5" t="s">
        <v>1078</v>
      </c>
      <c r="D1215" s="5" t="s">
        <v>27</v>
      </c>
      <c r="E1215" s="5" t="s">
        <v>22</v>
      </c>
      <c r="F1215" s="71">
        <v>45838</v>
      </c>
      <c r="G1215" s="5">
        <v>2025</v>
      </c>
      <c r="H1215" s="5" t="s">
        <v>699</v>
      </c>
      <c r="I1215" s="6" t="s">
        <v>700</v>
      </c>
      <c r="J1215" s="5">
        <v>100</v>
      </c>
      <c r="K1215" s="10">
        <v>226.625</v>
      </c>
      <c r="L1215" s="14">
        <f t="shared" si="93"/>
        <v>1.3</v>
      </c>
      <c r="M1215" s="14">
        <f t="shared" si="94"/>
        <v>2.2662499999999999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2834</v>
      </c>
    </row>
    <row r="1216" spans="1:18" x14ac:dyDescent="0.3">
      <c r="A1216" s="5">
        <v>395</v>
      </c>
      <c r="B1216" s="5" t="s">
        <v>1084</v>
      </c>
      <c r="C1216" s="5" t="s">
        <v>1078</v>
      </c>
      <c r="D1216" s="5" t="s">
        <v>27</v>
      </c>
      <c r="E1216" s="5" t="s">
        <v>22</v>
      </c>
      <c r="F1216" s="71">
        <v>46022</v>
      </c>
      <c r="G1216" s="5">
        <v>2025</v>
      </c>
      <c r="H1216" s="5" t="s">
        <v>23</v>
      </c>
      <c r="I1216" s="6" t="s">
        <v>32</v>
      </c>
      <c r="J1216" s="73">
        <v>100</v>
      </c>
      <c r="K1216" s="9">
        <v>182.20500000000001</v>
      </c>
      <c r="L1216" s="14">
        <f t="shared" si="93"/>
        <v>1.3</v>
      </c>
      <c r="M1216" s="14">
        <f t="shared" si="94"/>
        <v>1.8220500000000002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1086</v>
      </c>
    </row>
    <row r="1217" spans="1:18" x14ac:dyDescent="0.3">
      <c r="A1217" s="5">
        <v>396</v>
      </c>
      <c r="B1217" s="5" t="s">
        <v>1087</v>
      </c>
      <c r="C1217" s="5" t="s">
        <v>1066</v>
      </c>
      <c r="D1217" s="5" t="s">
        <v>27</v>
      </c>
      <c r="E1217" s="5" t="s">
        <v>22</v>
      </c>
      <c r="F1217" s="71">
        <v>45107</v>
      </c>
      <c r="G1217" s="5">
        <v>2023</v>
      </c>
      <c r="H1217" s="5" t="s">
        <v>699</v>
      </c>
      <c r="I1217" s="6" t="s">
        <v>1512</v>
      </c>
      <c r="J1217" s="5">
        <v>80</v>
      </c>
      <c r="K1217" s="10">
        <v>91.07</v>
      </c>
      <c r="L1217" s="14">
        <f t="shared" si="93"/>
        <v>1.1383749999999999</v>
      </c>
      <c r="M1217" s="14">
        <f t="shared" si="94"/>
        <v>1.1383749999999999</v>
      </c>
      <c r="N1217" s="5" t="s">
        <v>25</v>
      </c>
      <c r="O1217" s="5" t="s">
        <v>25</v>
      </c>
      <c r="P1217" s="5">
        <v>0</v>
      </c>
      <c r="Q1217" s="5">
        <v>1</v>
      </c>
      <c r="R1217" s="5" t="s">
        <v>3258</v>
      </c>
    </row>
    <row r="1218" spans="1:18" x14ac:dyDescent="0.3">
      <c r="A1218" s="5">
        <v>396</v>
      </c>
      <c r="B1218" s="5" t="s">
        <v>1087</v>
      </c>
      <c r="C1218" s="5" t="s">
        <v>1066</v>
      </c>
      <c r="D1218" s="5" t="s">
        <v>27</v>
      </c>
      <c r="E1218" s="5" t="s">
        <v>22</v>
      </c>
      <c r="F1218" s="71">
        <v>45291</v>
      </c>
      <c r="G1218" s="5">
        <v>2023</v>
      </c>
      <c r="H1218" s="5" t="s">
        <v>23</v>
      </c>
      <c r="I1218" s="6" t="s">
        <v>28</v>
      </c>
      <c r="J1218" s="5">
        <v>80</v>
      </c>
      <c r="K1218" s="5">
        <v>92.96</v>
      </c>
      <c r="L1218" s="14">
        <f t="shared" si="93"/>
        <v>1.1619999999999999</v>
      </c>
      <c r="M1218" s="14">
        <f t="shared" si="94"/>
        <v>1.1619999999999999</v>
      </c>
      <c r="N1218" s="5" t="s">
        <v>25</v>
      </c>
      <c r="O1218" s="5" t="s">
        <v>25</v>
      </c>
      <c r="P1218" s="5">
        <v>0</v>
      </c>
      <c r="Q1218" s="5">
        <v>1</v>
      </c>
      <c r="R1218" s="5" t="s">
        <v>1088</v>
      </c>
    </row>
    <row r="1219" spans="1:18" x14ac:dyDescent="0.3">
      <c r="A1219" s="26">
        <v>396</v>
      </c>
      <c r="B1219" s="5" t="s">
        <v>1087</v>
      </c>
      <c r="C1219" s="5" t="s">
        <v>1066</v>
      </c>
      <c r="D1219" s="5" t="s">
        <v>27</v>
      </c>
      <c r="E1219" s="5" t="s">
        <v>22</v>
      </c>
      <c r="F1219" s="71">
        <v>45473</v>
      </c>
      <c r="G1219" s="5">
        <v>2024</v>
      </c>
      <c r="H1219" s="5" t="s">
        <v>699</v>
      </c>
      <c r="I1219" s="6" t="s">
        <v>729</v>
      </c>
      <c r="J1219" s="5">
        <v>80</v>
      </c>
      <c r="K1219" s="48">
        <v>88.08</v>
      </c>
      <c r="L1219" s="74">
        <f t="shared" si="93"/>
        <v>1.101</v>
      </c>
      <c r="M1219" s="14">
        <f t="shared" si="94"/>
        <v>1.101</v>
      </c>
      <c r="N1219" s="5" t="s">
        <v>25</v>
      </c>
      <c r="O1219" s="5" t="s">
        <v>25</v>
      </c>
      <c r="P1219" s="5">
        <v>0</v>
      </c>
      <c r="Q1219" s="5">
        <v>1</v>
      </c>
      <c r="R1219" s="5" t="s">
        <v>1090</v>
      </c>
    </row>
    <row r="1220" spans="1:18" x14ac:dyDescent="0.3">
      <c r="A1220" s="26">
        <v>396</v>
      </c>
      <c r="B1220" s="5" t="s">
        <v>1087</v>
      </c>
      <c r="C1220" s="5" t="s">
        <v>1066</v>
      </c>
      <c r="D1220" s="5" t="s">
        <v>27</v>
      </c>
      <c r="E1220" s="5" t="s">
        <v>22</v>
      </c>
      <c r="F1220" s="71">
        <v>45657</v>
      </c>
      <c r="G1220" s="5">
        <v>2024</v>
      </c>
      <c r="H1220" s="5" t="s">
        <v>23</v>
      </c>
      <c r="I1220" s="6" t="s">
        <v>30</v>
      </c>
      <c r="J1220" s="5">
        <v>80</v>
      </c>
      <c r="K1220" s="5">
        <v>94.88</v>
      </c>
      <c r="L1220" s="74">
        <f t="shared" si="93"/>
        <v>1.1859999999999999</v>
      </c>
      <c r="M1220" s="14">
        <f t="shared" si="94"/>
        <v>1.1859999999999999</v>
      </c>
      <c r="N1220" s="5" t="s">
        <v>25</v>
      </c>
      <c r="O1220" s="5" t="s">
        <v>25</v>
      </c>
      <c r="P1220" s="5">
        <v>0</v>
      </c>
      <c r="Q1220" s="5">
        <v>1</v>
      </c>
      <c r="R1220" s="5" t="s">
        <v>3259</v>
      </c>
    </row>
    <row r="1221" spans="1:18" x14ac:dyDescent="0.3">
      <c r="A1221" s="26">
        <v>397</v>
      </c>
      <c r="B1221" s="5" t="s">
        <v>1094</v>
      </c>
      <c r="C1221" s="5" t="s">
        <v>1089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80</v>
      </c>
      <c r="K1221" s="10">
        <v>91.071428571428996</v>
      </c>
      <c r="L1221" s="74">
        <f t="shared" si="93"/>
        <v>1.1383928571428625</v>
      </c>
      <c r="M1221" s="14">
        <f t="shared" si="94"/>
        <v>1.1383928571428625</v>
      </c>
      <c r="N1221" s="5" t="s">
        <v>25</v>
      </c>
      <c r="O1221" s="5" t="s">
        <v>25</v>
      </c>
      <c r="P1221" s="5">
        <v>1</v>
      </c>
      <c r="Q1221" s="5">
        <v>1</v>
      </c>
      <c r="R1221" s="5" t="s">
        <v>2836</v>
      </c>
    </row>
    <row r="1222" spans="1:18" x14ac:dyDescent="0.3">
      <c r="A1222" s="5">
        <v>397</v>
      </c>
      <c r="B1222" t="s">
        <v>1094</v>
      </c>
      <c r="C1222" s="5" t="s">
        <v>1089</v>
      </c>
      <c r="D1222" s="5" t="s">
        <v>27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80</v>
      </c>
      <c r="K1222" s="5">
        <v>92.96</v>
      </c>
      <c r="L1222" s="14">
        <f t="shared" si="93"/>
        <v>1.1619999999999999</v>
      </c>
      <c r="M1222" s="14">
        <f t="shared" si="94"/>
        <v>1.1619999999999999</v>
      </c>
      <c r="N1222" s="5" t="s">
        <v>25</v>
      </c>
      <c r="O1222" s="5" t="s">
        <v>25</v>
      </c>
      <c r="P1222" s="5">
        <v>1</v>
      </c>
      <c r="Q1222" s="5">
        <v>1</v>
      </c>
      <c r="R1222" s="5" t="s">
        <v>1092</v>
      </c>
    </row>
    <row r="1223" spans="1:18" x14ac:dyDescent="0.3">
      <c r="A1223" s="5">
        <v>397</v>
      </c>
      <c r="B1223" s="5" t="s">
        <v>1094</v>
      </c>
      <c r="C1223" s="5" t="s">
        <v>1089</v>
      </c>
      <c r="D1223" s="5" t="s">
        <v>27</v>
      </c>
      <c r="E1223" s="5" t="s">
        <v>22</v>
      </c>
      <c r="F1223" s="71">
        <v>45473</v>
      </c>
      <c r="G1223" s="5">
        <v>2024</v>
      </c>
      <c r="H1223" s="5" t="s">
        <v>699</v>
      </c>
      <c r="I1223" s="6" t="s">
        <v>729</v>
      </c>
      <c r="J1223" s="5">
        <v>80</v>
      </c>
      <c r="K1223" s="5">
        <v>88.08</v>
      </c>
      <c r="L1223" s="14">
        <f t="shared" si="93"/>
        <v>1.101</v>
      </c>
      <c r="M1223" s="14">
        <f t="shared" si="94"/>
        <v>1.101</v>
      </c>
      <c r="N1223" s="5" t="s">
        <v>25</v>
      </c>
      <c r="O1223" s="5" t="s">
        <v>25</v>
      </c>
      <c r="P1223" s="5">
        <v>0</v>
      </c>
      <c r="Q1223" s="5">
        <v>0</v>
      </c>
      <c r="R1223" s="5" t="s">
        <v>2837</v>
      </c>
    </row>
    <row r="1224" spans="1:18" x14ac:dyDescent="0.3">
      <c r="A1224" s="5">
        <v>397</v>
      </c>
      <c r="B1224" s="5" t="s">
        <v>1094</v>
      </c>
      <c r="C1224" s="5" t="s">
        <v>1089</v>
      </c>
      <c r="D1224" s="5" t="s">
        <v>27</v>
      </c>
      <c r="E1224" s="5" t="s">
        <v>22</v>
      </c>
      <c r="F1224" s="71">
        <v>45657</v>
      </c>
      <c r="G1224" s="5">
        <v>2024</v>
      </c>
      <c r="H1224" s="5" t="s">
        <v>23</v>
      </c>
      <c r="I1224" s="6" t="s">
        <v>30</v>
      </c>
      <c r="J1224" s="5">
        <v>80</v>
      </c>
      <c r="K1224" s="5">
        <v>94.88</v>
      </c>
      <c r="L1224" s="14">
        <f t="shared" si="93"/>
        <v>1.1859999999999999</v>
      </c>
      <c r="M1224" s="14">
        <f t="shared" si="94"/>
        <v>1.1859999999999999</v>
      </c>
      <c r="N1224" s="5" t="s">
        <v>25</v>
      </c>
      <c r="O1224" s="5" t="s">
        <v>25</v>
      </c>
      <c r="P1224" s="5">
        <v>0</v>
      </c>
      <c r="Q1224" s="5">
        <v>0</v>
      </c>
      <c r="R1224" s="5" t="s">
        <v>1093</v>
      </c>
    </row>
    <row r="1225" spans="1:18" x14ac:dyDescent="0.3">
      <c r="A1225" s="5">
        <v>397</v>
      </c>
      <c r="B1225" s="5" t="s">
        <v>1094</v>
      </c>
      <c r="C1225" s="5" t="s">
        <v>1089</v>
      </c>
      <c r="D1225" s="5" t="s">
        <v>27</v>
      </c>
      <c r="E1225" s="5" t="s">
        <v>22</v>
      </c>
      <c r="F1225" s="71">
        <v>45838</v>
      </c>
      <c r="G1225" s="5">
        <v>2025</v>
      </c>
      <c r="H1225" s="5" t="s">
        <v>699</v>
      </c>
      <c r="I1225" s="6" t="s">
        <v>700</v>
      </c>
      <c r="J1225" s="5">
        <v>90</v>
      </c>
      <c r="K1225" s="10">
        <v>95.26</v>
      </c>
      <c r="L1225" s="14">
        <f t="shared" si="93"/>
        <v>1.0584444444444445</v>
      </c>
      <c r="M1225" s="14">
        <f t="shared" si="94"/>
        <v>1.0584444444444445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2838</v>
      </c>
    </row>
    <row r="1226" spans="1:18" x14ac:dyDescent="0.3">
      <c r="A1226" s="5">
        <v>397</v>
      </c>
      <c r="B1226" s="5" t="s">
        <v>1094</v>
      </c>
      <c r="C1226" s="5" t="s">
        <v>1089</v>
      </c>
      <c r="D1226" s="5" t="s">
        <v>21</v>
      </c>
      <c r="E1226" s="5" t="s">
        <v>22</v>
      </c>
      <c r="F1226" s="71">
        <v>46022</v>
      </c>
      <c r="G1226" s="5">
        <v>2025</v>
      </c>
      <c r="H1226" s="5" t="s">
        <v>23</v>
      </c>
      <c r="I1226" s="6" t="s">
        <v>32</v>
      </c>
      <c r="J1226" s="5">
        <v>90</v>
      </c>
      <c r="K1226" s="5">
        <v>96.14</v>
      </c>
      <c r="L1226" s="14">
        <f t="shared" si="93"/>
        <v>1.0682222222222222</v>
      </c>
      <c r="M1226" s="14">
        <f t="shared" si="94"/>
        <v>1.0682222222222222</v>
      </c>
      <c r="N1226" s="5" t="s">
        <v>25</v>
      </c>
      <c r="O1226" s="5" t="s">
        <v>25</v>
      </c>
      <c r="P1226" s="5">
        <v>0</v>
      </c>
      <c r="Q1226" s="5">
        <v>1</v>
      </c>
      <c r="R1226" s="5" t="s">
        <v>1095</v>
      </c>
    </row>
    <row r="1227" spans="1:18" x14ac:dyDescent="0.3">
      <c r="A1227" s="5">
        <v>398</v>
      </c>
      <c r="B1227" s="5" t="s">
        <v>1096</v>
      </c>
      <c r="C1227" s="5" t="s">
        <v>1097</v>
      </c>
      <c r="D1227" s="5" t="s">
        <v>27</v>
      </c>
      <c r="E1227" s="5" t="s">
        <v>22</v>
      </c>
      <c r="F1227" s="71">
        <v>45107</v>
      </c>
      <c r="G1227" s="5">
        <v>2023</v>
      </c>
      <c r="H1227" s="5" t="s">
        <v>699</v>
      </c>
      <c r="I1227" s="6" t="s">
        <v>1512</v>
      </c>
      <c r="J1227" s="5">
        <v>100</v>
      </c>
      <c r="K1227" s="5">
        <v>256.8</v>
      </c>
      <c r="L1227" s="14">
        <f t="shared" si="93"/>
        <v>1.3</v>
      </c>
      <c r="M1227" s="14">
        <f t="shared" si="94"/>
        <v>2.5680000000000001</v>
      </c>
      <c r="N1227" s="5" t="s">
        <v>128</v>
      </c>
      <c r="O1227" s="5" t="s">
        <v>128</v>
      </c>
      <c r="P1227" s="5">
        <v>0</v>
      </c>
      <c r="Q1227" s="5">
        <v>0</v>
      </c>
      <c r="R1227" s="5" t="s">
        <v>2839</v>
      </c>
    </row>
    <row r="1228" spans="1:18" x14ac:dyDescent="0.3">
      <c r="A1228" s="5">
        <v>398</v>
      </c>
      <c r="B1228" s="5" t="s">
        <v>1096</v>
      </c>
      <c r="C1228" s="5" t="s">
        <v>1097</v>
      </c>
      <c r="D1228" s="5" t="s">
        <v>27</v>
      </c>
      <c r="E1228" s="5" t="s">
        <v>22</v>
      </c>
      <c r="F1228" s="71">
        <v>45291</v>
      </c>
      <c r="G1228" s="5">
        <v>2023</v>
      </c>
      <c r="H1228" s="5" t="s">
        <v>23</v>
      </c>
      <c r="I1228" s="6" t="s">
        <v>28</v>
      </c>
      <c r="J1228" s="5">
        <v>100</v>
      </c>
      <c r="K1228" s="5">
        <v>234.4</v>
      </c>
      <c r="L1228" s="14">
        <f t="shared" si="93"/>
        <v>1.3</v>
      </c>
      <c r="M1228" s="14">
        <f t="shared" si="94"/>
        <v>2.3439999999999999</v>
      </c>
      <c r="N1228" s="5" t="s">
        <v>128</v>
      </c>
      <c r="O1228" s="5" t="s">
        <v>128</v>
      </c>
      <c r="P1228" s="5">
        <v>0</v>
      </c>
      <c r="Q1228" s="5">
        <v>0</v>
      </c>
      <c r="R1228" s="5" t="s">
        <v>1098</v>
      </c>
    </row>
    <row r="1229" spans="1:18" x14ac:dyDescent="0.3">
      <c r="A1229" s="5">
        <v>398</v>
      </c>
      <c r="B1229" s="5" t="s">
        <v>1096</v>
      </c>
      <c r="C1229" s="5" t="s">
        <v>1097</v>
      </c>
      <c r="D1229" s="5" t="s">
        <v>27</v>
      </c>
      <c r="E1229" s="5" t="s">
        <v>22</v>
      </c>
      <c r="F1229" s="71">
        <v>45473</v>
      </c>
      <c r="G1229" s="5">
        <v>2024</v>
      </c>
      <c r="H1229" s="5" t="s">
        <v>699</v>
      </c>
      <c r="I1229" s="6" t="s">
        <v>729</v>
      </c>
      <c r="J1229" s="82">
        <v>100</v>
      </c>
      <c r="K1229" s="9">
        <v>283.92</v>
      </c>
      <c r="L1229" s="14">
        <f t="shared" si="93"/>
        <v>1.3</v>
      </c>
      <c r="M1229" s="14">
        <f t="shared" si="94"/>
        <v>2.8391999999999999</v>
      </c>
      <c r="N1229" s="5" t="s">
        <v>128</v>
      </c>
      <c r="O1229" s="5" t="s">
        <v>128</v>
      </c>
      <c r="P1229" s="5">
        <v>0</v>
      </c>
      <c r="Q1229" s="5">
        <v>0</v>
      </c>
      <c r="R1229" s="5" t="s">
        <v>2840</v>
      </c>
    </row>
    <row r="1230" spans="1:18" x14ac:dyDescent="0.3">
      <c r="A1230" s="5">
        <v>398</v>
      </c>
      <c r="B1230" s="5" t="s">
        <v>1096</v>
      </c>
      <c r="C1230" s="5" t="s">
        <v>1097</v>
      </c>
      <c r="D1230" s="5" t="s">
        <v>27</v>
      </c>
      <c r="E1230" s="5" t="s">
        <v>22</v>
      </c>
      <c r="F1230" s="71">
        <v>45657</v>
      </c>
      <c r="G1230" s="5">
        <v>2024</v>
      </c>
      <c r="H1230" s="5" t="s">
        <v>23</v>
      </c>
      <c r="I1230" s="6" t="s">
        <v>30</v>
      </c>
      <c r="J1230" s="5">
        <v>100</v>
      </c>
      <c r="K1230" s="5">
        <v>160</v>
      </c>
      <c r="L1230" s="14">
        <f t="shared" si="93"/>
        <v>1.3</v>
      </c>
      <c r="M1230" s="14">
        <f t="shared" si="94"/>
        <v>1.6</v>
      </c>
      <c r="N1230" s="5" t="s">
        <v>128</v>
      </c>
      <c r="O1230" s="5" t="s">
        <v>128</v>
      </c>
      <c r="P1230" s="5">
        <v>0</v>
      </c>
      <c r="Q1230" s="5">
        <v>0</v>
      </c>
      <c r="R1230" s="5" t="s">
        <v>1099</v>
      </c>
    </row>
    <row r="1231" spans="1:18" x14ac:dyDescent="0.3">
      <c r="A1231" s="5">
        <v>398</v>
      </c>
      <c r="B1231" s="5" t="s">
        <v>1096</v>
      </c>
      <c r="C1231" s="5" t="s">
        <v>1097</v>
      </c>
      <c r="D1231" s="5" t="s">
        <v>27</v>
      </c>
      <c r="E1231" s="5" t="s">
        <v>22</v>
      </c>
      <c r="F1231" s="71">
        <v>45838</v>
      </c>
      <c r="G1231" s="5">
        <v>2025</v>
      </c>
      <c r="H1231" s="5" t="s">
        <v>699</v>
      </c>
      <c r="I1231" s="6" t="s">
        <v>700</v>
      </c>
      <c r="J1231" s="5">
        <v>100</v>
      </c>
      <c r="K1231" s="5">
        <v>159.5</v>
      </c>
      <c r="L1231" s="14">
        <f t="shared" si="93"/>
        <v>1.3</v>
      </c>
      <c r="M1231" s="14">
        <f t="shared" si="94"/>
        <v>1.595</v>
      </c>
      <c r="N1231" s="5" t="s">
        <v>128</v>
      </c>
      <c r="O1231" s="5" t="s">
        <v>128</v>
      </c>
      <c r="P1231" s="5">
        <v>0</v>
      </c>
      <c r="Q1231" s="5">
        <v>0</v>
      </c>
      <c r="R1231" s="5" t="s">
        <v>2841</v>
      </c>
    </row>
    <row r="1232" spans="1:18" x14ac:dyDescent="0.3">
      <c r="A1232" s="5">
        <v>398</v>
      </c>
      <c r="B1232" s="5" t="s">
        <v>1096</v>
      </c>
      <c r="C1232" s="5" t="s">
        <v>1097</v>
      </c>
      <c r="D1232" s="5" t="s">
        <v>21</v>
      </c>
      <c r="E1232" s="5" t="s">
        <v>22</v>
      </c>
      <c r="F1232" s="71">
        <v>46022</v>
      </c>
      <c r="G1232" s="5">
        <v>2025</v>
      </c>
      <c r="H1232" s="5" t="s">
        <v>23</v>
      </c>
      <c r="I1232" s="6" t="s">
        <v>32</v>
      </c>
      <c r="J1232" s="5">
        <v>100</v>
      </c>
      <c r="K1232" s="5">
        <v>168.71</v>
      </c>
      <c r="L1232" s="14">
        <f t="shared" si="93"/>
        <v>1.3</v>
      </c>
      <c r="M1232" s="14">
        <f t="shared" si="94"/>
        <v>1.6871</v>
      </c>
      <c r="N1232" s="5" t="s">
        <v>128</v>
      </c>
      <c r="O1232" s="5" t="s">
        <v>128</v>
      </c>
      <c r="P1232" s="5">
        <v>0</v>
      </c>
      <c r="Q1232" s="5">
        <v>0</v>
      </c>
      <c r="R1232" s="5" t="s">
        <v>1100</v>
      </c>
    </row>
    <row r="1233" spans="1:18" x14ac:dyDescent="0.3">
      <c r="A1233" s="5">
        <v>399</v>
      </c>
      <c r="B1233" s="5" t="s">
        <v>2842</v>
      </c>
      <c r="C1233" s="5" t="s">
        <v>1097</v>
      </c>
      <c r="D1233" s="5" t="s">
        <v>27</v>
      </c>
      <c r="E1233" s="5" t="s">
        <v>22</v>
      </c>
      <c r="F1233" s="71">
        <v>45107</v>
      </c>
      <c r="G1233" s="5">
        <v>2023</v>
      </c>
      <c r="H1233" s="5" t="s">
        <v>699</v>
      </c>
      <c r="I1233" s="6" t="s">
        <v>1512</v>
      </c>
      <c r="J1233" s="5">
        <v>100</v>
      </c>
      <c r="K1233" s="5">
        <v>117.8</v>
      </c>
      <c r="L1233" s="14">
        <f t="shared" si="93"/>
        <v>1.1779999999999999</v>
      </c>
      <c r="M1233" s="14">
        <f t="shared" si="94"/>
        <v>1.1779999999999999</v>
      </c>
      <c r="N1233" s="5" t="s">
        <v>128</v>
      </c>
      <c r="O1233" s="5" t="s">
        <v>128</v>
      </c>
      <c r="P1233" s="5">
        <v>0</v>
      </c>
      <c r="Q1233" s="5">
        <v>0</v>
      </c>
      <c r="R1233" s="5" t="s">
        <v>2843</v>
      </c>
    </row>
    <row r="1234" spans="1:18" x14ac:dyDescent="0.3">
      <c r="A1234">
        <v>399</v>
      </c>
      <c r="B1234" t="s">
        <v>2842</v>
      </c>
      <c r="C1234" t="s">
        <v>1097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100</v>
      </c>
      <c r="K1234">
        <v>149</v>
      </c>
      <c r="L1234" s="39">
        <f t="shared" si="93"/>
        <v>1.3</v>
      </c>
      <c r="M1234" s="39">
        <f t="shared" si="94"/>
        <v>1.49</v>
      </c>
      <c r="N1234" t="s">
        <v>128</v>
      </c>
      <c r="O1234" t="s">
        <v>128</v>
      </c>
      <c r="P1234">
        <v>0</v>
      </c>
      <c r="Q1234">
        <v>0</v>
      </c>
      <c r="R1234" t="s">
        <v>1102</v>
      </c>
    </row>
    <row r="1235" spans="1:18" x14ac:dyDescent="0.3">
      <c r="A1235">
        <v>399</v>
      </c>
      <c r="B1235" t="s">
        <v>1101</v>
      </c>
      <c r="C1235" t="s">
        <v>1097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100</v>
      </c>
      <c r="K1235">
        <v>111.36</v>
      </c>
      <c r="L1235" s="39">
        <f t="shared" si="93"/>
        <v>1.1135999999999999</v>
      </c>
      <c r="M1235" s="39">
        <f t="shared" si="94"/>
        <v>1.1135999999999999</v>
      </c>
      <c r="N1235" t="s">
        <v>128</v>
      </c>
      <c r="O1235" t="s">
        <v>128</v>
      </c>
      <c r="P1235">
        <v>0</v>
      </c>
      <c r="Q1235">
        <v>0</v>
      </c>
      <c r="R1235" t="s">
        <v>2844</v>
      </c>
    </row>
    <row r="1236" spans="1:18" x14ac:dyDescent="0.3">
      <c r="A1236">
        <v>399</v>
      </c>
      <c r="B1236" t="s">
        <v>1101</v>
      </c>
      <c r="C1236" t="s">
        <v>1097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100</v>
      </c>
      <c r="K1236">
        <v>111.36</v>
      </c>
      <c r="L1236" s="39">
        <f t="shared" si="93"/>
        <v>1.1135999999999999</v>
      </c>
      <c r="M1236" s="39">
        <f t="shared" si="94"/>
        <v>1.1135999999999999</v>
      </c>
      <c r="N1236" t="s">
        <v>128</v>
      </c>
      <c r="O1236" t="s">
        <v>128</v>
      </c>
      <c r="P1236">
        <v>0</v>
      </c>
      <c r="Q1236">
        <v>0</v>
      </c>
      <c r="R1236" t="s">
        <v>1103</v>
      </c>
    </row>
    <row r="1237" spans="1:18" x14ac:dyDescent="0.3">
      <c r="A1237">
        <v>399</v>
      </c>
      <c r="B1237" t="s">
        <v>1101</v>
      </c>
      <c r="C1237" t="s">
        <v>1097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102.93</v>
      </c>
      <c r="L1237" s="39">
        <f t="shared" si="93"/>
        <v>1.0293000000000001</v>
      </c>
      <c r="M1237" s="39">
        <f t="shared" si="94"/>
        <v>1.0293000000000001</v>
      </c>
      <c r="N1237" t="s">
        <v>128</v>
      </c>
      <c r="O1237" t="s">
        <v>128</v>
      </c>
      <c r="P1237">
        <v>0</v>
      </c>
      <c r="Q1237">
        <v>0</v>
      </c>
      <c r="R1237" t="s">
        <v>2845</v>
      </c>
    </row>
    <row r="1238" spans="1:18" x14ac:dyDescent="0.3">
      <c r="A1238">
        <v>399</v>
      </c>
      <c r="B1238" t="s">
        <v>1101</v>
      </c>
      <c r="C1238" t="s">
        <v>1097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106.13</v>
      </c>
      <c r="L1238" s="39">
        <f t="shared" si="93"/>
        <v>1.0612999999999999</v>
      </c>
      <c r="M1238" s="39">
        <f t="shared" si="94"/>
        <v>1.0612999999999999</v>
      </c>
      <c r="N1238" t="s">
        <v>128</v>
      </c>
      <c r="O1238" t="s">
        <v>128</v>
      </c>
      <c r="P1238">
        <v>0</v>
      </c>
      <c r="Q1238">
        <v>0</v>
      </c>
      <c r="R1238" t="s">
        <v>1104</v>
      </c>
    </row>
    <row r="1239" spans="1:18" x14ac:dyDescent="0.3">
      <c r="A1239">
        <v>400</v>
      </c>
      <c r="B1239" t="s">
        <v>1105</v>
      </c>
      <c r="C1239" t="s">
        <v>1097</v>
      </c>
      <c r="D1239" t="s">
        <v>27</v>
      </c>
      <c r="E1239" t="s">
        <v>22</v>
      </c>
      <c r="F1239" s="79">
        <v>45107</v>
      </c>
      <c r="G1239">
        <v>2023</v>
      </c>
      <c r="H1239" t="s">
        <v>699</v>
      </c>
      <c r="I1239" t="s">
        <v>1512</v>
      </c>
      <c r="J1239">
        <v>100</v>
      </c>
      <c r="K1239">
        <v>220</v>
      </c>
      <c r="L1239" s="39">
        <f t="shared" si="93"/>
        <v>1.3</v>
      </c>
      <c r="M1239" s="39">
        <f t="shared" si="94"/>
        <v>2.2000000000000002</v>
      </c>
      <c r="N1239" t="s">
        <v>128</v>
      </c>
      <c r="O1239" t="s">
        <v>128</v>
      </c>
      <c r="P1239">
        <v>0</v>
      </c>
      <c r="Q1239">
        <v>0</v>
      </c>
      <c r="R1239" t="s">
        <v>2846</v>
      </c>
    </row>
    <row r="1240" spans="1:18" x14ac:dyDescent="0.3">
      <c r="A1240">
        <v>400</v>
      </c>
      <c r="B1240" t="s">
        <v>1105</v>
      </c>
      <c r="C1240" t="s">
        <v>1097</v>
      </c>
      <c r="D1240" t="s">
        <v>27</v>
      </c>
      <c r="E1240" t="s">
        <v>22</v>
      </c>
      <c r="F1240" s="79">
        <v>45291</v>
      </c>
      <c r="G1240">
        <v>2023</v>
      </c>
      <c r="H1240" t="s">
        <v>23</v>
      </c>
      <c r="I1240" t="s">
        <v>28</v>
      </c>
      <c r="J1240">
        <v>100</v>
      </c>
      <c r="K1240">
        <v>282.86</v>
      </c>
      <c r="L1240" s="39">
        <f t="shared" si="93"/>
        <v>1.3</v>
      </c>
      <c r="M1240" s="39">
        <f t="shared" si="94"/>
        <v>2.8286000000000002</v>
      </c>
      <c r="N1240" t="s">
        <v>128</v>
      </c>
      <c r="O1240" t="s">
        <v>128</v>
      </c>
      <c r="P1240">
        <v>0</v>
      </c>
      <c r="Q1240">
        <v>0</v>
      </c>
      <c r="R1240" t="s">
        <v>1106</v>
      </c>
    </row>
    <row r="1241" spans="1:18" x14ac:dyDescent="0.3">
      <c r="A1241">
        <v>400</v>
      </c>
      <c r="B1241" t="s">
        <v>1105</v>
      </c>
      <c r="C1241" t="s">
        <v>1097</v>
      </c>
      <c r="D1241" t="s">
        <v>27</v>
      </c>
      <c r="E1241" t="s">
        <v>22</v>
      </c>
      <c r="F1241" s="79">
        <v>45473</v>
      </c>
      <c r="G1241">
        <v>2024</v>
      </c>
      <c r="H1241" t="s">
        <v>699</v>
      </c>
      <c r="I1241" t="s">
        <v>729</v>
      </c>
      <c r="J1241">
        <v>100</v>
      </c>
      <c r="K1241">
        <v>270.45</v>
      </c>
      <c r="L1241" s="39">
        <f t="shared" si="93"/>
        <v>1.3</v>
      </c>
      <c r="M1241" s="39">
        <f t="shared" si="94"/>
        <v>2.7044999999999999</v>
      </c>
      <c r="N1241" t="s">
        <v>128</v>
      </c>
      <c r="O1241" t="s">
        <v>128</v>
      </c>
      <c r="P1241">
        <v>0</v>
      </c>
      <c r="Q1241">
        <v>0</v>
      </c>
      <c r="R1241" t="s">
        <v>2847</v>
      </c>
    </row>
    <row r="1242" spans="1:18" x14ac:dyDescent="0.3">
      <c r="A1242">
        <v>400</v>
      </c>
      <c r="B1242" t="s">
        <v>1105</v>
      </c>
      <c r="C1242" t="s">
        <v>1097</v>
      </c>
      <c r="D1242" t="s">
        <v>27</v>
      </c>
      <c r="E1242" t="s">
        <v>22</v>
      </c>
      <c r="F1242" s="79">
        <v>45657</v>
      </c>
      <c r="G1242">
        <v>2024</v>
      </c>
      <c r="H1242" t="s">
        <v>23</v>
      </c>
      <c r="I1242" t="s">
        <v>30</v>
      </c>
      <c r="J1242">
        <v>100</v>
      </c>
      <c r="K1242">
        <v>397.73</v>
      </c>
      <c r="L1242" s="39">
        <f t="shared" si="93"/>
        <v>1.3</v>
      </c>
      <c r="M1242" s="39">
        <f t="shared" si="94"/>
        <v>3.9773000000000001</v>
      </c>
      <c r="N1242" t="s">
        <v>128</v>
      </c>
      <c r="O1242" t="s">
        <v>128</v>
      </c>
      <c r="P1242">
        <v>0</v>
      </c>
      <c r="Q1242">
        <v>0</v>
      </c>
      <c r="R1242" t="s">
        <v>1107</v>
      </c>
    </row>
    <row r="1243" spans="1:18" x14ac:dyDescent="0.3">
      <c r="A1243">
        <v>400</v>
      </c>
      <c r="B1243" t="s">
        <v>1105</v>
      </c>
      <c r="C1243" t="s">
        <v>1097</v>
      </c>
      <c r="D1243" t="s">
        <v>27</v>
      </c>
      <c r="E1243" t="s">
        <v>22</v>
      </c>
      <c r="F1243" s="79">
        <v>45838</v>
      </c>
      <c r="G1243">
        <v>2025</v>
      </c>
      <c r="H1243" t="s">
        <v>699</v>
      </c>
      <c r="I1243" t="s">
        <v>700</v>
      </c>
      <c r="J1243">
        <v>100</v>
      </c>
      <c r="K1243">
        <v>123</v>
      </c>
      <c r="L1243" s="39">
        <f t="shared" si="93"/>
        <v>1.23</v>
      </c>
      <c r="M1243" s="39">
        <f t="shared" si="94"/>
        <v>1.23</v>
      </c>
      <c r="N1243" t="s">
        <v>128</v>
      </c>
      <c r="O1243" t="s">
        <v>128</v>
      </c>
      <c r="P1243">
        <v>0</v>
      </c>
      <c r="Q1243">
        <v>0</v>
      </c>
      <c r="R1243" t="s">
        <v>2848</v>
      </c>
    </row>
    <row r="1244" spans="1:18" x14ac:dyDescent="0.3">
      <c r="A1244">
        <v>400</v>
      </c>
      <c r="B1244" t="s">
        <v>1105</v>
      </c>
      <c r="C1244" t="s">
        <v>1097</v>
      </c>
      <c r="D1244" t="s">
        <v>21</v>
      </c>
      <c r="E1244" t="s">
        <v>22</v>
      </c>
      <c r="F1244" s="79">
        <v>46022</v>
      </c>
      <c r="G1244">
        <v>2025</v>
      </c>
      <c r="H1244" t="s">
        <v>23</v>
      </c>
      <c r="I1244" t="s">
        <v>32</v>
      </c>
      <c r="J1244">
        <v>100</v>
      </c>
      <c r="K1244">
        <v>127.14</v>
      </c>
      <c r="L1244" s="39">
        <f t="shared" si="93"/>
        <v>1.2714000000000001</v>
      </c>
      <c r="M1244" s="39">
        <f t="shared" si="94"/>
        <v>1.2714000000000001</v>
      </c>
      <c r="N1244" t="s">
        <v>128</v>
      </c>
      <c r="O1244" t="s">
        <v>128</v>
      </c>
      <c r="P1244">
        <v>0</v>
      </c>
      <c r="Q1244">
        <v>0</v>
      </c>
      <c r="R1244" t="s">
        <v>1108</v>
      </c>
    </row>
    <row r="1245" spans="1:18" x14ac:dyDescent="0.3">
      <c r="A1245">
        <v>401</v>
      </c>
      <c r="B1245" t="s">
        <v>1109</v>
      </c>
      <c r="C1245" t="s">
        <v>1110</v>
      </c>
      <c r="D1245" t="s">
        <v>27</v>
      </c>
      <c r="E1245" t="s">
        <v>22</v>
      </c>
      <c r="F1245" s="79">
        <v>45107</v>
      </c>
      <c r="G1245">
        <v>2023</v>
      </c>
      <c r="H1245" t="s">
        <v>699</v>
      </c>
      <c r="I1245" t="s">
        <v>1512</v>
      </c>
      <c r="J1245">
        <v>90</v>
      </c>
      <c r="K1245">
        <v>87.5</v>
      </c>
      <c r="L1245" s="39">
        <f t="shared" si="93"/>
        <v>0.97222222222222221</v>
      </c>
      <c r="M1245" s="39">
        <f t="shared" si="94"/>
        <v>0.97222222222222221</v>
      </c>
      <c r="N1245" t="s">
        <v>128</v>
      </c>
      <c r="O1245" t="s">
        <v>128</v>
      </c>
      <c r="P1245">
        <v>0</v>
      </c>
      <c r="Q1245">
        <v>0</v>
      </c>
      <c r="R1245" t="s">
        <v>2849</v>
      </c>
    </row>
    <row r="1246" spans="1:18" x14ac:dyDescent="0.3">
      <c r="A1246">
        <v>401</v>
      </c>
      <c r="B1246" t="s">
        <v>1109</v>
      </c>
      <c r="C1246" t="s">
        <v>1110</v>
      </c>
      <c r="D1246" t="s">
        <v>27</v>
      </c>
      <c r="E1246" t="s">
        <v>22</v>
      </c>
      <c r="F1246" s="79">
        <v>45291</v>
      </c>
      <c r="G1246">
        <v>2023</v>
      </c>
      <c r="H1246" t="s">
        <v>23</v>
      </c>
      <c r="I1246" t="s">
        <v>28</v>
      </c>
      <c r="J1246">
        <v>90</v>
      </c>
      <c r="K1246">
        <v>125</v>
      </c>
      <c r="L1246" s="39">
        <f t="shared" si="93"/>
        <v>1.3</v>
      </c>
      <c r="M1246" s="39">
        <f t="shared" si="94"/>
        <v>1.3888888888888888</v>
      </c>
      <c r="N1246" t="s">
        <v>128</v>
      </c>
      <c r="O1246" t="s">
        <v>128</v>
      </c>
      <c r="P1246">
        <v>0</v>
      </c>
      <c r="Q1246">
        <v>0</v>
      </c>
      <c r="R1246" t="s">
        <v>1111</v>
      </c>
    </row>
    <row r="1247" spans="1:18" x14ac:dyDescent="0.3">
      <c r="A1247">
        <v>401</v>
      </c>
      <c r="B1247" t="s">
        <v>1109</v>
      </c>
      <c r="C1247" t="s">
        <v>1110</v>
      </c>
      <c r="D1247" t="s">
        <v>27</v>
      </c>
      <c r="E1247" t="s">
        <v>22</v>
      </c>
      <c r="F1247" s="79">
        <v>45473</v>
      </c>
      <c r="G1247">
        <v>2024</v>
      </c>
      <c r="H1247" t="s">
        <v>699</v>
      </c>
      <c r="I1247" t="s">
        <v>729</v>
      </c>
      <c r="J1247">
        <v>90</v>
      </c>
      <c r="K1247">
        <v>112.5</v>
      </c>
      <c r="L1247" s="39">
        <f t="shared" si="93"/>
        <v>1.25</v>
      </c>
      <c r="M1247" s="39">
        <f t="shared" si="94"/>
        <v>1.25</v>
      </c>
      <c r="N1247" t="s">
        <v>128</v>
      </c>
      <c r="O1247" t="s">
        <v>128</v>
      </c>
      <c r="P1247">
        <v>0</v>
      </c>
      <c r="Q1247">
        <v>0</v>
      </c>
      <c r="R1247" t="s">
        <v>2850</v>
      </c>
    </row>
    <row r="1248" spans="1:18" x14ac:dyDescent="0.3">
      <c r="A1248">
        <v>401</v>
      </c>
      <c r="B1248" t="s">
        <v>1109</v>
      </c>
      <c r="C1248" t="s">
        <v>1110</v>
      </c>
      <c r="D1248" t="s">
        <v>27</v>
      </c>
      <c r="E1248" t="s">
        <v>22</v>
      </c>
      <c r="F1248" s="79">
        <v>45657</v>
      </c>
      <c r="G1248">
        <v>2024</v>
      </c>
      <c r="H1248" t="s">
        <v>23</v>
      </c>
      <c r="I1248" t="s">
        <v>30</v>
      </c>
      <c r="J1248">
        <v>90</v>
      </c>
      <c r="K1248">
        <v>100</v>
      </c>
      <c r="L1248" s="39">
        <f t="shared" si="93"/>
        <v>1.1111111111111112</v>
      </c>
      <c r="M1248" s="39">
        <f t="shared" si="94"/>
        <v>1.1111111111111112</v>
      </c>
      <c r="N1248" t="s">
        <v>128</v>
      </c>
      <c r="O1248" t="s">
        <v>128</v>
      </c>
      <c r="P1248">
        <v>0</v>
      </c>
      <c r="Q1248">
        <v>0</v>
      </c>
      <c r="R1248" t="s">
        <v>1112</v>
      </c>
    </row>
    <row r="1249" spans="1:19" x14ac:dyDescent="0.3">
      <c r="A1249">
        <v>401</v>
      </c>
      <c r="B1249" t="s">
        <v>1109</v>
      </c>
      <c r="C1249" t="s">
        <v>1110</v>
      </c>
      <c r="D1249" t="s">
        <v>27</v>
      </c>
      <c r="E1249" t="s">
        <v>22</v>
      </c>
      <c r="F1249" s="79">
        <v>45838</v>
      </c>
      <c r="G1249">
        <v>2025</v>
      </c>
      <c r="H1249" t="s">
        <v>699</v>
      </c>
      <c r="I1249" t="s">
        <v>700</v>
      </c>
      <c r="J1249">
        <v>100</v>
      </c>
      <c r="K1249">
        <v>100</v>
      </c>
      <c r="L1249" s="39">
        <f t="shared" si="93"/>
        <v>1</v>
      </c>
      <c r="M1249" s="39">
        <f t="shared" si="94"/>
        <v>1</v>
      </c>
      <c r="N1249" t="s">
        <v>128</v>
      </c>
      <c r="O1249" t="s">
        <v>128</v>
      </c>
      <c r="P1249">
        <v>0</v>
      </c>
      <c r="Q1249">
        <v>0</v>
      </c>
      <c r="R1249" t="s">
        <v>2851</v>
      </c>
    </row>
    <row r="1250" spans="1:19" x14ac:dyDescent="0.3">
      <c r="A1250">
        <v>401</v>
      </c>
      <c r="B1250" t="s">
        <v>1109</v>
      </c>
      <c r="C1250" t="s">
        <v>1110</v>
      </c>
      <c r="D1250" t="s">
        <v>21</v>
      </c>
      <c r="E1250" t="s">
        <v>22</v>
      </c>
      <c r="F1250" s="79">
        <v>46022</v>
      </c>
      <c r="G1250">
        <v>2025</v>
      </c>
      <c r="H1250" t="s">
        <v>23</v>
      </c>
      <c r="I1250" t="s">
        <v>32</v>
      </c>
      <c r="J1250">
        <v>100</v>
      </c>
      <c r="K1250">
        <v>100</v>
      </c>
      <c r="L1250" s="39">
        <f t="shared" si="93"/>
        <v>1</v>
      </c>
      <c r="M1250" s="39">
        <f t="shared" si="94"/>
        <v>1</v>
      </c>
      <c r="N1250" t="s">
        <v>128</v>
      </c>
      <c r="O1250" t="s">
        <v>128</v>
      </c>
      <c r="P1250">
        <v>0</v>
      </c>
      <c r="Q1250">
        <v>0</v>
      </c>
      <c r="R1250" t="s">
        <v>1113</v>
      </c>
    </row>
    <row r="1251" spans="1:19" x14ac:dyDescent="0.3">
      <c r="A1251">
        <v>402</v>
      </c>
      <c r="B1251" t="s">
        <v>1114</v>
      </c>
      <c r="C1251" t="s">
        <v>1110</v>
      </c>
      <c r="D1251" t="s">
        <v>71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K1251">
        <v>21000</v>
      </c>
      <c r="L1251" s="39"/>
      <c r="M1251" s="39"/>
      <c r="P1251">
        <v>0</v>
      </c>
      <c r="Q1251">
        <v>0</v>
      </c>
      <c r="R1251" t="s">
        <v>1115</v>
      </c>
    </row>
    <row r="1252" spans="1:19" x14ac:dyDescent="0.3">
      <c r="A1252">
        <v>402</v>
      </c>
      <c r="B1252" t="s">
        <v>1114</v>
      </c>
      <c r="C1252" t="s">
        <v>1110</v>
      </c>
      <c r="D1252" t="s">
        <v>71</v>
      </c>
      <c r="E1252" t="s">
        <v>22</v>
      </c>
      <c r="F1252" s="79">
        <v>45657</v>
      </c>
      <c r="G1252">
        <v>2024</v>
      </c>
      <c r="H1252" t="s">
        <v>23</v>
      </c>
      <c r="I1252" t="s">
        <v>30</v>
      </c>
      <c r="J1252">
        <v>3</v>
      </c>
      <c r="K1252">
        <v>4.76</v>
      </c>
      <c r="L1252" s="39">
        <f>IFERROR(IF(OR(J1252=0,K1252=""),"",IF(E1252="Positivo",MIN(MAX(K1252/J1252,0),1.3),MIN(MAX(J1252/K1252,0),1.3))),"")</f>
        <v>1.3</v>
      </c>
      <c r="M1252" s="39">
        <f>IFERROR(IF(OR(J1252=0,K1252=""),"",IF(E1252="Positivo",MAX(K1252/J1252,0),MAX(J1252/K1252,0))),"")</f>
        <v>1.5866666666666667</v>
      </c>
      <c r="P1252">
        <v>0</v>
      </c>
      <c r="Q1252">
        <v>0</v>
      </c>
      <c r="R1252" t="s">
        <v>1116</v>
      </c>
    </row>
    <row r="1253" spans="1:19" x14ac:dyDescent="0.3">
      <c r="A1253">
        <v>402</v>
      </c>
      <c r="B1253" t="s">
        <v>1114</v>
      </c>
      <c r="C1253" t="s">
        <v>1110</v>
      </c>
      <c r="D1253" t="s">
        <v>71</v>
      </c>
      <c r="E1253" t="s">
        <v>22</v>
      </c>
      <c r="F1253" s="79">
        <v>46022</v>
      </c>
      <c r="G1253">
        <v>2025</v>
      </c>
      <c r="H1253" t="s">
        <v>23</v>
      </c>
      <c r="I1253" t="s">
        <v>32</v>
      </c>
      <c r="K1253">
        <v>22.73</v>
      </c>
      <c r="L1253" s="39"/>
      <c r="M1253" s="39"/>
      <c r="N1253" t="s">
        <v>128</v>
      </c>
      <c r="O1253" t="s">
        <v>128</v>
      </c>
      <c r="P1253">
        <v>0</v>
      </c>
      <c r="Q1253">
        <v>0</v>
      </c>
      <c r="R1253" t="s">
        <v>1117</v>
      </c>
    </row>
    <row r="1254" spans="1:19" x14ac:dyDescent="0.3">
      <c r="A1254">
        <v>403</v>
      </c>
      <c r="B1254" t="s">
        <v>1118</v>
      </c>
      <c r="C1254" t="s">
        <v>1110</v>
      </c>
      <c r="D1254" t="s">
        <v>27</v>
      </c>
      <c r="E1254" t="s">
        <v>22</v>
      </c>
      <c r="F1254" s="79">
        <v>45107</v>
      </c>
      <c r="G1254">
        <v>2023</v>
      </c>
      <c r="H1254" t="s">
        <v>699</v>
      </c>
      <c r="I1254" t="s">
        <v>1512</v>
      </c>
      <c r="K1254">
        <v>14370</v>
      </c>
      <c r="L1254" s="39"/>
      <c r="M1254" s="39"/>
      <c r="N1254" t="s">
        <v>263</v>
      </c>
      <c r="P1254">
        <v>0</v>
      </c>
      <c r="Q1254">
        <v>0</v>
      </c>
      <c r="R1254" t="s">
        <v>2852</v>
      </c>
    </row>
    <row r="1255" spans="1:19" x14ac:dyDescent="0.3">
      <c r="A1255">
        <v>403</v>
      </c>
      <c r="B1255" t="s">
        <v>1118</v>
      </c>
      <c r="C1255" t="s">
        <v>1110</v>
      </c>
      <c r="D1255" t="s">
        <v>27</v>
      </c>
      <c r="E1255" t="s">
        <v>22</v>
      </c>
      <c r="F1255" s="79">
        <v>45291</v>
      </c>
      <c r="G1255">
        <v>2023</v>
      </c>
      <c r="H1255" t="s">
        <v>23</v>
      </c>
      <c r="I1255" t="s">
        <v>28</v>
      </c>
      <c r="K1255">
        <v>28639</v>
      </c>
      <c r="L1255" s="39"/>
      <c r="M1255" s="39"/>
      <c r="N1255" t="s">
        <v>263</v>
      </c>
      <c r="P1255">
        <v>0</v>
      </c>
      <c r="Q1255">
        <v>0</v>
      </c>
      <c r="R1255" t="s">
        <v>1119</v>
      </c>
    </row>
    <row r="1256" spans="1:19" x14ac:dyDescent="0.3">
      <c r="A1256">
        <v>403</v>
      </c>
      <c r="B1256" t="s">
        <v>1118</v>
      </c>
      <c r="C1256" t="s">
        <v>1110</v>
      </c>
      <c r="D1256" t="s">
        <v>27</v>
      </c>
      <c r="E1256" t="s">
        <v>22</v>
      </c>
      <c r="F1256" s="79">
        <v>45473</v>
      </c>
      <c r="G1256">
        <v>2024</v>
      </c>
      <c r="H1256" t="s">
        <v>699</v>
      </c>
      <c r="I1256" t="s">
        <v>729</v>
      </c>
      <c r="K1256">
        <v>14923</v>
      </c>
      <c r="L1256" s="39"/>
      <c r="M1256" s="39"/>
      <c r="N1256" t="s">
        <v>263</v>
      </c>
      <c r="P1256">
        <v>0</v>
      </c>
      <c r="Q1256">
        <v>0</v>
      </c>
      <c r="R1256" t="s">
        <v>2853</v>
      </c>
    </row>
    <row r="1257" spans="1:19" x14ac:dyDescent="0.3">
      <c r="A1257">
        <v>403</v>
      </c>
      <c r="B1257" t="s">
        <v>1118</v>
      </c>
      <c r="C1257" t="s">
        <v>1110</v>
      </c>
      <c r="D1257" t="s">
        <v>27</v>
      </c>
      <c r="E1257" t="s">
        <v>22</v>
      </c>
      <c r="F1257" s="79">
        <v>45657</v>
      </c>
      <c r="G1257">
        <v>2024</v>
      </c>
      <c r="H1257" t="s">
        <v>23</v>
      </c>
      <c r="I1257" t="s">
        <v>30</v>
      </c>
      <c r="K1257">
        <v>14495</v>
      </c>
      <c r="L1257" s="39"/>
      <c r="M1257" s="39"/>
      <c r="N1257" t="s">
        <v>263</v>
      </c>
      <c r="P1257">
        <v>0</v>
      </c>
      <c r="Q1257">
        <v>0</v>
      </c>
      <c r="R1257" t="s">
        <v>1120</v>
      </c>
    </row>
    <row r="1258" spans="1:19" x14ac:dyDescent="0.3">
      <c r="A1258">
        <v>403</v>
      </c>
      <c r="B1258" t="s">
        <v>1118</v>
      </c>
      <c r="C1258" t="s">
        <v>1110</v>
      </c>
      <c r="D1258" t="s">
        <v>27</v>
      </c>
      <c r="E1258" t="s">
        <v>22</v>
      </c>
      <c r="F1258" s="79">
        <v>45838</v>
      </c>
      <c r="G1258">
        <v>2025</v>
      </c>
      <c r="H1258" t="s">
        <v>699</v>
      </c>
      <c r="I1258" t="s">
        <v>700</v>
      </c>
      <c r="K1258">
        <v>14410</v>
      </c>
      <c r="L1258" s="39"/>
      <c r="M1258" s="39"/>
      <c r="N1258" t="s">
        <v>263</v>
      </c>
      <c r="P1258">
        <v>0</v>
      </c>
      <c r="Q1258">
        <v>0</v>
      </c>
      <c r="R1258" t="s">
        <v>2854</v>
      </c>
    </row>
    <row r="1259" spans="1:19" x14ac:dyDescent="0.3">
      <c r="A1259">
        <v>403</v>
      </c>
      <c r="B1259" t="s">
        <v>1121</v>
      </c>
      <c r="C1259" t="s">
        <v>1110</v>
      </c>
      <c r="D1259" t="s">
        <v>21</v>
      </c>
      <c r="E1259" t="s">
        <v>22</v>
      </c>
      <c r="F1259" s="79">
        <v>46022</v>
      </c>
      <c r="G1259">
        <v>2025</v>
      </c>
      <c r="H1259" t="s">
        <v>23</v>
      </c>
      <c r="I1259" t="s">
        <v>32</v>
      </c>
      <c r="K1259">
        <v>12510</v>
      </c>
      <c r="L1259" s="39"/>
      <c r="M1259" s="39"/>
      <c r="N1259" t="s">
        <v>263</v>
      </c>
      <c r="O1259" t="s">
        <v>128</v>
      </c>
      <c r="P1259">
        <v>0</v>
      </c>
      <c r="Q1259">
        <v>0</v>
      </c>
      <c r="R1259" t="s">
        <v>1122</v>
      </c>
      <c r="S1259" t="s">
        <v>263</v>
      </c>
    </row>
    <row r="1260" spans="1:19" x14ac:dyDescent="0.3">
      <c r="A1260">
        <v>404</v>
      </c>
      <c r="B1260" t="s">
        <v>1123</v>
      </c>
      <c r="C1260" t="s">
        <v>1110</v>
      </c>
      <c r="D1260" t="s">
        <v>27</v>
      </c>
      <c r="E1260" t="s">
        <v>41</v>
      </c>
      <c r="F1260" s="79">
        <v>45107</v>
      </c>
      <c r="G1260">
        <v>2023</v>
      </c>
      <c r="H1260" t="s">
        <v>699</v>
      </c>
      <c r="I1260" t="s">
        <v>1512</v>
      </c>
      <c r="J1260">
        <v>20</v>
      </c>
      <c r="K1260">
        <v>2</v>
      </c>
      <c r="L1260" s="39">
        <f t="shared" ref="L1260:L1269" si="95">IFERROR(IF(OR(J1260=0,K1260=""),"",IF(E1260="Positivo",MIN(MAX(K1260/J1260,0),1.3),MIN(MAX(J1260/K1260,0),1.3))),"")</f>
        <v>1.3</v>
      </c>
      <c r="M1260" s="39">
        <f t="shared" ref="M1260:M1269" si="96">IFERROR(IF(OR(J1260=0,K1260=""),"",IF(E1260="Positivo",MAX(K1260/J1260,0),MAX(J1260/K1260,0))),"")</f>
        <v>10</v>
      </c>
      <c r="N1260" t="s">
        <v>25</v>
      </c>
      <c r="O1260" t="s">
        <v>25</v>
      </c>
      <c r="P1260">
        <v>0</v>
      </c>
      <c r="Q1260">
        <v>0</v>
      </c>
      <c r="R1260" t="s">
        <v>2855</v>
      </c>
    </row>
    <row r="1261" spans="1:19" x14ac:dyDescent="0.3">
      <c r="A1261">
        <v>404</v>
      </c>
      <c r="B1261" t="s">
        <v>1123</v>
      </c>
      <c r="C1261" t="s">
        <v>1110</v>
      </c>
      <c r="D1261" t="s">
        <v>27</v>
      </c>
      <c r="E1261" t="s">
        <v>41</v>
      </c>
      <c r="F1261" s="79">
        <v>45291</v>
      </c>
      <c r="G1261">
        <v>2023</v>
      </c>
      <c r="H1261" t="s">
        <v>23</v>
      </c>
      <c r="I1261" t="s">
        <v>28</v>
      </c>
      <c r="J1261">
        <v>20</v>
      </c>
      <c r="K1261">
        <v>1.31</v>
      </c>
      <c r="L1261" s="39">
        <f t="shared" si="95"/>
        <v>1.3</v>
      </c>
      <c r="M1261" s="39">
        <f t="shared" si="96"/>
        <v>15.267175572519083</v>
      </c>
      <c r="N1261" t="s">
        <v>25</v>
      </c>
      <c r="O1261" t="s">
        <v>25</v>
      </c>
      <c r="P1261">
        <v>0</v>
      </c>
      <c r="Q1261">
        <v>0</v>
      </c>
      <c r="R1261" t="s">
        <v>1124</v>
      </c>
    </row>
    <row r="1262" spans="1:19" x14ac:dyDescent="0.3">
      <c r="A1262">
        <v>404</v>
      </c>
      <c r="B1262" t="s">
        <v>1123</v>
      </c>
      <c r="C1262" t="s">
        <v>1110</v>
      </c>
      <c r="D1262" t="s">
        <v>27</v>
      </c>
      <c r="E1262" t="s">
        <v>41</v>
      </c>
      <c r="F1262" s="79">
        <v>45473</v>
      </c>
      <c r="G1262">
        <v>2024</v>
      </c>
      <c r="H1262" t="s">
        <v>699</v>
      </c>
      <c r="I1262" t="s">
        <v>729</v>
      </c>
      <c r="J1262">
        <v>10</v>
      </c>
      <c r="K1262">
        <v>5.85</v>
      </c>
      <c r="L1262" s="39">
        <f t="shared" si="95"/>
        <v>1.3</v>
      </c>
      <c r="M1262" s="39">
        <f t="shared" si="96"/>
        <v>1.7094017094017095</v>
      </c>
      <c r="P1262">
        <v>0</v>
      </c>
      <c r="Q1262">
        <v>0</v>
      </c>
      <c r="R1262" t="s">
        <v>2856</v>
      </c>
    </row>
    <row r="1263" spans="1:19" x14ac:dyDescent="0.3">
      <c r="A1263">
        <v>404</v>
      </c>
      <c r="B1263" t="s">
        <v>1123</v>
      </c>
      <c r="C1263" t="s">
        <v>1110</v>
      </c>
      <c r="D1263" t="s">
        <v>27</v>
      </c>
      <c r="E1263" t="s">
        <v>41</v>
      </c>
      <c r="F1263" s="79">
        <v>45657</v>
      </c>
      <c r="G1263">
        <v>2024</v>
      </c>
      <c r="H1263" t="s">
        <v>23</v>
      </c>
      <c r="I1263" t="s">
        <v>30</v>
      </c>
      <c r="J1263">
        <v>10</v>
      </c>
      <c r="K1263">
        <v>6.02</v>
      </c>
      <c r="L1263" s="39">
        <f t="shared" si="95"/>
        <v>1.3</v>
      </c>
      <c r="M1263" s="39">
        <f t="shared" si="96"/>
        <v>1.6611295681063125</v>
      </c>
      <c r="P1263">
        <v>0</v>
      </c>
      <c r="Q1263">
        <v>0</v>
      </c>
      <c r="R1263" t="s">
        <v>1125</v>
      </c>
    </row>
    <row r="1264" spans="1:19" x14ac:dyDescent="0.3">
      <c r="A1264">
        <v>405</v>
      </c>
      <c r="B1264" t="s">
        <v>1126</v>
      </c>
      <c r="C1264" t="s">
        <v>1110</v>
      </c>
      <c r="D1264" t="s">
        <v>27</v>
      </c>
      <c r="E1264" t="s">
        <v>22</v>
      </c>
      <c r="F1264" s="79">
        <v>45107</v>
      </c>
      <c r="G1264">
        <v>2023</v>
      </c>
      <c r="H1264" t="s">
        <v>699</v>
      </c>
      <c r="I1264" t="s">
        <v>1512</v>
      </c>
      <c r="J1264">
        <v>25</v>
      </c>
      <c r="K1264">
        <v>30</v>
      </c>
      <c r="L1264" s="39">
        <f t="shared" si="95"/>
        <v>1.2</v>
      </c>
      <c r="M1264" s="39">
        <f t="shared" si="96"/>
        <v>1.2</v>
      </c>
      <c r="N1264" t="s">
        <v>25</v>
      </c>
      <c r="O1264" t="s">
        <v>25</v>
      </c>
      <c r="P1264">
        <v>0</v>
      </c>
      <c r="Q1264">
        <v>0</v>
      </c>
      <c r="R1264" t="s">
        <v>2858</v>
      </c>
    </row>
    <row r="1265" spans="1:18" x14ac:dyDescent="0.3">
      <c r="A1265">
        <v>405</v>
      </c>
      <c r="B1265" t="s">
        <v>1126</v>
      </c>
      <c r="C1265" t="s">
        <v>1110</v>
      </c>
      <c r="D1265" t="s">
        <v>27</v>
      </c>
      <c r="E1265" t="s">
        <v>22</v>
      </c>
      <c r="F1265" s="79">
        <v>45291</v>
      </c>
      <c r="G1265">
        <v>2023</v>
      </c>
      <c r="H1265" t="s">
        <v>23</v>
      </c>
      <c r="I1265" t="s">
        <v>28</v>
      </c>
      <c r="J1265">
        <v>50</v>
      </c>
      <c r="K1265">
        <v>62</v>
      </c>
      <c r="L1265" s="39">
        <f t="shared" si="95"/>
        <v>1.24</v>
      </c>
      <c r="M1265" s="39">
        <f t="shared" si="96"/>
        <v>1.24</v>
      </c>
      <c r="N1265" t="s">
        <v>25</v>
      </c>
      <c r="O1265" t="s">
        <v>25</v>
      </c>
      <c r="P1265">
        <v>0</v>
      </c>
      <c r="Q1265">
        <v>0</v>
      </c>
      <c r="R1265" t="s">
        <v>1127</v>
      </c>
    </row>
    <row r="1266" spans="1:18" x14ac:dyDescent="0.3">
      <c r="A1266">
        <v>405</v>
      </c>
      <c r="B1266" t="s">
        <v>1126</v>
      </c>
      <c r="C1266" t="s">
        <v>1110</v>
      </c>
      <c r="D1266" t="s">
        <v>27</v>
      </c>
      <c r="E1266" t="s">
        <v>22</v>
      </c>
      <c r="F1266" s="79">
        <v>45473</v>
      </c>
      <c r="G1266">
        <v>2024</v>
      </c>
      <c r="H1266" t="s">
        <v>699</v>
      </c>
      <c r="I1266" t="s">
        <v>729</v>
      </c>
      <c r="J1266">
        <v>100</v>
      </c>
      <c r="K1266">
        <v>97.39</v>
      </c>
      <c r="L1266" s="39">
        <f t="shared" si="95"/>
        <v>0.97389999999999999</v>
      </c>
      <c r="M1266" s="39">
        <f t="shared" si="96"/>
        <v>0.97389999999999999</v>
      </c>
      <c r="P1266">
        <v>0</v>
      </c>
      <c r="Q1266">
        <v>0</v>
      </c>
      <c r="R1266" t="s">
        <v>2859</v>
      </c>
    </row>
    <row r="1267" spans="1:18" x14ac:dyDescent="0.3">
      <c r="A1267">
        <v>405</v>
      </c>
      <c r="B1267" t="s">
        <v>1126</v>
      </c>
      <c r="C1267" t="s">
        <v>1110</v>
      </c>
      <c r="D1267" t="s">
        <v>27</v>
      </c>
      <c r="E1267" t="s">
        <v>22</v>
      </c>
      <c r="F1267" s="79">
        <v>45657</v>
      </c>
      <c r="G1267">
        <v>2024</v>
      </c>
      <c r="H1267" t="s">
        <v>23</v>
      </c>
      <c r="I1267" t="s">
        <v>30</v>
      </c>
      <c r="J1267">
        <v>100</v>
      </c>
      <c r="K1267">
        <v>98</v>
      </c>
      <c r="L1267" s="39">
        <f t="shared" si="95"/>
        <v>0.98</v>
      </c>
      <c r="M1267" s="39">
        <f t="shared" si="96"/>
        <v>0.98</v>
      </c>
      <c r="P1267">
        <v>0</v>
      </c>
      <c r="Q1267">
        <v>0</v>
      </c>
      <c r="R1267" t="s">
        <v>1128</v>
      </c>
    </row>
    <row r="1268" spans="1:18" x14ac:dyDescent="0.3">
      <c r="A1268">
        <v>406</v>
      </c>
      <c r="B1268" t="s">
        <v>1129</v>
      </c>
      <c r="C1268" t="s">
        <v>819</v>
      </c>
      <c r="D1268" t="s">
        <v>27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5</v>
      </c>
      <c r="K1268">
        <v>5</v>
      </c>
      <c r="L1268" s="39">
        <f t="shared" si="95"/>
        <v>1</v>
      </c>
      <c r="M1268" s="39">
        <f t="shared" si="96"/>
        <v>1</v>
      </c>
      <c r="P1268">
        <v>0</v>
      </c>
      <c r="Q1268">
        <v>0</v>
      </c>
      <c r="R1268" t="s">
        <v>1130</v>
      </c>
    </row>
    <row r="1269" spans="1:18" x14ac:dyDescent="0.3">
      <c r="A1269">
        <v>406</v>
      </c>
      <c r="B1269" t="s">
        <v>1129</v>
      </c>
      <c r="C1269" t="s">
        <v>644</v>
      </c>
      <c r="D1269" t="s">
        <v>27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0</v>
      </c>
      <c r="K1269">
        <v>3</v>
      </c>
      <c r="L1269" s="39" t="str">
        <f t="shared" si="95"/>
        <v/>
      </c>
      <c r="M1269" s="39" t="str">
        <f t="shared" si="96"/>
        <v/>
      </c>
      <c r="P1269">
        <v>0</v>
      </c>
      <c r="Q1269">
        <v>0</v>
      </c>
      <c r="R1269" t="s">
        <v>2860</v>
      </c>
    </row>
    <row r="1270" spans="1:18" x14ac:dyDescent="0.3">
      <c r="A1270">
        <v>406</v>
      </c>
      <c r="B1270" t="s">
        <v>1129</v>
      </c>
      <c r="C1270" t="s">
        <v>644</v>
      </c>
      <c r="D1270" t="s">
        <v>27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0</v>
      </c>
      <c r="L1270" s="39"/>
      <c r="M1270" s="39"/>
      <c r="N1270" t="s">
        <v>128</v>
      </c>
      <c r="O1270" t="s">
        <v>1949</v>
      </c>
      <c r="P1270">
        <v>0</v>
      </c>
      <c r="Q1270">
        <v>0</v>
      </c>
      <c r="R1270" t="s">
        <v>1131</v>
      </c>
    </row>
    <row r="1271" spans="1:18" x14ac:dyDescent="0.3">
      <c r="A1271">
        <v>407</v>
      </c>
      <c r="B1271" t="s">
        <v>1132</v>
      </c>
      <c r="C1271" t="s">
        <v>819</v>
      </c>
      <c r="D1271" t="s">
        <v>27</v>
      </c>
      <c r="E1271" t="s">
        <v>22</v>
      </c>
      <c r="F1271" s="79">
        <v>45291</v>
      </c>
      <c r="G1271">
        <v>2023</v>
      </c>
      <c r="H1271" t="s">
        <v>23</v>
      </c>
      <c r="I1271" t="s">
        <v>28</v>
      </c>
      <c r="J1271">
        <v>3</v>
      </c>
      <c r="K1271">
        <v>3</v>
      </c>
      <c r="L1271" s="39">
        <f>IFERROR(IF(OR(J1271=0,K1271=""),"",IF(E1271="Positivo",MIN(MAX(K1271/J1271,0),1.3),MIN(MAX(J1271/K1271,0),1.3))),"")</f>
        <v>1</v>
      </c>
      <c r="M1271" s="39">
        <f>IFERROR(IF(OR(J1271=0,K1271=""),"",IF(E1271="Positivo",MAX(K1271/J1271,0),MAX(J1271/K1271,0))),"")</f>
        <v>1</v>
      </c>
      <c r="P1271">
        <v>0</v>
      </c>
      <c r="Q1271">
        <v>0</v>
      </c>
      <c r="R1271" t="s">
        <v>1133</v>
      </c>
    </row>
    <row r="1272" spans="1:18" x14ac:dyDescent="0.3">
      <c r="A1272">
        <v>407</v>
      </c>
      <c r="B1272" t="s">
        <v>1132</v>
      </c>
      <c r="C1272" t="s">
        <v>644</v>
      </c>
      <c r="D1272" t="s">
        <v>27</v>
      </c>
      <c r="E1272" t="s">
        <v>22</v>
      </c>
      <c r="F1272" s="79">
        <v>45473</v>
      </c>
      <c r="G1272">
        <v>2024</v>
      </c>
      <c r="H1272" t="s">
        <v>699</v>
      </c>
      <c r="I1272" t="s">
        <v>729</v>
      </c>
      <c r="L1272" s="39"/>
      <c r="M1272" s="39"/>
      <c r="P1272">
        <v>0</v>
      </c>
      <c r="Q1272">
        <v>0</v>
      </c>
      <c r="R1272" t="s">
        <v>3260</v>
      </c>
    </row>
    <row r="1273" spans="1:18" x14ac:dyDescent="0.3">
      <c r="A1273">
        <v>407</v>
      </c>
      <c r="B1273" t="s">
        <v>1132</v>
      </c>
      <c r="C1273" t="s">
        <v>644</v>
      </c>
      <c r="D1273" t="s">
        <v>27</v>
      </c>
      <c r="E1273" t="s">
        <v>22</v>
      </c>
      <c r="F1273" s="79">
        <v>45657</v>
      </c>
      <c r="G1273">
        <v>2024</v>
      </c>
      <c r="H1273" t="s">
        <v>23</v>
      </c>
      <c r="I1273" t="s">
        <v>30</v>
      </c>
      <c r="J1273">
        <v>100</v>
      </c>
      <c r="L1273" s="39"/>
      <c r="M1273" s="39"/>
      <c r="N1273" t="s">
        <v>128</v>
      </c>
      <c r="O1273" t="s">
        <v>1949</v>
      </c>
      <c r="P1273">
        <v>0</v>
      </c>
      <c r="Q1273">
        <v>0</v>
      </c>
      <c r="R1273" t="s">
        <v>1134</v>
      </c>
    </row>
    <row r="1274" spans="1:18" x14ac:dyDescent="0.3">
      <c r="A1274">
        <v>408</v>
      </c>
      <c r="B1274" t="s">
        <v>1135</v>
      </c>
      <c r="C1274" t="s">
        <v>819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1136</v>
      </c>
    </row>
    <row r="1275" spans="1:18" x14ac:dyDescent="0.3">
      <c r="A1275">
        <v>408</v>
      </c>
      <c r="B1275" t="s">
        <v>1135</v>
      </c>
      <c r="C1275" t="s">
        <v>819</v>
      </c>
      <c r="D1275" t="s">
        <v>27</v>
      </c>
      <c r="E1275" t="s">
        <v>22</v>
      </c>
      <c r="F1275" s="79">
        <v>45473</v>
      </c>
      <c r="G1275">
        <v>2024</v>
      </c>
      <c r="H1275" t="s">
        <v>699</v>
      </c>
      <c r="I1275" t="s">
        <v>729</v>
      </c>
      <c r="J1275">
        <v>100</v>
      </c>
      <c r="L1275" s="39"/>
      <c r="M1275" s="39"/>
      <c r="P1275">
        <v>0</v>
      </c>
      <c r="Q1275">
        <v>0</v>
      </c>
      <c r="R1275" t="s">
        <v>2862</v>
      </c>
    </row>
    <row r="1276" spans="1:18" x14ac:dyDescent="0.3">
      <c r="A1276">
        <v>408</v>
      </c>
      <c r="B1276" t="s">
        <v>1135</v>
      </c>
      <c r="C1276" t="s">
        <v>819</v>
      </c>
      <c r="D1276" t="s">
        <v>27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 t="shared" ref="L1276:L1284" si="97">IFERROR(IF(OR(J1276=0,K1276=""),"",IF(E1276="Positivo",MIN(MAX(K1276/J1276,0),1.3),MIN(MAX(J1276/K1276,0),1.3))),"")</f>
        <v>1</v>
      </c>
      <c r="M1276" s="39">
        <f t="shared" ref="M1276:M1284" si="98">IFERROR(IF(OR(J1276=0,K1276=""),"",IF(E1276="Positivo",MAX(K1276/J1276,0),MAX(J1276/K1276,0))),"")</f>
        <v>1</v>
      </c>
      <c r="P1276">
        <v>0</v>
      </c>
      <c r="Q1276">
        <v>0</v>
      </c>
      <c r="R1276" t="s">
        <v>1137</v>
      </c>
    </row>
    <row r="1277" spans="1:18" x14ac:dyDescent="0.3">
      <c r="A1277">
        <v>408</v>
      </c>
      <c r="B1277" t="s">
        <v>1135</v>
      </c>
      <c r="C1277" t="s">
        <v>819</v>
      </c>
      <c r="D1277" t="s">
        <v>21</v>
      </c>
      <c r="E1277" t="s">
        <v>22</v>
      </c>
      <c r="F1277" s="79">
        <v>45838</v>
      </c>
      <c r="G1277">
        <v>2025</v>
      </c>
      <c r="H1277" t="s">
        <v>699</v>
      </c>
      <c r="I1277" t="s">
        <v>700</v>
      </c>
      <c r="J1277">
        <v>100</v>
      </c>
      <c r="K1277">
        <v>100</v>
      </c>
      <c r="L1277" s="39">
        <f t="shared" si="97"/>
        <v>1</v>
      </c>
      <c r="M1277" s="39">
        <f t="shared" si="98"/>
        <v>1</v>
      </c>
      <c r="N1277" t="s">
        <v>128</v>
      </c>
      <c r="O1277" t="s">
        <v>128</v>
      </c>
      <c r="P1277">
        <v>0</v>
      </c>
      <c r="Q1277">
        <v>0</v>
      </c>
      <c r="R1277" t="s">
        <v>2863</v>
      </c>
    </row>
    <row r="1278" spans="1:18" x14ac:dyDescent="0.3">
      <c r="A1278">
        <v>408</v>
      </c>
      <c r="B1278" t="s">
        <v>1135</v>
      </c>
      <c r="C1278" t="s">
        <v>819</v>
      </c>
      <c r="D1278" t="s">
        <v>21</v>
      </c>
      <c r="E1278" t="s">
        <v>22</v>
      </c>
      <c r="F1278" s="79">
        <v>46022</v>
      </c>
      <c r="G1278">
        <v>2025</v>
      </c>
      <c r="H1278" t="s">
        <v>23</v>
      </c>
      <c r="I1278" t="s">
        <v>32</v>
      </c>
      <c r="J1278">
        <v>100</v>
      </c>
      <c r="K1278">
        <v>100</v>
      </c>
      <c r="L1278" s="39">
        <f t="shared" si="97"/>
        <v>1</v>
      </c>
      <c r="M1278" s="39">
        <f t="shared" si="98"/>
        <v>1</v>
      </c>
      <c r="N1278" t="s">
        <v>128</v>
      </c>
      <c r="O1278" t="s">
        <v>128</v>
      </c>
      <c r="P1278">
        <v>0</v>
      </c>
      <c r="Q1278">
        <v>0</v>
      </c>
      <c r="R1278" t="s">
        <v>1138</v>
      </c>
    </row>
    <row r="1279" spans="1:18" x14ac:dyDescent="0.3">
      <c r="A1279">
        <v>409</v>
      </c>
      <c r="B1279" t="s">
        <v>1139</v>
      </c>
      <c r="C1279" t="s">
        <v>595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80</v>
      </c>
      <c r="K1279">
        <v>103.71885459278499</v>
      </c>
      <c r="L1279" s="39">
        <f t="shared" si="97"/>
        <v>1.2964856824098123</v>
      </c>
      <c r="M1279" s="39">
        <f t="shared" si="98"/>
        <v>1.2964856824098123</v>
      </c>
      <c r="N1279" t="s">
        <v>25</v>
      </c>
      <c r="O1279" t="s">
        <v>25</v>
      </c>
      <c r="P1279">
        <v>0</v>
      </c>
      <c r="Q1279">
        <v>0</v>
      </c>
      <c r="R1279" t="s">
        <v>2864</v>
      </c>
    </row>
    <row r="1280" spans="1:18" x14ac:dyDescent="0.3">
      <c r="A1280">
        <v>409</v>
      </c>
      <c r="B1280" t="s">
        <v>1139</v>
      </c>
      <c r="C1280" t="s">
        <v>595</v>
      </c>
      <c r="D1280" t="s">
        <v>21</v>
      </c>
      <c r="E1280" t="s">
        <v>22</v>
      </c>
      <c r="F1280" s="79">
        <v>45291</v>
      </c>
      <c r="G1280">
        <v>2023</v>
      </c>
      <c r="H1280" t="s">
        <v>23</v>
      </c>
      <c r="I1280" t="s">
        <v>28</v>
      </c>
      <c r="J1280">
        <v>160</v>
      </c>
      <c r="K1280">
        <v>203.71885459278539</v>
      </c>
      <c r="L1280" s="39">
        <f t="shared" si="97"/>
        <v>1.2732428412049086</v>
      </c>
      <c r="M1280" s="39">
        <f t="shared" si="98"/>
        <v>1.2732428412049086</v>
      </c>
      <c r="N1280" t="s">
        <v>25</v>
      </c>
      <c r="O1280" t="s">
        <v>25</v>
      </c>
      <c r="P1280">
        <v>0</v>
      </c>
      <c r="Q1280">
        <v>0</v>
      </c>
      <c r="R1280" t="s">
        <v>1140</v>
      </c>
    </row>
    <row r="1281" spans="1:18" x14ac:dyDescent="0.3">
      <c r="A1281">
        <v>409</v>
      </c>
      <c r="B1281" t="s">
        <v>1139</v>
      </c>
      <c r="C1281" t="s">
        <v>595</v>
      </c>
      <c r="D1281" t="s">
        <v>21</v>
      </c>
      <c r="E1281" t="s">
        <v>22</v>
      </c>
      <c r="F1281" s="79">
        <v>45473</v>
      </c>
      <c r="G1281">
        <v>2024</v>
      </c>
      <c r="H1281" t="s">
        <v>699</v>
      </c>
      <c r="I1281" t="s">
        <v>729</v>
      </c>
      <c r="J1281">
        <v>190</v>
      </c>
      <c r="K1281">
        <v>196.51883947156031</v>
      </c>
      <c r="L1281" s="39">
        <f t="shared" si="97"/>
        <v>1.0343096814292647</v>
      </c>
      <c r="M1281" s="39">
        <f t="shared" si="98"/>
        <v>1.0343096814292647</v>
      </c>
      <c r="P1281">
        <v>0</v>
      </c>
      <c r="Q1281">
        <v>0</v>
      </c>
      <c r="R1281" t="s">
        <v>2867</v>
      </c>
    </row>
    <row r="1282" spans="1:18" x14ac:dyDescent="0.3">
      <c r="A1282">
        <v>409</v>
      </c>
      <c r="B1282" t="s">
        <v>1139</v>
      </c>
      <c r="C1282" t="s">
        <v>595</v>
      </c>
      <c r="D1282" t="s">
        <v>21</v>
      </c>
      <c r="E1282" t="s">
        <v>22</v>
      </c>
      <c r="F1282" s="79">
        <v>45657</v>
      </c>
      <c r="G1282">
        <v>2024</v>
      </c>
      <c r="H1282" t="s">
        <v>23</v>
      </c>
      <c r="I1282" t="s">
        <v>30</v>
      </c>
      <c r="J1282">
        <v>190</v>
      </c>
      <c r="K1282">
        <v>193.57962905038281</v>
      </c>
      <c r="L1282" s="39">
        <f t="shared" si="97"/>
        <v>1.0188401528967517</v>
      </c>
      <c r="M1282" s="39">
        <f t="shared" si="98"/>
        <v>1.0188401528967517</v>
      </c>
      <c r="P1282">
        <v>0</v>
      </c>
      <c r="Q1282">
        <v>0</v>
      </c>
      <c r="R1282" t="s">
        <v>1141</v>
      </c>
    </row>
    <row r="1283" spans="1:18" x14ac:dyDescent="0.3">
      <c r="A1283">
        <v>409</v>
      </c>
      <c r="B1283" t="s">
        <v>1139</v>
      </c>
      <c r="C1283" t="s">
        <v>595</v>
      </c>
      <c r="D1283" t="s">
        <v>27</v>
      </c>
      <c r="E1283" t="s">
        <v>22</v>
      </c>
      <c r="F1283" s="79">
        <v>45838</v>
      </c>
      <c r="G1283">
        <v>2025</v>
      </c>
      <c r="H1283" t="s">
        <v>699</v>
      </c>
      <c r="I1283" t="s">
        <v>700</v>
      </c>
      <c r="J1283">
        <v>95</v>
      </c>
      <c r="K1283">
        <v>100</v>
      </c>
      <c r="L1283" s="39">
        <f t="shared" si="97"/>
        <v>1.0526315789473684</v>
      </c>
      <c r="M1283" s="39">
        <f t="shared" si="98"/>
        <v>1.0526315789473684</v>
      </c>
      <c r="N1283" t="s">
        <v>25</v>
      </c>
      <c r="O1283" t="s">
        <v>25</v>
      </c>
      <c r="P1283">
        <v>0</v>
      </c>
      <c r="Q1283">
        <v>0</v>
      </c>
      <c r="R1283" t="s">
        <v>1142</v>
      </c>
    </row>
    <row r="1284" spans="1:18" x14ac:dyDescent="0.3">
      <c r="A1284">
        <v>410</v>
      </c>
      <c r="B1284" t="s">
        <v>1143</v>
      </c>
      <c r="C1284" t="s">
        <v>595</v>
      </c>
      <c r="D1284" t="s">
        <v>21</v>
      </c>
      <c r="E1284" t="s">
        <v>22</v>
      </c>
      <c r="F1284" s="79">
        <v>45291</v>
      </c>
      <c r="G1284">
        <v>2023</v>
      </c>
      <c r="H1284" t="s">
        <v>23</v>
      </c>
      <c r="I1284" t="s">
        <v>28</v>
      </c>
      <c r="J1284">
        <v>90</v>
      </c>
      <c r="K1284">
        <v>100</v>
      </c>
      <c r="L1284" s="39">
        <f t="shared" si="97"/>
        <v>1.1111111111111112</v>
      </c>
      <c r="M1284" s="39">
        <f t="shared" si="98"/>
        <v>1.1111111111111112</v>
      </c>
      <c r="N1284" t="s">
        <v>25</v>
      </c>
      <c r="O1284" t="s">
        <v>25</v>
      </c>
      <c r="P1284">
        <v>0</v>
      </c>
      <c r="Q1284">
        <v>0</v>
      </c>
      <c r="R1284" t="s">
        <v>1144</v>
      </c>
    </row>
    <row r="1285" spans="1:18" x14ac:dyDescent="0.3">
      <c r="A1285">
        <v>411</v>
      </c>
      <c r="B1285" t="s">
        <v>1145</v>
      </c>
      <c r="C1285" t="s">
        <v>1078</v>
      </c>
      <c r="D1285" t="s">
        <v>27</v>
      </c>
      <c r="E1285" t="s">
        <v>22</v>
      </c>
      <c r="F1285" s="79">
        <v>45107</v>
      </c>
      <c r="G1285">
        <v>2023</v>
      </c>
      <c r="H1285" t="s">
        <v>699</v>
      </c>
      <c r="I1285" t="s">
        <v>1512</v>
      </c>
      <c r="P1285">
        <v>0</v>
      </c>
      <c r="Q1285">
        <v>0</v>
      </c>
      <c r="R1285" t="s">
        <v>3261</v>
      </c>
    </row>
    <row r="1286" spans="1:18" x14ac:dyDescent="0.3">
      <c r="A1286">
        <v>411</v>
      </c>
      <c r="B1286" t="s">
        <v>1145</v>
      </c>
      <c r="C1286" t="s">
        <v>1078</v>
      </c>
      <c r="D1286" t="s">
        <v>27</v>
      </c>
      <c r="E1286" t="s">
        <v>22</v>
      </c>
      <c r="F1286" s="79">
        <v>45291</v>
      </c>
      <c r="G1286">
        <v>2023</v>
      </c>
      <c r="H1286" t="s">
        <v>23</v>
      </c>
      <c r="I1286" t="s">
        <v>28</v>
      </c>
      <c r="J1286">
        <v>100</v>
      </c>
      <c r="K1286">
        <v>100</v>
      </c>
      <c r="L1286" s="39">
        <f>IFERROR(IF(OR(J1286=0,K1286=""),"",IF(E1286="Positivo",MIN(MAX(K1286/J1286,0),1.3),MIN(MAX(J1286/K1286,0),1.3))),"")</f>
        <v>1</v>
      </c>
      <c r="M1286" s="39">
        <f>IFERROR(IF(OR(J1286=0,K1286=""),"",IF(E1286="Positivo",MAX(K1286/J1286,0),MAX(J1286/K1286,0))),"")</f>
        <v>1</v>
      </c>
      <c r="N1286" t="s">
        <v>25</v>
      </c>
      <c r="O1286" t="s">
        <v>25</v>
      </c>
      <c r="P1286">
        <v>0</v>
      </c>
      <c r="Q1286">
        <v>0</v>
      </c>
      <c r="R1286" t="s">
        <v>1146</v>
      </c>
    </row>
    <row r="1287" spans="1:18" x14ac:dyDescent="0.3">
      <c r="A1287">
        <v>412</v>
      </c>
      <c r="B1287" t="s">
        <v>1147</v>
      </c>
      <c r="C1287" t="s">
        <v>1078</v>
      </c>
      <c r="D1287" t="s">
        <v>71</v>
      </c>
      <c r="E1287" t="s">
        <v>22</v>
      </c>
      <c r="F1287" s="79">
        <v>45291</v>
      </c>
      <c r="G1287">
        <v>2023</v>
      </c>
      <c r="H1287" t="s">
        <v>23</v>
      </c>
      <c r="I1287" t="s">
        <v>28</v>
      </c>
      <c r="J1287">
        <v>100</v>
      </c>
      <c r="K1287">
        <v>100</v>
      </c>
      <c r="L1287" s="39">
        <f>IFERROR(IF(OR(J1287=0,K1287=""),"",IF(E1287="Positivo",MIN(MAX(K1287/J1287,0),1.3),MIN(MAX(J1287/K1287,0),1.3))),"")</f>
        <v>1</v>
      </c>
      <c r="M1287" s="39">
        <f>IFERROR(IF(OR(J1287=0,K1287=""),"",IF(E1287="Positivo",MAX(K1287/J1287,0),MAX(J1287/K1287,0))),"")</f>
        <v>1</v>
      </c>
      <c r="N1287" t="s">
        <v>25</v>
      </c>
      <c r="O1287" t="s">
        <v>25</v>
      </c>
      <c r="P1287">
        <v>0</v>
      </c>
      <c r="Q1287">
        <v>0</v>
      </c>
      <c r="R1287" t="s">
        <v>1148</v>
      </c>
    </row>
    <row r="1288" spans="1:18" x14ac:dyDescent="0.3">
      <c r="A1288">
        <v>412</v>
      </c>
      <c r="B1288" t="s">
        <v>1149</v>
      </c>
      <c r="C1288" t="s">
        <v>1078</v>
      </c>
      <c r="D1288" t="s">
        <v>71</v>
      </c>
      <c r="E1288" t="s">
        <v>22</v>
      </c>
      <c r="F1288" s="79">
        <v>45657</v>
      </c>
      <c r="G1288">
        <v>2024</v>
      </c>
      <c r="H1288" t="s">
        <v>23</v>
      </c>
      <c r="I1288" t="s">
        <v>30</v>
      </c>
      <c r="J1288">
        <v>100</v>
      </c>
      <c r="K1288">
        <v>100</v>
      </c>
      <c r="L1288" s="39">
        <f>IFERROR(IF(OR(J1288=0,K1288=""),"",IF(E1288="Positivo",MIN(MAX(K1288/J1288,0),1.3),MIN(MAX(J1288/K1288,0),1.3))),"")</f>
        <v>1</v>
      </c>
      <c r="M1288" s="39">
        <f>IFERROR(IF(OR(J1288=0,K1288=""),"",IF(E1288="Positivo",MAX(K1288/J1288,0),MAX(J1288/K1288,0))),"")</f>
        <v>1</v>
      </c>
      <c r="P1288">
        <v>0</v>
      </c>
      <c r="Q1288">
        <v>0</v>
      </c>
      <c r="R1288" t="s">
        <v>1150</v>
      </c>
    </row>
    <row r="1289" spans="1:18" x14ac:dyDescent="0.3">
      <c r="A1289">
        <v>413</v>
      </c>
      <c r="B1289" t="s">
        <v>1151</v>
      </c>
      <c r="C1289" t="s">
        <v>1078</v>
      </c>
      <c r="D1289" t="s">
        <v>71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K1289">
        <v>100</v>
      </c>
      <c r="L1289" s="39"/>
      <c r="M1289" s="39"/>
      <c r="N1289" t="s">
        <v>3246</v>
      </c>
      <c r="P1289">
        <v>0</v>
      </c>
      <c r="Q1289">
        <v>0</v>
      </c>
      <c r="R1289" t="s">
        <v>1152</v>
      </c>
    </row>
    <row r="1290" spans="1:18" x14ac:dyDescent="0.3">
      <c r="A1290">
        <v>413</v>
      </c>
      <c r="B1290" t="s">
        <v>1153</v>
      </c>
      <c r="C1290" t="s">
        <v>1078</v>
      </c>
      <c r="D1290" t="s">
        <v>71</v>
      </c>
      <c r="E1290" t="s">
        <v>22</v>
      </c>
      <c r="F1290" s="79">
        <v>45657</v>
      </c>
      <c r="G1290">
        <v>2024</v>
      </c>
      <c r="H1290" t="s">
        <v>23</v>
      </c>
      <c r="I1290" t="s">
        <v>30</v>
      </c>
      <c r="J1290">
        <v>100</v>
      </c>
      <c r="K1290">
        <v>100</v>
      </c>
      <c r="L1290" s="39">
        <f>IFERROR(IF(OR(J1290=0,K1290=""),"",IF(E1290="Positivo",MIN(MAX(K1290/J1290,0),1.3),MIN(MAX(J1290/K1290,0),1.3))),"")</f>
        <v>1</v>
      </c>
      <c r="M1290" s="39">
        <f t="shared" ref="M1290:M1331" si="99">IFERROR(IF(OR(J1290=0,K1290=""),"",IF(E1290="Positivo",MAX(K1290/J1290,0),MAX(J1290/K1290,0))),"")</f>
        <v>1</v>
      </c>
      <c r="P1290">
        <v>0</v>
      </c>
      <c r="Q1290">
        <v>0</v>
      </c>
      <c r="R1290" t="s">
        <v>1154</v>
      </c>
    </row>
    <row r="1291" spans="1:18" x14ac:dyDescent="0.3">
      <c r="A1291">
        <v>413</v>
      </c>
      <c r="B1291" t="s">
        <v>1153</v>
      </c>
      <c r="C1291" t="s">
        <v>1078</v>
      </c>
      <c r="D1291" t="s">
        <v>71</v>
      </c>
      <c r="E1291" t="s">
        <v>22</v>
      </c>
      <c r="F1291" s="79">
        <v>46022</v>
      </c>
      <c r="G1291">
        <v>2025</v>
      </c>
      <c r="H1291" t="s">
        <v>23</v>
      </c>
      <c r="I1291" t="s">
        <v>32</v>
      </c>
      <c r="J1291">
        <v>100</v>
      </c>
      <c r="K1291">
        <v>100</v>
      </c>
      <c r="L1291" s="39">
        <f>IFERROR(IF(OR(J1291=0,K1291=""),"",IF(E1291="Positivo",MIN(MAX(K1291/J1291,0),1.3),MIN(MAX(J1291/K1291,0),1.3))),"")</f>
        <v>1</v>
      </c>
      <c r="M1291" s="39">
        <f t="shared" si="99"/>
        <v>1</v>
      </c>
      <c r="N1291" t="s">
        <v>355</v>
      </c>
      <c r="O1291" t="s">
        <v>128</v>
      </c>
      <c r="P1291">
        <v>0</v>
      </c>
      <c r="Q1291">
        <v>0</v>
      </c>
      <c r="R1291" t="s">
        <v>1155</v>
      </c>
    </row>
    <row r="1292" spans="1:18" x14ac:dyDescent="0.3">
      <c r="A1292">
        <v>414</v>
      </c>
      <c r="B1292" t="s">
        <v>1156</v>
      </c>
      <c r="C1292" t="s">
        <v>567</v>
      </c>
      <c r="D1292" t="s">
        <v>21</v>
      </c>
      <c r="E1292" t="s">
        <v>22</v>
      </c>
      <c r="F1292" s="79">
        <v>45016</v>
      </c>
      <c r="G1292">
        <v>2023</v>
      </c>
      <c r="H1292" t="s">
        <v>1516</v>
      </c>
      <c r="I1292" t="s">
        <v>1512</v>
      </c>
      <c r="J1292">
        <v>100</v>
      </c>
      <c r="K1292">
        <v>0</v>
      </c>
      <c r="L1292" s="39">
        <f t="shared" ref="L1292:L1331" si="100">IFERROR(IF(OR(J1292=0,K1292=""),"",IF(E1292="Positivo",MIN(MAX(K1292/J1292,0),1),MIN(MAX(J1292/K1292,0),1))),"")</f>
        <v>0</v>
      </c>
      <c r="M1292" s="39">
        <f t="shared" si="99"/>
        <v>0</v>
      </c>
      <c r="P1292">
        <v>0</v>
      </c>
      <c r="Q1292">
        <v>0</v>
      </c>
      <c r="R1292" t="s">
        <v>2871</v>
      </c>
    </row>
    <row r="1293" spans="1:18" x14ac:dyDescent="0.3">
      <c r="A1293">
        <v>414</v>
      </c>
      <c r="B1293" t="s">
        <v>1156</v>
      </c>
      <c r="C1293" t="s">
        <v>567</v>
      </c>
      <c r="D1293" t="s">
        <v>21</v>
      </c>
      <c r="E1293" t="s">
        <v>22</v>
      </c>
      <c r="F1293" s="79">
        <v>45107</v>
      </c>
      <c r="G1293">
        <v>2023</v>
      </c>
      <c r="H1293" t="s">
        <v>699</v>
      </c>
      <c r="I1293" t="s">
        <v>1512</v>
      </c>
      <c r="J1293">
        <v>100</v>
      </c>
      <c r="K1293">
        <v>110.01</v>
      </c>
      <c r="L1293" s="39">
        <f t="shared" si="100"/>
        <v>1</v>
      </c>
      <c r="M1293" s="39">
        <f t="shared" si="99"/>
        <v>1.1001000000000001</v>
      </c>
      <c r="P1293">
        <v>0</v>
      </c>
      <c r="Q1293">
        <v>0</v>
      </c>
      <c r="R1293" t="s">
        <v>2872</v>
      </c>
    </row>
    <row r="1294" spans="1:18" x14ac:dyDescent="0.3">
      <c r="A1294">
        <v>414</v>
      </c>
      <c r="B1294" t="s">
        <v>1156</v>
      </c>
      <c r="C1294" t="s">
        <v>567</v>
      </c>
      <c r="D1294" t="s">
        <v>21</v>
      </c>
      <c r="E1294" t="s">
        <v>22</v>
      </c>
      <c r="F1294" s="79">
        <v>45199</v>
      </c>
      <c r="G1294">
        <v>2023</v>
      </c>
      <c r="H1294" t="s">
        <v>162</v>
      </c>
      <c r="I1294" t="s">
        <v>28</v>
      </c>
      <c r="J1294">
        <v>100</v>
      </c>
      <c r="K1294">
        <v>93.54</v>
      </c>
      <c r="L1294" s="39">
        <f t="shared" si="100"/>
        <v>0.93540000000000001</v>
      </c>
      <c r="M1294" s="39">
        <f t="shared" si="99"/>
        <v>0.93540000000000001</v>
      </c>
      <c r="P1294">
        <v>0</v>
      </c>
      <c r="Q1294">
        <v>0</v>
      </c>
      <c r="R1294" t="s">
        <v>2873</v>
      </c>
    </row>
    <row r="1295" spans="1:18" x14ac:dyDescent="0.3">
      <c r="A1295">
        <v>414</v>
      </c>
      <c r="B1295" t="s">
        <v>1156</v>
      </c>
      <c r="C1295" t="s">
        <v>567</v>
      </c>
      <c r="D1295" t="s">
        <v>21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96.28</v>
      </c>
      <c r="L1295" s="39">
        <f t="shared" si="100"/>
        <v>0.96279999999999999</v>
      </c>
      <c r="M1295" s="39">
        <f t="shared" si="99"/>
        <v>0.96279999999999999</v>
      </c>
      <c r="P1295">
        <v>0</v>
      </c>
      <c r="Q1295">
        <v>0</v>
      </c>
      <c r="R1295" t="s">
        <v>1157</v>
      </c>
    </row>
    <row r="1296" spans="1:18" x14ac:dyDescent="0.3">
      <c r="A1296">
        <v>414</v>
      </c>
      <c r="B1296" t="s">
        <v>1156</v>
      </c>
      <c r="C1296" t="s">
        <v>567</v>
      </c>
      <c r="D1296" t="s">
        <v>21</v>
      </c>
      <c r="E1296" t="s">
        <v>22</v>
      </c>
      <c r="F1296" s="79">
        <v>45473</v>
      </c>
      <c r="G1296">
        <v>2024</v>
      </c>
      <c r="H1296" t="s">
        <v>699</v>
      </c>
      <c r="I1296" t="s">
        <v>729</v>
      </c>
      <c r="J1296">
        <v>100</v>
      </c>
      <c r="K1296">
        <v>100.06</v>
      </c>
      <c r="L1296" s="39">
        <f t="shared" si="100"/>
        <v>1</v>
      </c>
      <c r="M1296" s="39">
        <f t="shared" si="99"/>
        <v>1.0005999999999999</v>
      </c>
      <c r="P1296">
        <v>0</v>
      </c>
      <c r="Q1296">
        <v>0</v>
      </c>
      <c r="R1296" t="s">
        <v>2875</v>
      </c>
    </row>
    <row r="1297" spans="1:18" x14ac:dyDescent="0.3">
      <c r="A1297">
        <v>414</v>
      </c>
      <c r="B1297" t="s">
        <v>1156</v>
      </c>
      <c r="C1297" t="s">
        <v>567</v>
      </c>
      <c r="D1297" t="s">
        <v>21</v>
      </c>
      <c r="E1297" t="s">
        <v>22</v>
      </c>
      <c r="F1297" s="79">
        <v>45657</v>
      </c>
      <c r="G1297">
        <v>2024</v>
      </c>
      <c r="H1297" t="s">
        <v>23</v>
      </c>
      <c r="I1297" t="s">
        <v>30</v>
      </c>
      <c r="J1297">
        <v>100</v>
      </c>
      <c r="K1297">
        <v>98.78</v>
      </c>
      <c r="L1297" s="39">
        <f t="shared" si="100"/>
        <v>0.98780000000000001</v>
      </c>
      <c r="M1297" s="39">
        <f t="shared" si="99"/>
        <v>0.98780000000000001</v>
      </c>
      <c r="P1297">
        <v>0</v>
      </c>
      <c r="Q1297">
        <v>0</v>
      </c>
      <c r="R1297" t="s">
        <v>1158</v>
      </c>
    </row>
    <row r="1298" spans="1:18" x14ac:dyDescent="0.3">
      <c r="A1298">
        <v>414</v>
      </c>
      <c r="B1298" t="s">
        <v>1156</v>
      </c>
      <c r="C1298" t="s">
        <v>567</v>
      </c>
      <c r="D1298" t="s">
        <v>27</v>
      </c>
      <c r="E1298" t="s">
        <v>22</v>
      </c>
      <c r="F1298" s="79">
        <v>45838</v>
      </c>
      <c r="G1298">
        <v>2025</v>
      </c>
      <c r="H1298" t="s">
        <v>699</v>
      </c>
      <c r="I1298" t="s">
        <v>700</v>
      </c>
      <c r="J1298">
        <v>100</v>
      </c>
      <c r="K1298">
        <v>108.55</v>
      </c>
      <c r="L1298" s="39">
        <f t="shared" si="100"/>
        <v>1</v>
      </c>
      <c r="M1298" s="39">
        <f t="shared" si="99"/>
        <v>1.0854999999999999</v>
      </c>
      <c r="N1298" t="s">
        <v>25</v>
      </c>
      <c r="O1298" t="s">
        <v>25</v>
      </c>
      <c r="P1298">
        <v>0</v>
      </c>
      <c r="Q1298">
        <v>0</v>
      </c>
      <c r="R1298" t="s">
        <v>2878</v>
      </c>
    </row>
    <row r="1299" spans="1:18" x14ac:dyDescent="0.3">
      <c r="A1299">
        <v>414</v>
      </c>
      <c r="B1299" t="s">
        <v>1156</v>
      </c>
      <c r="C1299" t="s">
        <v>567</v>
      </c>
      <c r="D1299" t="s">
        <v>27</v>
      </c>
      <c r="E1299" t="s">
        <v>22</v>
      </c>
      <c r="F1299" s="79">
        <v>46022</v>
      </c>
      <c r="G1299">
        <v>2025</v>
      </c>
      <c r="H1299" t="s">
        <v>23</v>
      </c>
      <c r="I1299" t="s">
        <v>32</v>
      </c>
      <c r="J1299">
        <v>100</v>
      </c>
      <c r="K1299">
        <v>98.87</v>
      </c>
      <c r="L1299" s="39">
        <f t="shared" si="100"/>
        <v>0.98870000000000002</v>
      </c>
      <c r="M1299" s="39">
        <f t="shared" si="99"/>
        <v>0.98870000000000002</v>
      </c>
      <c r="N1299" t="s">
        <v>25</v>
      </c>
      <c r="O1299" t="s">
        <v>25</v>
      </c>
      <c r="P1299">
        <v>0</v>
      </c>
      <c r="Q1299">
        <v>0</v>
      </c>
      <c r="R1299" t="s">
        <v>1159</v>
      </c>
    </row>
    <row r="1300" spans="1:18" x14ac:dyDescent="0.3">
      <c r="A1300">
        <v>415</v>
      </c>
      <c r="B1300" t="s">
        <v>1160</v>
      </c>
      <c r="C1300" t="s">
        <v>567</v>
      </c>
      <c r="D1300" t="s">
        <v>21</v>
      </c>
      <c r="E1300" t="s">
        <v>22</v>
      </c>
      <c r="F1300" s="79">
        <v>45016</v>
      </c>
      <c r="G1300">
        <v>2023</v>
      </c>
      <c r="H1300" t="s">
        <v>1516</v>
      </c>
      <c r="I1300" t="s">
        <v>1512</v>
      </c>
      <c r="J1300">
        <v>100</v>
      </c>
      <c r="K1300">
        <v>0</v>
      </c>
      <c r="L1300" s="39">
        <f t="shared" si="100"/>
        <v>0</v>
      </c>
      <c r="M1300" s="39">
        <f t="shared" si="99"/>
        <v>0</v>
      </c>
      <c r="P1300">
        <v>0</v>
      </c>
      <c r="Q1300">
        <v>0</v>
      </c>
      <c r="R1300" t="s">
        <v>2880</v>
      </c>
    </row>
    <row r="1301" spans="1:18" x14ac:dyDescent="0.3">
      <c r="A1301">
        <v>415</v>
      </c>
      <c r="B1301" t="s">
        <v>1160</v>
      </c>
      <c r="C1301" t="s">
        <v>567</v>
      </c>
      <c r="D1301" t="s">
        <v>21</v>
      </c>
      <c r="E1301" t="s">
        <v>22</v>
      </c>
      <c r="F1301" s="79">
        <v>45107</v>
      </c>
      <c r="G1301">
        <v>2023</v>
      </c>
      <c r="H1301" t="s">
        <v>699</v>
      </c>
      <c r="I1301" t="s">
        <v>1512</v>
      </c>
      <c r="J1301">
        <v>100</v>
      </c>
      <c r="K1301">
        <v>94.04</v>
      </c>
      <c r="L1301" s="39">
        <f t="shared" si="100"/>
        <v>0.94040000000000001</v>
      </c>
      <c r="M1301" s="39">
        <f t="shared" si="99"/>
        <v>0.94040000000000001</v>
      </c>
      <c r="P1301">
        <v>0</v>
      </c>
      <c r="Q1301">
        <v>0</v>
      </c>
      <c r="R1301" t="s">
        <v>2881</v>
      </c>
    </row>
    <row r="1302" spans="1:18" x14ac:dyDescent="0.3">
      <c r="A1302">
        <v>415</v>
      </c>
      <c r="B1302" t="s">
        <v>1160</v>
      </c>
      <c r="C1302" t="s">
        <v>567</v>
      </c>
      <c r="D1302" t="s">
        <v>21</v>
      </c>
      <c r="E1302" t="s">
        <v>22</v>
      </c>
      <c r="F1302" s="79">
        <v>45199</v>
      </c>
      <c r="G1302">
        <v>2023</v>
      </c>
      <c r="H1302" t="s">
        <v>162</v>
      </c>
      <c r="I1302" t="s">
        <v>28</v>
      </c>
      <c r="J1302">
        <v>100</v>
      </c>
      <c r="K1302">
        <v>93.94</v>
      </c>
      <c r="L1302" s="39">
        <f t="shared" si="100"/>
        <v>0.93940000000000001</v>
      </c>
      <c r="M1302" s="39">
        <f t="shared" si="99"/>
        <v>0.93940000000000001</v>
      </c>
      <c r="P1302">
        <v>0</v>
      </c>
      <c r="Q1302">
        <v>0</v>
      </c>
      <c r="R1302" t="s">
        <v>2882</v>
      </c>
    </row>
    <row r="1303" spans="1:18" x14ac:dyDescent="0.3">
      <c r="A1303">
        <v>415</v>
      </c>
      <c r="B1303" t="s">
        <v>1160</v>
      </c>
      <c r="C1303" t="s">
        <v>567</v>
      </c>
      <c r="D1303" t="s">
        <v>21</v>
      </c>
      <c r="E1303" t="s">
        <v>22</v>
      </c>
      <c r="F1303" s="79">
        <v>45291</v>
      </c>
      <c r="G1303">
        <v>2023</v>
      </c>
      <c r="H1303" t="s">
        <v>23</v>
      </c>
      <c r="I1303" t="s">
        <v>28</v>
      </c>
      <c r="J1303">
        <v>100</v>
      </c>
      <c r="K1303">
        <v>96</v>
      </c>
      <c r="L1303" s="39">
        <f t="shared" si="100"/>
        <v>0.96</v>
      </c>
      <c r="M1303" s="39">
        <f t="shared" si="99"/>
        <v>0.96</v>
      </c>
      <c r="P1303">
        <v>0</v>
      </c>
      <c r="Q1303">
        <v>0</v>
      </c>
      <c r="R1303" t="s">
        <v>1161</v>
      </c>
    </row>
    <row r="1304" spans="1:18" x14ac:dyDescent="0.3">
      <c r="A1304">
        <v>415</v>
      </c>
      <c r="B1304" t="s">
        <v>1160</v>
      </c>
      <c r="C1304" t="s">
        <v>567</v>
      </c>
      <c r="D1304" t="s">
        <v>21</v>
      </c>
      <c r="E1304" t="s">
        <v>22</v>
      </c>
      <c r="F1304" s="79">
        <v>45473</v>
      </c>
      <c r="G1304">
        <v>2024</v>
      </c>
      <c r="H1304" t="s">
        <v>699</v>
      </c>
      <c r="I1304" t="s">
        <v>729</v>
      </c>
      <c r="J1304">
        <v>100</v>
      </c>
      <c r="K1304">
        <v>93.04</v>
      </c>
      <c r="L1304" s="39">
        <f t="shared" si="100"/>
        <v>0.93040000000000012</v>
      </c>
      <c r="M1304" s="39">
        <f t="shared" si="99"/>
        <v>0.93040000000000012</v>
      </c>
      <c r="P1304">
        <v>0</v>
      </c>
      <c r="Q1304">
        <v>0</v>
      </c>
      <c r="R1304" t="s">
        <v>2884</v>
      </c>
    </row>
    <row r="1305" spans="1:18" x14ac:dyDescent="0.3">
      <c r="A1305">
        <v>415</v>
      </c>
      <c r="B1305" t="s">
        <v>1160</v>
      </c>
      <c r="C1305" t="s">
        <v>567</v>
      </c>
      <c r="D1305" t="s">
        <v>21</v>
      </c>
      <c r="E1305" t="s">
        <v>22</v>
      </c>
      <c r="F1305" s="79">
        <v>45657</v>
      </c>
      <c r="G1305">
        <v>2024</v>
      </c>
      <c r="H1305" t="s">
        <v>23</v>
      </c>
      <c r="I1305" t="s">
        <v>30</v>
      </c>
      <c r="J1305">
        <v>100</v>
      </c>
      <c r="K1305">
        <v>98.36</v>
      </c>
      <c r="L1305" s="39">
        <f t="shared" si="100"/>
        <v>0.98360000000000003</v>
      </c>
      <c r="M1305" s="39">
        <f t="shared" si="99"/>
        <v>0.98360000000000003</v>
      </c>
      <c r="P1305">
        <v>0</v>
      </c>
      <c r="Q1305">
        <v>0</v>
      </c>
      <c r="R1305" t="s">
        <v>1162</v>
      </c>
    </row>
    <row r="1306" spans="1:18" x14ac:dyDescent="0.3">
      <c r="A1306">
        <v>415</v>
      </c>
      <c r="B1306" t="s">
        <v>1160</v>
      </c>
      <c r="C1306" t="s">
        <v>567</v>
      </c>
      <c r="D1306" t="s">
        <v>27</v>
      </c>
      <c r="E1306" t="s">
        <v>22</v>
      </c>
      <c r="F1306" s="79">
        <v>45838</v>
      </c>
      <c r="G1306">
        <v>2025</v>
      </c>
      <c r="H1306" t="s">
        <v>699</v>
      </c>
      <c r="I1306" t="s">
        <v>700</v>
      </c>
      <c r="J1306">
        <v>100</v>
      </c>
      <c r="K1306">
        <v>96.44</v>
      </c>
      <c r="L1306" s="39">
        <f t="shared" si="100"/>
        <v>0.96439999999999992</v>
      </c>
      <c r="M1306" s="39">
        <f t="shared" si="99"/>
        <v>0.96439999999999992</v>
      </c>
      <c r="N1306" t="s">
        <v>25</v>
      </c>
      <c r="O1306" t="s">
        <v>25</v>
      </c>
      <c r="P1306">
        <v>0</v>
      </c>
      <c r="Q1306">
        <v>0</v>
      </c>
      <c r="R1306" t="s">
        <v>2887</v>
      </c>
    </row>
    <row r="1307" spans="1:18" x14ac:dyDescent="0.3">
      <c r="A1307">
        <v>415</v>
      </c>
      <c r="B1307" t="s">
        <v>1160</v>
      </c>
      <c r="C1307" t="s">
        <v>567</v>
      </c>
      <c r="D1307" t="s">
        <v>27</v>
      </c>
      <c r="E1307" t="s">
        <v>22</v>
      </c>
      <c r="F1307" s="79">
        <v>46022</v>
      </c>
      <c r="G1307">
        <v>2025</v>
      </c>
      <c r="H1307" t="s">
        <v>23</v>
      </c>
      <c r="I1307" t="s">
        <v>32</v>
      </c>
      <c r="J1307">
        <v>100</v>
      </c>
      <c r="K1307">
        <v>99.3</v>
      </c>
      <c r="L1307" s="39">
        <f t="shared" si="100"/>
        <v>0.99299999999999999</v>
      </c>
      <c r="M1307" s="39">
        <f t="shared" si="99"/>
        <v>0.99299999999999999</v>
      </c>
      <c r="N1307" t="s">
        <v>25</v>
      </c>
      <c r="O1307" t="s">
        <v>25</v>
      </c>
      <c r="P1307">
        <v>0</v>
      </c>
      <c r="Q1307">
        <v>0</v>
      </c>
      <c r="R1307" t="s">
        <v>1163</v>
      </c>
    </row>
    <row r="1308" spans="1:18" x14ac:dyDescent="0.3">
      <c r="A1308">
        <v>416</v>
      </c>
      <c r="B1308" t="s">
        <v>1164</v>
      </c>
      <c r="C1308" t="s">
        <v>567</v>
      </c>
      <c r="D1308" t="s">
        <v>21</v>
      </c>
      <c r="E1308" t="s">
        <v>22</v>
      </c>
      <c r="F1308" s="79">
        <v>45016</v>
      </c>
      <c r="G1308">
        <v>2023</v>
      </c>
      <c r="H1308" t="s">
        <v>1516</v>
      </c>
      <c r="I1308" t="s">
        <v>1512</v>
      </c>
      <c r="J1308">
        <v>100</v>
      </c>
      <c r="K1308">
        <v>0</v>
      </c>
      <c r="L1308" s="39">
        <f t="shared" si="100"/>
        <v>0</v>
      </c>
      <c r="M1308" s="39">
        <f t="shared" si="99"/>
        <v>0</v>
      </c>
      <c r="P1308">
        <v>0</v>
      </c>
      <c r="Q1308">
        <v>0</v>
      </c>
      <c r="R1308" t="s">
        <v>2889</v>
      </c>
    </row>
    <row r="1309" spans="1:18" x14ac:dyDescent="0.3">
      <c r="A1309">
        <v>416</v>
      </c>
      <c r="B1309" t="s">
        <v>1164</v>
      </c>
      <c r="C1309" t="s">
        <v>567</v>
      </c>
      <c r="D1309" t="s">
        <v>21</v>
      </c>
      <c r="E1309" t="s">
        <v>22</v>
      </c>
      <c r="F1309" s="79">
        <v>45107</v>
      </c>
      <c r="G1309">
        <v>2023</v>
      </c>
      <c r="H1309" t="s">
        <v>699</v>
      </c>
      <c r="I1309" t="s">
        <v>1512</v>
      </c>
      <c r="J1309">
        <v>100</v>
      </c>
      <c r="K1309">
        <v>95.74</v>
      </c>
      <c r="L1309" s="39">
        <f t="shared" si="100"/>
        <v>0.95739999999999992</v>
      </c>
      <c r="M1309" s="39">
        <f t="shared" si="99"/>
        <v>0.95739999999999992</v>
      </c>
      <c r="P1309">
        <v>0</v>
      </c>
      <c r="Q1309">
        <v>0</v>
      </c>
      <c r="R1309" t="s">
        <v>2890</v>
      </c>
    </row>
    <row r="1310" spans="1:18" x14ac:dyDescent="0.3">
      <c r="A1310">
        <v>416</v>
      </c>
      <c r="B1310" t="s">
        <v>1164</v>
      </c>
      <c r="C1310" t="s">
        <v>567</v>
      </c>
      <c r="D1310" t="s">
        <v>21</v>
      </c>
      <c r="E1310" t="s">
        <v>22</v>
      </c>
      <c r="F1310" s="79">
        <v>45199</v>
      </c>
      <c r="G1310">
        <v>2023</v>
      </c>
      <c r="H1310" t="s">
        <v>162</v>
      </c>
      <c r="I1310" t="s">
        <v>28</v>
      </c>
      <c r="J1310">
        <v>100</v>
      </c>
      <c r="K1310">
        <v>87.94</v>
      </c>
      <c r="L1310" s="39">
        <f t="shared" si="100"/>
        <v>0.87939999999999996</v>
      </c>
      <c r="M1310" s="39">
        <f t="shared" si="99"/>
        <v>0.87939999999999996</v>
      </c>
      <c r="P1310">
        <v>0</v>
      </c>
      <c r="Q1310">
        <v>0</v>
      </c>
      <c r="R1310" t="s">
        <v>2891</v>
      </c>
    </row>
    <row r="1311" spans="1:18" x14ac:dyDescent="0.3">
      <c r="A1311">
        <v>416</v>
      </c>
      <c r="B1311" t="s">
        <v>1164</v>
      </c>
      <c r="C1311" t="s">
        <v>567</v>
      </c>
      <c r="D1311" t="s">
        <v>21</v>
      </c>
      <c r="E1311" t="s">
        <v>22</v>
      </c>
      <c r="F1311" s="79">
        <v>45291</v>
      </c>
      <c r="G1311">
        <v>2023</v>
      </c>
      <c r="H1311" t="s">
        <v>23</v>
      </c>
      <c r="I1311" t="s">
        <v>28</v>
      </c>
      <c r="J1311">
        <v>100</v>
      </c>
      <c r="K1311">
        <v>98</v>
      </c>
      <c r="L1311" s="39">
        <f t="shared" si="100"/>
        <v>0.98</v>
      </c>
      <c r="M1311" s="39">
        <f t="shared" si="99"/>
        <v>0.98</v>
      </c>
      <c r="P1311">
        <v>0</v>
      </c>
      <c r="Q1311">
        <v>0</v>
      </c>
      <c r="R1311" t="s">
        <v>1165</v>
      </c>
    </row>
    <row r="1312" spans="1:18" x14ac:dyDescent="0.3">
      <c r="A1312">
        <v>416</v>
      </c>
      <c r="B1312" t="s">
        <v>1164</v>
      </c>
      <c r="C1312" t="s">
        <v>567</v>
      </c>
      <c r="D1312" t="s">
        <v>21</v>
      </c>
      <c r="E1312" t="s">
        <v>22</v>
      </c>
      <c r="F1312" s="79">
        <v>45473</v>
      </c>
      <c r="G1312">
        <v>2024</v>
      </c>
      <c r="H1312" t="s">
        <v>699</v>
      </c>
      <c r="I1312" t="s">
        <v>729</v>
      </c>
      <c r="J1312">
        <v>100</v>
      </c>
      <c r="K1312">
        <v>117.1</v>
      </c>
      <c r="L1312" s="39">
        <f t="shared" si="100"/>
        <v>1</v>
      </c>
      <c r="M1312" s="39">
        <f t="shared" si="99"/>
        <v>1.171</v>
      </c>
      <c r="P1312">
        <v>0</v>
      </c>
      <c r="Q1312">
        <v>0</v>
      </c>
      <c r="R1312" t="s">
        <v>2893</v>
      </c>
    </row>
    <row r="1313" spans="1:18" x14ac:dyDescent="0.3">
      <c r="A1313">
        <v>416</v>
      </c>
      <c r="B1313" t="s">
        <v>1164</v>
      </c>
      <c r="C1313" t="s">
        <v>567</v>
      </c>
      <c r="D1313" t="s">
        <v>21</v>
      </c>
      <c r="E1313" t="s">
        <v>22</v>
      </c>
      <c r="F1313" s="79">
        <v>45657</v>
      </c>
      <c r="G1313">
        <v>2024</v>
      </c>
      <c r="H1313" t="s">
        <v>23</v>
      </c>
      <c r="I1313" t="s">
        <v>30</v>
      </c>
      <c r="J1313">
        <v>100</v>
      </c>
      <c r="K1313">
        <v>100</v>
      </c>
      <c r="L1313" s="39">
        <f t="shared" si="100"/>
        <v>1</v>
      </c>
      <c r="M1313" s="39">
        <f t="shared" si="99"/>
        <v>1</v>
      </c>
      <c r="P1313">
        <v>0</v>
      </c>
      <c r="Q1313">
        <v>0</v>
      </c>
      <c r="R1313" t="s">
        <v>1166</v>
      </c>
    </row>
    <row r="1314" spans="1:18" x14ac:dyDescent="0.3">
      <c r="A1314">
        <v>416</v>
      </c>
      <c r="B1314" t="s">
        <v>1164</v>
      </c>
      <c r="C1314" t="s">
        <v>567</v>
      </c>
      <c r="D1314" t="s">
        <v>27</v>
      </c>
      <c r="E1314" t="s">
        <v>22</v>
      </c>
      <c r="F1314" s="79">
        <v>45838</v>
      </c>
      <c r="G1314">
        <v>2025</v>
      </c>
      <c r="H1314" t="s">
        <v>699</v>
      </c>
      <c r="I1314" t="s">
        <v>700</v>
      </c>
      <c r="J1314">
        <v>100</v>
      </c>
      <c r="K1314">
        <v>109.24</v>
      </c>
      <c r="L1314" s="39">
        <f t="shared" si="100"/>
        <v>1</v>
      </c>
      <c r="M1314" s="39">
        <f t="shared" si="99"/>
        <v>1.0924</v>
      </c>
      <c r="N1314" t="s">
        <v>25</v>
      </c>
      <c r="O1314" t="s">
        <v>25</v>
      </c>
      <c r="P1314">
        <v>0</v>
      </c>
      <c r="Q1314">
        <v>0</v>
      </c>
      <c r="R1314" t="s">
        <v>2896</v>
      </c>
    </row>
    <row r="1315" spans="1:18" x14ac:dyDescent="0.3">
      <c r="A1315">
        <v>416</v>
      </c>
      <c r="B1315" t="s">
        <v>1164</v>
      </c>
      <c r="C1315" t="s">
        <v>567</v>
      </c>
      <c r="D1315" t="s">
        <v>27</v>
      </c>
      <c r="E1315" t="s">
        <v>22</v>
      </c>
      <c r="F1315" s="79">
        <v>46022</v>
      </c>
      <c r="G1315">
        <v>2025</v>
      </c>
      <c r="H1315" t="s">
        <v>23</v>
      </c>
      <c r="I1315" t="s">
        <v>32</v>
      </c>
      <c r="J1315">
        <v>100</v>
      </c>
      <c r="K1315">
        <v>100</v>
      </c>
      <c r="L1315" s="39">
        <f t="shared" si="100"/>
        <v>1</v>
      </c>
      <c r="M1315" s="39">
        <f t="shared" si="99"/>
        <v>1</v>
      </c>
      <c r="N1315" t="s">
        <v>25</v>
      </c>
      <c r="O1315" t="s">
        <v>25</v>
      </c>
      <c r="P1315">
        <v>0</v>
      </c>
      <c r="Q1315">
        <v>0</v>
      </c>
      <c r="R1315" t="s">
        <v>1167</v>
      </c>
    </row>
    <row r="1316" spans="1:18" x14ac:dyDescent="0.3">
      <c r="A1316">
        <v>417</v>
      </c>
      <c r="B1316" t="s">
        <v>1168</v>
      </c>
      <c r="C1316" t="s">
        <v>567</v>
      </c>
      <c r="D1316" t="s">
        <v>21</v>
      </c>
      <c r="E1316" t="s">
        <v>22</v>
      </c>
      <c r="F1316" s="79">
        <v>45016</v>
      </c>
      <c r="G1316">
        <v>2023</v>
      </c>
      <c r="H1316" t="s">
        <v>1516</v>
      </c>
      <c r="I1316" t="s">
        <v>1512</v>
      </c>
      <c r="J1316">
        <v>100</v>
      </c>
      <c r="K1316">
        <v>0</v>
      </c>
      <c r="L1316" s="39">
        <f t="shared" si="100"/>
        <v>0</v>
      </c>
      <c r="M1316" s="39">
        <f t="shared" si="99"/>
        <v>0</v>
      </c>
      <c r="P1316">
        <v>0</v>
      </c>
      <c r="Q1316">
        <v>0</v>
      </c>
      <c r="R1316" t="s">
        <v>2898</v>
      </c>
    </row>
    <row r="1317" spans="1:18" x14ac:dyDescent="0.3">
      <c r="A1317">
        <v>417</v>
      </c>
      <c r="B1317" t="s">
        <v>1168</v>
      </c>
      <c r="C1317" t="s">
        <v>567</v>
      </c>
      <c r="D1317" t="s">
        <v>21</v>
      </c>
      <c r="E1317" t="s">
        <v>22</v>
      </c>
      <c r="F1317" s="79">
        <v>45107</v>
      </c>
      <c r="G1317">
        <v>2023</v>
      </c>
      <c r="H1317" t="s">
        <v>699</v>
      </c>
      <c r="I1317" t="s">
        <v>1512</v>
      </c>
      <c r="J1317">
        <v>100</v>
      </c>
      <c r="K1317">
        <v>110.66833333333</v>
      </c>
      <c r="L1317" s="39">
        <f t="shared" si="100"/>
        <v>1</v>
      </c>
      <c r="M1317" s="39">
        <f t="shared" si="99"/>
        <v>1.1066833333332999</v>
      </c>
      <c r="P1317">
        <v>0</v>
      </c>
      <c r="Q1317">
        <v>0</v>
      </c>
      <c r="R1317" t="s">
        <v>2899</v>
      </c>
    </row>
    <row r="1318" spans="1:18" x14ac:dyDescent="0.3">
      <c r="A1318">
        <v>417</v>
      </c>
      <c r="B1318" t="s">
        <v>1168</v>
      </c>
      <c r="C1318" t="s">
        <v>567</v>
      </c>
      <c r="D1318" t="s">
        <v>21</v>
      </c>
      <c r="E1318" t="s">
        <v>22</v>
      </c>
      <c r="F1318" s="79">
        <v>45199</v>
      </c>
      <c r="G1318">
        <v>2023</v>
      </c>
      <c r="H1318" t="s">
        <v>162</v>
      </c>
      <c r="I1318" t="s">
        <v>28</v>
      </c>
      <c r="J1318">
        <v>100</v>
      </c>
      <c r="K1318">
        <v>93.756666666667002</v>
      </c>
      <c r="L1318" s="39">
        <f t="shared" si="100"/>
        <v>0.93756666666666999</v>
      </c>
      <c r="M1318" s="39">
        <f t="shared" si="99"/>
        <v>0.93756666666666999</v>
      </c>
      <c r="P1318">
        <v>0</v>
      </c>
      <c r="Q1318">
        <v>0</v>
      </c>
      <c r="R1318" t="s">
        <v>2900</v>
      </c>
    </row>
    <row r="1319" spans="1:18" x14ac:dyDescent="0.3">
      <c r="A1319">
        <v>417</v>
      </c>
      <c r="B1319" t="s">
        <v>1168</v>
      </c>
      <c r="C1319" t="s">
        <v>567</v>
      </c>
      <c r="D1319" t="s">
        <v>21</v>
      </c>
      <c r="E1319" t="s">
        <v>22</v>
      </c>
      <c r="F1319" s="79">
        <v>45291</v>
      </c>
      <c r="G1319">
        <v>2023</v>
      </c>
      <c r="H1319" t="s">
        <v>23</v>
      </c>
      <c r="I1319" t="s">
        <v>28</v>
      </c>
      <c r="J1319">
        <v>100</v>
      </c>
      <c r="K1319">
        <v>94.39</v>
      </c>
      <c r="L1319" s="39">
        <f t="shared" si="100"/>
        <v>0.94389999999999996</v>
      </c>
      <c r="M1319" s="39">
        <f t="shared" si="99"/>
        <v>0.94389999999999996</v>
      </c>
      <c r="P1319">
        <v>0</v>
      </c>
      <c r="Q1319">
        <v>0</v>
      </c>
      <c r="R1319" t="s">
        <v>1169</v>
      </c>
    </row>
    <row r="1320" spans="1:18" x14ac:dyDescent="0.3">
      <c r="A1320">
        <v>417</v>
      </c>
      <c r="B1320" t="s">
        <v>1168</v>
      </c>
      <c r="C1320" t="s">
        <v>567</v>
      </c>
      <c r="D1320" t="s">
        <v>21</v>
      </c>
      <c r="E1320" t="s">
        <v>22</v>
      </c>
      <c r="F1320" s="79">
        <v>45473</v>
      </c>
      <c r="G1320">
        <v>2024</v>
      </c>
      <c r="H1320" t="s">
        <v>699</v>
      </c>
      <c r="I1320" t="s">
        <v>729</v>
      </c>
      <c r="J1320">
        <v>100</v>
      </c>
      <c r="K1320">
        <v>112.12</v>
      </c>
      <c r="L1320" s="39">
        <f t="shared" si="100"/>
        <v>1</v>
      </c>
      <c r="M1320" s="39">
        <f t="shared" si="99"/>
        <v>1.1212</v>
      </c>
      <c r="P1320">
        <v>0</v>
      </c>
      <c r="Q1320">
        <v>0</v>
      </c>
      <c r="R1320" t="s">
        <v>2902</v>
      </c>
    </row>
    <row r="1321" spans="1:18" x14ac:dyDescent="0.3">
      <c r="A1321">
        <v>417</v>
      </c>
      <c r="B1321" t="s">
        <v>1168</v>
      </c>
      <c r="C1321" t="s">
        <v>567</v>
      </c>
      <c r="D1321" t="s">
        <v>21</v>
      </c>
      <c r="E1321" t="s">
        <v>22</v>
      </c>
      <c r="F1321" s="79">
        <v>45657</v>
      </c>
      <c r="G1321">
        <v>2024</v>
      </c>
      <c r="H1321" t="s">
        <v>23</v>
      </c>
      <c r="I1321" t="s">
        <v>30</v>
      </c>
      <c r="J1321">
        <v>100</v>
      </c>
      <c r="K1321">
        <v>98.83</v>
      </c>
      <c r="L1321" s="39">
        <f t="shared" si="100"/>
        <v>0.98829999999999996</v>
      </c>
      <c r="M1321" s="39">
        <f t="shared" si="99"/>
        <v>0.98829999999999996</v>
      </c>
      <c r="P1321">
        <v>0</v>
      </c>
      <c r="Q1321">
        <v>0</v>
      </c>
      <c r="R1321" t="s">
        <v>1170</v>
      </c>
    </row>
    <row r="1322" spans="1:18" x14ac:dyDescent="0.3">
      <c r="A1322">
        <v>417</v>
      </c>
      <c r="B1322" t="s">
        <v>1168</v>
      </c>
      <c r="C1322" t="s">
        <v>567</v>
      </c>
      <c r="D1322" t="s">
        <v>27</v>
      </c>
      <c r="E1322" t="s">
        <v>22</v>
      </c>
      <c r="F1322" s="79">
        <v>45838</v>
      </c>
      <c r="G1322">
        <v>2025</v>
      </c>
      <c r="H1322" t="s">
        <v>699</v>
      </c>
      <c r="I1322" t="s">
        <v>700</v>
      </c>
      <c r="J1322">
        <v>100</v>
      </c>
      <c r="K1322">
        <v>101.28</v>
      </c>
      <c r="L1322" s="39">
        <f t="shared" si="100"/>
        <v>1</v>
      </c>
      <c r="M1322" s="39">
        <f t="shared" si="99"/>
        <v>1.0127999999999999</v>
      </c>
      <c r="N1322" t="s">
        <v>25</v>
      </c>
      <c r="O1322" t="s">
        <v>25</v>
      </c>
      <c r="P1322">
        <v>0</v>
      </c>
      <c r="Q1322">
        <v>0</v>
      </c>
      <c r="R1322" t="s">
        <v>2905</v>
      </c>
    </row>
    <row r="1323" spans="1:18" x14ac:dyDescent="0.3">
      <c r="A1323">
        <v>417</v>
      </c>
      <c r="B1323" t="s">
        <v>1168</v>
      </c>
      <c r="C1323" t="s">
        <v>567</v>
      </c>
      <c r="D1323" t="s">
        <v>27</v>
      </c>
      <c r="E1323" t="s">
        <v>22</v>
      </c>
      <c r="F1323" s="79">
        <v>46022</v>
      </c>
      <c r="G1323">
        <v>2025</v>
      </c>
      <c r="H1323" t="s">
        <v>23</v>
      </c>
      <c r="I1323" t="s">
        <v>32</v>
      </c>
      <c r="J1323">
        <v>100</v>
      </c>
      <c r="K1323">
        <v>97.99</v>
      </c>
      <c r="L1323" s="39">
        <f t="shared" si="100"/>
        <v>0.97989999999999999</v>
      </c>
      <c r="M1323" s="39">
        <f t="shared" si="99"/>
        <v>0.97989999999999999</v>
      </c>
      <c r="N1323" t="s">
        <v>25</v>
      </c>
      <c r="O1323" t="s">
        <v>25</v>
      </c>
      <c r="P1323">
        <v>0</v>
      </c>
      <c r="Q1323">
        <v>0</v>
      </c>
      <c r="R1323" t="s">
        <v>1171</v>
      </c>
    </row>
    <row r="1324" spans="1:18" x14ac:dyDescent="0.3">
      <c r="A1324">
        <v>418</v>
      </c>
      <c r="B1324" t="s">
        <v>1172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si="100"/>
        <v>0</v>
      </c>
      <c r="M1324" s="39">
        <f t="shared" si="99"/>
        <v>0</v>
      </c>
      <c r="P1324">
        <v>0</v>
      </c>
      <c r="Q1324">
        <v>0</v>
      </c>
      <c r="R1324" t="s">
        <v>2907</v>
      </c>
    </row>
    <row r="1325" spans="1:18" x14ac:dyDescent="0.3">
      <c r="A1325">
        <v>418</v>
      </c>
      <c r="B1325" t="s">
        <v>1172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104.35666666666999</v>
      </c>
      <c r="L1325" s="39">
        <f t="shared" si="100"/>
        <v>1</v>
      </c>
      <c r="M1325" s="39">
        <f t="shared" si="99"/>
        <v>1.0435666666666998</v>
      </c>
      <c r="P1325">
        <v>0</v>
      </c>
      <c r="Q1325">
        <v>0</v>
      </c>
      <c r="R1325" t="s">
        <v>2908</v>
      </c>
    </row>
    <row r="1326" spans="1:18" x14ac:dyDescent="0.3">
      <c r="A1326">
        <v>418</v>
      </c>
      <c r="B1326" t="s">
        <v>1172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85.611111111111001</v>
      </c>
      <c r="L1326" s="39">
        <f t="shared" si="100"/>
        <v>0.85611111111111005</v>
      </c>
      <c r="M1326" s="39">
        <f t="shared" si="99"/>
        <v>0.85611111111111005</v>
      </c>
      <c r="P1326">
        <v>0</v>
      </c>
      <c r="Q1326">
        <v>0</v>
      </c>
      <c r="R1326" t="s">
        <v>2909</v>
      </c>
    </row>
    <row r="1327" spans="1:18" x14ac:dyDescent="0.3">
      <c r="A1327">
        <v>418</v>
      </c>
      <c r="B1327" t="s">
        <v>1172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95.802222222221999</v>
      </c>
      <c r="L1327" s="39">
        <f t="shared" si="100"/>
        <v>0.95802222222222</v>
      </c>
      <c r="M1327" s="39">
        <f t="shared" si="99"/>
        <v>0.95802222222222</v>
      </c>
      <c r="P1327">
        <v>0</v>
      </c>
      <c r="Q1327">
        <v>0</v>
      </c>
      <c r="R1327" t="s">
        <v>1173</v>
      </c>
    </row>
    <row r="1328" spans="1:18" x14ac:dyDescent="0.3">
      <c r="A1328">
        <v>418</v>
      </c>
      <c r="B1328" t="s">
        <v>1172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100.79</v>
      </c>
      <c r="L1328" s="39">
        <f t="shared" si="100"/>
        <v>1</v>
      </c>
      <c r="M1328" s="39">
        <f t="shared" si="99"/>
        <v>1.0079</v>
      </c>
      <c r="P1328">
        <v>0</v>
      </c>
      <c r="Q1328">
        <v>0</v>
      </c>
      <c r="R1328" t="s">
        <v>2911</v>
      </c>
    </row>
    <row r="1329" spans="1:18" x14ac:dyDescent="0.3">
      <c r="A1329">
        <v>418</v>
      </c>
      <c r="B1329" t="s">
        <v>1172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97.78</v>
      </c>
      <c r="L1329" s="39">
        <f t="shared" si="100"/>
        <v>0.9778</v>
      </c>
      <c r="M1329" s="39">
        <f t="shared" si="99"/>
        <v>0.9778</v>
      </c>
      <c r="P1329">
        <v>0</v>
      </c>
      <c r="Q1329">
        <v>0</v>
      </c>
      <c r="R1329" t="s">
        <v>1174</v>
      </c>
    </row>
    <row r="1330" spans="1:18" x14ac:dyDescent="0.3">
      <c r="A1330">
        <v>418</v>
      </c>
      <c r="B1330" t="s">
        <v>1172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105.83</v>
      </c>
      <c r="L1330" s="39">
        <f t="shared" si="100"/>
        <v>1</v>
      </c>
      <c r="M1330" s="39">
        <f t="shared" si="99"/>
        <v>1.0583</v>
      </c>
      <c r="N1330" t="s">
        <v>25</v>
      </c>
      <c r="O1330" t="s">
        <v>25</v>
      </c>
      <c r="P1330">
        <v>0</v>
      </c>
      <c r="Q1330">
        <v>0</v>
      </c>
      <c r="R1330" t="s">
        <v>2914</v>
      </c>
    </row>
    <row r="1331" spans="1:18" x14ac:dyDescent="0.3">
      <c r="A1331">
        <v>418</v>
      </c>
      <c r="B1331" t="s">
        <v>1172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99.61</v>
      </c>
      <c r="L1331" s="39">
        <f t="shared" si="100"/>
        <v>0.99609999999999999</v>
      </c>
      <c r="M1331" s="39">
        <f t="shared" si="99"/>
        <v>0.99609999999999999</v>
      </c>
      <c r="N1331" t="s">
        <v>25</v>
      </c>
      <c r="O1331" t="s">
        <v>25</v>
      </c>
      <c r="P1331">
        <v>0</v>
      </c>
      <c r="Q1331">
        <v>0</v>
      </c>
      <c r="R1331" t="s">
        <v>1175</v>
      </c>
    </row>
    <row r="1332" spans="1:18" x14ac:dyDescent="0.3">
      <c r="A1332">
        <v>419</v>
      </c>
      <c r="B1332" t="s">
        <v>1176</v>
      </c>
      <c r="C1332" t="s">
        <v>567</v>
      </c>
      <c r="D1332" t="s">
        <v>21</v>
      </c>
      <c r="E1332" t="s">
        <v>22</v>
      </c>
      <c r="F1332" s="79">
        <v>45016</v>
      </c>
      <c r="G1332">
        <v>2023</v>
      </c>
      <c r="H1332" t="s">
        <v>1516</v>
      </c>
      <c r="I1332" t="s">
        <v>1512</v>
      </c>
      <c r="L1332" s="39"/>
      <c r="M1332" s="39"/>
      <c r="N1332" t="s">
        <v>25</v>
      </c>
      <c r="O1332" t="s">
        <v>25</v>
      </c>
      <c r="P1332">
        <v>0</v>
      </c>
      <c r="Q1332">
        <v>0</v>
      </c>
      <c r="R1332" t="s">
        <v>3262</v>
      </c>
    </row>
    <row r="1333" spans="1:18" x14ac:dyDescent="0.3">
      <c r="A1333">
        <v>419</v>
      </c>
      <c r="B1333" t="s">
        <v>1176</v>
      </c>
      <c r="C1333" t="s">
        <v>567</v>
      </c>
      <c r="D1333" t="s">
        <v>21</v>
      </c>
      <c r="E1333" t="s">
        <v>22</v>
      </c>
      <c r="F1333" s="79">
        <v>45107</v>
      </c>
      <c r="G1333">
        <v>2023</v>
      </c>
      <c r="H1333" t="s">
        <v>699</v>
      </c>
      <c r="I1333" t="s">
        <v>1512</v>
      </c>
      <c r="J1333">
        <v>100</v>
      </c>
      <c r="K1333">
        <v>108.3</v>
      </c>
      <c r="L1333" s="39">
        <f>IFERROR(IF(OR(J1333=0,K1333=""),"",IF(E1333="Positivo",MIN(MAX(K1333/J1333,0),1.3),MIN(MAX(J1333/K1333,0),1.3))),"")</f>
        <v>1.083</v>
      </c>
      <c r="M1333" s="39">
        <f t="shared" ref="M1333:M1362" si="101">IFERROR(IF(OR(J1333=0,K1333=""),"",IF(E1333="Positivo",MAX(K1333/J1333,0),MAX(J1333/K1333,0))),"")</f>
        <v>1.083</v>
      </c>
      <c r="N1333" t="s">
        <v>25</v>
      </c>
      <c r="O1333" t="s">
        <v>25</v>
      </c>
      <c r="P1333">
        <v>0</v>
      </c>
      <c r="Q1333">
        <v>0</v>
      </c>
      <c r="R1333" t="s">
        <v>2916</v>
      </c>
    </row>
    <row r="1334" spans="1:18" x14ac:dyDescent="0.3">
      <c r="A1334">
        <v>419</v>
      </c>
      <c r="B1334" t="s">
        <v>1176</v>
      </c>
      <c r="C1334" t="s">
        <v>567</v>
      </c>
      <c r="D1334" t="s">
        <v>21</v>
      </c>
      <c r="E1334" t="s">
        <v>22</v>
      </c>
      <c r="F1334" s="79">
        <v>45199</v>
      </c>
      <c r="G1334">
        <v>2023</v>
      </c>
      <c r="H1334" t="s">
        <v>162</v>
      </c>
      <c r="I1334" t="s">
        <v>28</v>
      </c>
      <c r="J1334">
        <v>100</v>
      </c>
      <c r="K1334">
        <v>88.35</v>
      </c>
      <c r="L1334" s="39">
        <f>IFERROR(IF(OR(J1334=0,K1334=""),"",IF(E1334="Positivo",MIN(MAX(K1334/J1334,0),1.3),MIN(MAX(J1334/K1334,0),1.3))),"")</f>
        <v>0.88349999999999995</v>
      </c>
      <c r="M1334" s="39">
        <f t="shared" si="101"/>
        <v>0.88349999999999995</v>
      </c>
      <c r="N1334" t="s">
        <v>25</v>
      </c>
      <c r="O1334" t="s">
        <v>25</v>
      </c>
      <c r="P1334">
        <v>0</v>
      </c>
      <c r="Q1334">
        <v>0</v>
      </c>
      <c r="R1334" t="s">
        <v>2917</v>
      </c>
    </row>
    <row r="1335" spans="1:18" x14ac:dyDescent="0.3">
      <c r="A1335">
        <v>419</v>
      </c>
      <c r="B1335" t="s">
        <v>1176</v>
      </c>
      <c r="C1335" t="s">
        <v>567</v>
      </c>
      <c r="D1335" t="s">
        <v>21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100</v>
      </c>
      <c r="K1335">
        <v>93.56</v>
      </c>
      <c r="L1335" s="39">
        <f>IFERROR(IF(OR(J1335=0,K1335=""),"",IF(E1335="Positivo",MIN(MAX(K1335/J1335,0),1.3),MIN(MAX(J1335/K1335,0),1.3))),"")</f>
        <v>0.93559999999999999</v>
      </c>
      <c r="M1335" s="39">
        <f t="shared" si="101"/>
        <v>0.93559999999999999</v>
      </c>
      <c r="N1335" t="s">
        <v>25</v>
      </c>
      <c r="O1335" t="s">
        <v>25</v>
      </c>
      <c r="P1335">
        <v>0</v>
      </c>
      <c r="Q1335">
        <v>0</v>
      </c>
      <c r="R1335" t="s">
        <v>1177</v>
      </c>
    </row>
    <row r="1336" spans="1:18" x14ac:dyDescent="0.3">
      <c r="A1336">
        <v>420</v>
      </c>
      <c r="B1336" t="s">
        <v>1178</v>
      </c>
      <c r="C1336" t="s">
        <v>567</v>
      </c>
      <c r="D1336" t="s">
        <v>21</v>
      </c>
      <c r="E1336" t="s">
        <v>22</v>
      </c>
      <c r="F1336" s="79">
        <v>45016</v>
      </c>
      <c r="G1336">
        <v>2023</v>
      </c>
      <c r="H1336" t="s">
        <v>1516</v>
      </c>
      <c r="I1336" t="s">
        <v>1512</v>
      </c>
      <c r="J1336">
        <v>100</v>
      </c>
      <c r="K1336">
        <v>0</v>
      </c>
      <c r="L1336" s="39">
        <f t="shared" ref="L1336:L1343" si="102">IFERROR(IF(OR(J1336=0,K1336=""),"",IF(E1336="Positivo",MIN(MAX(K1336/J1336,0),1),MIN(MAX(J1336/K1336,0),1))),"")</f>
        <v>0</v>
      </c>
      <c r="M1336" s="39">
        <f t="shared" si="101"/>
        <v>0</v>
      </c>
      <c r="N1336" t="s">
        <v>25</v>
      </c>
      <c r="O1336" t="s">
        <v>25</v>
      </c>
      <c r="P1336">
        <v>0</v>
      </c>
      <c r="Q1336">
        <v>0</v>
      </c>
      <c r="R1336" t="s">
        <v>2918</v>
      </c>
    </row>
    <row r="1337" spans="1:18" x14ac:dyDescent="0.3">
      <c r="A1337">
        <v>420</v>
      </c>
      <c r="B1337" t="s">
        <v>1178</v>
      </c>
      <c r="C1337" t="s">
        <v>567</v>
      </c>
      <c r="D1337" t="s">
        <v>21</v>
      </c>
      <c r="E1337" t="s">
        <v>22</v>
      </c>
      <c r="F1337" s="79">
        <v>45107</v>
      </c>
      <c r="G1337">
        <v>2023</v>
      </c>
      <c r="H1337" t="s">
        <v>699</v>
      </c>
      <c r="I1337" t="s">
        <v>1512</v>
      </c>
      <c r="J1337">
        <v>100</v>
      </c>
      <c r="K1337">
        <v>106.53</v>
      </c>
      <c r="L1337" s="39">
        <f t="shared" si="102"/>
        <v>1</v>
      </c>
      <c r="M1337" s="39">
        <f t="shared" si="101"/>
        <v>1.0652999999999999</v>
      </c>
      <c r="N1337" t="s">
        <v>25</v>
      </c>
      <c r="O1337" t="s">
        <v>25</v>
      </c>
      <c r="P1337">
        <v>0</v>
      </c>
      <c r="Q1337">
        <v>0</v>
      </c>
      <c r="R1337" t="s">
        <v>2919</v>
      </c>
    </row>
    <row r="1338" spans="1:18" x14ac:dyDescent="0.3">
      <c r="A1338">
        <v>420</v>
      </c>
      <c r="B1338" t="s">
        <v>1178</v>
      </c>
      <c r="C1338" t="s">
        <v>567</v>
      </c>
      <c r="D1338" t="s">
        <v>21</v>
      </c>
      <c r="E1338" t="s">
        <v>22</v>
      </c>
      <c r="F1338" s="79">
        <v>45199</v>
      </c>
      <c r="G1338">
        <v>2023</v>
      </c>
      <c r="H1338" t="s">
        <v>162</v>
      </c>
      <c r="I1338" t="s">
        <v>28</v>
      </c>
      <c r="J1338">
        <v>100</v>
      </c>
      <c r="K1338">
        <v>94.69</v>
      </c>
      <c r="L1338" s="39">
        <f t="shared" si="102"/>
        <v>0.94689999999999996</v>
      </c>
      <c r="M1338" s="39">
        <f t="shared" si="101"/>
        <v>0.94689999999999996</v>
      </c>
      <c r="N1338" t="s">
        <v>25</v>
      </c>
      <c r="O1338" t="s">
        <v>25</v>
      </c>
      <c r="P1338">
        <v>0</v>
      </c>
      <c r="Q1338">
        <v>0</v>
      </c>
      <c r="R1338" t="s">
        <v>2920</v>
      </c>
    </row>
    <row r="1339" spans="1:18" x14ac:dyDescent="0.3">
      <c r="A1339">
        <v>420</v>
      </c>
      <c r="B1339" t="s">
        <v>1178</v>
      </c>
      <c r="C1339" t="s">
        <v>567</v>
      </c>
      <c r="D1339" t="s">
        <v>21</v>
      </c>
      <c r="E1339" t="s">
        <v>22</v>
      </c>
      <c r="F1339" s="79">
        <v>45291</v>
      </c>
      <c r="G1339">
        <v>2023</v>
      </c>
      <c r="H1339" t="s">
        <v>23</v>
      </c>
      <c r="I1339" t="s">
        <v>28</v>
      </c>
      <c r="J1339">
        <v>100</v>
      </c>
      <c r="K1339">
        <v>100</v>
      </c>
      <c r="L1339" s="39">
        <f t="shared" si="102"/>
        <v>1</v>
      </c>
      <c r="M1339" s="39">
        <f t="shared" si="101"/>
        <v>1</v>
      </c>
      <c r="N1339" t="s">
        <v>25</v>
      </c>
      <c r="O1339" t="s">
        <v>25</v>
      </c>
      <c r="P1339">
        <v>0</v>
      </c>
      <c r="Q1339">
        <v>0</v>
      </c>
      <c r="R1339" t="s">
        <v>1179</v>
      </c>
    </row>
    <row r="1340" spans="1:18" x14ac:dyDescent="0.3">
      <c r="A1340">
        <v>420</v>
      </c>
      <c r="B1340" t="s">
        <v>1178</v>
      </c>
      <c r="C1340" t="s">
        <v>567</v>
      </c>
      <c r="D1340" t="s">
        <v>21</v>
      </c>
      <c r="E1340" t="s">
        <v>22</v>
      </c>
      <c r="F1340" s="79">
        <v>45473</v>
      </c>
      <c r="G1340">
        <v>2024</v>
      </c>
      <c r="H1340" t="s">
        <v>699</v>
      </c>
      <c r="I1340" t="s">
        <v>729</v>
      </c>
      <c r="J1340">
        <v>100</v>
      </c>
      <c r="K1340">
        <v>89.33</v>
      </c>
      <c r="L1340" s="39">
        <f t="shared" si="102"/>
        <v>0.89329999999999998</v>
      </c>
      <c r="M1340" s="39">
        <f t="shared" si="101"/>
        <v>0.89329999999999998</v>
      </c>
      <c r="P1340">
        <v>0</v>
      </c>
      <c r="Q1340">
        <v>0</v>
      </c>
      <c r="R1340" t="s">
        <v>2921</v>
      </c>
    </row>
    <row r="1341" spans="1:18" x14ac:dyDescent="0.3">
      <c r="A1341">
        <v>420</v>
      </c>
      <c r="B1341" t="s">
        <v>1178</v>
      </c>
      <c r="C1341" t="s">
        <v>567</v>
      </c>
      <c r="D1341" t="s">
        <v>21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100</v>
      </c>
      <c r="K1341">
        <v>96.67</v>
      </c>
      <c r="L1341" s="39">
        <f t="shared" si="102"/>
        <v>0.9667</v>
      </c>
      <c r="M1341" s="39">
        <f t="shared" si="101"/>
        <v>0.9667</v>
      </c>
      <c r="P1341">
        <v>0</v>
      </c>
      <c r="Q1341">
        <v>0</v>
      </c>
      <c r="R1341" t="s">
        <v>1180</v>
      </c>
    </row>
    <row r="1342" spans="1:18" x14ac:dyDescent="0.3">
      <c r="A1342">
        <v>420</v>
      </c>
      <c r="B1342" t="s">
        <v>1178</v>
      </c>
      <c r="C1342" t="s">
        <v>567</v>
      </c>
      <c r="D1342" t="s">
        <v>27</v>
      </c>
      <c r="E1342" t="s">
        <v>22</v>
      </c>
      <c r="F1342" s="79">
        <v>45838</v>
      </c>
      <c r="G1342">
        <v>2025</v>
      </c>
      <c r="H1342" t="s">
        <v>699</v>
      </c>
      <c r="I1342" t="s">
        <v>700</v>
      </c>
      <c r="J1342">
        <v>100</v>
      </c>
      <c r="K1342">
        <v>108.52</v>
      </c>
      <c r="L1342" s="39">
        <f t="shared" si="102"/>
        <v>1</v>
      </c>
      <c r="M1342" s="39">
        <f t="shared" si="101"/>
        <v>1.0851999999999999</v>
      </c>
      <c r="N1342" t="s">
        <v>25</v>
      </c>
      <c r="O1342" t="s">
        <v>25</v>
      </c>
      <c r="P1342">
        <v>0</v>
      </c>
      <c r="Q1342">
        <v>0</v>
      </c>
      <c r="R1342" t="s">
        <v>2924</v>
      </c>
    </row>
    <row r="1343" spans="1:18" x14ac:dyDescent="0.3">
      <c r="A1343">
        <v>420</v>
      </c>
      <c r="B1343" t="s">
        <v>1178</v>
      </c>
      <c r="C1343" t="s">
        <v>567</v>
      </c>
      <c r="D1343" t="s">
        <v>27</v>
      </c>
      <c r="E1343" t="s">
        <v>22</v>
      </c>
      <c r="F1343" s="79">
        <v>46022</v>
      </c>
      <c r="G1343">
        <v>2025</v>
      </c>
      <c r="H1343" t="s">
        <v>23</v>
      </c>
      <c r="I1343" t="s">
        <v>32</v>
      </c>
      <c r="J1343">
        <v>100</v>
      </c>
      <c r="K1343">
        <v>100</v>
      </c>
      <c r="L1343" s="39">
        <f t="shared" si="102"/>
        <v>1</v>
      </c>
      <c r="M1343" s="39">
        <f t="shared" si="101"/>
        <v>1</v>
      </c>
      <c r="N1343" t="s">
        <v>25</v>
      </c>
      <c r="O1343" t="s">
        <v>25</v>
      </c>
      <c r="P1343">
        <v>0</v>
      </c>
      <c r="Q1343">
        <v>0</v>
      </c>
      <c r="R1343" t="s">
        <v>1181</v>
      </c>
    </row>
    <row r="1344" spans="1:18" x14ac:dyDescent="0.3">
      <c r="A1344">
        <v>421</v>
      </c>
      <c r="B1344" t="s">
        <v>1182</v>
      </c>
      <c r="C1344" t="s">
        <v>1183</v>
      </c>
      <c r="D1344" t="s">
        <v>27</v>
      </c>
      <c r="E1344" t="s">
        <v>22</v>
      </c>
      <c r="F1344" s="79">
        <v>45107</v>
      </c>
      <c r="G1344">
        <v>2023</v>
      </c>
      <c r="H1344" t="s">
        <v>699</v>
      </c>
      <c r="I1344" t="s">
        <v>1512</v>
      </c>
      <c r="J1344">
        <v>104072</v>
      </c>
      <c r="K1344">
        <v>140002</v>
      </c>
      <c r="L1344" s="39">
        <f t="shared" ref="L1344:L1362" si="103">IFERROR(IF(OR(J1344=0,K1344=""),"",IF(E1344="Positivo",MIN(MAX(K1344/J1344,0),1.3),MIN(MAX(J1344/K1344,0),1.3))),"")</f>
        <v>1.3</v>
      </c>
      <c r="M1344" s="39">
        <f t="shared" si="101"/>
        <v>1.3452417557075871</v>
      </c>
      <c r="P1344">
        <v>0</v>
      </c>
      <c r="Q1344">
        <v>0</v>
      </c>
      <c r="R1344" t="s">
        <v>2926</v>
      </c>
    </row>
    <row r="1345" spans="1:18" x14ac:dyDescent="0.3">
      <c r="A1345">
        <v>421</v>
      </c>
      <c r="B1345" t="s">
        <v>1182</v>
      </c>
      <c r="C1345" t="s">
        <v>1183</v>
      </c>
      <c r="D1345" t="s">
        <v>27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97200</v>
      </c>
      <c r="K1345">
        <v>136199</v>
      </c>
      <c r="L1345" s="39">
        <f t="shared" si="103"/>
        <v>1.3</v>
      </c>
      <c r="M1345" s="39">
        <f t="shared" si="101"/>
        <v>1.4012242798353909</v>
      </c>
      <c r="P1345">
        <v>0</v>
      </c>
      <c r="Q1345">
        <v>0</v>
      </c>
      <c r="R1345" t="s">
        <v>1184</v>
      </c>
    </row>
    <row r="1346" spans="1:18" x14ac:dyDescent="0.3">
      <c r="A1346">
        <v>421</v>
      </c>
      <c r="B1346" t="s">
        <v>1182</v>
      </c>
      <c r="C1346" t="s">
        <v>1183</v>
      </c>
      <c r="D1346" t="s">
        <v>27</v>
      </c>
      <c r="E1346" t="s">
        <v>22</v>
      </c>
      <c r="F1346" s="79">
        <v>45473</v>
      </c>
      <c r="G1346">
        <v>2024</v>
      </c>
      <c r="H1346" t="s">
        <v>699</v>
      </c>
      <c r="I1346" t="s">
        <v>729</v>
      </c>
      <c r="J1346">
        <v>147043</v>
      </c>
      <c r="K1346">
        <v>177740</v>
      </c>
      <c r="L1346" s="39">
        <f t="shared" si="103"/>
        <v>1.2087620627979572</v>
      </c>
      <c r="M1346" s="39">
        <f t="shared" si="101"/>
        <v>1.2087620627979572</v>
      </c>
      <c r="P1346">
        <v>0</v>
      </c>
      <c r="Q1346">
        <v>0</v>
      </c>
      <c r="R1346" t="s">
        <v>2927</v>
      </c>
    </row>
    <row r="1347" spans="1:18" x14ac:dyDescent="0.3">
      <c r="A1347">
        <v>421</v>
      </c>
      <c r="B1347" t="s">
        <v>1182</v>
      </c>
      <c r="C1347" t="s">
        <v>1183</v>
      </c>
      <c r="D1347" t="s">
        <v>27</v>
      </c>
      <c r="E1347" t="s">
        <v>22</v>
      </c>
      <c r="F1347" s="79">
        <v>45657</v>
      </c>
      <c r="G1347">
        <v>2024</v>
      </c>
      <c r="H1347" t="s">
        <v>23</v>
      </c>
      <c r="I1347" t="s">
        <v>30</v>
      </c>
      <c r="J1347">
        <v>100</v>
      </c>
      <c r="K1347">
        <v>121.44</v>
      </c>
      <c r="L1347" s="39">
        <f t="shared" si="103"/>
        <v>1.2143999999999999</v>
      </c>
      <c r="M1347" s="39">
        <f t="shared" si="101"/>
        <v>1.2143999999999999</v>
      </c>
      <c r="P1347">
        <v>0</v>
      </c>
      <c r="Q1347">
        <v>0</v>
      </c>
      <c r="R1347" t="s">
        <v>1185</v>
      </c>
    </row>
    <row r="1348" spans="1:18" x14ac:dyDescent="0.3">
      <c r="A1348">
        <v>422</v>
      </c>
      <c r="B1348" t="s">
        <v>1186</v>
      </c>
      <c r="C1348" t="s">
        <v>1183</v>
      </c>
      <c r="D1348" t="s">
        <v>27</v>
      </c>
      <c r="E1348" t="s">
        <v>22</v>
      </c>
      <c r="F1348" s="79">
        <v>45107</v>
      </c>
      <c r="G1348">
        <v>2023</v>
      </c>
      <c r="H1348" t="s">
        <v>699</v>
      </c>
      <c r="I1348" t="s">
        <v>1512</v>
      </c>
      <c r="J1348">
        <v>11.7</v>
      </c>
      <c r="K1348">
        <v>11.973211368834001</v>
      </c>
      <c r="L1348" s="39">
        <f t="shared" si="103"/>
        <v>1.0233513990456411</v>
      </c>
      <c r="M1348" s="39">
        <f t="shared" si="101"/>
        <v>1.0233513990456411</v>
      </c>
      <c r="N1348" t="s">
        <v>25</v>
      </c>
      <c r="O1348" t="s">
        <v>25</v>
      </c>
      <c r="P1348">
        <v>2</v>
      </c>
      <c r="Q1348">
        <v>2</v>
      </c>
      <c r="R1348" t="s">
        <v>2928</v>
      </c>
    </row>
    <row r="1349" spans="1:18" x14ac:dyDescent="0.3">
      <c r="A1349">
        <v>422</v>
      </c>
      <c r="B1349" t="s">
        <v>1186</v>
      </c>
      <c r="C1349" t="s">
        <v>1183</v>
      </c>
      <c r="D1349" t="s">
        <v>27</v>
      </c>
      <c r="E1349" t="s">
        <v>22</v>
      </c>
      <c r="F1349" s="79">
        <v>45291</v>
      </c>
      <c r="G1349">
        <v>2023</v>
      </c>
      <c r="H1349" t="s">
        <v>23</v>
      </c>
      <c r="I1349" t="s">
        <v>28</v>
      </c>
      <c r="J1349">
        <v>10.5</v>
      </c>
      <c r="K1349">
        <v>11.04</v>
      </c>
      <c r="L1349" s="39">
        <f t="shared" si="103"/>
        <v>1.0514285714285714</v>
      </c>
      <c r="M1349" s="39">
        <f t="shared" si="101"/>
        <v>1.0514285714285714</v>
      </c>
      <c r="N1349" t="s">
        <v>25</v>
      </c>
      <c r="O1349" t="s">
        <v>25</v>
      </c>
      <c r="P1349">
        <v>2</v>
      </c>
      <c r="Q1349">
        <v>2</v>
      </c>
      <c r="R1349" t="s">
        <v>1187</v>
      </c>
    </row>
    <row r="1350" spans="1:18" x14ac:dyDescent="0.3">
      <c r="A1350">
        <v>422</v>
      </c>
      <c r="B1350" t="s">
        <v>1186</v>
      </c>
      <c r="C1350" t="s">
        <v>1183</v>
      </c>
      <c r="D1350" t="s">
        <v>27</v>
      </c>
      <c r="E1350" t="s">
        <v>22</v>
      </c>
      <c r="F1350" s="79">
        <v>45473</v>
      </c>
      <c r="G1350">
        <v>2024</v>
      </c>
      <c r="H1350" t="s">
        <v>699</v>
      </c>
      <c r="I1350" t="s">
        <v>729</v>
      </c>
      <c r="J1350">
        <v>9.25</v>
      </c>
      <c r="K1350">
        <v>8.86</v>
      </c>
      <c r="L1350" s="39">
        <f t="shared" si="103"/>
        <v>0.95783783783783782</v>
      </c>
      <c r="M1350" s="39">
        <f t="shared" si="101"/>
        <v>0.95783783783783782</v>
      </c>
      <c r="P1350">
        <v>0</v>
      </c>
      <c r="Q1350">
        <v>0</v>
      </c>
      <c r="R1350" t="s">
        <v>2929</v>
      </c>
    </row>
    <row r="1351" spans="1:18" x14ac:dyDescent="0.3">
      <c r="A1351">
        <v>422</v>
      </c>
      <c r="B1351" t="s">
        <v>1186</v>
      </c>
      <c r="C1351" t="s">
        <v>1183</v>
      </c>
      <c r="D1351" t="s">
        <v>27</v>
      </c>
      <c r="E1351" t="s">
        <v>22</v>
      </c>
      <c r="F1351" s="79">
        <v>45657</v>
      </c>
      <c r="G1351">
        <v>2024</v>
      </c>
      <c r="H1351" t="s">
        <v>23</v>
      </c>
      <c r="I1351" t="s">
        <v>30</v>
      </c>
      <c r="J1351">
        <v>8.01</v>
      </c>
      <c r="K1351">
        <v>7.91</v>
      </c>
      <c r="L1351" s="39">
        <f t="shared" si="103"/>
        <v>0.98751560549313366</v>
      </c>
      <c r="M1351" s="39">
        <f t="shared" si="101"/>
        <v>0.98751560549313366</v>
      </c>
      <c r="P1351">
        <v>0</v>
      </c>
      <c r="Q1351">
        <v>0</v>
      </c>
      <c r="R1351" t="s">
        <v>1188</v>
      </c>
    </row>
    <row r="1352" spans="1:18" x14ac:dyDescent="0.3">
      <c r="A1352">
        <v>422</v>
      </c>
      <c r="B1352" t="s">
        <v>1186</v>
      </c>
      <c r="C1352" t="s">
        <v>1183</v>
      </c>
      <c r="D1352" t="s">
        <v>21</v>
      </c>
      <c r="E1352" t="s">
        <v>22</v>
      </c>
      <c r="F1352" s="79">
        <v>45838</v>
      </c>
      <c r="G1352">
        <v>2025</v>
      </c>
      <c r="H1352" t="s">
        <v>699</v>
      </c>
      <c r="I1352" t="s">
        <v>700</v>
      </c>
      <c r="J1352">
        <v>7.83</v>
      </c>
      <c r="K1352">
        <v>8.1999999999999993</v>
      </c>
      <c r="L1352" s="39">
        <f t="shared" si="103"/>
        <v>1.0472541507024264</v>
      </c>
      <c r="M1352" s="39">
        <f t="shared" si="101"/>
        <v>1.0472541507024264</v>
      </c>
      <c r="N1352" t="s">
        <v>25</v>
      </c>
      <c r="O1352" t="s">
        <v>25</v>
      </c>
      <c r="P1352">
        <v>2</v>
      </c>
      <c r="Q1352">
        <v>2</v>
      </c>
      <c r="R1352" t="s">
        <v>2930</v>
      </c>
    </row>
    <row r="1353" spans="1:18" x14ac:dyDescent="0.3">
      <c r="A1353">
        <v>422</v>
      </c>
      <c r="B1353" t="s">
        <v>1186</v>
      </c>
      <c r="C1353" t="s">
        <v>1183</v>
      </c>
      <c r="D1353" t="s">
        <v>21</v>
      </c>
      <c r="E1353" t="s">
        <v>22</v>
      </c>
      <c r="F1353" s="79">
        <v>46022</v>
      </c>
      <c r="G1353">
        <v>2025</v>
      </c>
      <c r="H1353" t="s">
        <v>23</v>
      </c>
      <c r="I1353" t="s">
        <v>32</v>
      </c>
      <c r="J1353">
        <v>7.68</v>
      </c>
      <c r="K1353">
        <v>7.87</v>
      </c>
      <c r="L1353" s="39">
        <f t="shared" si="103"/>
        <v>1.0247395833333335</v>
      </c>
      <c r="M1353" s="39">
        <f t="shared" si="101"/>
        <v>1.0247395833333335</v>
      </c>
      <c r="N1353" t="s">
        <v>25</v>
      </c>
      <c r="O1353" t="s">
        <v>25</v>
      </c>
      <c r="P1353">
        <v>2</v>
      </c>
      <c r="Q1353">
        <v>2</v>
      </c>
      <c r="R1353" t="s">
        <v>1189</v>
      </c>
    </row>
    <row r="1354" spans="1:18" x14ac:dyDescent="0.3">
      <c r="A1354">
        <v>423</v>
      </c>
      <c r="B1354" t="s">
        <v>1190</v>
      </c>
      <c r="C1354" t="s">
        <v>1183</v>
      </c>
      <c r="D1354" t="s">
        <v>71</v>
      </c>
      <c r="E1354" t="s">
        <v>22</v>
      </c>
      <c r="F1354" s="79">
        <v>45291</v>
      </c>
      <c r="G1354">
        <v>2023</v>
      </c>
      <c r="H1354" t="s">
        <v>23</v>
      </c>
      <c r="I1354" t="s">
        <v>28</v>
      </c>
      <c r="J1354">
        <v>8.4</v>
      </c>
      <c r="K1354">
        <v>7.9</v>
      </c>
      <c r="L1354" s="39">
        <f t="shared" si="103"/>
        <v>0.94047619047619047</v>
      </c>
      <c r="M1354" s="39">
        <f t="shared" si="101"/>
        <v>0.94047619047619047</v>
      </c>
      <c r="N1354" t="s">
        <v>136</v>
      </c>
      <c r="O1354" t="s">
        <v>136</v>
      </c>
      <c r="P1354">
        <v>1</v>
      </c>
      <c r="Q1354">
        <v>1</v>
      </c>
      <c r="R1354" t="s">
        <v>1191</v>
      </c>
    </row>
    <row r="1355" spans="1:18" x14ac:dyDescent="0.3">
      <c r="A1355">
        <v>423</v>
      </c>
      <c r="B1355" t="s">
        <v>1190</v>
      </c>
      <c r="C1355" t="s">
        <v>1183</v>
      </c>
      <c r="D1355" t="s">
        <v>71</v>
      </c>
      <c r="E1355" t="s">
        <v>22</v>
      </c>
      <c r="F1355" s="79">
        <v>45657</v>
      </c>
      <c r="G1355">
        <v>2024</v>
      </c>
      <c r="H1355" t="s">
        <v>23</v>
      </c>
      <c r="I1355" t="s">
        <v>30</v>
      </c>
      <c r="J1355">
        <v>8.3000000000000007</v>
      </c>
      <c r="K1355">
        <v>12.3</v>
      </c>
      <c r="L1355" s="39">
        <f t="shared" si="103"/>
        <v>1.3</v>
      </c>
      <c r="M1355" s="39">
        <f t="shared" si="101"/>
        <v>1.4819277108433735</v>
      </c>
      <c r="N1355" t="s">
        <v>136</v>
      </c>
      <c r="O1355" t="s">
        <v>136</v>
      </c>
      <c r="P1355">
        <v>1</v>
      </c>
      <c r="Q1355">
        <v>1</v>
      </c>
      <c r="R1355" t="s">
        <v>1192</v>
      </c>
    </row>
    <row r="1356" spans="1:18" x14ac:dyDescent="0.3">
      <c r="A1356">
        <v>423</v>
      </c>
      <c r="B1356" t="s">
        <v>1190</v>
      </c>
      <c r="C1356" t="s">
        <v>1183</v>
      </c>
      <c r="D1356" t="s">
        <v>71</v>
      </c>
      <c r="E1356" t="s">
        <v>22</v>
      </c>
      <c r="F1356" s="79">
        <v>46022</v>
      </c>
      <c r="G1356">
        <v>2025</v>
      </c>
      <c r="H1356" t="s">
        <v>23</v>
      </c>
      <c r="I1356" t="s">
        <v>32</v>
      </c>
      <c r="J1356">
        <v>12.3</v>
      </c>
      <c r="K1356">
        <v>15.1</v>
      </c>
      <c r="L1356" s="39">
        <f t="shared" si="103"/>
        <v>1.2276422764227641</v>
      </c>
      <c r="M1356" s="39">
        <f t="shared" si="101"/>
        <v>1.2276422764227641</v>
      </c>
      <c r="N1356" t="s">
        <v>136</v>
      </c>
      <c r="O1356" t="s">
        <v>136</v>
      </c>
      <c r="P1356">
        <v>1</v>
      </c>
      <c r="Q1356">
        <v>1</v>
      </c>
      <c r="R1356" t="s">
        <v>1193</v>
      </c>
    </row>
    <row r="1357" spans="1:18" x14ac:dyDescent="0.3">
      <c r="A1357">
        <v>424</v>
      </c>
      <c r="B1357" t="s">
        <v>1194</v>
      </c>
      <c r="C1357" t="s">
        <v>1183</v>
      </c>
      <c r="D1357" t="s">
        <v>71</v>
      </c>
      <c r="E1357" t="s">
        <v>22</v>
      </c>
      <c r="F1357" s="79">
        <v>45291</v>
      </c>
      <c r="G1357">
        <v>2023</v>
      </c>
      <c r="H1357" t="s">
        <v>23</v>
      </c>
      <c r="I1357" t="s">
        <v>28</v>
      </c>
      <c r="J1357">
        <v>92</v>
      </c>
      <c r="K1357">
        <v>6</v>
      </c>
      <c r="L1357" s="39">
        <f t="shared" si="103"/>
        <v>6.5217391304347824E-2</v>
      </c>
      <c r="M1357" s="39">
        <f t="shared" si="101"/>
        <v>6.5217391304347824E-2</v>
      </c>
      <c r="N1357" t="s">
        <v>128</v>
      </c>
      <c r="O1357" t="s">
        <v>128</v>
      </c>
      <c r="P1357">
        <v>0</v>
      </c>
      <c r="Q1357">
        <v>0</v>
      </c>
      <c r="R1357" t="s">
        <v>1195</v>
      </c>
    </row>
    <row r="1358" spans="1:18" x14ac:dyDescent="0.3">
      <c r="A1358">
        <v>424</v>
      </c>
      <c r="B1358" t="s">
        <v>1194</v>
      </c>
      <c r="C1358" t="s">
        <v>1183</v>
      </c>
      <c r="D1358" t="s">
        <v>71</v>
      </c>
      <c r="E1358" t="s">
        <v>22</v>
      </c>
      <c r="F1358" s="79">
        <v>45657</v>
      </c>
      <c r="G1358">
        <v>2024</v>
      </c>
      <c r="H1358" t="s">
        <v>23</v>
      </c>
      <c r="I1358" t="s">
        <v>30</v>
      </c>
      <c r="J1358">
        <v>7</v>
      </c>
      <c r="K1358">
        <v>9</v>
      </c>
      <c r="L1358" s="39">
        <f t="shared" si="103"/>
        <v>1.2857142857142858</v>
      </c>
      <c r="M1358" s="39">
        <f t="shared" si="101"/>
        <v>1.2857142857142858</v>
      </c>
      <c r="N1358" t="s">
        <v>128</v>
      </c>
      <c r="O1358" t="s">
        <v>128</v>
      </c>
      <c r="P1358">
        <v>0</v>
      </c>
      <c r="Q1358">
        <v>0</v>
      </c>
      <c r="R1358" t="s">
        <v>1196</v>
      </c>
    </row>
    <row r="1359" spans="1:18" x14ac:dyDescent="0.3">
      <c r="A1359">
        <v>424</v>
      </c>
      <c r="B1359" t="s">
        <v>1194</v>
      </c>
      <c r="C1359" t="s">
        <v>1183</v>
      </c>
      <c r="D1359" t="s">
        <v>71</v>
      </c>
      <c r="E1359" t="s">
        <v>22</v>
      </c>
      <c r="F1359" s="79">
        <v>46022</v>
      </c>
      <c r="G1359">
        <v>2025</v>
      </c>
      <c r="H1359" t="s">
        <v>23</v>
      </c>
      <c r="I1359" t="s">
        <v>32</v>
      </c>
      <c r="J1359">
        <v>9</v>
      </c>
      <c r="K1359">
        <v>11</v>
      </c>
      <c r="L1359" s="39">
        <f t="shared" si="103"/>
        <v>1.2222222222222223</v>
      </c>
      <c r="M1359" s="39">
        <f t="shared" si="101"/>
        <v>1.2222222222222223</v>
      </c>
      <c r="N1359" t="s">
        <v>128</v>
      </c>
      <c r="O1359" t="s">
        <v>128</v>
      </c>
      <c r="P1359">
        <v>0</v>
      </c>
      <c r="Q1359">
        <v>0</v>
      </c>
      <c r="R1359" t="s">
        <v>1197</v>
      </c>
    </row>
    <row r="1360" spans="1:18" x14ac:dyDescent="0.3">
      <c r="A1360">
        <v>425</v>
      </c>
      <c r="B1360" t="s">
        <v>1198</v>
      </c>
      <c r="C1360" t="s">
        <v>1044</v>
      </c>
      <c r="D1360" t="s">
        <v>71</v>
      </c>
      <c r="E1360" t="s">
        <v>22</v>
      </c>
      <c r="F1360" s="79">
        <v>45291</v>
      </c>
      <c r="G1360">
        <v>2023</v>
      </c>
      <c r="H1360" t="s">
        <v>23</v>
      </c>
      <c r="I1360" t="s">
        <v>28</v>
      </c>
      <c r="J1360">
        <v>5500</v>
      </c>
      <c r="K1360">
        <v>5785</v>
      </c>
      <c r="L1360" s="39">
        <f t="shared" si="103"/>
        <v>1.0518181818181818</v>
      </c>
      <c r="M1360" s="39">
        <f t="shared" si="101"/>
        <v>1.0518181818181818</v>
      </c>
      <c r="P1360">
        <v>0</v>
      </c>
      <c r="Q1360">
        <v>0</v>
      </c>
      <c r="R1360" t="s">
        <v>1199</v>
      </c>
    </row>
    <row r="1361" spans="1:18" x14ac:dyDescent="0.3">
      <c r="A1361">
        <v>425</v>
      </c>
      <c r="B1361" t="s">
        <v>1198</v>
      </c>
      <c r="C1361" t="s">
        <v>1044</v>
      </c>
      <c r="D1361" t="s">
        <v>27</v>
      </c>
      <c r="E1361" t="s">
        <v>22</v>
      </c>
      <c r="F1361" s="79">
        <v>45473</v>
      </c>
      <c r="G1361">
        <v>2024</v>
      </c>
      <c r="H1361" t="s">
        <v>699</v>
      </c>
      <c r="I1361" t="s">
        <v>729</v>
      </c>
      <c r="J1361">
        <v>100</v>
      </c>
      <c r="K1361">
        <v>60.69</v>
      </c>
      <c r="L1361" s="39">
        <f t="shared" si="103"/>
        <v>0.6069</v>
      </c>
      <c r="M1361" s="39">
        <f t="shared" si="101"/>
        <v>0.6069</v>
      </c>
      <c r="P1361">
        <v>0</v>
      </c>
      <c r="Q1361">
        <v>0</v>
      </c>
      <c r="R1361" t="s">
        <v>2932</v>
      </c>
    </row>
    <row r="1362" spans="1:18" x14ac:dyDescent="0.3">
      <c r="A1362">
        <v>425</v>
      </c>
      <c r="B1362" t="s">
        <v>1198</v>
      </c>
      <c r="C1362" t="s">
        <v>1044</v>
      </c>
      <c r="D1362" t="s">
        <v>27</v>
      </c>
      <c r="E1362" t="s">
        <v>22</v>
      </c>
      <c r="F1362" s="79">
        <v>45657</v>
      </c>
      <c r="G1362">
        <v>2024</v>
      </c>
      <c r="H1362" t="s">
        <v>23</v>
      </c>
      <c r="I1362" t="s">
        <v>30</v>
      </c>
      <c r="J1362">
        <v>100</v>
      </c>
      <c r="K1362">
        <v>164.69</v>
      </c>
      <c r="L1362" s="39">
        <f t="shared" si="103"/>
        <v>1.3</v>
      </c>
      <c r="M1362" s="39">
        <f t="shared" si="101"/>
        <v>1.6469</v>
      </c>
      <c r="P1362">
        <v>0</v>
      </c>
      <c r="Q1362">
        <v>0</v>
      </c>
      <c r="R1362" t="s">
        <v>1200</v>
      </c>
    </row>
    <row r="1363" spans="1:18" x14ac:dyDescent="0.3">
      <c r="A1363">
        <v>426</v>
      </c>
      <c r="B1363" t="s">
        <v>1201</v>
      </c>
      <c r="C1363" t="s">
        <v>149</v>
      </c>
      <c r="D1363" t="s">
        <v>27</v>
      </c>
      <c r="E1363" t="s">
        <v>22</v>
      </c>
      <c r="F1363" s="79">
        <v>45107</v>
      </c>
      <c r="G1363">
        <v>2023</v>
      </c>
      <c r="H1363" t="s">
        <v>699</v>
      </c>
      <c r="I1363" t="s">
        <v>1512</v>
      </c>
      <c r="K1363">
        <v>86.98</v>
      </c>
      <c r="L1363" s="39"/>
      <c r="M1363" s="39"/>
      <c r="N1363" t="s">
        <v>355</v>
      </c>
      <c r="O1363" t="s">
        <v>25</v>
      </c>
      <c r="P1363">
        <v>0</v>
      </c>
      <c r="Q1363">
        <v>0</v>
      </c>
      <c r="R1363" t="s">
        <v>2933</v>
      </c>
    </row>
    <row r="1364" spans="1:18" x14ac:dyDescent="0.3">
      <c r="A1364">
        <v>426</v>
      </c>
      <c r="B1364" t="s">
        <v>1201</v>
      </c>
      <c r="C1364" t="s">
        <v>149</v>
      </c>
      <c r="D1364" t="s">
        <v>27</v>
      </c>
      <c r="E1364" t="s">
        <v>22</v>
      </c>
      <c r="F1364" s="79">
        <v>45291</v>
      </c>
      <c r="G1364">
        <v>2023</v>
      </c>
      <c r="H1364" t="s">
        <v>23</v>
      </c>
      <c r="I1364" t="s">
        <v>28</v>
      </c>
      <c r="K1364">
        <v>92.31</v>
      </c>
      <c r="L1364" s="39"/>
      <c r="M1364" s="39"/>
      <c r="N1364" t="s">
        <v>355</v>
      </c>
      <c r="O1364" t="s">
        <v>25</v>
      </c>
      <c r="P1364">
        <v>0</v>
      </c>
      <c r="Q1364">
        <v>0</v>
      </c>
      <c r="R1364" t="s">
        <v>1202</v>
      </c>
    </row>
    <row r="1365" spans="1:18" x14ac:dyDescent="0.3">
      <c r="A1365">
        <v>426</v>
      </c>
      <c r="B1365" t="s">
        <v>1201</v>
      </c>
      <c r="C1365" t="s">
        <v>149</v>
      </c>
      <c r="D1365" t="s">
        <v>27</v>
      </c>
      <c r="E1365" t="s">
        <v>22</v>
      </c>
      <c r="F1365" s="79">
        <v>45473</v>
      </c>
      <c r="G1365">
        <v>2024</v>
      </c>
      <c r="H1365" t="s">
        <v>699</v>
      </c>
      <c r="I1365" t="s">
        <v>729</v>
      </c>
      <c r="J1365">
        <v>80</v>
      </c>
      <c r="K1365">
        <v>60.27</v>
      </c>
      <c r="L1365" s="39">
        <f t="shared" ref="L1365:L1396" si="104">IFERROR(IF(OR(J1365=0,K1365=""),"",IF(E1365="Positivo",MIN(MAX(K1365/J1365,0),1.3),MIN(MAX(J1365/K1365,0),1.3))),"")</f>
        <v>0.75337500000000002</v>
      </c>
      <c r="M1365" s="39">
        <f t="shared" ref="M1365:M1396" si="105">IFERROR(IF(OR(J1365=0,K1365=""),"",IF(E1365="Positivo",MAX(K1365/J1365,0),MAX(J1365/K1365,0))),"")</f>
        <v>0.75337500000000002</v>
      </c>
      <c r="P1365">
        <v>0</v>
      </c>
      <c r="Q1365">
        <v>0</v>
      </c>
      <c r="R1365" t="s">
        <v>2934</v>
      </c>
    </row>
    <row r="1366" spans="1:18" x14ac:dyDescent="0.3">
      <c r="A1366">
        <v>426</v>
      </c>
      <c r="B1366" t="s">
        <v>1201</v>
      </c>
      <c r="C1366" t="s">
        <v>149</v>
      </c>
      <c r="D1366" t="s">
        <v>27</v>
      </c>
      <c r="E1366" t="s">
        <v>22</v>
      </c>
      <c r="F1366" s="79">
        <v>45657</v>
      </c>
      <c r="G1366">
        <v>2024</v>
      </c>
      <c r="H1366" t="s">
        <v>23</v>
      </c>
      <c r="I1366" t="s">
        <v>30</v>
      </c>
      <c r="J1366">
        <v>80</v>
      </c>
      <c r="K1366">
        <v>86.72</v>
      </c>
      <c r="L1366" s="39">
        <f t="shared" si="104"/>
        <v>1.0840000000000001</v>
      </c>
      <c r="M1366" s="39">
        <f t="shared" si="105"/>
        <v>1.0840000000000001</v>
      </c>
      <c r="P1366">
        <v>0</v>
      </c>
      <c r="Q1366">
        <v>0</v>
      </c>
      <c r="R1366" t="s">
        <v>1203</v>
      </c>
    </row>
    <row r="1367" spans="1:18" x14ac:dyDescent="0.3">
      <c r="A1367">
        <v>427</v>
      </c>
      <c r="B1367" t="s">
        <v>1204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0.2</v>
      </c>
      <c r="K1367">
        <v>0.13666666666666999</v>
      </c>
      <c r="L1367" s="39">
        <f t="shared" si="104"/>
        <v>1.3</v>
      </c>
      <c r="M1367" s="39">
        <f t="shared" si="105"/>
        <v>1.4634146341463059</v>
      </c>
      <c r="N1367" t="s">
        <v>136</v>
      </c>
      <c r="O1367" t="s">
        <v>136</v>
      </c>
      <c r="P1367">
        <v>2</v>
      </c>
      <c r="Q1367">
        <v>2</v>
      </c>
      <c r="R1367" t="s">
        <v>2935</v>
      </c>
    </row>
    <row r="1368" spans="1:18" x14ac:dyDescent="0.3">
      <c r="A1368">
        <v>427</v>
      </c>
      <c r="B1368" t="s">
        <v>1204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0.2</v>
      </c>
      <c r="K1368">
        <v>0.2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2</v>
      </c>
      <c r="Q1368">
        <v>2</v>
      </c>
      <c r="R1368" t="s">
        <v>1205</v>
      </c>
    </row>
    <row r="1369" spans="1:18" x14ac:dyDescent="0.3">
      <c r="A1369">
        <v>427</v>
      </c>
      <c r="B1369" t="s">
        <v>1204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0.2</v>
      </c>
      <c r="K1369">
        <v>0.17</v>
      </c>
      <c r="L1369" s="39">
        <f t="shared" si="104"/>
        <v>1.1764705882352942</v>
      </c>
      <c r="M1369" s="39">
        <f t="shared" si="105"/>
        <v>1.1764705882352942</v>
      </c>
      <c r="P1369">
        <v>0</v>
      </c>
      <c r="Q1369">
        <v>0</v>
      </c>
      <c r="R1369" t="s">
        <v>2936</v>
      </c>
    </row>
    <row r="1370" spans="1:18" x14ac:dyDescent="0.3">
      <c r="A1370">
        <v>427</v>
      </c>
      <c r="B1370" t="s">
        <v>1204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0.2</v>
      </c>
      <c r="K1370">
        <v>0.17</v>
      </c>
      <c r="L1370" s="39">
        <f t="shared" si="104"/>
        <v>1.1764705882352942</v>
      </c>
      <c r="M1370" s="39">
        <f t="shared" si="105"/>
        <v>1.1764705882352942</v>
      </c>
      <c r="P1370">
        <v>0</v>
      </c>
      <c r="Q1370">
        <v>0</v>
      </c>
      <c r="R1370" t="s">
        <v>1206</v>
      </c>
    </row>
    <row r="1371" spans="1:18" x14ac:dyDescent="0.3">
      <c r="A1371">
        <v>427</v>
      </c>
      <c r="B1371" t="s">
        <v>1204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0.2</v>
      </c>
      <c r="K1371">
        <v>0.14000000000000001</v>
      </c>
      <c r="L1371" s="39">
        <f t="shared" si="104"/>
        <v>1.3</v>
      </c>
      <c r="M1371" s="39">
        <f t="shared" si="105"/>
        <v>1.4285714285714286</v>
      </c>
      <c r="N1371" t="s">
        <v>136</v>
      </c>
      <c r="O1371" t="s">
        <v>136</v>
      </c>
      <c r="P1371">
        <v>2</v>
      </c>
      <c r="Q1371">
        <v>2</v>
      </c>
      <c r="R1371" t="s">
        <v>2937</v>
      </c>
    </row>
    <row r="1372" spans="1:18" x14ac:dyDescent="0.3">
      <c r="A1372">
        <v>427</v>
      </c>
      <c r="B1372" t="s">
        <v>1204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0.2</v>
      </c>
      <c r="K1372">
        <v>0.15</v>
      </c>
      <c r="L1372" s="39">
        <f t="shared" si="104"/>
        <v>1.3</v>
      </c>
      <c r="M1372" s="39">
        <f t="shared" si="105"/>
        <v>1.3333333333333335</v>
      </c>
      <c r="N1372" t="s">
        <v>136</v>
      </c>
      <c r="O1372" t="s">
        <v>136</v>
      </c>
      <c r="P1372">
        <v>2</v>
      </c>
      <c r="Q1372">
        <v>2</v>
      </c>
      <c r="R1372" t="s">
        <v>1207</v>
      </c>
    </row>
    <row r="1373" spans="1:18" x14ac:dyDescent="0.3">
      <c r="A1373">
        <v>428</v>
      </c>
      <c r="B1373" t="s">
        <v>1208</v>
      </c>
      <c r="C1373" t="s">
        <v>190</v>
      </c>
      <c r="D1373" t="s">
        <v>27</v>
      </c>
      <c r="E1373" t="s">
        <v>41</v>
      </c>
      <c r="F1373" s="79">
        <v>45107</v>
      </c>
      <c r="G1373">
        <v>2023</v>
      </c>
      <c r="H1373" t="s">
        <v>699</v>
      </c>
      <c r="I1373" t="s">
        <v>1512</v>
      </c>
      <c r="J1373">
        <v>1</v>
      </c>
      <c r="K1373">
        <v>17.59</v>
      </c>
      <c r="L1373" s="39">
        <f t="shared" si="104"/>
        <v>5.6850483229107449E-2</v>
      </c>
      <c r="M1373" s="39">
        <f t="shared" si="105"/>
        <v>5.6850483229107449E-2</v>
      </c>
      <c r="P1373">
        <v>0</v>
      </c>
      <c r="Q1373">
        <v>0</v>
      </c>
      <c r="R1373" t="s">
        <v>2938</v>
      </c>
    </row>
    <row r="1374" spans="1:18" x14ac:dyDescent="0.3">
      <c r="A1374">
        <v>428</v>
      </c>
      <c r="B1374" t="s">
        <v>1208</v>
      </c>
      <c r="C1374" t="s">
        <v>190</v>
      </c>
      <c r="D1374" t="s">
        <v>27</v>
      </c>
      <c r="E1374" t="s">
        <v>41</v>
      </c>
      <c r="F1374" s="79">
        <v>45291</v>
      </c>
      <c r="G1374">
        <v>2023</v>
      </c>
      <c r="H1374" t="s">
        <v>23</v>
      </c>
      <c r="I1374" t="s">
        <v>28</v>
      </c>
      <c r="J1374">
        <v>1</v>
      </c>
      <c r="K1374">
        <v>18.63</v>
      </c>
      <c r="L1374" s="39">
        <f t="shared" si="104"/>
        <v>5.3676865271068172E-2</v>
      </c>
      <c r="M1374" s="39">
        <f t="shared" si="105"/>
        <v>5.3676865271068172E-2</v>
      </c>
      <c r="P1374">
        <v>0</v>
      </c>
      <c r="Q1374">
        <v>0</v>
      </c>
      <c r="R1374" t="s">
        <v>1209</v>
      </c>
    </row>
    <row r="1375" spans="1:18" x14ac:dyDescent="0.3">
      <c r="A1375">
        <v>428</v>
      </c>
      <c r="B1375" t="s">
        <v>1208</v>
      </c>
      <c r="C1375" t="s">
        <v>190</v>
      </c>
      <c r="D1375" t="s">
        <v>27</v>
      </c>
      <c r="E1375" t="s">
        <v>41</v>
      </c>
      <c r="F1375" s="79">
        <v>45473</v>
      </c>
      <c r="G1375">
        <v>2024</v>
      </c>
      <c r="H1375" t="s">
        <v>699</v>
      </c>
      <c r="I1375" t="s">
        <v>729</v>
      </c>
      <c r="J1375">
        <v>1</v>
      </c>
      <c r="K1375">
        <v>16.579999999999998</v>
      </c>
      <c r="L1375" s="39">
        <f t="shared" si="104"/>
        <v>6.0313630880579019E-2</v>
      </c>
      <c r="M1375" s="39">
        <f t="shared" si="105"/>
        <v>6.0313630880579019E-2</v>
      </c>
      <c r="P1375">
        <v>0</v>
      </c>
      <c r="Q1375">
        <v>0</v>
      </c>
      <c r="R1375" t="s">
        <v>2939</v>
      </c>
    </row>
    <row r="1376" spans="1:18" x14ac:dyDescent="0.3">
      <c r="A1376">
        <v>428</v>
      </c>
      <c r="B1376" t="s">
        <v>1208</v>
      </c>
      <c r="C1376" t="s">
        <v>190</v>
      </c>
      <c r="D1376" t="s">
        <v>27</v>
      </c>
      <c r="E1376" t="s">
        <v>41</v>
      </c>
      <c r="F1376" s="79">
        <v>45657</v>
      </c>
      <c r="G1376">
        <v>2024</v>
      </c>
      <c r="H1376" t="s">
        <v>23</v>
      </c>
      <c r="I1376" t="s">
        <v>30</v>
      </c>
      <c r="J1376">
        <v>1</v>
      </c>
      <c r="K1376">
        <v>18.53</v>
      </c>
      <c r="L1376" s="39">
        <f t="shared" si="104"/>
        <v>5.3966540744738258E-2</v>
      </c>
      <c r="M1376" s="39">
        <f t="shared" si="105"/>
        <v>5.3966540744738258E-2</v>
      </c>
      <c r="P1376">
        <v>0</v>
      </c>
      <c r="Q1376">
        <v>0</v>
      </c>
      <c r="R1376" t="s">
        <v>1210</v>
      </c>
    </row>
    <row r="1377" spans="1:18" x14ac:dyDescent="0.3">
      <c r="A1377">
        <v>428</v>
      </c>
      <c r="B1377" t="s">
        <v>1208</v>
      </c>
      <c r="C1377" t="s">
        <v>190</v>
      </c>
      <c r="D1377" t="s">
        <v>21</v>
      </c>
      <c r="E1377" t="s">
        <v>41</v>
      </c>
      <c r="F1377" s="79">
        <v>45838</v>
      </c>
      <c r="G1377">
        <v>2025</v>
      </c>
      <c r="H1377" t="s">
        <v>699</v>
      </c>
      <c r="I1377" t="s">
        <v>700</v>
      </c>
      <c r="J1377">
        <v>1</v>
      </c>
      <c r="K1377">
        <v>15.12</v>
      </c>
      <c r="L1377" s="39">
        <f t="shared" si="104"/>
        <v>6.6137566137566148E-2</v>
      </c>
      <c r="M1377" s="39">
        <f t="shared" si="105"/>
        <v>6.6137566137566148E-2</v>
      </c>
      <c r="N1377" t="s">
        <v>424</v>
      </c>
      <c r="O1377" t="s">
        <v>424</v>
      </c>
      <c r="P1377">
        <v>0</v>
      </c>
      <c r="Q1377">
        <v>1</v>
      </c>
      <c r="R1377" t="s">
        <v>2940</v>
      </c>
    </row>
    <row r="1378" spans="1:18" x14ac:dyDescent="0.3">
      <c r="A1378">
        <v>428</v>
      </c>
      <c r="B1378" t="s">
        <v>1208</v>
      </c>
      <c r="C1378" t="s">
        <v>190</v>
      </c>
      <c r="D1378" t="s">
        <v>21</v>
      </c>
      <c r="E1378" t="s">
        <v>41</v>
      </c>
      <c r="F1378" s="79">
        <v>46022</v>
      </c>
      <c r="G1378">
        <v>2025</v>
      </c>
      <c r="H1378" t="s">
        <v>23</v>
      </c>
      <c r="I1378" t="s">
        <v>32</v>
      </c>
      <c r="J1378">
        <v>1</v>
      </c>
      <c r="K1378">
        <v>17.88</v>
      </c>
      <c r="L1378" s="39">
        <f t="shared" si="104"/>
        <v>5.5928411633109625E-2</v>
      </c>
      <c r="M1378" s="39">
        <f t="shared" si="105"/>
        <v>5.5928411633109625E-2</v>
      </c>
      <c r="N1378" t="s">
        <v>424</v>
      </c>
      <c r="O1378" t="s">
        <v>424</v>
      </c>
      <c r="P1378">
        <v>0</v>
      </c>
      <c r="Q1378">
        <v>1</v>
      </c>
      <c r="R1378" t="s">
        <v>1211</v>
      </c>
    </row>
    <row r="1379" spans="1:18" x14ac:dyDescent="0.3">
      <c r="A1379">
        <v>429</v>
      </c>
      <c r="B1379" t="s">
        <v>1212</v>
      </c>
      <c r="C1379" t="s">
        <v>190</v>
      </c>
      <c r="D1379" t="s">
        <v>27</v>
      </c>
      <c r="E1379" t="s">
        <v>41</v>
      </c>
      <c r="F1379" s="79">
        <v>45107</v>
      </c>
      <c r="G1379">
        <v>2023</v>
      </c>
      <c r="H1379" t="s">
        <v>699</v>
      </c>
      <c r="I1379" t="s">
        <v>1512</v>
      </c>
      <c r="J1379">
        <v>0.76</v>
      </c>
      <c r="K1379">
        <v>0.3</v>
      </c>
      <c r="L1379" s="39">
        <f t="shared" si="104"/>
        <v>1.3</v>
      </c>
      <c r="M1379" s="39">
        <f t="shared" si="105"/>
        <v>2.5333333333333337</v>
      </c>
      <c r="N1379" t="s">
        <v>136</v>
      </c>
      <c r="O1379" t="s">
        <v>136</v>
      </c>
      <c r="P1379">
        <v>1</v>
      </c>
      <c r="Q1379">
        <v>1</v>
      </c>
      <c r="R1379" t="s">
        <v>2941</v>
      </c>
    </row>
    <row r="1380" spans="1:18" x14ac:dyDescent="0.3">
      <c r="A1380">
        <v>429</v>
      </c>
      <c r="B1380" t="s">
        <v>1212</v>
      </c>
      <c r="C1380" t="s">
        <v>190</v>
      </c>
      <c r="D1380" t="s">
        <v>27</v>
      </c>
      <c r="E1380" t="s">
        <v>41</v>
      </c>
      <c r="F1380" s="79">
        <v>45291</v>
      </c>
      <c r="G1380">
        <v>2023</v>
      </c>
      <c r="H1380" t="s">
        <v>23</v>
      </c>
      <c r="I1380" t="s">
        <v>28</v>
      </c>
      <c r="J1380">
        <v>0.76</v>
      </c>
      <c r="K1380">
        <v>0.76</v>
      </c>
      <c r="L1380" s="39">
        <f t="shared" si="104"/>
        <v>1</v>
      </c>
      <c r="M1380" s="39">
        <f t="shared" si="105"/>
        <v>1</v>
      </c>
      <c r="N1380" t="s">
        <v>136</v>
      </c>
      <c r="O1380" t="s">
        <v>136</v>
      </c>
      <c r="P1380">
        <v>1</v>
      </c>
      <c r="Q1380">
        <v>1</v>
      </c>
      <c r="R1380" t="s">
        <v>1213</v>
      </c>
    </row>
    <row r="1381" spans="1:18" x14ac:dyDescent="0.3">
      <c r="A1381">
        <v>429</v>
      </c>
      <c r="B1381" t="s">
        <v>1212</v>
      </c>
      <c r="C1381" t="s">
        <v>190</v>
      </c>
      <c r="D1381" t="s">
        <v>27</v>
      </c>
      <c r="E1381" t="s">
        <v>41</v>
      </c>
      <c r="F1381" s="79">
        <v>45473</v>
      </c>
      <c r="G1381">
        <v>2024</v>
      </c>
      <c r="H1381" t="s">
        <v>699</v>
      </c>
      <c r="I1381" t="s">
        <v>729</v>
      </c>
      <c r="J1381">
        <v>0.76</v>
      </c>
      <c r="K1381">
        <v>0.66</v>
      </c>
      <c r="L1381" s="39">
        <f t="shared" si="104"/>
        <v>1.1515151515151514</v>
      </c>
      <c r="M1381" s="39">
        <f t="shared" si="105"/>
        <v>1.1515151515151514</v>
      </c>
      <c r="P1381">
        <v>0</v>
      </c>
      <c r="Q1381">
        <v>0</v>
      </c>
      <c r="R1381" t="s">
        <v>2942</v>
      </c>
    </row>
    <row r="1382" spans="1:18" x14ac:dyDescent="0.3">
      <c r="A1382">
        <v>429</v>
      </c>
      <c r="B1382" t="s">
        <v>1212</v>
      </c>
      <c r="C1382" t="s">
        <v>190</v>
      </c>
      <c r="D1382" t="s">
        <v>27</v>
      </c>
      <c r="E1382" t="s">
        <v>41</v>
      </c>
      <c r="F1382" s="79">
        <v>45657</v>
      </c>
      <c r="G1382">
        <v>2024</v>
      </c>
      <c r="H1382" t="s">
        <v>23</v>
      </c>
      <c r="I1382" t="s">
        <v>30</v>
      </c>
      <c r="J1382">
        <v>0.76</v>
      </c>
      <c r="K1382">
        <v>0.67</v>
      </c>
      <c r="L1382" s="39">
        <f t="shared" si="104"/>
        <v>1.1343283582089552</v>
      </c>
      <c r="M1382" s="39">
        <f t="shared" si="105"/>
        <v>1.1343283582089552</v>
      </c>
      <c r="P1382">
        <v>0</v>
      </c>
      <c r="Q1382">
        <v>0</v>
      </c>
      <c r="R1382" t="s">
        <v>1214</v>
      </c>
    </row>
    <row r="1383" spans="1:18" x14ac:dyDescent="0.3">
      <c r="A1383">
        <v>429</v>
      </c>
      <c r="B1383" t="s">
        <v>1212</v>
      </c>
      <c r="C1383" t="s">
        <v>190</v>
      </c>
      <c r="D1383" t="s">
        <v>21</v>
      </c>
      <c r="E1383" t="s">
        <v>41</v>
      </c>
      <c r="F1383" s="79">
        <v>45838</v>
      </c>
      <c r="G1383">
        <v>2025</v>
      </c>
      <c r="H1383" t="s">
        <v>699</v>
      </c>
      <c r="I1383" t="s">
        <v>700</v>
      </c>
      <c r="J1383">
        <v>0.76</v>
      </c>
      <c r="K1383">
        <v>0.59</v>
      </c>
      <c r="L1383" s="39">
        <f t="shared" si="104"/>
        <v>1.2881355932203391</v>
      </c>
      <c r="M1383" s="39">
        <f t="shared" si="105"/>
        <v>1.2881355932203391</v>
      </c>
      <c r="N1383" t="s">
        <v>136</v>
      </c>
      <c r="O1383" t="s">
        <v>136</v>
      </c>
      <c r="P1383">
        <v>2</v>
      </c>
      <c r="Q1383">
        <v>2</v>
      </c>
      <c r="R1383" t="s">
        <v>2943</v>
      </c>
    </row>
    <row r="1384" spans="1:18" x14ac:dyDescent="0.3">
      <c r="A1384">
        <v>429</v>
      </c>
      <c r="B1384" t="s">
        <v>1212</v>
      </c>
      <c r="C1384" t="s">
        <v>190</v>
      </c>
      <c r="D1384" t="s">
        <v>21</v>
      </c>
      <c r="E1384" t="s">
        <v>41</v>
      </c>
      <c r="F1384" s="79">
        <v>46022</v>
      </c>
      <c r="G1384">
        <v>2025</v>
      </c>
      <c r="H1384" t="s">
        <v>23</v>
      </c>
      <c r="I1384" t="s">
        <v>32</v>
      </c>
      <c r="J1384">
        <v>0.76</v>
      </c>
      <c r="K1384">
        <v>0.52</v>
      </c>
      <c r="L1384" s="39">
        <f t="shared" si="104"/>
        <v>1.3</v>
      </c>
      <c r="M1384" s="39">
        <f t="shared" si="105"/>
        <v>1.4615384615384615</v>
      </c>
      <c r="N1384" t="s">
        <v>136</v>
      </c>
      <c r="O1384" t="s">
        <v>136</v>
      </c>
      <c r="P1384">
        <v>2</v>
      </c>
      <c r="Q1384">
        <v>2</v>
      </c>
      <c r="R1384" t="s">
        <v>1215</v>
      </c>
    </row>
    <row r="1385" spans="1:18" x14ac:dyDescent="0.3">
      <c r="A1385">
        <v>430</v>
      </c>
      <c r="B1385" t="s">
        <v>1216</v>
      </c>
      <c r="C1385" t="s">
        <v>159</v>
      </c>
      <c r="D1385" t="s">
        <v>27</v>
      </c>
      <c r="E1385" t="s">
        <v>22</v>
      </c>
      <c r="F1385" s="79">
        <v>45107</v>
      </c>
      <c r="G1385">
        <v>2023</v>
      </c>
      <c r="H1385" t="s">
        <v>699</v>
      </c>
      <c r="I1385" t="s">
        <v>1512</v>
      </c>
      <c r="J1385">
        <v>95</v>
      </c>
      <c r="K1385">
        <v>104.59563552424</v>
      </c>
      <c r="L1385" s="39">
        <f t="shared" si="104"/>
        <v>1.101006689728842</v>
      </c>
      <c r="M1385" s="39">
        <f t="shared" si="105"/>
        <v>1.101006689728842</v>
      </c>
      <c r="N1385" t="s">
        <v>205</v>
      </c>
      <c r="O1385" t="s">
        <v>205</v>
      </c>
      <c r="P1385">
        <v>0</v>
      </c>
      <c r="Q1385">
        <v>0</v>
      </c>
      <c r="R1385" t="s">
        <v>2944</v>
      </c>
    </row>
    <row r="1386" spans="1:18" x14ac:dyDescent="0.3">
      <c r="A1386">
        <v>430</v>
      </c>
      <c r="B1386" t="s">
        <v>1216</v>
      </c>
      <c r="C1386" t="s">
        <v>159</v>
      </c>
      <c r="D1386" t="s">
        <v>27</v>
      </c>
      <c r="E1386" t="s">
        <v>22</v>
      </c>
      <c r="F1386" s="79">
        <v>45291</v>
      </c>
      <c r="G1386">
        <v>2023</v>
      </c>
      <c r="H1386" t="s">
        <v>23</v>
      </c>
      <c r="I1386" t="s">
        <v>28</v>
      </c>
      <c r="J1386">
        <v>95</v>
      </c>
      <c r="K1386">
        <v>101.39526345983001</v>
      </c>
      <c r="L1386" s="39">
        <f t="shared" si="104"/>
        <v>1.0673185627350528</v>
      </c>
      <c r="M1386" s="39">
        <f t="shared" si="105"/>
        <v>1.0673185627350528</v>
      </c>
      <c r="N1386" t="s">
        <v>205</v>
      </c>
      <c r="O1386" t="s">
        <v>205</v>
      </c>
      <c r="P1386">
        <v>0</v>
      </c>
      <c r="Q1386">
        <v>0</v>
      </c>
      <c r="R1386" t="s">
        <v>1217</v>
      </c>
    </row>
    <row r="1387" spans="1:18" x14ac:dyDescent="0.3">
      <c r="A1387">
        <v>430</v>
      </c>
      <c r="B1387" t="s">
        <v>1216</v>
      </c>
      <c r="C1387" t="s">
        <v>159</v>
      </c>
      <c r="D1387" t="s">
        <v>27</v>
      </c>
      <c r="E1387" t="s">
        <v>22</v>
      </c>
      <c r="F1387" s="79">
        <v>45473</v>
      </c>
      <c r="G1387">
        <v>2024</v>
      </c>
      <c r="H1387" t="s">
        <v>699</v>
      </c>
      <c r="I1387" t="s">
        <v>729</v>
      </c>
      <c r="J1387">
        <v>95</v>
      </c>
      <c r="K1387">
        <v>101.88</v>
      </c>
      <c r="L1387" s="39">
        <f t="shared" si="104"/>
        <v>1.0724210526315789</v>
      </c>
      <c r="M1387" s="39">
        <f t="shared" si="105"/>
        <v>1.0724210526315789</v>
      </c>
      <c r="N1387" t="s">
        <v>205</v>
      </c>
      <c r="O1387" t="s">
        <v>205</v>
      </c>
      <c r="P1387">
        <v>0</v>
      </c>
      <c r="Q1387">
        <v>0</v>
      </c>
      <c r="R1387" t="s">
        <v>2945</v>
      </c>
    </row>
    <row r="1388" spans="1:18" x14ac:dyDescent="0.3">
      <c r="A1388">
        <v>430</v>
      </c>
      <c r="B1388" t="s">
        <v>1216</v>
      </c>
      <c r="C1388" t="s">
        <v>159</v>
      </c>
      <c r="D1388" t="s">
        <v>27</v>
      </c>
      <c r="E1388" t="s">
        <v>22</v>
      </c>
      <c r="F1388" s="79">
        <v>45657</v>
      </c>
      <c r="G1388">
        <v>2024</v>
      </c>
      <c r="H1388" t="s">
        <v>23</v>
      </c>
      <c r="I1388" t="s">
        <v>30</v>
      </c>
      <c r="J1388">
        <v>95</v>
      </c>
      <c r="K1388">
        <v>102.9374919710379</v>
      </c>
      <c r="L1388" s="39">
        <f t="shared" si="104"/>
        <v>1.0835525470635567</v>
      </c>
      <c r="M1388" s="39">
        <f t="shared" si="105"/>
        <v>1.0835525470635567</v>
      </c>
      <c r="P1388">
        <v>0</v>
      </c>
      <c r="Q1388">
        <v>0</v>
      </c>
      <c r="R1388" t="s">
        <v>1218</v>
      </c>
    </row>
    <row r="1389" spans="1:18" x14ac:dyDescent="0.3">
      <c r="A1389">
        <v>430</v>
      </c>
      <c r="B1389" t="s">
        <v>1216</v>
      </c>
      <c r="C1389" t="s">
        <v>159</v>
      </c>
      <c r="D1389" t="s">
        <v>21</v>
      </c>
      <c r="E1389" t="s">
        <v>22</v>
      </c>
      <c r="F1389" s="79">
        <v>45838</v>
      </c>
      <c r="G1389">
        <v>2025</v>
      </c>
      <c r="H1389" t="s">
        <v>699</v>
      </c>
      <c r="I1389" t="s">
        <v>700</v>
      </c>
      <c r="J1389">
        <v>95</v>
      </c>
      <c r="K1389">
        <v>110.79</v>
      </c>
      <c r="L1389" s="39">
        <f t="shared" si="104"/>
        <v>1.1662105263157896</v>
      </c>
      <c r="M1389" s="39">
        <f t="shared" si="105"/>
        <v>1.1662105263157896</v>
      </c>
      <c r="N1389" t="s">
        <v>25</v>
      </c>
      <c r="O1389" t="s">
        <v>25</v>
      </c>
      <c r="P1389">
        <v>0</v>
      </c>
      <c r="Q1389">
        <v>0</v>
      </c>
      <c r="R1389" t="s">
        <v>2946</v>
      </c>
    </row>
    <row r="1390" spans="1:18" x14ac:dyDescent="0.3">
      <c r="A1390">
        <v>430</v>
      </c>
      <c r="B1390" t="s">
        <v>1216</v>
      </c>
      <c r="C1390" t="s">
        <v>159</v>
      </c>
      <c r="D1390" t="s">
        <v>21</v>
      </c>
      <c r="E1390" t="s">
        <v>22</v>
      </c>
      <c r="F1390" s="79">
        <v>46022</v>
      </c>
      <c r="G1390">
        <v>2025</v>
      </c>
      <c r="H1390" t="s">
        <v>23</v>
      </c>
      <c r="I1390" t="s">
        <v>32</v>
      </c>
      <c r="J1390">
        <v>95</v>
      </c>
      <c r="K1390">
        <v>111.76</v>
      </c>
      <c r="L1390" s="39">
        <f t="shared" si="104"/>
        <v>1.176421052631579</v>
      </c>
      <c r="M1390" s="39">
        <f t="shared" si="105"/>
        <v>1.176421052631579</v>
      </c>
      <c r="N1390" t="s">
        <v>25</v>
      </c>
      <c r="O1390" t="s">
        <v>25</v>
      </c>
      <c r="P1390">
        <v>0</v>
      </c>
      <c r="Q1390">
        <v>0</v>
      </c>
      <c r="R1390" t="s">
        <v>1219</v>
      </c>
    </row>
    <row r="1391" spans="1:18" x14ac:dyDescent="0.3">
      <c r="A1391">
        <v>431</v>
      </c>
      <c r="B1391" t="s">
        <v>1220</v>
      </c>
      <c r="C1391" t="s">
        <v>70</v>
      </c>
      <c r="D1391" t="s">
        <v>21</v>
      </c>
      <c r="E1391" t="s">
        <v>22</v>
      </c>
      <c r="F1391" s="79">
        <v>45199</v>
      </c>
      <c r="G1391">
        <v>2023</v>
      </c>
      <c r="H1391" t="s">
        <v>162</v>
      </c>
      <c r="I1391" t="s">
        <v>28</v>
      </c>
      <c r="J1391">
        <v>100</v>
      </c>
      <c r="K1391">
        <v>100</v>
      </c>
      <c r="L1391" s="39">
        <f t="shared" si="104"/>
        <v>1</v>
      </c>
      <c r="M1391" s="39">
        <f t="shared" si="105"/>
        <v>1</v>
      </c>
      <c r="N1391" t="s">
        <v>25</v>
      </c>
      <c r="O1391" t="s">
        <v>25</v>
      </c>
      <c r="P1391">
        <v>0</v>
      </c>
      <c r="Q1391">
        <v>0</v>
      </c>
      <c r="R1391" t="s">
        <v>2947</v>
      </c>
    </row>
    <row r="1392" spans="1:18" x14ac:dyDescent="0.3">
      <c r="A1392">
        <v>431</v>
      </c>
      <c r="B1392" t="s">
        <v>1220</v>
      </c>
      <c r="C1392" t="s">
        <v>70</v>
      </c>
      <c r="D1392" t="s">
        <v>21</v>
      </c>
      <c r="E1392" t="s">
        <v>22</v>
      </c>
      <c r="F1392" s="79">
        <v>45291</v>
      </c>
      <c r="G1392">
        <v>2023</v>
      </c>
      <c r="H1392" t="s">
        <v>23</v>
      </c>
      <c r="I1392" t="s">
        <v>28</v>
      </c>
      <c r="J1392">
        <v>100</v>
      </c>
      <c r="K1392">
        <v>100</v>
      </c>
      <c r="L1392" s="39">
        <f t="shared" si="104"/>
        <v>1</v>
      </c>
      <c r="M1392" s="39">
        <f t="shared" si="105"/>
        <v>1</v>
      </c>
      <c r="N1392" t="s">
        <v>25</v>
      </c>
      <c r="O1392" t="s">
        <v>25</v>
      </c>
      <c r="P1392">
        <v>0</v>
      </c>
      <c r="Q1392">
        <v>0</v>
      </c>
      <c r="R1392" t="s">
        <v>1221</v>
      </c>
    </row>
    <row r="1393" spans="1:18" x14ac:dyDescent="0.3">
      <c r="A1393">
        <v>431</v>
      </c>
      <c r="B1393" t="s">
        <v>1220</v>
      </c>
      <c r="C1393" t="s">
        <v>70</v>
      </c>
      <c r="D1393" t="s">
        <v>21</v>
      </c>
      <c r="E1393" t="s">
        <v>22</v>
      </c>
      <c r="F1393" s="79">
        <v>45473</v>
      </c>
      <c r="G1393">
        <v>2024</v>
      </c>
      <c r="H1393" t="s">
        <v>699</v>
      </c>
      <c r="I1393" t="s">
        <v>729</v>
      </c>
      <c r="J1393">
        <v>100</v>
      </c>
      <c r="K1393">
        <v>100</v>
      </c>
      <c r="L1393" s="39">
        <f t="shared" si="104"/>
        <v>1</v>
      </c>
      <c r="M1393" s="39">
        <f t="shared" si="105"/>
        <v>1</v>
      </c>
      <c r="P1393">
        <v>0</v>
      </c>
      <c r="Q1393">
        <v>0</v>
      </c>
      <c r="R1393" t="s">
        <v>2949</v>
      </c>
    </row>
    <row r="1394" spans="1:18" x14ac:dyDescent="0.3">
      <c r="A1394">
        <v>431</v>
      </c>
      <c r="B1394" t="s">
        <v>1220</v>
      </c>
      <c r="C1394" t="s">
        <v>70</v>
      </c>
      <c r="D1394" t="s">
        <v>21</v>
      </c>
      <c r="E1394" t="s">
        <v>22</v>
      </c>
      <c r="F1394" s="79">
        <v>45657</v>
      </c>
      <c r="G1394">
        <v>2024</v>
      </c>
      <c r="H1394" t="s">
        <v>23</v>
      </c>
      <c r="I1394" t="s">
        <v>30</v>
      </c>
      <c r="J1394">
        <v>100</v>
      </c>
      <c r="K1394">
        <v>100</v>
      </c>
      <c r="L1394" s="39">
        <f t="shared" si="104"/>
        <v>1</v>
      </c>
      <c r="M1394" s="39">
        <f t="shared" si="105"/>
        <v>1</v>
      </c>
      <c r="P1394">
        <v>0</v>
      </c>
      <c r="Q1394">
        <v>0</v>
      </c>
      <c r="R1394" t="s">
        <v>1222</v>
      </c>
    </row>
    <row r="1395" spans="1:18" x14ac:dyDescent="0.3">
      <c r="A1395">
        <v>431</v>
      </c>
      <c r="B1395" t="s">
        <v>1220</v>
      </c>
      <c r="C1395" t="s">
        <v>70</v>
      </c>
      <c r="D1395" t="s">
        <v>21</v>
      </c>
      <c r="E1395" t="s">
        <v>22</v>
      </c>
      <c r="F1395" s="79">
        <v>45838</v>
      </c>
      <c r="G1395">
        <v>2025</v>
      </c>
      <c r="H1395" t="s">
        <v>699</v>
      </c>
      <c r="I1395" t="s">
        <v>700</v>
      </c>
      <c r="J1395">
        <v>100</v>
      </c>
      <c r="K1395">
        <v>100</v>
      </c>
      <c r="L1395" s="39">
        <f t="shared" si="104"/>
        <v>1</v>
      </c>
      <c r="M1395" s="39">
        <f t="shared" si="105"/>
        <v>1</v>
      </c>
      <c r="N1395" t="s">
        <v>25</v>
      </c>
      <c r="O1395" t="s">
        <v>25</v>
      </c>
      <c r="P1395">
        <v>0</v>
      </c>
      <c r="Q1395">
        <v>0</v>
      </c>
      <c r="R1395" t="s">
        <v>2952</v>
      </c>
    </row>
    <row r="1396" spans="1:18" x14ac:dyDescent="0.3">
      <c r="A1396">
        <v>431</v>
      </c>
      <c r="B1396" t="s">
        <v>1220</v>
      </c>
      <c r="C1396" t="s">
        <v>70</v>
      </c>
      <c r="D1396" t="s">
        <v>27</v>
      </c>
      <c r="E1396" t="s">
        <v>22</v>
      </c>
      <c r="F1396" s="79">
        <v>46022</v>
      </c>
      <c r="G1396">
        <v>2025</v>
      </c>
      <c r="H1396" t="s">
        <v>23</v>
      </c>
      <c r="I1396" t="s">
        <v>32</v>
      </c>
      <c r="J1396">
        <v>100</v>
      </c>
      <c r="K1396">
        <v>100</v>
      </c>
      <c r="L1396" s="39">
        <f t="shared" si="104"/>
        <v>1</v>
      </c>
      <c r="M1396" s="39">
        <f t="shared" si="105"/>
        <v>1</v>
      </c>
      <c r="N1396" t="s">
        <v>25</v>
      </c>
      <c r="O1396" t="s">
        <v>25</v>
      </c>
      <c r="P1396">
        <v>0</v>
      </c>
      <c r="Q1396">
        <v>0</v>
      </c>
      <c r="R1396" t="s">
        <v>1223</v>
      </c>
    </row>
    <row r="1397" spans="1:18" x14ac:dyDescent="0.3">
      <c r="A1397">
        <v>432</v>
      </c>
      <c r="B1397" t="s">
        <v>1224</v>
      </c>
      <c r="C1397" t="s">
        <v>70</v>
      </c>
      <c r="D1397" t="s">
        <v>21</v>
      </c>
      <c r="E1397" t="s">
        <v>22</v>
      </c>
      <c r="F1397" s="79">
        <v>45291</v>
      </c>
      <c r="G1397">
        <v>2023</v>
      </c>
      <c r="H1397" t="s">
        <v>23</v>
      </c>
      <c r="I1397" t="s">
        <v>28</v>
      </c>
      <c r="J1397">
        <v>90</v>
      </c>
      <c r="K1397">
        <v>99.382777777778003</v>
      </c>
      <c r="L1397" s="39">
        <f t="shared" ref="L1397:L1428" si="106">IFERROR(IF(OR(J1397=0,K1397=""),"",IF(E1397="Positivo",MIN(MAX(K1397/J1397,0),1.3),MIN(MAX(J1397/K1397,0),1.3))),"")</f>
        <v>1.1042530864197555</v>
      </c>
      <c r="M1397" s="39">
        <f t="shared" ref="M1397:M1428" si="107">IFERROR(IF(OR(J1397=0,K1397=""),"",IF(E1397="Positivo",MAX(K1397/J1397,0),MAX(J1397/K1397,0))),"")</f>
        <v>1.1042530864197555</v>
      </c>
      <c r="N1397" t="s">
        <v>25</v>
      </c>
      <c r="O1397" t="s">
        <v>25</v>
      </c>
      <c r="P1397">
        <v>0</v>
      </c>
      <c r="Q1397">
        <v>0</v>
      </c>
      <c r="R1397" t="s">
        <v>1225</v>
      </c>
    </row>
    <row r="1398" spans="1:18" x14ac:dyDescent="0.3">
      <c r="A1398">
        <v>432</v>
      </c>
      <c r="B1398" t="s">
        <v>1224</v>
      </c>
      <c r="C1398" t="s">
        <v>70</v>
      </c>
      <c r="D1398" t="s">
        <v>21</v>
      </c>
      <c r="E1398" t="s">
        <v>22</v>
      </c>
      <c r="F1398" s="79">
        <v>45473</v>
      </c>
      <c r="G1398">
        <v>2024</v>
      </c>
      <c r="H1398" t="s">
        <v>699</v>
      </c>
      <c r="I1398" t="s">
        <v>729</v>
      </c>
      <c r="J1398">
        <v>90</v>
      </c>
      <c r="K1398">
        <v>100</v>
      </c>
      <c r="L1398" s="39">
        <f t="shared" si="106"/>
        <v>1.1111111111111112</v>
      </c>
      <c r="M1398" s="39">
        <f t="shared" si="107"/>
        <v>1.1111111111111112</v>
      </c>
      <c r="P1398">
        <v>0</v>
      </c>
      <c r="Q1398">
        <v>0</v>
      </c>
      <c r="R1398" t="s">
        <v>2957</v>
      </c>
    </row>
    <row r="1399" spans="1:18" x14ac:dyDescent="0.3">
      <c r="A1399">
        <v>432</v>
      </c>
      <c r="B1399" t="s">
        <v>1224</v>
      </c>
      <c r="C1399" t="s">
        <v>70</v>
      </c>
      <c r="D1399" t="s">
        <v>21</v>
      </c>
      <c r="E1399" t="s">
        <v>22</v>
      </c>
      <c r="F1399" s="79">
        <v>45657</v>
      </c>
      <c r="G1399">
        <v>2024</v>
      </c>
      <c r="H1399" t="s">
        <v>23</v>
      </c>
      <c r="I1399" t="s">
        <v>30</v>
      </c>
      <c r="J1399">
        <v>90</v>
      </c>
      <c r="K1399">
        <v>50</v>
      </c>
      <c r="L1399" s="39">
        <f t="shared" si="106"/>
        <v>0.55555555555555558</v>
      </c>
      <c r="M1399" s="39">
        <f t="shared" si="107"/>
        <v>0.55555555555555558</v>
      </c>
      <c r="P1399">
        <v>0</v>
      </c>
      <c r="Q1399">
        <v>0</v>
      </c>
      <c r="R1399" t="s">
        <v>1226</v>
      </c>
    </row>
    <row r="1400" spans="1:18" x14ac:dyDescent="0.3">
      <c r="A1400">
        <v>432</v>
      </c>
      <c r="B1400" t="s">
        <v>1224</v>
      </c>
      <c r="C1400" t="s">
        <v>70</v>
      </c>
      <c r="D1400" t="s">
        <v>21</v>
      </c>
      <c r="E1400" t="s">
        <v>22</v>
      </c>
      <c r="F1400" s="79">
        <v>45838</v>
      </c>
      <c r="G1400">
        <v>2025</v>
      </c>
      <c r="H1400" t="s">
        <v>699</v>
      </c>
      <c r="I1400" t="s">
        <v>700</v>
      </c>
      <c r="J1400">
        <v>90</v>
      </c>
      <c r="K1400">
        <v>100</v>
      </c>
      <c r="L1400" s="39">
        <f t="shared" si="106"/>
        <v>1.1111111111111112</v>
      </c>
      <c r="M1400" s="39">
        <f t="shared" si="107"/>
        <v>1.1111111111111112</v>
      </c>
      <c r="N1400" t="s">
        <v>25</v>
      </c>
      <c r="O1400" t="s">
        <v>25</v>
      </c>
      <c r="P1400">
        <v>0</v>
      </c>
      <c r="Q1400">
        <v>0</v>
      </c>
      <c r="R1400" t="s">
        <v>2960</v>
      </c>
    </row>
    <row r="1401" spans="1:18" x14ac:dyDescent="0.3">
      <c r="A1401">
        <v>432</v>
      </c>
      <c r="B1401" t="s">
        <v>1224</v>
      </c>
      <c r="C1401" t="s">
        <v>70</v>
      </c>
      <c r="D1401" t="s">
        <v>27</v>
      </c>
      <c r="E1401" t="s">
        <v>22</v>
      </c>
      <c r="F1401" s="79">
        <v>46022</v>
      </c>
      <c r="G1401">
        <v>2025</v>
      </c>
      <c r="H1401" t="s">
        <v>23</v>
      </c>
      <c r="I1401" t="s">
        <v>32</v>
      </c>
      <c r="J1401">
        <v>90</v>
      </c>
      <c r="K1401">
        <v>100</v>
      </c>
      <c r="L1401" s="39">
        <f t="shared" si="106"/>
        <v>1.1111111111111112</v>
      </c>
      <c r="M1401" s="39">
        <f t="shared" si="107"/>
        <v>1.1111111111111112</v>
      </c>
      <c r="N1401" t="s">
        <v>25</v>
      </c>
      <c r="O1401" t="s">
        <v>25</v>
      </c>
      <c r="P1401">
        <v>0</v>
      </c>
      <c r="Q1401">
        <v>0</v>
      </c>
      <c r="R1401" t="s">
        <v>1227</v>
      </c>
    </row>
    <row r="1402" spans="1:18" x14ac:dyDescent="0.3">
      <c r="A1402">
        <v>433</v>
      </c>
      <c r="B1402" t="s">
        <v>1228</v>
      </c>
      <c r="C1402" t="s">
        <v>190</v>
      </c>
      <c r="D1402" t="s">
        <v>27</v>
      </c>
      <c r="E1402" t="s">
        <v>41</v>
      </c>
      <c r="F1402" s="79">
        <v>45107</v>
      </c>
      <c r="G1402">
        <v>2023</v>
      </c>
      <c r="H1402" t="s">
        <v>699</v>
      </c>
      <c r="I1402" t="s">
        <v>1512</v>
      </c>
      <c r="J1402">
        <v>0.05</v>
      </c>
      <c r="K1402">
        <v>0.02</v>
      </c>
      <c r="L1402" s="39">
        <f t="shared" si="106"/>
        <v>1.3</v>
      </c>
      <c r="M1402" s="39">
        <f t="shared" si="107"/>
        <v>2.5</v>
      </c>
      <c r="N1402" t="s">
        <v>136</v>
      </c>
      <c r="O1402" t="s">
        <v>136</v>
      </c>
      <c r="P1402">
        <v>2</v>
      </c>
      <c r="Q1402">
        <v>2</v>
      </c>
      <c r="R1402" t="s">
        <v>2962</v>
      </c>
    </row>
    <row r="1403" spans="1:18" x14ac:dyDescent="0.3">
      <c r="A1403">
        <v>433</v>
      </c>
      <c r="B1403" t="s">
        <v>1228</v>
      </c>
      <c r="C1403" t="s">
        <v>190</v>
      </c>
      <c r="D1403" t="s">
        <v>27</v>
      </c>
      <c r="E1403" t="s">
        <v>41</v>
      </c>
      <c r="F1403" s="79">
        <v>45291</v>
      </c>
      <c r="G1403">
        <v>2023</v>
      </c>
      <c r="H1403" t="s">
        <v>23</v>
      </c>
      <c r="I1403" t="s">
        <v>28</v>
      </c>
      <c r="J1403">
        <v>0.05</v>
      </c>
      <c r="K1403">
        <v>0.05</v>
      </c>
      <c r="L1403" s="39">
        <f t="shared" si="106"/>
        <v>1</v>
      </c>
      <c r="M1403" s="39">
        <f t="shared" si="107"/>
        <v>1</v>
      </c>
      <c r="N1403" t="s">
        <v>136</v>
      </c>
      <c r="O1403" t="s">
        <v>136</v>
      </c>
      <c r="P1403">
        <v>2</v>
      </c>
      <c r="Q1403">
        <v>2</v>
      </c>
      <c r="R1403" t="s">
        <v>1229</v>
      </c>
    </row>
    <row r="1404" spans="1:18" x14ac:dyDescent="0.3">
      <c r="A1404">
        <v>433</v>
      </c>
      <c r="B1404" t="s">
        <v>1228</v>
      </c>
      <c r="C1404" t="s">
        <v>190</v>
      </c>
      <c r="D1404" t="s">
        <v>27</v>
      </c>
      <c r="E1404" t="s">
        <v>41</v>
      </c>
      <c r="F1404" s="79">
        <v>45473</v>
      </c>
      <c r="G1404">
        <v>2024</v>
      </c>
      <c r="H1404" t="s">
        <v>699</v>
      </c>
      <c r="I1404" t="s">
        <v>729</v>
      </c>
      <c r="J1404">
        <v>0.05</v>
      </c>
      <c r="K1404">
        <v>7.0000000000000007E-2</v>
      </c>
      <c r="L1404" s="39">
        <f t="shared" si="106"/>
        <v>0.7142857142857143</v>
      </c>
      <c r="M1404" s="39">
        <f t="shared" si="107"/>
        <v>0.7142857142857143</v>
      </c>
      <c r="P1404">
        <v>0</v>
      </c>
      <c r="Q1404">
        <v>0</v>
      </c>
      <c r="R1404" t="s">
        <v>2963</v>
      </c>
    </row>
    <row r="1405" spans="1:18" x14ac:dyDescent="0.3">
      <c r="A1405">
        <v>433</v>
      </c>
      <c r="B1405" t="s">
        <v>1228</v>
      </c>
      <c r="C1405" t="s">
        <v>190</v>
      </c>
      <c r="D1405" t="s">
        <v>27</v>
      </c>
      <c r="E1405" t="s">
        <v>41</v>
      </c>
      <c r="F1405" s="79">
        <v>45657</v>
      </c>
      <c r="G1405">
        <v>2024</v>
      </c>
      <c r="H1405" t="s">
        <v>23</v>
      </c>
      <c r="I1405" t="s">
        <v>30</v>
      </c>
      <c r="J1405">
        <v>0.05</v>
      </c>
      <c r="K1405">
        <v>0.14000000000000001</v>
      </c>
      <c r="L1405" s="39">
        <f t="shared" si="106"/>
        <v>0.35714285714285715</v>
      </c>
      <c r="M1405" s="39">
        <f t="shared" si="107"/>
        <v>0.35714285714285715</v>
      </c>
      <c r="P1405">
        <v>0</v>
      </c>
      <c r="Q1405">
        <v>0</v>
      </c>
      <c r="R1405" t="s">
        <v>1230</v>
      </c>
    </row>
    <row r="1406" spans="1:18" x14ac:dyDescent="0.3">
      <c r="A1406">
        <v>433</v>
      </c>
      <c r="B1406" t="s">
        <v>1228</v>
      </c>
      <c r="C1406" t="s">
        <v>190</v>
      </c>
      <c r="D1406" t="s">
        <v>21</v>
      </c>
      <c r="E1406" t="s">
        <v>41</v>
      </c>
      <c r="F1406" s="79">
        <v>45838</v>
      </c>
      <c r="G1406">
        <v>2025</v>
      </c>
      <c r="H1406" t="s">
        <v>699</v>
      </c>
      <c r="I1406" t="s">
        <v>700</v>
      </c>
      <c r="J1406">
        <v>0.05</v>
      </c>
      <c r="K1406">
        <v>0.02</v>
      </c>
      <c r="L1406" s="39">
        <f t="shared" si="106"/>
        <v>1.3</v>
      </c>
      <c r="M1406" s="39">
        <f t="shared" si="107"/>
        <v>2.5</v>
      </c>
      <c r="N1406" t="s">
        <v>136</v>
      </c>
      <c r="O1406" t="s">
        <v>136</v>
      </c>
      <c r="P1406">
        <v>2</v>
      </c>
      <c r="Q1406">
        <v>2</v>
      </c>
      <c r="R1406" t="s">
        <v>2964</v>
      </c>
    </row>
    <row r="1407" spans="1:18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79">
        <v>46022</v>
      </c>
      <c r="G1407">
        <v>2025</v>
      </c>
      <c r="H1407" t="s">
        <v>23</v>
      </c>
      <c r="I1407" t="s">
        <v>32</v>
      </c>
      <c r="J1407">
        <v>0.05</v>
      </c>
      <c r="K1407">
        <v>0.17</v>
      </c>
      <c r="L1407" s="39">
        <f t="shared" si="106"/>
        <v>0.29411764705882354</v>
      </c>
      <c r="M1407" s="39">
        <f t="shared" si="107"/>
        <v>0.29411764705882354</v>
      </c>
      <c r="N1407" t="s">
        <v>136</v>
      </c>
      <c r="O1407" t="s">
        <v>136</v>
      </c>
      <c r="P1407">
        <v>2</v>
      </c>
      <c r="Q1407">
        <v>2</v>
      </c>
      <c r="R1407" t="s">
        <v>1231</v>
      </c>
    </row>
    <row r="1408" spans="1:18" x14ac:dyDescent="0.3">
      <c r="A1408">
        <v>434</v>
      </c>
      <c r="B1408" t="s">
        <v>1234</v>
      </c>
      <c r="C1408" t="s">
        <v>190</v>
      </c>
      <c r="D1408" t="s">
        <v>54</v>
      </c>
      <c r="E1408" t="s">
        <v>41</v>
      </c>
      <c r="F1408" s="79">
        <v>45107</v>
      </c>
      <c r="G1408">
        <v>2023</v>
      </c>
      <c r="H1408" t="s">
        <v>699</v>
      </c>
      <c r="I1408" t="s">
        <v>1512</v>
      </c>
      <c r="J1408">
        <v>1200</v>
      </c>
      <c r="K1408">
        <v>18.5</v>
      </c>
      <c r="L1408" s="39">
        <f t="shared" si="106"/>
        <v>1.3</v>
      </c>
      <c r="M1408" s="39">
        <f t="shared" si="107"/>
        <v>64.86486486486487</v>
      </c>
      <c r="N1408" t="s">
        <v>403</v>
      </c>
      <c r="O1408" t="s">
        <v>403</v>
      </c>
      <c r="P1408">
        <v>0</v>
      </c>
      <c r="Q1408">
        <v>0</v>
      </c>
      <c r="R1408" t="s">
        <v>2970</v>
      </c>
    </row>
    <row r="1409" spans="1:18" x14ac:dyDescent="0.3">
      <c r="A1409">
        <v>434</v>
      </c>
      <c r="B1409" t="s">
        <v>1232</v>
      </c>
      <c r="C1409" t="s">
        <v>190</v>
      </c>
      <c r="D1409" t="s">
        <v>54</v>
      </c>
      <c r="E1409" t="s">
        <v>41</v>
      </c>
      <c r="F1409" s="79">
        <v>45199</v>
      </c>
      <c r="G1409">
        <v>2023</v>
      </c>
      <c r="H1409" t="s">
        <v>162</v>
      </c>
      <c r="I1409" t="s">
        <v>28</v>
      </c>
      <c r="J1409">
        <v>1200</v>
      </c>
      <c r="K1409">
        <v>2275.63</v>
      </c>
      <c r="L1409" s="39">
        <f t="shared" si="106"/>
        <v>0.52732649859599312</v>
      </c>
      <c r="M1409" s="39">
        <f t="shared" si="107"/>
        <v>0.52732649859599312</v>
      </c>
      <c r="P1409">
        <v>1</v>
      </c>
      <c r="Q1409">
        <v>1</v>
      </c>
      <c r="R1409" t="s">
        <v>2973</v>
      </c>
    </row>
    <row r="1410" spans="1:18" x14ac:dyDescent="0.3">
      <c r="A1410">
        <v>434</v>
      </c>
      <c r="B1410" t="s">
        <v>1232</v>
      </c>
      <c r="C1410" t="s">
        <v>190</v>
      </c>
      <c r="D1410" t="s">
        <v>54</v>
      </c>
      <c r="E1410" t="s">
        <v>41</v>
      </c>
      <c r="F1410" s="79">
        <v>45230</v>
      </c>
      <c r="G1410">
        <v>2023</v>
      </c>
      <c r="H1410" t="s">
        <v>150</v>
      </c>
      <c r="I1410" t="s">
        <v>28</v>
      </c>
      <c r="J1410">
        <v>1200</v>
      </c>
      <c r="K1410">
        <v>2275.63</v>
      </c>
      <c r="L1410" s="39">
        <f t="shared" si="106"/>
        <v>0.52732649859599312</v>
      </c>
      <c r="M1410" s="39">
        <f t="shared" si="107"/>
        <v>0.52732649859599312</v>
      </c>
      <c r="P1410">
        <v>1</v>
      </c>
      <c r="Q1410">
        <v>1</v>
      </c>
      <c r="R1410" t="s">
        <v>2974</v>
      </c>
    </row>
    <row r="1411" spans="1:18" x14ac:dyDescent="0.3">
      <c r="A1411">
        <v>434</v>
      </c>
      <c r="B1411" t="s">
        <v>1232</v>
      </c>
      <c r="C1411" t="s">
        <v>190</v>
      </c>
      <c r="D1411" t="s">
        <v>54</v>
      </c>
      <c r="E1411" t="s">
        <v>41</v>
      </c>
      <c r="F1411" s="79">
        <v>45260</v>
      </c>
      <c r="G1411">
        <v>2023</v>
      </c>
      <c r="H1411" t="s">
        <v>1550</v>
      </c>
      <c r="I1411" t="s">
        <v>28</v>
      </c>
      <c r="J1411">
        <v>1200</v>
      </c>
      <c r="K1411">
        <v>2275.63</v>
      </c>
      <c r="L1411" s="39">
        <f t="shared" si="106"/>
        <v>0.52732649859599312</v>
      </c>
      <c r="M1411" s="39">
        <f t="shared" si="107"/>
        <v>0.52732649859599312</v>
      </c>
      <c r="P1411">
        <v>1</v>
      </c>
      <c r="Q1411">
        <v>1</v>
      </c>
      <c r="R1411" t="s">
        <v>2975</v>
      </c>
    </row>
    <row r="1412" spans="1:18" x14ac:dyDescent="0.3">
      <c r="A1412">
        <v>434</v>
      </c>
      <c r="B1412" t="s">
        <v>1232</v>
      </c>
      <c r="C1412" t="s">
        <v>190</v>
      </c>
      <c r="D1412" t="s">
        <v>54</v>
      </c>
      <c r="E1412" t="s">
        <v>41</v>
      </c>
      <c r="F1412" s="79">
        <v>45291</v>
      </c>
      <c r="G1412">
        <v>2023</v>
      </c>
      <c r="H1412" t="s">
        <v>23</v>
      </c>
      <c r="I1412" t="s">
        <v>28</v>
      </c>
      <c r="J1412">
        <v>1200</v>
      </c>
      <c r="K1412">
        <v>2275.63</v>
      </c>
      <c r="L1412" s="39">
        <f t="shared" si="106"/>
        <v>0.52732649859599312</v>
      </c>
      <c r="M1412" s="39">
        <f t="shared" si="107"/>
        <v>0.52732649859599312</v>
      </c>
      <c r="P1412">
        <v>1</v>
      </c>
      <c r="Q1412">
        <v>1</v>
      </c>
      <c r="R1412" t="s">
        <v>1233</v>
      </c>
    </row>
    <row r="1413" spans="1:18" x14ac:dyDescent="0.3">
      <c r="A1413">
        <v>434</v>
      </c>
      <c r="B1413" t="s">
        <v>1234</v>
      </c>
      <c r="C1413" t="s">
        <v>190</v>
      </c>
      <c r="D1413" t="s">
        <v>54</v>
      </c>
      <c r="E1413" t="s">
        <v>41</v>
      </c>
      <c r="F1413" s="79">
        <v>45473</v>
      </c>
      <c r="G1413">
        <v>2024</v>
      </c>
      <c r="H1413" t="s">
        <v>699</v>
      </c>
      <c r="I1413" t="s">
        <v>729</v>
      </c>
      <c r="J1413">
        <v>1200</v>
      </c>
      <c r="K1413">
        <v>3489.51</v>
      </c>
      <c r="L1413" s="39">
        <f t="shared" si="106"/>
        <v>0.34388782379187904</v>
      </c>
      <c r="M1413" s="39">
        <f t="shared" si="107"/>
        <v>0.34388782379187904</v>
      </c>
      <c r="P1413">
        <v>0</v>
      </c>
      <c r="Q1413">
        <v>0</v>
      </c>
      <c r="R1413" t="s">
        <v>2981</v>
      </c>
    </row>
    <row r="1414" spans="1:18" x14ac:dyDescent="0.3">
      <c r="A1414">
        <v>434</v>
      </c>
      <c r="B1414" t="s">
        <v>1234</v>
      </c>
      <c r="C1414" t="s">
        <v>190</v>
      </c>
      <c r="D1414" t="s">
        <v>54</v>
      </c>
      <c r="E1414" t="s">
        <v>41</v>
      </c>
      <c r="F1414" s="79">
        <v>45657</v>
      </c>
      <c r="G1414">
        <v>2024</v>
      </c>
      <c r="H1414" t="s">
        <v>23</v>
      </c>
      <c r="I1414" t="s">
        <v>30</v>
      </c>
      <c r="J1414">
        <v>1200</v>
      </c>
      <c r="K1414">
        <v>1937.73</v>
      </c>
      <c r="L1414" s="39">
        <f t="shared" si="106"/>
        <v>0.6192813240234708</v>
      </c>
      <c r="M1414" s="39">
        <f t="shared" si="107"/>
        <v>0.6192813240234708</v>
      </c>
      <c r="P1414">
        <v>0</v>
      </c>
      <c r="Q1414">
        <v>0</v>
      </c>
      <c r="R1414" t="s">
        <v>1235</v>
      </c>
    </row>
    <row r="1415" spans="1:18" x14ac:dyDescent="0.3">
      <c r="A1415">
        <v>434</v>
      </c>
      <c r="B1415" t="s">
        <v>1234</v>
      </c>
      <c r="C1415" t="s">
        <v>190</v>
      </c>
      <c r="D1415" t="s">
        <v>54</v>
      </c>
      <c r="E1415" t="s">
        <v>41</v>
      </c>
      <c r="F1415" s="79">
        <v>45838</v>
      </c>
      <c r="G1415">
        <v>2025</v>
      </c>
      <c r="H1415" t="s">
        <v>699</v>
      </c>
      <c r="I1415" t="s">
        <v>700</v>
      </c>
      <c r="J1415">
        <v>1200</v>
      </c>
      <c r="K1415">
        <v>2467.36</v>
      </c>
      <c r="L1415" s="39">
        <f t="shared" si="106"/>
        <v>0.48634978276376367</v>
      </c>
      <c r="M1415" s="39">
        <f t="shared" si="107"/>
        <v>0.48634978276376367</v>
      </c>
      <c r="N1415" t="s">
        <v>403</v>
      </c>
      <c r="O1415" t="s">
        <v>403</v>
      </c>
      <c r="P1415">
        <v>0</v>
      </c>
      <c r="Q1415">
        <v>0</v>
      </c>
      <c r="R1415" t="s">
        <v>2992</v>
      </c>
    </row>
    <row r="1416" spans="1:18" x14ac:dyDescent="0.3">
      <c r="A1416">
        <v>434</v>
      </c>
      <c r="B1416" t="s">
        <v>1234</v>
      </c>
      <c r="C1416" t="s">
        <v>190</v>
      </c>
      <c r="D1416" t="s">
        <v>54</v>
      </c>
      <c r="E1416" t="s">
        <v>41</v>
      </c>
      <c r="F1416" s="79">
        <v>46022</v>
      </c>
      <c r="G1416">
        <v>2025</v>
      </c>
      <c r="H1416" t="s">
        <v>23</v>
      </c>
      <c r="I1416" t="s">
        <v>32</v>
      </c>
      <c r="J1416">
        <v>1200</v>
      </c>
      <c r="K1416">
        <v>5316.2</v>
      </c>
      <c r="L1416" s="39">
        <f t="shared" si="106"/>
        <v>0.2257251420187352</v>
      </c>
      <c r="M1416" s="39">
        <f t="shared" si="107"/>
        <v>0.2257251420187352</v>
      </c>
      <c r="N1416" t="s">
        <v>403</v>
      </c>
      <c r="O1416" t="s">
        <v>403</v>
      </c>
      <c r="P1416">
        <v>0</v>
      </c>
      <c r="Q1416">
        <v>0</v>
      </c>
      <c r="R1416" t="s">
        <v>1236</v>
      </c>
    </row>
    <row r="1417" spans="1:18" x14ac:dyDescent="0.3">
      <c r="A1417">
        <v>435</v>
      </c>
      <c r="B1417" t="s">
        <v>1237</v>
      </c>
      <c r="C1417" t="s">
        <v>190</v>
      </c>
      <c r="D1417" t="s">
        <v>27</v>
      </c>
      <c r="E1417" t="s">
        <v>22</v>
      </c>
      <c r="F1417" s="79">
        <v>45107</v>
      </c>
      <c r="G1417">
        <v>2023</v>
      </c>
      <c r="H1417" t="s">
        <v>699</v>
      </c>
      <c r="I1417" t="s">
        <v>1512</v>
      </c>
      <c r="J1417">
        <v>100</v>
      </c>
      <c r="K1417">
        <v>0.43352601156068998</v>
      </c>
      <c r="L1417" s="39">
        <f t="shared" si="106"/>
        <v>4.3352601156068996E-3</v>
      </c>
      <c r="M1417" s="39">
        <f t="shared" si="107"/>
        <v>4.3352601156068996E-3</v>
      </c>
      <c r="N1417" t="s">
        <v>136</v>
      </c>
      <c r="O1417" t="s">
        <v>136</v>
      </c>
      <c r="P1417">
        <v>2</v>
      </c>
      <c r="Q1417">
        <v>2</v>
      </c>
      <c r="R1417" t="s">
        <v>2998</v>
      </c>
    </row>
    <row r="1418" spans="1:18" x14ac:dyDescent="0.3">
      <c r="A1418">
        <v>435</v>
      </c>
      <c r="B1418" t="s">
        <v>1237</v>
      </c>
      <c r="C1418" t="s">
        <v>190</v>
      </c>
      <c r="D1418" t="s">
        <v>27</v>
      </c>
      <c r="E1418" t="s">
        <v>22</v>
      </c>
      <c r="F1418" s="79">
        <v>45291</v>
      </c>
      <c r="G1418">
        <v>2023</v>
      </c>
      <c r="H1418" t="s">
        <v>23</v>
      </c>
      <c r="I1418" t="s">
        <v>28</v>
      </c>
      <c r="J1418">
        <v>100</v>
      </c>
      <c r="K1418">
        <v>-111.57</v>
      </c>
      <c r="L1418" s="39">
        <f t="shared" si="106"/>
        <v>0</v>
      </c>
      <c r="M1418" s="39">
        <f t="shared" si="107"/>
        <v>0</v>
      </c>
      <c r="N1418" t="s">
        <v>136</v>
      </c>
      <c r="O1418" t="s">
        <v>136</v>
      </c>
      <c r="P1418">
        <v>2</v>
      </c>
      <c r="Q1418">
        <v>2</v>
      </c>
      <c r="R1418" t="s">
        <v>1238</v>
      </c>
    </row>
    <row r="1419" spans="1:18" x14ac:dyDescent="0.3">
      <c r="A1419">
        <v>435</v>
      </c>
      <c r="B1419" t="s">
        <v>1237</v>
      </c>
      <c r="C1419" t="s">
        <v>190</v>
      </c>
      <c r="D1419" t="s">
        <v>27</v>
      </c>
      <c r="E1419" t="s">
        <v>22</v>
      </c>
      <c r="F1419" s="79">
        <v>45473</v>
      </c>
      <c r="G1419">
        <v>2024</v>
      </c>
      <c r="H1419" t="s">
        <v>699</v>
      </c>
      <c r="I1419" t="s">
        <v>729</v>
      </c>
      <c r="J1419">
        <v>100</v>
      </c>
      <c r="K1419">
        <v>-20.67</v>
      </c>
      <c r="L1419" s="39">
        <f t="shared" si="106"/>
        <v>0</v>
      </c>
      <c r="M1419" s="39">
        <f t="shared" si="107"/>
        <v>0</v>
      </c>
      <c r="P1419">
        <v>0</v>
      </c>
      <c r="Q1419">
        <v>0</v>
      </c>
      <c r="R1419" t="s">
        <v>2999</v>
      </c>
    </row>
    <row r="1420" spans="1:18" x14ac:dyDescent="0.3">
      <c r="A1420">
        <v>435</v>
      </c>
      <c r="B1420" t="s">
        <v>1237</v>
      </c>
      <c r="C1420" t="s">
        <v>190</v>
      </c>
      <c r="D1420" t="s">
        <v>27</v>
      </c>
      <c r="E1420" t="s">
        <v>22</v>
      </c>
      <c r="F1420" s="79">
        <v>45657</v>
      </c>
      <c r="G1420">
        <v>2024</v>
      </c>
      <c r="H1420" t="s">
        <v>23</v>
      </c>
      <c r="I1420" t="s">
        <v>30</v>
      </c>
      <c r="J1420">
        <v>100</v>
      </c>
      <c r="K1420">
        <v>71.09</v>
      </c>
      <c r="L1420" s="39">
        <f t="shared" si="106"/>
        <v>0.71090000000000009</v>
      </c>
      <c r="M1420" s="39">
        <f t="shared" si="107"/>
        <v>0.71090000000000009</v>
      </c>
      <c r="P1420">
        <v>0</v>
      </c>
      <c r="Q1420">
        <v>0</v>
      </c>
      <c r="R1420" t="s">
        <v>1239</v>
      </c>
    </row>
    <row r="1421" spans="1:18" x14ac:dyDescent="0.3">
      <c r="A1421">
        <v>435</v>
      </c>
      <c r="B1421" t="s">
        <v>1237</v>
      </c>
      <c r="C1421" t="s">
        <v>190</v>
      </c>
      <c r="D1421" t="s">
        <v>21</v>
      </c>
      <c r="E1421" t="s">
        <v>22</v>
      </c>
      <c r="F1421" s="79">
        <v>45838</v>
      </c>
      <c r="G1421">
        <v>2025</v>
      </c>
      <c r="H1421" t="s">
        <v>699</v>
      </c>
      <c r="I1421" t="s">
        <v>700</v>
      </c>
      <c r="J1421">
        <v>1</v>
      </c>
      <c r="K1421">
        <v>96.09</v>
      </c>
      <c r="L1421" s="39">
        <f t="shared" si="106"/>
        <v>1.3</v>
      </c>
      <c r="M1421" s="39">
        <f t="shared" si="107"/>
        <v>96.09</v>
      </c>
      <c r="N1421" t="s">
        <v>25</v>
      </c>
      <c r="O1421" t="s">
        <v>25</v>
      </c>
      <c r="P1421">
        <v>2</v>
      </c>
      <c r="Q1421">
        <v>2</v>
      </c>
      <c r="R1421" t="s">
        <v>3000</v>
      </c>
    </row>
    <row r="1422" spans="1:18" x14ac:dyDescent="0.3">
      <c r="A1422">
        <v>435</v>
      </c>
      <c r="B1422" t="s">
        <v>1237</v>
      </c>
      <c r="C1422" t="s">
        <v>190</v>
      </c>
      <c r="D1422" t="s">
        <v>21</v>
      </c>
      <c r="E1422" t="s">
        <v>22</v>
      </c>
      <c r="F1422" s="79">
        <v>46022</v>
      </c>
      <c r="G1422">
        <v>2025</v>
      </c>
      <c r="H1422" t="s">
        <v>23</v>
      </c>
      <c r="I1422" t="s">
        <v>32</v>
      </c>
      <c r="J1422">
        <v>1</v>
      </c>
      <c r="K1422">
        <v>-732.08</v>
      </c>
      <c r="L1422" s="39">
        <f t="shared" si="106"/>
        <v>0</v>
      </c>
      <c r="M1422" s="39">
        <f t="shared" si="107"/>
        <v>0</v>
      </c>
      <c r="N1422" t="s">
        <v>25</v>
      </c>
      <c r="O1422" t="s">
        <v>25</v>
      </c>
      <c r="P1422">
        <v>2</v>
      </c>
      <c r="Q1422">
        <v>2</v>
      </c>
      <c r="R1422" t="s">
        <v>1240</v>
      </c>
    </row>
    <row r="1423" spans="1:18" x14ac:dyDescent="0.3">
      <c r="A1423">
        <v>436</v>
      </c>
      <c r="B1423" t="s">
        <v>1241</v>
      </c>
      <c r="C1423" t="s">
        <v>198</v>
      </c>
      <c r="D1423" t="s">
        <v>54</v>
      </c>
      <c r="E1423" t="s">
        <v>41</v>
      </c>
      <c r="F1423" s="79">
        <v>45291</v>
      </c>
      <c r="G1423">
        <v>2023</v>
      </c>
      <c r="H1423" t="s">
        <v>23</v>
      </c>
      <c r="I1423" t="s">
        <v>28</v>
      </c>
      <c r="J1423">
        <v>21</v>
      </c>
      <c r="K1423">
        <v>11.06833333333333</v>
      </c>
      <c r="L1423" s="39">
        <f t="shared" si="106"/>
        <v>1.3</v>
      </c>
      <c r="M1423" s="39">
        <f t="shared" si="107"/>
        <v>1.8973046227977721</v>
      </c>
      <c r="N1423" t="s">
        <v>42</v>
      </c>
      <c r="O1423" t="s">
        <v>42</v>
      </c>
      <c r="P1423">
        <v>1</v>
      </c>
      <c r="Q1423">
        <v>1</v>
      </c>
      <c r="R1423" t="s">
        <v>1242</v>
      </c>
    </row>
    <row r="1424" spans="1:18" x14ac:dyDescent="0.3">
      <c r="A1424">
        <v>436</v>
      </c>
      <c r="B1424" t="s">
        <v>1241</v>
      </c>
      <c r="C1424" t="s">
        <v>198</v>
      </c>
      <c r="D1424" t="s">
        <v>54</v>
      </c>
      <c r="E1424" t="s">
        <v>41</v>
      </c>
      <c r="F1424" s="79">
        <v>45473</v>
      </c>
      <c r="G1424">
        <v>2024</v>
      </c>
      <c r="H1424" t="s">
        <v>699</v>
      </c>
      <c r="I1424" t="s">
        <v>729</v>
      </c>
      <c r="J1424">
        <v>14</v>
      </c>
      <c r="K1424">
        <v>11.56666666666667</v>
      </c>
      <c r="L1424" s="39">
        <f t="shared" si="106"/>
        <v>1.2103746397694521</v>
      </c>
      <c r="M1424" s="39">
        <f t="shared" si="107"/>
        <v>1.2103746397694521</v>
      </c>
      <c r="P1424">
        <v>0</v>
      </c>
      <c r="Q1424">
        <v>0</v>
      </c>
      <c r="R1424" t="s">
        <v>3017</v>
      </c>
    </row>
    <row r="1425" spans="1:18" x14ac:dyDescent="0.3">
      <c r="A1425">
        <v>436</v>
      </c>
      <c r="B1425" t="s">
        <v>1241</v>
      </c>
      <c r="C1425" t="s">
        <v>198</v>
      </c>
      <c r="D1425" t="s">
        <v>54</v>
      </c>
      <c r="E1425" t="s">
        <v>41</v>
      </c>
      <c r="F1425" s="79">
        <v>45657</v>
      </c>
      <c r="G1425">
        <v>2024</v>
      </c>
      <c r="H1425" t="s">
        <v>23</v>
      </c>
      <c r="I1425" t="s">
        <v>30</v>
      </c>
      <c r="J1425">
        <v>14</v>
      </c>
      <c r="K1425">
        <v>10.561666666666669</v>
      </c>
      <c r="L1425" s="39">
        <f t="shared" si="106"/>
        <v>1.3</v>
      </c>
      <c r="M1425" s="39">
        <f t="shared" si="107"/>
        <v>1.3255483667350478</v>
      </c>
      <c r="P1425">
        <v>0</v>
      </c>
      <c r="Q1425">
        <v>0</v>
      </c>
      <c r="R1425" t="s">
        <v>1243</v>
      </c>
    </row>
    <row r="1426" spans="1:18" x14ac:dyDescent="0.3">
      <c r="A1426">
        <v>436</v>
      </c>
      <c r="B1426" t="s">
        <v>1241</v>
      </c>
      <c r="C1426" t="s">
        <v>198</v>
      </c>
      <c r="D1426" t="s">
        <v>54</v>
      </c>
      <c r="E1426" t="s">
        <v>41</v>
      </c>
      <c r="F1426" s="79">
        <v>45838</v>
      </c>
      <c r="G1426">
        <v>2025</v>
      </c>
      <c r="H1426" t="s">
        <v>699</v>
      </c>
      <c r="I1426" t="s">
        <v>700</v>
      </c>
      <c r="J1426">
        <v>14</v>
      </c>
      <c r="K1426">
        <v>8.6066666666666674</v>
      </c>
      <c r="L1426" s="39">
        <f t="shared" si="106"/>
        <v>1.3</v>
      </c>
      <c r="M1426" s="39">
        <f t="shared" si="107"/>
        <v>1.6266460108443066</v>
      </c>
      <c r="N1426" t="s">
        <v>42</v>
      </c>
      <c r="O1426" t="s">
        <v>42</v>
      </c>
      <c r="P1426">
        <v>0</v>
      </c>
      <c r="Q1426">
        <v>1</v>
      </c>
      <c r="R1426" t="s">
        <v>3028</v>
      </c>
    </row>
    <row r="1427" spans="1:18" x14ac:dyDescent="0.3">
      <c r="A1427">
        <v>436</v>
      </c>
      <c r="B1427" t="s">
        <v>1241</v>
      </c>
      <c r="C1427" t="s">
        <v>198</v>
      </c>
      <c r="D1427" t="s">
        <v>54</v>
      </c>
      <c r="E1427" t="s">
        <v>41</v>
      </c>
      <c r="F1427" s="79">
        <v>46022</v>
      </c>
      <c r="G1427">
        <v>2025</v>
      </c>
      <c r="H1427" t="s">
        <v>23</v>
      </c>
      <c r="I1427" t="s">
        <v>32</v>
      </c>
      <c r="J1427">
        <v>14</v>
      </c>
      <c r="K1427">
        <v>11.67333333333333</v>
      </c>
      <c r="L1427" s="39">
        <f t="shared" si="106"/>
        <v>1.1993146773272418</v>
      </c>
      <c r="M1427" s="39">
        <f t="shared" si="107"/>
        <v>1.1993146773272418</v>
      </c>
      <c r="N1427" t="s">
        <v>42</v>
      </c>
      <c r="O1427" t="s">
        <v>42</v>
      </c>
      <c r="P1427">
        <v>0</v>
      </c>
      <c r="Q1427">
        <v>1</v>
      </c>
      <c r="R1427" t="s">
        <v>1244</v>
      </c>
    </row>
    <row r="1428" spans="1:18" x14ac:dyDescent="0.3">
      <c r="A1428">
        <v>437</v>
      </c>
      <c r="B1428" t="s">
        <v>1246</v>
      </c>
      <c r="C1428" t="s">
        <v>732</v>
      </c>
      <c r="D1428" t="s">
        <v>71</v>
      </c>
      <c r="E1428" t="s">
        <v>22</v>
      </c>
      <c r="F1428" s="79">
        <v>45291</v>
      </c>
      <c r="G1428">
        <v>2023</v>
      </c>
      <c r="H1428" t="s">
        <v>23</v>
      </c>
      <c r="I1428" t="s">
        <v>28</v>
      </c>
      <c r="J1428">
        <v>80</v>
      </c>
      <c r="K1428">
        <v>96</v>
      </c>
      <c r="L1428" s="39">
        <f t="shared" si="106"/>
        <v>1.2</v>
      </c>
      <c r="M1428" s="39">
        <f t="shared" si="107"/>
        <v>1.2</v>
      </c>
      <c r="N1428" t="s">
        <v>25</v>
      </c>
      <c r="O1428" t="s">
        <v>25</v>
      </c>
      <c r="P1428">
        <v>0</v>
      </c>
      <c r="Q1428">
        <v>0</v>
      </c>
      <c r="R1428" t="s">
        <v>1247</v>
      </c>
    </row>
    <row r="1429" spans="1:18" x14ac:dyDescent="0.3">
      <c r="A1429">
        <v>437</v>
      </c>
      <c r="B1429" t="s">
        <v>1246</v>
      </c>
      <c r="C1429" t="s">
        <v>732</v>
      </c>
      <c r="D1429" t="s">
        <v>71</v>
      </c>
      <c r="E1429" t="s">
        <v>22</v>
      </c>
      <c r="F1429" s="79">
        <v>45657</v>
      </c>
      <c r="G1429">
        <v>2024</v>
      </c>
      <c r="H1429" t="s">
        <v>23</v>
      </c>
      <c r="I1429" t="s">
        <v>30</v>
      </c>
      <c r="J1429">
        <v>80</v>
      </c>
      <c r="K1429">
        <v>84</v>
      </c>
      <c r="L1429" s="39">
        <f t="shared" ref="L1429:L1447" si="108">IFERROR(IF(OR(J1429=0,K1429=""),"",IF(E1429="Positivo",MIN(MAX(K1429/J1429,0),1.3),MIN(MAX(J1429/K1429,0),1.3))),"")</f>
        <v>1.05</v>
      </c>
      <c r="M1429" s="39">
        <f t="shared" ref="M1429:M1447" si="109">IFERROR(IF(OR(J1429=0,K1429=""),"",IF(E1429="Positivo",MAX(K1429/J1429,0),MAX(J1429/K1429,0))),"")</f>
        <v>1.05</v>
      </c>
      <c r="P1429">
        <v>0</v>
      </c>
      <c r="Q1429">
        <v>0</v>
      </c>
      <c r="R1429" t="s">
        <v>1248</v>
      </c>
    </row>
    <row r="1430" spans="1:18" x14ac:dyDescent="0.3">
      <c r="A1430">
        <v>437</v>
      </c>
      <c r="B1430" t="s">
        <v>1246</v>
      </c>
      <c r="C1430" t="s">
        <v>732</v>
      </c>
      <c r="D1430" t="s">
        <v>71</v>
      </c>
      <c r="E1430" t="s">
        <v>22</v>
      </c>
      <c r="F1430" s="79">
        <v>46022</v>
      </c>
      <c r="G1430">
        <v>2025</v>
      </c>
      <c r="H1430" t="s">
        <v>23</v>
      </c>
      <c r="I1430" t="s">
        <v>32</v>
      </c>
      <c r="J1430">
        <v>80</v>
      </c>
      <c r="K1430">
        <v>99</v>
      </c>
      <c r="L1430" s="39">
        <f t="shared" si="108"/>
        <v>1.2375</v>
      </c>
      <c r="M1430" s="39">
        <f t="shared" si="109"/>
        <v>1.2375</v>
      </c>
      <c r="N1430" t="s">
        <v>25</v>
      </c>
      <c r="O1430" t="s">
        <v>25</v>
      </c>
      <c r="P1430">
        <v>0</v>
      </c>
      <c r="Q1430">
        <v>0</v>
      </c>
      <c r="R1430" t="s">
        <v>1249</v>
      </c>
    </row>
    <row r="1431" spans="1:18" x14ac:dyDescent="0.3">
      <c r="A1431">
        <v>438</v>
      </c>
      <c r="B1431" t="s">
        <v>1250</v>
      </c>
      <c r="C1431" t="s">
        <v>3256</v>
      </c>
      <c r="D1431" t="s">
        <v>27</v>
      </c>
      <c r="E1431" t="s">
        <v>22</v>
      </c>
      <c r="F1431" s="79">
        <v>45291</v>
      </c>
      <c r="G1431">
        <v>2023</v>
      </c>
      <c r="H1431" t="s">
        <v>23</v>
      </c>
      <c r="I1431" t="s">
        <v>28</v>
      </c>
      <c r="J1431">
        <v>100</v>
      </c>
      <c r="K1431">
        <v>100</v>
      </c>
      <c r="L1431" s="39">
        <f t="shared" si="108"/>
        <v>1</v>
      </c>
      <c r="M1431" s="39">
        <f t="shared" si="109"/>
        <v>1</v>
      </c>
      <c r="P1431">
        <v>0</v>
      </c>
      <c r="Q1431">
        <v>0</v>
      </c>
      <c r="R1431" t="s">
        <v>1251</v>
      </c>
    </row>
    <row r="1432" spans="1:18" x14ac:dyDescent="0.3">
      <c r="A1432">
        <v>439</v>
      </c>
      <c r="B1432" t="s">
        <v>1252</v>
      </c>
      <c r="C1432" t="s">
        <v>3256</v>
      </c>
      <c r="D1432" t="s">
        <v>27</v>
      </c>
      <c r="E1432" t="s">
        <v>22</v>
      </c>
      <c r="F1432" s="79">
        <v>45291</v>
      </c>
      <c r="G1432">
        <v>2023</v>
      </c>
      <c r="H1432" t="s">
        <v>23</v>
      </c>
      <c r="I1432" t="s">
        <v>28</v>
      </c>
      <c r="J1432">
        <v>100</v>
      </c>
      <c r="K1432">
        <v>100</v>
      </c>
      <c r="L1432" s="39">
        <f t="shared" si="108"/>
        <v>1</v>
      </c>
      <c r="M1432" s="39">
        <f t="shared" si="109"/>
        <v>1</v>
      </c>
      <c r="P1432">
        <v>0</v>
      </c>
      <c r="Q1432">
        <v>0</v>
      </c>
      <c r="R1432" t="s">
        <v>1253</v>
      </c>
    </row>
    <row r="1433" spans="1:18" x14ac:dyDescent="0.3">
      <c r="A1433">
        <v>439</v>
      </c>
      <c r="B1433" t="s">
        <v>1252</v>
      </c>
      <c r="C1433" t="s">
        <v>956</v>
      </c>
      <c r="D1433" t="s">
        <v>27</v>
      </c>
      <c r="E1433" t="s">
        <v>22</v>
      </c>
      <c r="F1433" s="79">
        <v>45473</v>
      </c>
      <c r="G1433">
        <v>2024</v>
      </c>
      <c r="H1433" t="s">
        <v>699</v>
      </c>
      <c r="I1433" t="s">
        <v>729</v>
      </c>
      <c r="J1433">
        <v>100</v>
      </c>
      <c r="K1433">
        <v>100</v>
      </c>
      <c r="L1433" s="39">
        <f t="shared" si="108"/>
        <v>1</v>
      </c>
      <c r="M1433" s="39">
        <f t="shared" si="109"/>
        <v>1</v>
      </c>
      <c r="P1433">
        <v>0</v>
      </c>
      <c r="Q1433">
        <v>0</v>
      </c>
      <c r="R1433" t="s">
        <v>3037</v>
      </c>
    </row>
    <row r="1434" spans="1:18" x14ac:dyDescent="0.3">
      <c r="A1434">
        <v>439</v>
      </c>
      <c r="B1434" t="s">
        <v>1252</v>
      </c>
      <c r="C1434" t="s">
        <v>956</v>
      </c>
      <c r="D1434" t="s">
        <v>27</v>
      </c>
      <c r="E1434" t="s">
        <v>22</v>
      </c>
      <c r="F1434" s="79">
        <v>45657</v>
      </c>
      <c r="G1434">
        <v>2024</v>
      </c>
      <c r="H1434" t="s">
        <v>23</v>
      </c>
      <c r="I1434" t="s">
        <v>30</v>
      </c>
      <c r="J1434">
        <v>100</v>
      </c>
      <c r="K1434">
        <v>100</v>
      </c>
      <c r="L1434" s="39">
        <f t="shared" si="108"/>
        <v>1</v>
      </c>
      <c r="M1434" s="39">
        <f t="shared" si="109"/>
        <v>1</v>
      </c>
      <c r="P1434">
        <v>0</v>
      </c>
      <c r="Q1434">
        <v>0</v>
      </c>
      <c r="R1434" t="s">
        <v>1254</v>
      </c>
    </row>
    <row r="1435" spans="1:18" x14ac:dyDescent="0.3">
      <c r="A1435">
        <v>439</v>
      </c>
      <c r="B1435" t="s">
        <v>1252</v>
      </c>
      <c r="C1435" t="s">
        <v>956</v>
      </c>
      <c r="D1435" t="s">
        <v>21</v>
      </c>
      <c r="E1435" t="s">
        <v>22</v>
      </c>
      <c r="F1435" s="79">
        <v>45838</v>
      </c>
      <c r="G1435">
        <v>2025</v>
      </c>
      <c r="H1435" t="s">
        <v>699</v>
      </c>
      <c r="I1435" t="s">
        <v>700</v>
      </c>
      <c r="J1435">
        <v>100</v>
      </c>
      <c r="K1435">
        <v>100</v>
      </c>
      <c r="L1435" s="39">
        <f t="shared" si="108"/>
        <v>1</v>
      </c>
      <c r="M1435" s="39">
        <f t="shared" si="109"/>
        <v>1</v>
      </c>
      <c r="N1435" t="s">
        <v>25</v>
      </c>
      <c r="O1435" t="s">
        <v>25</v>
      </c>
      <c r="P1435">
        <v>0</v>
      </c>
      <c r="Q1435">
        <v>0</v>
      </c>
      <c r="R1435" t="s">
        <v>3038</v>
      </c>
    </row>
    <row r="1436" spans="1:18" x14ac:dyDescent="0.3">
      <c r="A1436">
        <v>439</v>
      </c>
      <c r="B1436" t="s">
        <v>1252</v>
      </c>
      <c r="C1436" t="s">
        <v>956</v>
      </c>
      <c r="D1436" t="s">
        <v>21</v>
      </c>
      <c r="E1436" t="s">
        <v>22</v>
      </c>
      <c r="F1436" s="79">
        <v>46022</v>
      </c>
      <c r="G1436">
        <v>2025</v>
      </c>
      <c r="H1436" t="s">
        <v>23</v>
      </c>
      <c r="I1436" t="s">
        <v>32</v>
      </c>
      <c r="J1436">
        <v>100</v>
      </c>
      <c r="K1436">
        <v>100</v>
      </c>
      <c r="L1436" s="39">
        <f t="shared" si="108"/>
        <v>1</v>
      </c>
      <c r="M1436" s="39">
        <f t="shared" si="109"/>
        <v>1</v>
      </c>
      <c r="N1436" t="s">
        <v>25</v>
      </c>
      <c r="O1436" t="s">
        <v>25</v>
      </c>
      <c r="P1436">
        <v>0</v>
      </c>
      <c r="Q1436">
        <v>0</v>
      </c>
      <c r="R1436" t="s">
        <v>1255</v>
      </c>
    </row>
    <row r="1437" spans="1:18" x14ac:dyDescent="0.3">
      <c r="A1437">
        <v>440</v>
      </c>
      <c r="B1437" t="s">
        <v>1256</v>
      </c>
      <c r="C1437" t="s">
        <v>3256</v>
      </c>
      <c r="D1437" t="s">
        <v>27</v>
      </c>
      <c r="E1437" t="s">
        <v>22</v>
      </c>
      <c r="F1437" s="79">
        <v>45291</v>
      </c>
      <c r="G1437">
        <v>2023</v>
      </c>
      <c r="H1437" t="s">
        <v>23</v>
      </c>
      <c r="I1437" t="s">
        <v>28</v>
      </c>
      <c r="J1437">
        <v>98</v>
      </c>
      <c r="K1437">
        <v>97.746062537526996</v>
      </c>
      <c r="L1437" s="39">
        <f t="shared" si="108"/>
        <v>0.99740880140333665</v>
      </c>
      <c r="M1437" s="39">
        <f t="shared" si="109"/>
        <v>0.99740880140333665</v>
      </c>
      <c r="P1437">
        <v>1</v>
      </c>
      <c r="Q1437">
        <v>1</v>
      </c>
      <c r="R1437" t="s">
        <v>1257</v>
      </c>
    </row>
    <row r="1438" spans="1:18" x14ac:dyDescent="0.3">
      <c r="A1438">
        <v>440</v>
      </c>
      <c r="B1438" t="s">
        <v>1256</v>
      </c>
      <c r="C1438" t="s">
        <v>956</v>
      </c>
      <c r="D1438" t="s">
        <v>27</v>
      </c>
      <c r="E1438" t="s">
        <v>22</v>
      </c>
      <c r="F1438" s="79">
        <v>45473</v>
      </c>
      <c r="G1438">
        <v>2024</v>
      </c>
      <c r="H1438" t="s">
        <v>699</v>
      </c>
      <c r="I1438" t="s">
        <v>729</v>
      </c>
      <c r="J1438">
        <v>98</v>
      </c>
      <c r="K1438">
        <v>99.73</v>
      </c>
      <c r="L1438" s="39">
        <f t="shared" si="108"/>
        <v>1.0176530612244898</v>
      </c>
      <c r="M1438" s="39">
        <f t="shared" si="109"/>
        <v>1.0176530612244898</v>
      </c>
      <c r="P1438">
        <v>0</v>
      </c>
      <c r="Q1438">
        <v>0</v>
      </c>
      <c r="R1438" t="s">
        <v>3041</v>
      </c>
    </row>
    <row r="1439" spans="1:18" x14ac:dyDescent="0.3">
      <c r="A1439">
        <v>440</v>
      </c>
      <c r="B1439" t="s">
        <v>1256</v>
      </c>
      <c r="C1439" t="s">
        <v>956</v>
      </c>
      <c r="D1439" t="s">
        <v>27</v>
      </c>
      <c r="E1439" t="s">
        <v>22</v>
      </c>
      <c r="F1439" s="79">
        <v>45657</v>
      </c>
      <c r="G1439">
        <v>2024</v>
      </c>
      <c r="H1439" t="s">
        <v>23</v>
      </c>
      <c r="I1439" t="s">
        <v>30</v>
      </c>
      <c r="J1439">
        <v>98</v>
      </c>
      <c r="K1439">
        <v>99.24</v>
      </c>
      <c r="L1439" s="39">
        <f t="shared" si="108"/>
        <v>1.0126530612244897</v>
      </c>
      <c r="M1439" s="39">
        <f t="shared" si="109"/>
        <v>1.0126530612244897</v>
      </c>
      <c r="P1439">
        <v>0</v>
      </c>
      <c r="Q1439">
        <v>0</v>
      </c>
      <c r="R1439" t="s">
        <v>1258</v>
      </c>
    </row>
    <row r="1440" spans="1:18" x14ac:dyDescent="0.3">
      <c r="A1440">
        <v>440</v>
      </c>
      <c r="B1440" t="s">
        <v>1256</v>
      </c>
      <c r="C1440" t="s">
        <v>956</v>
      </c>
      <c r="D1440" t="s">
        <v>21</v>
      </c>
      <c r="E1440" t="s">
        <v>22</v>
      </c>
      <c r="F1440" s="79">
        <v>45838</v>
      </c>
      <c r="G1440">
        <v>2025</v>
      </c>
      <c r="H1440" t="s">
        <v>699</v>
      </c>
      <c r="I1440" t="s">
        <v>700</v>
      </c>
      <c r="J1440">
        <v>98</v>
      </c>
      <c r="K1440">
        <v>99.77</v>
      </c>
      <c r="L1440" s="39">
        <f t="shared" si="108"/>
        <v>1.018061224489796</v>
      </c>
      <c r="M1440" s="39">
        <f t="shared" si="109"/>
        <v>1.018061224489796</v>
      </c>
      <c r="N1440" t="s">
        <v>25</v>
      </c>
      <c r="O1440" t="s">
        <v>25</v>
      </c>
      <c r="P1440">
        <v>0</v>
      </c>
      <c r="Q1440">
        <v>1</v>
      </c>
      <c r="R1440" t="s">
        <v>3042</v>
      </c>
    </row>
    <row r="1441" spans="1:18" x14ac:dyDescent="0.3">
      <c r="A1441">
        <v>440</v>
      </c>
      <c r="B1441" t="s">
        <v>1256</v>
      </c>
      <c r="C1441" t="s">
        <v>956</v>
      </c>
      <c r="D1441" t="s">
        <v>21</v>
      </c>
      <c r="E1441" t="s">
        <v>22</v>
      </c>
      <c r="F1441" s="79">
        <v>46022</v>
      </c>
      <c r="G1441">
        <v>2025</v>
      </c>
      <c r="H1441" t="s">
        <v>23</v>
      </c>
      <c r="I1441" t="s">
        <v>32</v>
      </c>
      <c r="J1441">
        <v>98</v>
      </c>
      <c r="K1441">
        <v>99.74</v>
      </c>
      <c r="L1441" s="39">
        <f t="shared" si="108"/>
        <v>1.0177551020408162</v>
      </c>
      <c r="M1441" s="39">
        <f t="shared" si="109"/>
        <v>1.0177551020408162</v>
      </c>
      <c r="N1441" t="s">
        <v>25</v>
      </c>
      <c r="O1441" t="s">
        <v>25</v>
      </c>
      <c r="P1441">
        <v>0</v>
      </c>
      <c r="Q1441">
        <v>1</v>
      </c>
      <c r="R1441" t="s">
        <v>1259</v>
      </c>
    </row>
    <row r="1442" spans="1:18" x14ac:dyDescent="0.3">
      <c r="A1442">
        <v>441</v>
      </c>
      <c r="B1442" t="s">
        <v>1260</v>
      </c>
      <c r="C1442" t="s">
        <v>511</v>
      </c>
      <c r="D1442" t="s">
        <v>54</v>
      </c>
      <c r="E1442" t="s">
        <v>22</v>
      </c>
      <c r="F1442" s="79">
        <v>45473</v>
      </c>
      <c r="G1442">
        <v>2024</v>
      </c>
      <c r="H1442" t="s">
        <v>699</v>
      </c>
      <c r="I1442" t="s">
        <v>729</v>
      </c>
      <c r="J1442">
        <v>90</v>
      </c>
      <c r="K1442">
        <v>97.31</v>
      </c>
      <c r="L1442" s="39">
        <f t="shared" si="108"/>
        <v>1.0812222222222223</v>
      </c>
      <c r="M1442" s="39">
        <f t="shared" si="109"/>
        <v>1.0812222222222223</v>
      </c>
      <c r="P1442">
        <v>0</v>
      </c>
      <c r="Q1442">
        <v>0</v>
      </c>
      <c r="R1442" t="s">
        <v>3048</v>
      </c>
    </row>
    <row r="1443" spans="1:18" x14ac:dyDescent="0.3">
      <c r="A1443">
        <v>441</v>
      </c>
      <c r="B1443" t="s">
        <v>1260</v>
      </c>
      <c r="C1443" t="s">
        <v>511</v>
      </c>
      <c r="D1443" t="s">
        <v>54</v>
      </c>
      <c r="E1443" t="s">
        <v>22</v>
      </c>
      <c r="F1443" s="79">
        <v>45657</v>
      </c>
      <c r="G1443">
        <v>2024</v>
      </c>
      <c r="H1443" t="s">
        <v>23</v>
      </c>
      <c r="I1443" t="s">
        <v>30</v>
      </c>
      <c r="J1443">
        <v>90</v>
      </c>
      <c r="K1443">
        <v>99.919935948759004</v>
      </c>
      <c r="L1443" s="39">
        <f t="shared" si="108"/>
        <v>1.1102215105417668</v>
      </c>
      <c r="M1443" s="39">
        <f t="shared" si="109"/>
        <v>1.1102215105417668</v>
      </c>
      <c r="P1443">
        <v>0</v>
      </c>
      <c r="Q1443">
        <v>0</v>
      </c>
      <c r="R1443" t="s">
        <v>1261</v>
      </c>
    </row>
    <row r="1444" spans="1:18" x14ac:dyDescent="0.3">
      <c r="A1444">
        <v>442</v>
      </c>
      <c r="B1444" t="s">
        <v>1262</v>
      </c>
      <c r="C1444" t="s">
        <v>246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100</v>
      </c>
      <c r="K1444">
        <v>80</v>
      </c>
      <c r="L1444" s="39">
        <f t="shared" si="108"/>
        <v>0.8</v>
      </c>
      <c r="M1444" s="39">
        <f t="shared" si="109"/>
        <v>0.8</v>
      </c>
      <c r="P1444">
        <v>0</v>
      </c>
      <c r="Q1444">
        <v>0</v>
      </c>
      <c r="R1444" t="s">
        <v>3054</v>
      </c>
    </row>
    <row r="1445" spans="1:18" x14ac:dyDescent="0.3">
      <c r="A1445">
        <v>442</v>
      </c>
      <c r="B1445" t="s">
        <v>1262</v>
      </c>
      <c r="C1445" t="s">
        <v>246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100</v>
      </c>
      <c r="K1445">
        <v>145</v>
      </c>
      <c r="L1445" s="39">
        <f t="shared" si="108"/>
        <v>1.3</v>
      </c>
      <c r="M1445" s="39">
        <f t="shared" si="109"/>
        <v>1.45</v>
      </c>
      <c r="P1445">
        <v>0</v>
      </c>
      <c r="Q1445">
        <v>0</v>
      </c>
      <c r="R1445" t="s">
        <v>1263</v>
      </c>
    </row>
    <row r="1446" spans="1:18" x14ac:dyDescent="0.3">
      <c r="A1446">
        <v>443</v>
      </c>
      <c r="B1446" t="s">
        <v>1264</v>
      </c>
      <c r="C1446" t="s">
        <v>246</v>
      </c>
      <c r="D1446" t="s">
        <v>27</v>
      </c>
      <c r="E1446" t="s">
        <v>22</v>
      </c>
      <c r="F1446" s="79">
        <v>45473</v>
      </c>
      <c r="G1446">
        <v>2024</v>
      </c>
      <c r="H1446" t="s">
        <v>699</v>
      </c>
      <c r="I1446" t="s">
        <v>729</v>
      </c>
      <c r="J1446">
        <v>100</v>
      </c>
      <c r="K1446">
        <v>114.33</v>
      </c>
      <c r="L1446" s="39">
        <f t="shared" si="108"/>
        <v>1.1433</v>
      </c>
      <c r="M1446" s="39">
        <f t="shared" si="109"/>
        <v>1.1433</v>
      </c>
      <c r="P1446">
        <v>0</v>
      </c>
      <c r="Q1446">
        <v>0</v>
      </c>
      <c r="R1446" t="s">
        <v>3055</v>
      </c>
    </row>
    <row r="1447" spans="1:18" x14ac:dyDescent="0.3">
      <c r="A1447">
        <v>443</v>
      </c>
      <c r="B1447" t="s">
        <v>1264</v>
      </c>
      <c r="C1447" t="s">
        <v>246</v>
      </c>
      <c r="D1447" t="s">
        <v>27</v>
      </c>
      <c r="E1447" t="s">
        <v>22</v>
      </c>
      <c r="F1447" s="79">
        <v>45657</v>
      </c>
      <c r="G1447">
        <v>2024</v>
      </c>
      <c r="H1447" t="s">
        <v>23</v>
      </c>
      <c r="I1447" t="s">
        <v>30</v>
      </c>
      <c r="J1447">
        <v>100</v>
      </c>
      <c r="K1447">
        <v>209</v>
      </c>
      <c r="L1447" s="39">
        <f t="shared" si="108"/>
        <v>1.3</v>
      </c>
      <c r="M1447" s="39">
        <f t="shared" si="109"/>
        <v>2.09</v>
      </c>
      <c r="P1447">
        <v>0</v>
      </c>
      <c r="Q1447">
        <v>0</v>
      </c>
      <c r="R1447" t="s">
        <v>1265</v>
      </c>
    </row>
    <row r="1448" spans="1:18" x14ac:dyDescent="0.3">
      <c r="A1448">
        <v>444</v>
      </c>
      <c r="B1448" t="s">
        <v>1266</v>
      </c>
      <c r="C1448" t="s">
        <v>541</v>
      </c>
      <c r="D1448" t="s">
        <v>27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L1448" s="39"/>
      <c r="M1448" s="39"/>
      <c r="P1448">
        <v>0</v>
      </c>
      <c r="Q1448">
        <v>0</v>
      </c>
      <c r="R1448" t="s">
        <v>3263</v>
      </c>
    </row>
    <row r="1449" spans="1:18" x14ac:dyDescent="0.3">
      <c r="A1449">
        <v>444</v>
      </c>
      <c r="B1449" t="s">
        <v>1266</v>
      </c>
      <c r="C1449" t="s">
        <v>541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0</v>
      </c>
      <c r="K1449">
        <v>2.1</v>
      </c>
      <c r="L1449" s="39" t="str">
        <f t="shared" ref="L1449:L1477" si="110">IFERROR(IF(OR(J1449=0,K1449=""),"",IF(E1449="Positivo",MIN(MAX(K1449/J1449,0),1.3),MIN(MAX(J1449/K1449,0),1.3))),"")</f>
        <v/>
      </c>
      <c r="M1449" s="39" t="str">
        <f t="shared" ref="M1449:M1477" si="111">IFERROR(IF(OR(J1449=0,K1449=""),"",IF(E1449="Positivo",MAX(K1449/J1449,0),MAX(J1449/K1449,0))),"")</f>
        <v/>
      </c>
      <c r="P1449">
        <v>0</v>
      </c>
      <c r="Q1449">
        <v>0</v>
      </c>
      <c r="R1449" t="s">
        <v>1267</v>
      </c>
    </row>
    <row r="1450" spans="1:18" x14ac:dyDescent="0.3">
      <c r="A1450">
        <v>444</v>
      </c>
      <c r="B1450" t="s">
        <v>1266</v>
      </c>
      <c r="C1450" t="s">
        <v>541</v>
      </c>
      <c r="D1450" t="s">
        <v>21</v>
      </c>
      <c r="E1450" t="s">
        <v>41</v>
      </c>
      <c r="F1450" s="79">
        <v>45838</v>
      </c>
      <c r="G1450">
        <v>2025</v>
      </c>
      <c r="H1450" t="s">
        <v>699</v>
      </c>
      <c r="I1450" t="s">
        <v>700</v>
      </c>
      <c r="J1450">
        <v>3</v>
      </c>
      <c r="K1450">
        <v>1.6</v>
      </c>
      <c r="L1450" s="39">
        <f t="shared" si="110"/>
        <v>1.3</v>
      </c>
      <c r="M1450" s="39">
        <f t="shared" si="111"/>
        <v>1.875</v>
      </c>
      <c r="N1450" t="s">
        <v>128</v>
      </c>
      <c r="O1450" t="s">
        <v>136</v>
      </c>
      <c r="P1450">
        <v>0</v>
      </c>
      <c r="Q1450">
        <v>1</v>
      </c>
      <c r="R1450" t="s">
        <v>3056</v>
      </c>
    </row>
    <row r="1451" spans="1:18" x14ac:dyDescent="0.3">
      <c r="A1451">
        <v>444</v>
      </c>
      <c r="B1451" t="s">
        <v>1266</v>
      </c>
      <c r="C1451" t="s">
        <v>541</v>
      </c>
      <c r="D1451" t="s">
        <v>21</v>
      </c>
      <c r="E1451" t="s">
        <v>41</v>
      </c>
      <c r="F1451" s="79">
        <v>46022</v>
      </c>
      <c r="G1451">
        <v>2025</v>
      </c>
      <c r="H1451" t="s">
        <v>23</v>
      </c>
      <c r="I1451" t="s">
        <v>32</v>
      </c>
      <c r="J1451">
        <v>3</v>
      </c>
      <c r="K1451">
        <v>1.7</v>
      </c>
      <c r="L1451" s="39">
        <f t="shared" si="110"/>
        <v>1.3</v>
      </c>
      <c r="M1451" s="39">
        <f t="shared" si="111"/>
        <v>1.7647058823529411</v>
      </c>
      <c r="N1451" t="s">
        <v>128</v>
      </c>
      <c r="O1451" t="s">
        <v>136</v>
      </c>
      <c r="P1451">
        <v>0</v>
      </c>
      <c r="Q1451">
        <v>1</v>
      </c>
      <c r="R1451" t="s">
        <v>1268</v>
      </c>
    </row>
    <row r="1452" spans="1:18" x14ac:dyDescent="0.3">
      <c r="A1452">
        <v>445</v>
      </c>
      <c r="B1452" t="s">
        <v>1269</v>
      </c>
      <c r="C1452" t="s">
        <v>541</v>
      </c>
      <c r="D1452" t="s">
        <v>27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67.5</v>
      </c>
      <c r="K1452">
        <v>55.2</v>
      </c>
      <c r="L1452" s="39">
        <f t="shared" si="110"/>
        <v>0.81777777777777783</v>
      </c>
      <c r="M1452" s="39">
        <f t="shared" si="111"/>
        <v>0.81777777777777783</v>
      </c>
      <c r="P1452">
        <v>0</v>
      </c>
      <c r="Q1452">
        <v>0</v>
      </c>
      <c r="R1452" t="s">
        <v>3057</v>
      </c>
    </row>
    <row r="1453" spans="1:18" x14ac:dyDescent="0.3">
      <c r="A1453">
        <v>445</v>
      </c>
      <c r="B1453" t="s">
        <v>1269</v>
      </c>
      <c r="C1453" t="s">
        <v>541</v>
      </c>
      <c r="D1453" t="s">
        <v>27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67.5</v>
      </c>
      <c r="K1453">
        <v>86.5</v>
      </c>
      <c r="L1453" s="39">
        <f t="shared" si="110"/>
        <v>1.2814814814814814</v>
      </c>
      <c r="M1453" s="39">
        <f t="shared" si="111"/>
        <v>1.2814814814814814</v>
      </c>
      <c r="P1453">
        <v>0</v>
      </c>
      <c r="Q1453">
        <v>0</v>
      </c>
      <c r="R1453" t="s">
        <v>1270</v>
      </c>
    </row>
    <row r="1454" spans="1:18" x14ac:dyDescent="0.3">
      <c r="A1454">
        <v>445</v>
      </c>
      <c r="B1454" t="s">
        <v>1269</v>
      </c>
      <c r="C1454" t="s">
        <v>541</v>
      </c>
      <c r="D1454" t="s">
        <v>21</v>
      </c>
      <c r="E1454" t="s">
        <v>22</v>
      </c>
      <c r="F1454" s="79">
        <v>45838</v>
      </c>
      <c r="G1454">
        <v>2025</v>
      </c>
      <c r="H1454" t="s">
        <v>699</v>
      </c>
      <c r="I1454" t="s">
        <v>700</v>
      </c>
      <c r="J1454">
        <v>70</v>
      </c>
      <c r="K1454">
        <v>75.7</v>
      </c>
      <c r="L1454" s="39">
        <f t="shared" si="110"/>
        <v>1.0814285714285714</v>
      </c>
      <c r="M1454" s="39">
        <f t="shared" si="111"/>
        <v>1.0814285714285714</v>
      </c>
      <c r="N1454" t="s">
        <v>25</v>
      </c>
      <c r="O1454" t="s">
        <v>25</v>
      </c>
      <c r="P1454">
        <v>0</v>
      </c>
      <c r="Q1454">
        <v>0</v>
      </c>
      <c r="R1454" t="s">
        <v>3058</v>
      </c>
    </row>
    <row r="1455" spans="1:18" x14ac:dyDescent="0.3">
      <c r="A1455">
        <v>445</v>
      </c>
      <c r="B1455" t="s">
        <v>1269</v>
      </c>
      <c r="C1455" t="s">
        <v>541</v>
      </c>
      <c r="D1455" t="s">
        <v>21</v>
      </c>
      <c r="E1455" t="s">
        <v>22</v>
      </c>
      <c r="F1455" s="79">
        <v>46022</v>
      </c>
      <c r="G1455">
        <v>2025</v>
      </c>
      <c r="H1455" t="s">
        <v>23</v>
      </c>
      <c r="I1455" t="s">
        <v>32</v>
      </c>
      <c r="J1455">
        <v>70</v>
      </c>
      <c r="K1455">
        <v>85.3</v>
      </c>
      <c r="L1455" s="39">
        <f t="shared" si="110"/>
        <v>1.2185714285714286</v>
      </c>
      <c r="M1455" s="39">
        <f t="shared" si="111"/>
        <v>1.2185714285714286</v>
      </c>
      <c r="N1455" t="s">
        <v>25</v>
      </c>
      <c r="O1455" t="s">
        <v>25</v>
      </c>
      <c r="P1455">
        <v>0</v>
      </c>
      <c r="Q1455">
        <v>0</v>
      </c>
      <c r="R1455" t="s">
        <v>1271</v>
      </c>
    </row>
    <row r="1456" spans="1:18" x14ac:dyDescent="0.3">
      <c r="A1456">
        <v>447</v>
      </c>
      <c r="B1456" t="s">
        <v>724</v>
      </c>
      <c r="C1456" t="s">
        <v>254</v>
      </c>
      <c r="D1456" t="s">
        <v>27</v>
      </c>
      <c r="E1456" t="s">
        <v>22</v>
      </c>
      <c r="F1456" s="79">
        <v>45473</v>
      </c>
      <c r="G1456">
        <v>2024</v>
      </c>
      <c r="H1456" t="s">
        <v>699</v>
      </c>
      <c r="I1456" t="s">
        <v>729</v>
      </c>
      <c r="J1456">
        <v>15</v>
      </c>
      <c r="K1456">
        <v>31.04</v>
      </c>
      <c r="L1456" s="39">
        <f t="shared" si="110"/>
        <v>1.3</v>
      </c>
      <c r="M1456" s="39">
        <f t="shared" si="111"/>
        <v>2.0693333333333332</v>
      </c>
      <c r="P1456">
        <v>0</v>
      </c>
      <c r="Q1456">
        <v>0</v>
      </c>
      <c r="R1456" t="s">
        <v>3059</v>
      </c>
    </row>
    <row r="1457" spans="1:18" x14ac:dyDescent="0.3">
      <c r="A1457">
        <v>447</v>
      </c>
      <c r="B1457" t="s">
        <v>724</v>
      </c>
      <c r="C1457" t="s">
        <v>254</v>
      </c>
      <c r="D1457" t="s">
        <v>27</v>
      </c>
      <c r="E1457" t="s">
        <v>22</v>
      </c>
      <c r="F1457" s="79">
        <v>45657</v>
      </c>
      <c r="G1457">
        <v>2024</v>
      </c>
      <c r="H1457" t="s">
        <v>23</v>
      </c>
      <c r="I1457" t="s">
        <v>30</v>
      </c>
      <c r="J1457">
        <v>15</v>
      </c>
      <c r="K1457">
        <v>16.16</v>
      </c>
      <c r="L1457" s="39">
        <f t="shared" si="110"/>
        <v>1.0773333333333333</v>
      </c>
      <c r="M1457" s="39">
        <f t="shared" si="111"/>
        <v>1.0773333333333333</v>
      </c>
      <c r="P1457">
        <v>0</v>
      </c>
      <c r="Q1457">
        <v>0</v>
      </c>
      <c r="R1457" t="s">
        <v>1272</v>
      </c>
    </row>
    <row r="1458" spans="1:18" x14ac:dyDescent="0.3">
      <c r="A1458">
        <v>447</v>
      </c>
      <c r="B1458" t="s">
        <v>724</v>
      </c>
      <c r="C1458" t="s">
        <v>254</v>
      </c>
      <c r="D1458" t="s">
        <v>21</v>
      </c>
      <c r="E1458" t="s">
        <v>22</v>
      </c>
      <c r="F1458" s="79">
        <v>45838</v>
      </c>
      <c r="G1458">
        <v>2025</v>
      </c>
      <c r="H1458" t="s">
        <v>699</v>
      </c>
      <c r="I1458" t="s">
        <v>700</v>
      </c>
      <c r="J1458">
        <v>15</v>
      </c>
      <c r="K1458">
        <v>16.54</v>
      </c>
      <c r="L1458" s="39">
        <f t="shared" si="110"/>
        <v>1.1026666666666667</v>
      </c>
      <c r="M1458" s="39">
        <f t="shared" si="111"/>
        <v>1.1026666666666667</v>
      </c>
      <c r="N1458" t="s">
        <v>25</v>
      </c>
      <c r="O1458" t="s">
        <v>25</v>
      </c>
      <c r="P1458">
        <v>0</v>
      </c>
      <c r="Q1458">
        <v>0</v>
      </c>
      <c r="R1458" t="s">
        <v>3060</v>
      </c>
    </row>
    <row r="1459" spans="1:18" x14ac:dyDescent="0.3">
      <c r="A1459">
        <v>447</v>
      </c>
      <c r="B1459" t="s">
        <v>724</v>
      </c>
      <c r="C1459" t="s">
        <v>254</v>
      </c>
      <c r="D1459" t="s">
        <v>21</v>
      </c>
      <c r="E1459" t="s">
        <v>22</v>
      </c>
      <c r="F1459" s="79">
        <v>46022</v>
      </c>
      <c r="G1459">
        <v>2025</v>
      </c>
      <c r="H1459" t="s">
        <v>23</v>
      </c>
      <c r="I1459" t="s">
        <v>32</v>
      </c>
      <c r="J1459">
        <v>15</v>
      </c>
      <c r="K1459">
        <v>15.01</v>
      </c>
      <c r="L1459" s="39">
        <f t="shared" si="110"/>
        <v>1.0006666666666666</v>
      </c>
      <c r="M1459" s="39">
        <f t="shared" si="111"/>
        <v>1.0006666666666666</v>
      </c>
      <c r="N1459" t="s">
        <v>25</v>
      </c>
      <c r="O1459" t="s">
        <v>25</v>
      </c>
      <c r="P1459">
        <v>0</v>
      </c>
      <c r="Q1459">
        <v>0</v>
      </c>
      <c r="R1459" t="s">
        <v>1273</v>
      </c>
    </row>
    <row r="1460" spans="1:18" x14ac:dyDescent="0.3">
      <c r="A1460">
        <v>448</v>
      </c>
      <c r="B1460" t="s">
        <v>1274</v>
      </c>
      <c r="C1460" t="s">
        <v>254</v>
      </c>
      <c r="D1460" t="s">
        <v>27</v>
      </c>
      <c r="E1460" t="s">
        <v>22</v>
      </c>
      <c r="F1460" s="79">
        <v>45473</v>
      </c>
      <c r="G1460">
        <v>2024</v>
      </c>
      <c r="H1460" t="s">
        <v>699</v>
      </c>
      <c r="I1460" t="s">
        <v>729</v>
      </c>
      <c r="J1460">
        <v>9</v>
      </c>
      <c r="K1460">
        <v>18.93</v>
      </c>
      <c r="L1460" s="39">
        <f t="shared" si="110"/>
        <v>1.3</v>
      </c>
      <c r="M1460" s="39">
        <f t="shared" si="111"/>
        <v>2.1033333333333335</v>
      </c>
      <c r="P1460">
        <v>0</v>
      </c>
      <c r="Q1460">
        <v>0</v>
      </c>
      <c r="R1460" t="s">
        <v>3061</v>
      </c>
    </row>
    <row r="1461" spans="1:18" x14ac:dyDescent="0.3">
      <c r="A1461">
        <v>448</v>
      </c>
      <c r="B1461" t="s">
        <v>1274</v>
      </c>
      <c r="C1461" t="s">
        <v>254</v>
      </c>
      <c r="D1461" t="s">
        <v>27</v>
      </c>
      <c r="E1461" t="s">
        <v>22</v>
      </c>
      <c r="F1461" s="79">
        <v>45657</v>
      </c>
      <c r="G1461">
        <v>2024</v>
      </c>
      <c r="H1461" t="s">
        <v>23</v>
      </c>
      <c r="I1461" t="s">
        <v>30</v>
      </c>
      <c r="J1461">
        <v>9</v>
      </c>
      <c r="K1461">
        <v>9.32</v>
      </c>
      <c r="L1461" s="39">
        <f t="shared" si="110"/>
        <v>1.0355555555555556</v>
      </c>
      <c r="M1461" s="39">
        <f t="shared" si="111"/>
        <v>1.0355555555555556</v>
      </c>
      <c r="P1461">
        <v>0</v>
      </c>
      <c r="Q1461">
        <v>0</v>
      </c>
      <c r="R1461" t="s">
        <v>1275</v>
      </c>
    </row>
    <row r="1462" spans="1:18" x14ac:dyDescent="0.3">
      <c r="A1462">
        <v>448</v>
      </c>
      <c r="B1462" t="s">
        <v>1274</v>
      </c>
      <c r="C1462" t="s">
        <v>254</v>
      </c>
      <c r="D1462" t="s">
        <v>21</v>
      </c>
      <c r="E1462" t="s">
        <v>22</v>
      </c>
      <c r="F1462" s="79">
        <v>45838</v>
      </c>
      <c r="G1462">
        <v>2025</v>
      </c>
      <c r="H1462" t="s">
        <v>699</v>
      </c>
      <c r="I1462" t="s">
        <v>700</v>
      </c>
      <c r="J1462">
        <v>17</v>
      </c>
      <c r="K1462">
        <v>39.619999999999997</v>
      </c>
      <c r="L1462" s="39">
        <f t="shared" si="110"/>
        <v>1.3</v>
      </c>
      <c r="M1462" s="39">
        <f t="shared" si="111"/>
        <v>2.3305882352941176</v>
      </c>
      <c r="N1462" t="s">
        <v>25</v>
      </c>
      <c r="O1462" t="s">
        <v>25</v>
      </c>
      <c r="P1462">
        <v>0</v>
      </c>
      <c r="Q1462">
        <v>1</v>
      </c>
      <c r="R1462" t="s">
        <v>3062</v>
      </c>
    </row>
    <row r="1463" spans="1:18" x14ac:dyDescent="0.3">
      <c r="A1463">
        <v>448</v>
      </c>
      <c r="B1463" t="s">
        <v>1274</v>
      </c>
      <c r="C1463" t="s">
        <v>254</v>
      </c>
      <c r="D1463" t="s">
        <v>21</v>
      </c>
      <c r="E1463" t="s">
        <v>22</v>
      </c>
      <c r="F1463" s="79">
        <v>46022</v>
      </c>
      <c r="G1463">
        <v>2025</v>
      </c>
      <c r="H1463" t="s">
        <v>23</v>
      </c>
      <c r="I1463" t="s">
        <v>32</v>
      </c>
      <c r="J1463">
        <v>17</v>
      </c>
      <c r="K1463">
        <v>59.36</v>
      </c>
      <c r="L1463" s="39">
        <f t="shared" si="110"/>
        <v>1.3</v>
      </c>
      <c r="M1463" s="39">
        <f t="shared" si="111"/>
        <v>3.4917647058823529</v>
      </c>
      <c r="N1463" t="s">
        <v>25</v>
      </c>
      <c r="O1463" t="s">
        <v>25</v>
      </c>
      <c r="P1463">
        <v>0</v>
      </c>
      <c r="Q1463">
        <v>1</v>
      </c>
      <c r="R1463" t="s">
        <v>1276</v>
      </c>
    </row>
    <row r="1464" spans="1:18" x14ac:dyDescent="0.3">
      <c r="A1464">
        <v>449</v>
      </c>
      <c r="B1464" t="s">
        <v>1277</v>
      </c>
      <c r="C1464" t="s">
        <v>732</v>
      </c>
      <c r="D1464" t="s">
        <v>21</v>
      </c>
      <c r="E1464" t="s">
        <v>22</v>
      </c>
      <c r="F1464" s="79">
        <v>45473</v>
      </c>
      <c r="G1464">
        <v>2024</v>
      </c>
      <c r="H1464" t="s">
        <v>699</v>
      </c>
      <c r="I1464" t="s">
        <v>729</v>
      </c>
      <c r="J1464">
        <v>40</v>
      </c>
      <c r="K1464">
        <v>53.85</v>
      </c>
      <c r="L1464" s="39">
        <f t="shared" si="110"/>
        <v>1.3</v>
      </c>
      <c r="M1464" s="39">
        <f t="shared" si="111"/>
        <v>1.3462499999999999</v>
      </c>
      <c r="P1464">
        <v>0</v>
      </c>
      <c r="Q1464">
        <v>0</v>
      </c>
      <c r="R1464" t="s">
        <v>3264</v>
      </c>
    </row>
    <row r="1465" spans="1:18" x14ac:dyDescent="0.3">
      <c r="A1465">
        <v>449</v>
      </c>
      <c r="B1465" t="s">
        <v>1277</v>
      </c>
      <c r="C1465" t="s">
        <v>732</v>
      </c>
      <c r="D1465" t="s">
        <v>21</v>
      </c>
      <c r="E1465" t="s">
        <v>22</v>
      </c>
      <c r="F1465" s="79">
        <v>45657</v>
      </c>
      <c r="G1465">
        <v>2024</v>
      </c>
      <c r="H1465" t="s">
        <v>23</v>
      </c>
      <c r="I1465" t="s">
        <v>30</v>
      </c>
      <c r="J1465">
        <v>100</v>
      </c>
      <c r="K1465">
        <v>100</v>
      </c>
      <c r="L1465" s="39">
        <f t="shared" si="110"/>
        <v>1</v>
      </c>
      <c r="M1465" s="39">
        <f t="shared" si="111"/>
        <v>1</v>
      </c>
      <c r="P1465">
        <v>0</v>
      </c>
      <c r="Q1465">
        <v>0</v>
      </c>
      <c r="R1465" t="s">
        <v>1278</v>
      </c>
    </row>
    <row r="1466" spans="1:18" x14ac:dyDescent="0.3">
      <c r="A1466">
        <v>451</v>
      </c>
      <c r="B1466" t="s">
        <v>1279</v>
      </c>
      <c r="C1466" t="s">
        <v>1078</v>
      </c>
      <c r="D1466" t="s">
        <v>27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J1466">
        <v>0</v>
      </c>
      <c r="K1466">
        <v>34.9</v>
      </c>
      <c r="L1466" s="39" t="str">
        <f t="shared" si="110"/>
        <v/>
      </c>
      <c r="M1466" s="39" t="str">
        <f t="shared" si="111"/>
        <v/>
      </c>
      <c r="P1466">
        <v>0</v>
      </c>
      <c r="Q1466">
        <v>0</v>
      </c>
      <c r="R1466" t="s">
        <v>3065</v>
      </c>
    </row>
    <row r="1467" spans="1:18" x14ac:dyDescent="0.3">
      <c r="A1467">
        <v>451</v>
      </c>
      <c r="B1467" t="s">
        <v>1279</v>
      </c>
      <c r="C1467" t="s">
        <v>1078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0</v>
      </c>
      <c r="K1467">
        <v>42.7</v>
      </c>
      <c r="L1467" s="39" t="str">
        <f t="shared" si="110"/>
        <v/>
      </c>
      <c r="M1467" s="39" t="str">
        <f t="shared" si="111"/>
        <v/>
      </c>
      <c r="P1467">
        <v>0</v>
      </c>
      <c r="Q1467">
        <v>0</v>
      </c>
      <c r="R1467" t="s">
        <v>1280</v>
      </c>
    </row>
    <row r="1468" spans="1:18" x14ac:dyDescent="0.3">
      <c r="A1468">
        <v>451</v>
      </c>
      <c r="B1468" t="s">
        <v>1281</v>
      </c>
      <c r="C1468" t="s">
        <v>1078</v>
      </c>
      <c r="D1468" t="s">
        <v>21</v>
      </c>
      <c r="E1468" t="s">
        <v>22</v>
      </c>
      <c r="F1468" s="79">
        <v>45838</v>
      </c>
      <c r="G1468">
        <v>2025</v>
      </c>
      <c r="H1468" t="s">
        <v>699</v>
      </c>
      <c r="I1468" t="s">
        <v>700</v>
      </c>
      <c r="J1468">
        <v>100</v>
      </c>
      <c r="K1468">
        <v>119.5</v>
      </c>
      <c r="L1468" s="39">
        <f t="shared" si="110"/>
        <v>1.1950000000000001</v>
      </c>
      <c r="M1468" s="39">
        <f t="shared" si="111"/>
        <v>1.1950000000000001</v>
      </c>
      <c r="N1468" t="s">
        <v>25</v>
      </c>
      <c r="O1468" t="s">
        <v>25</v>
      </c>
      <c r="P1468">
        <v>0</v>
      </c>
      <c r="Q1468">
        <v>0</v>
      </c>
      <c r="R1468" t="s">
        <v>3066</v>
      </c>
    </row>
    <row r="1469" spans="1:18" x14ac:dyDescent="0.3">
      <c r="A1469">
        <v>451</v>
      </c>
      <c r="B1469" t="s">
        <v>1281</v>
      </c>
      <c r="C1469" t="s">
        <v>1078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32</v>
      </c>
      <c r="J1469">
        <v>100</v>
      </c>
      <c r="K1469">
        <v>130.80000000000001</v>
      </c>
      <c r="L1469" s="39">
        <f t="shared" si="110"/>
        <v>1.3</v>
      </c>
      <c r="M1469" s="39">
        <f t="shared" si="111"/>
        <v>1.3080000000000001</v>
      </c>
      <c r="N1469" t="s">
        <v>25</v>
      </c>
      <c r="O1469" t="s">
        <v>25</v>
      </c>
      <c r="P1469">
        <v>0</v>
      </c>
      <c r="Q1469">
        <v>0</v>
      </c>
      <c r="R1469" t="s">
        <v>1282</v>
      </c>
    </row>
    <row r="1470" spans="1:18" x14ac:dyDescent="0.3">
      <c r="A1470">
        <v>452</v>
      </c>
      <c r="B1470" t="s">
        <v>1283</v>
      </c>
      <c r="C1470" t="s">
        <v>1078</v>
      </c>
      <c r="D1470" t="s">
        <v>27</v>
      </c>
      <c r="E1470" t="s">
        <v>22</v>
      </c>
      <c r="F1470" s="79">
        <v>45473</v>
      </c>
      <c r="G1470">
        <v>2024</v>
      </c>
      <c r="H1470" t="s">
        <v>699</v>
      </c>
      <c r="I1470" t="s">
        <v>729</v>
      </c>
      <c r="J1470">
        <v>100</v>
      </c>
      <c r="K1470">
        <v>100</v>
      </c>
      <c r="L1470" s="39">
        <f t="shared" si="110"/>
        <v>1</v>
      </c>
      <c r="M1470" s="39">
        <f t="shared" si="111"/>
        <v>1</v>
      </c>
      <c r="P1470">
        <v>0</v>
      </c>
      <c r="Q1470">
        <v>0</v>
      </c>
      <c r="R1470" t="s">
        <v>3067</v>
      </c>
    </row>
    <row r="1471" spans="1:18" x14ac:dyDescent="0.3">
      <c r="A1471">
        <v>452</v>
      </c>
      <c r="B1471" t="s">
        <v>1283</v>
      </c>
      <c r="C1471" t="s">
        <v>1078</v>
      </c>
      <c r="D1471" t="s">
        <v>27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100</v>
      </c>
      <c r="K1471">
        <v>160</v>
      </c>
      <c r="L1471" s="39">
        <f t="shared" si="110"/>
        <v>1.3</v>
      </c>
      <c r="M1471" s="39">
        <f t="shared" si="111"/>
        <v>1.6</v>
      </c>
      <c r="P1471">
        <v>0</v>
      </c>
      <c r="Q1471">
        <v>0</v>
      </c>
      <c r="R1471" t="s">
        <v>1284</v>
      </c>
    </row>
    <row r="1472" spans="1:18" x14ac:dyDescent="0.3">
      <c r="A1472">
        <v>452</v>
      </c>
      <c r="B1472" t="s">
        <v>1283</v>
      </c>
      <c r="C1472" t="s">
        <v>1078</v>
      </c>
      <c r="D1472" t="s">
        <v>21</v>
      </c>
      <c r="E1472" t="s">
        <v>22</v>
      </c>
      <c r="F1472" s="79">
        <v>45838</v>
      </c>
      <c r="G1472">
        <v>2025</v>
      </c>
      <c r="H1472" t="s">
        <v>699</v>
      </c>
      <c r="I1472" t="s">
        <v>700</v>
      </c>
      <c r="J1472">
        <v>100</v>
      </c>
      <c r="K1472">
        <v>102.27</v>
      </c>
      <c r="L1472" s="39">
        <f t="shared" si="110"/>
        <v>1.0226999999999999</v>
      </c>
      <c r="M1472" s="39">
        <f t="shared" si="111"/>
        <v>1.0226999999999999</v>
      </c>
      <c r="N1472" t="s">
        <v>25</v>
      </c>
      <c r="O1472" t="s">
        <v>25</v>
      </c>
      <c r="P1472">
        <v>0</v>
      </c>
      <c r="Q1472">
        <v>0</v>
      </c>
      <c r="R1472" t="s">
        <v>3068</v>
      </c>
    </row>
    <row r="1473" spans="1:18" x14ac:dyDescent="0.3">
      <c r="A1473">
        <v>452</v>
      </c>
      <c r="B1473" t="s">
        <v>1283</v>
      </c>
      <c r="C1473" t="s">
        <v>1078</v>
      </c>
      <c r="D1473" t="s">
        <v>21</v>
      </c>
      <c r="E1473" t="s">
        <v>22</v>
      </c>
      <c r="F1473" s="79">
        <v>46022</v>
      </c>
      <c r="G1473">
        <v>2025</v>
      </c>
      <c r="H1473" t="s">
        <v>23</v>
      </c>
      <c r="I1473" t="s">
        <v>32</v>
      </c>
      <c r="J1473">
        <v>100</v>
      </c>
      <c r="K1473">
        <v>200</v>
      </c>
      <c r="L1473" s="39">
        <f t="shared" si="110"/>
        <v>1.3</v>
      </c>
      <c r="M1473" s="39">
        <f t="shared" si="111"/>
        <v>2</v>
      </c>
      <c r="N1473" t="s">
        <v>25</v>
      </c>
      <c r="O1473" t="s">
        <v>25</v>
      </c>
      <c r="P1473">
        <v>0</v>
      </c>
      <c r="Q1473">
        <v>0</v>
      </c>
      <c r="R1473" t="s">
        <v>1285</v>
      </c>
    </row>
    <row r="1474" spans="1:18" x14ac:dyDescent="0.3">
      <c r="A1474">
        <v>453</v>
      </c>
      <c r="B1474" t="s">
        <v>1286</v>
      </c>
      <c r="C1474" t="s">
        <v>1089</v>
      </c>
      <c r="D1474" t="s">
        <v>21</v>
      </c>
      <c r="E1474" t="s">
        <v>22</v>
      </c>
      <c r="F1474" s="79">
        <v>45473</v>
      </c>
      <c r="G1474">
        <v>2024</v>
      </c>
      <c r="H1474" t="s">
        <v>699</v>
      </c>
      <c r="I1474" t="s">
        <v>729</v>
      </c>
      <c r="J1474">
        <v>100</v>
      </c>
      <c r="K1474">
        <v>192</v>
      </c>
      <c r="L1474" s="39">
        <f t="shared" si="110"/>
        <v>1.3</v>
      </c>
      <c r="M1474" s="39">
        <f t="shared" si="111"/>
        <v>1.92</v>
      </c>
      <c r="P1474">
        <v>0</v>
      </c>
      <c r="Q1474">
        <v>0</v>
      </c>
      <c r="R1474" t="s">
        <v>3070</v>
      </c>
    </row>
    <row r="1475" spans="1:18" x14ac:dyDescent="0.3">
      <c r="A1475">
        <v>453</v>
      </c>
      <c r="B1475" t="s">
        <v>1286</v>
      </c>
      <c r="C1475" t="s">
        <v>1089</v>
      </c>
      <c r="D1475" t="s">
        <v>21</v>
      </c>
      <c r="E1475" t="s">
        <v>22</v>
      </c>
      <c r="F1475" s="79">
        <v>45657</v>
      </c>
      <c r="G1475">
        <v>2024</v>
      </c>
      <c r="H1475" t="s">
        <v>23</v>
      </c>
      <c r="I1475" t="s">
        <v>30</v>
      </c>
      <c r="J1475">
        <v>200</v>
      </c>
      <c r="K1475">
        <v>448</v>
      </c>
      <c r="L1475" s="39">
        <f t="shared" si="110"/>
        <v>1.3</v>
      </c>
      <c r="M1475" s="39">
        <f t="shared" si="111"/>
        <v>2.2400000000000002</v>
      </c>
      <c r="P1475">
        <v>0</v>
      </c>
      <c r="Q1475">
        <v>0</v>
      </c>
      <c r="R1475" t="s">
        <v>1287</v>
      </c>
    </row>
    <row r="1476" spans="1:18" x14ac:dyDescent="0.3">
      <c r="A1476">
        <v>453</v>
      </c>
      <c r="B1476" t="s">
        <v>1286</v>
      </c>
      <c r="C1476" t="s">
        <v>1089</v>
      </c>
      <c r="D1476" t="s">
        <v>27</v>
      </c>
      <c r="E1476" t="s">
        <v>22</v>
      </c>
      <c r="F1476" s="79">
        <v>45838</v>
      </c>
      <c r="G1476">
        <v>2025</v>
      </c>
      <c r="H1476" t="s">
        <v>699</v>
      </c>
      <c r="I1476" t="s">
        <v>700</v>
      </c>
      <c r="J1476">
        <v>200</v>
      </c>
      <c r="K1476">
        <v>148</v>
      </c>
      <c r="L1476" s="39">
        <f t="shared" si="110"/>
        <v>0.74</v>
      </c>
      <c r="M1476" s="39">
        <f t="shared" si="111"/>
        <v>0.74</v>
      </c>
      <c r="N1476" t="s">
        <v>25</v>
      </c>
      <c r="O1476" t="s">
        <v>25</v>
      </c>
      <c r="P1476">
        <v>0</v>
      </c>
      <c r="Q1476">
        <v>0</v>
      </c>
      <c r="R1476" t="s">
        <v>3073</v>
      </c>
    </row>
    <row r="1477" spans="1:18" x14ac:dyDescent="0.3">
      <c r="A1477">
        <v>453</v>
      </c>
      <c r="B1477" t="s">
        <v>1286</v>
      </c>
      <c r="C1477" t="s">
        <v>1089</v>
      </c>
      <c r="D1477" t="s">
        <v>27</v>
      </c>
      <c r="E1477" t="s">
        <v>22</v>
      </c>
      <c r="F1477" s="79">
        <v>46022</v>
      </c>
      <c r="G1477">
        <v>2025</v>
      </c>
      <c r="H1477" t="s">
        <v>23</v>
      </c>
      <c r="I1477" t="s">
        <v>32</v>
      </c>
      <c r="J1477">
        <v>200</v>
      </c>
      <c r="K1477">
        <v>200</v>
      </c>
      <c r="L1477" s="39">
        <f t="shared" si="110"/>
        <v>1</v>
      </c>
      <c r="M1477" s="39">
        <f t="shared" si="111"/>
        <v>1</v>
      </c>
      <c r="N1477" t="s">
        <v>25</v>
      </c>
      <c r="O1477" t="s">
        <v>25</v>
      </c>
      <c r="P1477">
        <v>0</v>
      </c>
      <c r="Q1477">
        <v>0</v>
      </c>
      <c r="R1477" t="s">
        <v>1288</v>
      </c>
    </row>
    <row r="1478" spans="1:18" x14ac:dyDescent="0.3">
      <c r="A1478">
        <v>454</v>
      </c>
      <c r="B1478" t="s">
        <v>1289</v>
      </c>
      <c r="C1478" t="s">
        <v>1089</v>
      </c>
      <c r="D1478" t="s">
        <v>21</v>
      </c>
      <c r="E1478" t="s">
        <v>22</v>
      </c>
      <c r="F1478" s="79">
        <v>45473</v>
      </c>
      <c r="G1478">
        <v>2024</v>
      </c>
      <c r="H1478" t="s">
        <v>699</v>
      </c>
      <c r="I1478" t="s">
        <v>729</v>
      </c>
      <c r="L1478" s="39"/>
      <c r="M1478" s="39"/>
      <c r="P1478">
        <v>0</v>
      </c>
      <c r="Q1478">
        <v>0</v>
      </c>
      <c r="R1478" t="s">
        <v>3265</v>
      </c>
    </row>
    <row r="1479" spans="1:18" x14ac:dyDescent="0.3">
      <c r="A1479">
        <v>454</v>
      </c>
      <c r="B1479" t="s">
        <v>1289</v>
      </c>
      <c r="C1479" t="s">
        <v>1089</v>
      </c>
      <c r="D1479" t="s">
        <v>21</v>
      </c>
      <c r="E1479" t="s">
        <v>22</v>
      </c>
      <c r="F1479" s="79">
        <v>45657</v>
      </c>
      <c r="G1479">
        <v>2024</v>
      </c>
      <c r="H1479" t="s">
        <v>23</v>
      </c>
      <c r="I1479" t="s">
        <v>30</v>
      </c>
      <c r="J1479">
        <v>0</v>
      </c>
      <c r="K1479">
        <v>88</v>
      </c>
      <c r="L1479" s="39" t="str">
        <f>IFERROR(IF(OR(J1479=0,K1479=""),"",IF(E1479="Positivo",MIN(MAX(K1479/J1479,0),1.3),MIN(MAX(J1479/K1479,0),1.3))),"")</f>
        <v/>
      </c>
      <c r="M1479" s="39" t="str">
        <f>IFERROR(IF(OR(J1479=0,K1479=""),"",IF(E1479="Positivo",MAX(K1479/J1479,0),MAX(J1479/K1479,0))),"")</f>
        <v/>
      </c>
      <c r="P1479">
        <v>0</v>
      </c>
      <c r="Q1479">
        <v>0</v>
      </c>
      <c r="R1479" t="s">
        <v>1290</v>
      </c>
    </row>
    <row r="1480" spans="1:18" x14ac:dyDescent="0.3">
      <c r="A1480">
        <v>455</v>
      </c>
      <c r="B1480" t="s">
        <v>1291</v>
      </c>
      <c r="C1480" t="s">
        <v>1089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L1480" s="39"/>
      <c r="M1480" s="39"/>
      <c r="P1480">
        <v>0</v>
      </c>
      <c r="Q1480">
        <v>0</v>
      </c>
      <c r="R1480" t="s">
        <v>3266</v>
      </c>
    </row>
    <row r="1481" spans="1:18" x14ac:dyDescent="0.3">
      <c r="A1481">
        <v>455</v>
      </c>
      <c r="B1481" t="s">
        <v>1291</v>
      </c>
      <c r="C1481" t="s">
        <v>1089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90</v>
      </c>
      <c r="K1481">
        <v>100</v>
      </c>
      <c r="L1481" s="39">
        <f t="shared" ref="L1481:L1492" si="112">IFERROR(IF(OR(J1481=0,K1481=""),"",IF(E1481="Positivo",MIN(MAX(K1481/J1481,0),1.3),MIN(MAX(J1481/K1481,0),1.3))),"")</f>
        <v>1.1111111111111112</v>
      </c>
      <c r="M1481" s="39">
        <f t="shared" ref="M1481:M1492" si="113">IFERROR(IF(OR(J1481=0,K1481=""),"",IF(E1481="Positivo",MAX(K1481/J1481,0),MAX(J1481/K1481,0))),"")</f>
        <v>1.1111111111111112</v>
      </c>
      <c r="P1481">
        <v>0</v>
      </c>
      <c r="Q1481">
        <v>0</v>
      </c>
      <c r="R1481" t="s">
        <v>1292</v>
      </c>
    </row>
    <row r="1482" spans="1:18" x14ac:dyDescent="0.3">
      <c r="A1482">
        <v>455</v>
      </c>
      <c r="B1482" t="s">
        <v>1291</v>
      </c>
      <c r="C1482" t="s">
        <v>1089</v>
      </c>
      <c r="D1482" t="s">
        <v>27</v>
      </c>
      <c r="E1482" t="s">
        <v>22</v>
      </c>
      <c r="F1482" s="79">
        <v>45838</v>
      </c>
      <c r="G1482">
        <v>2025</v>
      </c>
      <c r="H1482" t="s">
        <v>699</v>
      </c>
      <c r="I1482" t="s">
        <v>700</v>
      </c>
      <c r="J1482">
        <v>100</v>
      </c>
      <c r="K1482">
        <v>100</v>
      </c>
      <c r="L1482" s="39">
        <f t="shared" si="112"/>
        <v>1</v>
      </c>
      <c r="M1482" s="39">
        <f t="shared" si="113"/>
        <v>1</v>
      </c>
      <c r="N1482" t="s">
        <v>25</v>
      </c>
      <c r="O1482" t="s">
        <v>25</v>
      </c>
      <c r="P1482">
        <v>0</v>
      </c>
      <c r="Q1482">
        <v>0</v>
      </c>
      <c r="R1482" t="s">
        <v>3078</v>
      </c>
    </row>
    <row r="1483" spans="1:18" x14ac:dyDescent="0.3">
      <c r="A1483">
        <v>455</v>
      </c>
      <c r="B1483" t="s">
        <v>1291</v>
      </c>
      <c r="C1483" t="s">
        <v>1089</v>
      </c>
      <c r="D1483" t="s">
        <v>27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100</v>
      </c>
      <c r="K1483">
        <v>100</v>
      </c>
      <c r="L1483" s="39">
        <f t="shared" si="112"/>
        <v>1</v>
      </c>
      <c r="M1483" s="39">
        <f t="shared" si="113"/>
        <v>1</v>
      </c>
      <c r="N1483" t="s">
        <v>25</v>
      </c>
      <c r="O1483" t="s">
        <v>25</v>
      </c>
      <c r="P1483">
        <v>0</v>
      </c>
      <c r="Q1483">
        <v>0</v>
      </c>
      <c r="R1483" t="s">
        <v>1293</v>
      </c>
    </row>
    <row r="1484" spans="1:18" x14ac:dyDescent="0.3">
      <c r="A1484">
        <v>456</v>
      </c>
      <c r="B1484" t="s">
        <v>1294</v>
      </c>
      <c r="C1484" t="s">
        <v>149</v>
      </c>
      <c r="D1484" t="s">
        <v>27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J1484">
        <v>100</v>
      </c>
      <c r="K1484">
        <v>100</v>
      </c>
      <c r="L1484" s="39">
        <f t="shared" si="112"/>
        <v>1</v>
      </c>
      <c r="M1484" s="39">
        <f t="shared" si="113"/>
        <v>1</v>
      </c>
      <c r="P1484">
        <v>0</v>
      </c>
      <c r="Q1484">
        <v>0</v>
      </c>
      <c r="R1484" t="s">
        <v>3080</v>
      </c>
    </row>
    <row r="1485" spans="1:18" x14ac:dyDescent="0.3">
      <c r="A1485">
        <v>456</v>
      </c>
      <c r="B1485" t="s">
        <v>1294</v>
      </c>
      <c r="C1485" t="s">
        <v>149</v>
      </c>
      <c r="D1485" t="s">
        <v>27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100</v>
      </c>
      <c r="K1485">
        <v>94.69</v>
      </c>
      <c r="L1485" s="39">
        <f t="shared" si="112"/>
        <v>0.94689999999999996</v>
      </c>
      <c r="M1485" s="39">
        <f t="shared" si="113"/>
        <v>0.94689999999999996</v>
      </c>
      <c r="P1485">
        <v>0</v>
      </c>
      <c r="Q1485">
        <v>0</v>
      </c>
      <c r="R1485" t="s">
        <v>1295</v>
      </c>
    </row>
    <row r="1486" spans="1:18" x14ac:dyDescent="0.3">
      <c r="A1486">
        <v>456</v>
      </c>
      <c r="B1486" t="s">
        <v>1294</v>
      </c>
      <c r="C1486" t="s">
        <v>149</v>
      </c>
      <c r="D1486" t="s">
        <v>27</v>
      </c>
      <c r="E1486" t="s">
        <v>22</v>
      </c>
      <c r="F1486" s="79">
        <v>45838</v>
      </c>
      <c r="G1486">
        <v>2025</v>
      </c>
      <c r="H1486" t="s">
        <v>699</v>
      </c>
      <c r="I1486" t="s">
        <v>700</v>
      </c>
      <c r="J1486">
        <v>100</v>
      </c>
      <c r="K1486">
        <v>105.185</v>
      </c>
      <c r="L1486" s="39">
        <f t="shared" si="112"/>
        <v>1.05185</v>
      </c>
      <c r="M1486" s="39">
        <f t="shared" si="113"/>
        <v>1.05185</v>
      </c>
      <c r="N1486" t="s">
        <v>25</v>
      </c>
      <c r="O1486" t="s">
        <v>25</v>
      </c>
      <c r="P1486">
        <v>0</v>
      </c>
      <c r="Q1486">
        <v>0</v>
      </c>
      <c r="R1486" t="s">
        <v>3082</v>
      </c>
    </row>
    <row r="1487" spans="1:18" x14ac:dyDescent="0.3">
      <c r="A1487">
        <v>456</v>
      </c>
      <c r="B1487" t="s">
        <v>1294</v>
      </c>
      <c r="C1487" t="s">
        <v>149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100</v>
      </c>
      <c r="K1487">
        <v>118</v>
      </c>
      <c r="L1487" s="39">
        <f t="shared" si="112"/>
        <v>1.18</v>
      </c>
      <c r="M1487" s="39">
        <f t="shared" si="113"/>
        <v>1.18</v>
      </c>
      <c r="N1487" t="s">
        <v>25</v>
      </c>
      <c r="O1487" t="s">
        <v>25</v>
      </c>
      <c r="P1487">
        <v>0</v>
      </c>
      <c r="Q1487">
        <v>0</v>
      </c>
      <c r="R1487" t="s">
        <v>1296</v>
      </c>
    </row>
    <row r="1488" spans="1:18" x14ac:dyDescent="0.3">
      <c r="A1488">
        <v>457</v>
      </c>
      <c r="B1488" t="s">
        <v>1297</v>
      </c>
      <c r="C1488" t="s">
        <v>149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90</v>
      </c>
      <c r="L1488" s="39">
        <f t="shared" si="112"/>
        <v>0.9</v>
      </c>
      <c r="M1488" s="39">
        <f t="shared" si="113"/>
        <v>0.9</v>
      </c>
      <c r="P1488">
        <v>0</v>
      </c>
      <c r="Q1488">
        <v>0</v>
      </c>
      <c r="R1488" t="s">
        <v>3084</v>
      </c>
    </row>
    <row r="1489" spans="1:18" x14ac:dyDescent="0.3">
      <c r="A1489">
        <v>457</v>
      </c>
      <c r="B1489" t="s">
        <v>1297</v>
      </c>
      <c r="C1489" t="s">
        <v>149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70</v>
      </c>
      <c r="L1489" s="39">
        <f t="shared" si="112"/>
        <v>0.7</v>
      </c>
      <c r="M1489" s="39">
        <f t="shared" si="113"/>
        <v>0.7</v>
      </c>
      <c r="P1489">
        <v>0</v>
      </c>
      <c r="Q1489">
        <v>0</v>
      </c>
      <c r="R1489" t="s">
        <v>1298</v>
      </c>
    </row>
    <row r="1490" spans="1:18" x14ac:dyDescent="0.3">
      <c r="A1490">
        <v>457</v>
      </c>
      <c r="B1490" t="s">
        <v>1297</v>
      </c>
      <c r="C1490" t="s">
        <v>149</v>
      </c>
      <c r="D1490" t="s">
        <v>27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141.66499999999999</v>
      </c>
      <c r="L1490" s="39">
        <f t="shared" si="112"/>
        <v>1.3</v>
      </c>
      <c r="M1490" s="39">
        <f t="shared" si="113"/>
        <v>1.41665</v>
      </c>
      <c r="N1490" t="s">
        <v>25</v>
      </c>
      <c r="O1490" t="s">
        <v>25</v>
      </c>
      <c r="P1490">
        <v>0</v>
      </c>
      <c r="Q1490">
        <v>0</v>
      </c>
      <c r="R1490" t="s">
        <v>3086</v>
      </c>
    </row>
    <row r="1491" spans="1:18" x14ac:dyDescent="0.3">
      <c r="A1491">
        <v>457</v>
      </c>
      <c r="B1491" t="s">
        <v>1297</v>
      </c>
      <c r="C1491" t="s">
        <v>149</v>
      </c>
      <c r="D1491" t="s">
        <v>27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84.52</v>
      </c>
      <c r="L1491" s="39">
        <f t="shared" si="112"/>
        <v>0.84519999999999995</v>
      </c>
      <c r="M1491" s="39">
        <f t="shared" si="113"/>
        <v>0.84519999999999995</v>
      </c>
      <c r="N1491" t="s">
        <v>25</v>
      </c>
      <c r="O1491" t="s">
        <v>25</v>
      </c>
      <c r="P1491">
        <v>0</v>
      </c>
      <c r="Q1491">
        <v>0</v>
      </c>
      <c r="R1491" t="s">
        <v>1299</v>
      </c>
    </row>
    <row r="1492" spans="1:18" x14ac:dyDescent="0.3">
      <c r="A1492">
        <v>459</v>
      </c>
      <c r="B1492" t="s">
        <v>1300</v>
      </c>
      <c r="C1492" t="s">
        <v>1078</v>
      </c>
      <c r="D1492" t="s">
        <v>21</v>
      </c>
      <c r="E1492" t="s">
        <v>22</v>
      </c>
      <c r="F1492" s="79">
        <v>45473</v>
      </c>
      <c r="G1492">
        <v>2024</v>
      </c>
      <c r="H1492" t="s">
        <v>699</v>
      </c>
      <c r="I1492" t="s">
        <v>729</v>
      </c>
      <c r="J1492">
        <v>100</v>
      </c>
      <c r="K1492">
        <v>130.43</v>
      </c>
      <c r="L1492" s="39">
        <f t="shared" si="112"/>
        <v>1.3</v>
      </c>
      <c r="M1492" s="39">
        <f t="shared" si="113"/>
        <v>1.3043</v>
      </c>
      <c r="P1492">
        <v>0</v>
      </c>
      <c r="Q1492">
        <v>0</v>
      </c>
      <c r="R1492" t="s">
        <v>3088</v>
      </c>
    </row>
    <row r="1493" spans="1:18" x14ac:dyDescent="0.3">
      <c r="A1493">
        <v>459</v>
      </c>
      <c r="B1493" t="s">
        <v>1300</v>
      </c>
      <c r="C1493" t="s">
        <v>1078</v>
      </c>
      <c r="D1493" t="s">
        <v>21</v>
      </c>
      <c r="E1493" t="s">
        <v>22</v>
      </c>
      <c r="F1493" s="79">
        <v>45657</v>
      </c>
      <c r="G1493">
        <v>2024</v>
      </c>
      <c r="H1493" t="s">
        <v>23</v>
      </c>
      <c r="I1493" t="s">
        <v>30</v>
      </c>
      <c r="J1493">
        <v>100</v>
      </c>
      <c r="L1493" s="39"/>
      <c r="M1493" s="39"/>
      <c r="N1493" t="s">
        <v>128</v>
      </c>
      <c r="O1493" t="s">
        <v>1949</v>
      </c>
      <c r="P1493">
        <v>0</v>
      </c>
      <c r="Q1493">
        <v>0</v>
      </c>
      <c r="R1493" t="s">
        <v>1301</v>
      </c>
    </row>
    <row r="1494" spans="1:18" x14ac:dyDescent="0.3">
      <c r="A1494">
        <v>460</v>
      </c>
      <c r="B1494" t="s">
        <v>1302</v>
      </c>
      <c r="C1494" t="s">
        <v>40</v>
      </c>
      <c r="D1494" t="s">
        <v>71</v>
      </c>
      <c r="E1494" t="s">
        <v>22</v>
      </c>
      <c r="F1494" s="79">
        <v>45657</v>
      </c>
      <c r="G1494">
        <v>2024</v>
      </c>
      <c r="H1494" t="s">
        <v>23</v>
      </c>
      <c r="I1494" t="s">
        <v>30</v>
      </c>
      <c r="J1494">
        <v>80</v>
      </c>
      <c r="K1494">
        <v>91.439688715953324</v>
      </c>
      <c r="L1494" s="39">
        <f t="shared" ref="L1494:L1512" si="114">IFERROR(IF(OR(J1494=0,K1494=""),"",IF(E1494="Positivo",MIN(MAX(K1494/J1494,0),1.3),MIN(MAX(J1494/K1494,0),1.3))),"")</f>
        <v>1.1429961089494165</v>
      </c>
      <c r="M1494" s="39">
        <f t="shared" ref="M1494:M1531" si="115">IFERROR(IF(OR(J1494=0,K1494=""),"",IF(E1494="Positivo",MAX(K1494/J1494,0),MAX(J1494/K1494,0))),"")</f>
        <v>1.1429961089494165</v>
      </c>
      <c r="P1494">
        <v>0</v>
      </c>
      <c r="Q1494">
        <v>0</v>
      </c>
      <c r="R1494" t="s">
        <v>1303</v>
      </c>
    </row>
    <row r="1495" spans="1:18" x14ac:dyDescent="0.3">
      <c r="A1495">
        <v>460</v>
      </c>
      <c r="B1495" t="s">
        <v>1302</v>
      </c>
      <c r="C1495" t="s">
        <v>40</v>
      </c>
      <c r="D1495" t="s">
        <v>71</v>
      </c>
      <c r="E1495" t="s">
        <v>22</v>
      </c>
      <c r="F1495" s="79">
        <v>46022</v>
      </c>
      <c r="G1495">
        <v>2025</v>
      </c>
      <c r="H1495" t="s">
        <v>23</v>
      </c>
      <c r="I1495" t="s">
        <v>32</v>
      </c>
      <c r="J1495">
        <v>80</v>
      </c>
      <c r="K1495">
        <v>84.18</v>
      </c>
      <c r="L1495" s="39">
        <f t="shared" si="114"/>
        <v>1.0522500000000001</v>
      </c>
      <c r="M1495" s="39">
        <f t="shared" si="115"/>
        <v>1.0522500000000001</v>
      </c>
      <c r="N1495" t="s">
        <v>25</v>
      </c>
      <c r="O1495" t="s">
        <v>25</v>
      </c>
      <c r="P1495">
        <v>0</v>
      </c>
      <c r="Q1495">
        <v>1</v>
      </c>
      <c r="R1495" t="s">
        <v>1305</v>
      </c>
    </row>
    <row r="1496" spans="1:18" x14ac:dyDescent="0.3">
      <c r="A1496">
        <v>462</v>
      </c>
      <c r="B1496" t="s">
        <v>1306</v>
      </c>
      <c r="C1496" t="s">
        <v>308</v>
      </c>
      <c r="D1496" t="s">
        <v>27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85</v>
      </c>
      <c r="K1496">
        <v>100</v>
      </c>
      <c r="L1496" s="39">
        <f t="shared" si="114"/>
        <v>1.1764705882352942</v>
      </c>
      <c r="M1496" s="39">
        <f t="shared" si="115"/>
        <v>1.1764705882352942</v>
      </c>
      <c r="P1496">
        <v>0</v>
      </c>
      <c r="Q1496">
        <v>0</v>
      </c>
      <c r="R1496" t="s">
        <v>3090</v>
      </c>
    </row>
    <row r="1497" spans="1:18" x14ac:dyDescent="0.3">
      <c r="A1497">
        <v>462</v>
      </c>
      <c r="B1497" t="s">
        <v>1306</v>
      </c>
      <c r="C1497" t="s">
        <v>308</v>
      </c>
      <c r="D1497" t="s">
        <v>27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85</v>
      </c>
      <c r="K1497">
        <v>100</v>
      </c>
      <c r="L1497" s="39">
        <f t="shared" si="114"/>
        <v>1.1764705882352942</v>
      </c>
      <c r="M1497" s="39">
        <f t="shared" si="115"/>
        <v>1.1764705882352942</v>
      </c>
      <c r="P1497">
        <v>0</v>
      </c>
      <c r="Q1497">
        <v>0</v>
      </c>
      <c r="R1497" t="s">
        <v>1307</v>
      </c>
    </row>
    <row r="1498" spans="1:18" x14ac:dyDescent="0.3">
      <c r="A1498">
        <v>463</v>
      </c>
      <c r="B1498" t="s">
        <v>1308</v>
      </c>
      <c r="C1498" t="s">
        <v>40</v>
      </c>
      <c r="D1498" t="s">
        <v>27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95</v>
      </c>
      <c r="L1498" s="39">
        <f t="shared" si="114"/>
        <v>0.95</v>
      </c>
      <c r="M1498" s="39">
        <f t="shared" si="115"/>
        <v>0.95</v>
      </c>
      <c r="P1498">
        <v>0</v>
      </c>
      <c r="Q1498">
        <v>0</v>
      </c>
      <c r="R1498" t="s">
        <v>3091</v>
      </c>
    </row>
    <row r="1499" spans="1:18" x14ac:dyDescent="0.3">
      <c r="A1499">
        <v>463</v>
      </c>
      <c r="B1499" t="s">
        <v>1308</v>
      </c>
      <c r="C1499" t="s">
        <v>40</v>
      </c>
      <c r="D1499" t="s">
        <v>27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K1499">
        <v>100</v>
      </c>
      <c r="L1499" s="39">
        <f t="shared" si="114"/>
        <v>1</v>
      </c>
      <c r="M1499" s="39">
        <f t="shared" si="115"/>
        <v>1</v>
      </c>
      <c r="P1499">
        <v>0</v>
      </c>
      <c r="Q1499">
        <v>0</v>
      </c>
      <c r="R1499" t="s">
        <v>1309</v>
      </c>
    </row>
    <row r="1500" spans="1:18" x14ac:dyDescent="0.3">
      <c r="A1500">
        <v>465</v>
      </c>
      <c r="B1500" t="s">
        <v>1310</v>
      </c>
      <c r="C1500" t="s">
        <v>922</v>
      </c>
      <c r="D1500" t="s">
        <v>27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70</v>
      </c>
      <c r="K1500">
        <v>57.86</v>
      </c>
      <c r="L1500" s="39">
        <f t="shared" si="114"/>
        <v>0.82657142857142851</v>
      </c>
      <c r="M1500" s="39">
        <f t="shared" si="115"/>
        <v>0.82657142857142851</v>
      </c>
      <c r="P1500">
        <v>0</v>
      </c>
      <c r="Q1500">
        <v>0</v>
      </c>
      <c r="R1500" t="s">
        <v>3092</v>
      </c>
    </row>
    <row r="1501" spans="1:18" x14ac:dyDescent="0.3">
      <c r="A1501">
        <v>465</v>
      </c>
      <c r="B1501" t="s">
        <v>1310</v>
      </c>
      <c r="C1501" t="s">
        <v>922</v>
      </c>
      <c r="D1501" t="s">
        <v>27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56.83</v>
      </c>
      <c r="L1501" s="39">
        <f t="shared" si="114"/>
        <v>0.56830000000000003</v>
      </c>
      <c r="M1501" s="39">
        <f t="shared" si="115"/>
        <v>0.56830000000000003</v>
      </c>
      <c r="P1501">
        <v>0</v>
      </c>
      <c r="Q1501">
        <v>0</v>
      </c>
      <c r="R1501" t="s">
        <v>1311</v>
      </c>
    </row>
    <row r="1502" spans="1:18" x14ac:dyDescent="0.3">
      <c r="A1502">
        <v>466</v>
      </c>
      <c r="B1502" t="s">
        <v>1312</v>
      </c>
      <c r="C1502" t="s">
        <v>333</v>
      </c>
      <c r="D1502" t="s">
        <v>27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100</v>
      </c>
      <c r="K1502">
        <v>119.2</v>
      </c>
      <c r="L1502" s="39">
        <f t="shared" si="114"/>
        <v>1.1919999999999999</v>
      </c>
      <c r="M1502" s="39">
        <f t="shared" si="115"/>
        <v>1.1919999999999999</v>
      </c>
      <c r="N1502" t="s">
        <v>128</v>
      </c>
      <c r="O1502" t="s">
        <v>136</v>
      </c>
      <c r="P1502">
        <v>1</v>
      </c>
      <c r="Q1502">
        <v>1</v>
      </c>
      <c r="R1502" t="s">
        <v>3093</v>
      </c>
    </row>
    <row r="1503" spans="1:18" x14ac:dyDescent="0.3">
      <c r="A1503">
        <v>466</v>
      </c>
      <c r="B1503" t="s">
        <v>1312</v>
      </c>
      <c r="C1503" t="s">
        <v>653</v>
      </c>
      <c r="D1503" t="s">
        <v>27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100</v>
      </c>
      <c r="K1503">
        <v>107.6</v>
      </c>
      <c r="L1503" s="39">
        <f t="shared" si="114"/>
        <v>1.0759999999999998</v>
      </c>
      <c r="M1503" s="39">
        <f t="shared" si="115"/>
        <v>1.0759999999999998</v>
      </c>
      <c r="O1503" t="s">
        <v>136</v>
      </c>
      <c r="P1503">
        <v>0</v>
      </c>
      <c r="Q1503">
        <v>0</v>
      </c>
      <c r="R1503" t="s">
        <v>1313</v>
      </c>
    </row>
    <row r="1504" spans="1:18" x14ac:dyDescent="0.3">
      <c r="A1504">
        <v>466</v>
      </c>
      <c r="B1504" t="s">
        <v>1312</v>
      </c>
      <c r="C1504" t="s">
        <v>653</v>
      </c>
      <c r="D1504" t="s">
        <v>27</v>
      </c>
      <c r="E1504" t="s">
        <v>22</v>
      </c>
      <c r="F1504" s="79">
        <v>46022</v>
      </c>
      <c r="G1504">
        <v>2025</v>
      </c>
      <c r="H1504" t="s">
        <v>23</v>
      </c>
      <c r="I1504" t="s">
        <v>32</v>
      </c>
      <c r="J1504">
        <v>100</v>
      </c>
      <c r="K1504">
        <v>106.55</v>
      </c>
      <c r="L1504" s="39">
        <f t="shared" si="114"/>
        <v>1.0654999999999999</v>
      </c>
      <c r="M1504" s="39">
        <f t="shared" si="115"/>
        <v>1.0654999999999999</v>
      </c>
      <c r="O1504" t="s">
        <v>136</v>
      </c>
      <c r="P1504">
        <v>0</v>
      </c>
      <c r="Q1504">
        <v>0</v>
      </c>
      <c r="R1504" t="s">
        <v>1314</v>
      </c>
    </row>
    <row r="1505" spans="1:18" x14ac:dyDescent="0.3">
      <c r="A1505">
        <v>467</v>
      </c>
      <c r="B1505" t="s">
        <v>1315</v>
      </c>
      <c r="C1505" t="s">
        <v>653</v>
      </c>
      <c r="D1505" t="s">
        <v>27</v>
      </c>
      <c r="E1505" t="s">
        <v>22</v>
      </c>
      <c r="F1505" s="79">
        <v>45473</v>
      </c>
      <c r="G1505">
        <v>2024</v>
      </c>
      <c r="H1505" t="s">
        <v>699</v>
      </c>
      <c r="I1505" t="s">
        <v>729</v>
      </c>
      <c r="J1505">
        <v>100</v>
      </c>
      <c r="K1505">
        <v>121.25</v>
      </c>
      <c r="L1505" s="39">
        <f t="shared" si="114"/>
        <v>1.2124999999999999</v>
      </c>
      <c r="M1505" s="39">
        <f t="shared" si="115"/>
        <v>1.2124999999999999</v>
      </c>
      <c r="P1505">
        <v>0</v>
      </c>
      <c r="Q1505">
        <v>0</v>
      </c>
      <c r="R1505" t="s">
        <v>3095</v>
      </c>
    </row>
    <row r="1506" spans="1:18" x14ac:dyDescent="0.3">
      <c r="A1506">
        <v>467</v>
      </c>
      <c r="B1506" t="s">
        <v>1315</v>
      </c>
      <c r="C1506" t="s">
        <v>653</v>
      </c>
      <c r="D1506" t="s">
        <v>27</v>
      </c>
      <c r="E1506" t="s">
        <v>22</v>
      </c>
      <c r="F1506" s="79">
        <v>45657</v>
      </c>
      <c r="G1506">
        <v>2024</v>
      </c>
      <c r="H1506" t="s">
        <v>23</v>
      </c>
      <c r="I1506" t="s">
        <v>30</v>
      </c>
      <c r="J1506">
        <v>100</v>
      </c>
      <c r="K1506">
        <v>121.83</v>
      </c>
      <c r="L1506" s="39">
        <f t="shared" si="114"/>
        <v>1.2182999999999999</v>
      </c>
      <c r="M1506" s="39">
        <f t="shared" si="115"/>
        <v>1.2182999999999999</v>
      </c>
      <c r="P1506">
        <v>0</v>
      </c>
      <c r="Q1506">
        <v>0</v>
      </c>
      <c r="R1506" t="s">
        <v>1316</v>
      </c>
    </row>
    <row r="1507" spans="1:18" x14ac:dyDescent="0.3">
      <c r="A1507">
        <v>467</v>
      </c>
      <c r="B1507" t="s">
        <v>1315</v>
      </c>
      <c r="C1507" t="s">
        <v>653</v>
      </c>
      <c r="D1507" t="s">
        <v>21</v>
      </c>
      <c r="E1507" t="s">
        <v>22</v>
      </c>
      <c r="F1507" s="79">
        <v>45838</v>
      </c>
      <c r="G1507">
        <v>2025</v>
      </c>
      <c r="H1507" t="s">
        <v>699</v>
      </c>
      <c r="I1507" t="s">
        <v>700</v>
      </c>
      <c r="J1507">
        <v>100</v>
      </c>
      <c r="K1507">
        <v>118</v>
      </c>
      <c r="L1507" s="39">
        <f t="shared" si="114"/>
        <v>1.18</v>
      </c>
      <c r="M1507" s="39">
        <f t="shared" si="115"/>
        <v>1.18</v>
      </c>
      <c r="N1507" t="s">
        <v>128</v>
      </c>
      <c r="O1507" t="s">
        <v>136</v>
      </c>
      <c r="P1507">
        <v>0</v>
      </c>
      <c r="Q1507">
        <v>1</v>
      </c>
      <c r="R1507" t="s">
        <v>3096</v>
      </c>
    </row>
    <row r="1508" spans="1:18" x14ac:dyDescent="0.3">
      <c r="A1508">
        <v>467</v>
      </c>
      <c r="B1508" t="s">
        <v>1315</v>
      </c>
      <c r="C1508" t="s">
        <v>653</v>
      </c>
      <c r="D1508" t="s">
        <v>21</v>
      </c>
      <c r="E1508" t="s">
        <v>22</v>
      </c>
      <c r="F1508" s="79">
        <v>46022</v>
      </c>
      <c r="G1508">
        <v>2025</v>
      </c>
      <c r="H1508" t="s">
        <v>23</v>
      </c>
      <c r="I1508" t="s">
        <v>32</v>
      </c>
      <c r="J1508">
        <v>100</v>
      </c>
      <c r="K1508">
        <v>99.5</v>
      </c>
      <c r="L1508" s="39">
        <f t="shared" si="114"/>
        <v>0.995</v>
      </c>
      <c r="M1508" s="39">
        <f t="shared" si="115"/>
        <v>0.995</v>
      </c>
      <c r="N1508" t="s">
        <v>128</v>
      </c>
      <c r="O1508" t="s">
        <v>136</v>
      </c>
      <c r="P1508">
        <v>0</v>
      </c>
      <c r="Q1508">
        <v>1</v>
      </c>
      <c r="R1508" t="s">
        <v>1317</v>
      </c>
    </row>
    <row r="1509" spans="1:18" x14ac:dyDescent="0.3">
      <c r="A1509">
        <v>468</v>
      </c>
      <c r="B1509" t="s">
        <v>1318</v>
      </c>
      <c r="C1509" t="s">
        <v>653</v>
      </c>
      <c r="D1509" t="s">
        <v>27</v>
      </c>
      <c r="E1509" t="s">
        <v>41</v>
      </c>
      <c r="F1509" s="79">
        <v>45473</v>
      </c>
      <c r="G1509">
        <v>2024</v>
      </c>
      <c r="H1509" t="s">
        <v>699</v>
      </c>
      <c r="I1509" t="s">
        <v>729</v>
      </c>
      <c r="J1509">
        <v>3</v>
      </c>
      <c r="K1509">
        <v>2.85</v>
      </c>
      <c r="L1509" s="39">
        <f t="shared" si="114"/>
        <v>1.0526315789473684</v>
      </c>
      <c r="M1509" s="39">
        <f t="shared" si="115"/>
        <v>1.0526315789473684</v>
      </c>
      <c r="P1509">
        <v>0</v>
      </c>
      <c r="Q1509">
        <v>0</v>
      </c>
      <c r="R1509" t="s">
        <v>3097</v>
      </c>
    </row>
    <row r="1510" spans="1:18" x14ac:dyDescent="0.3">
      <c r="A1510">
        <v>468</v>
      </c>
      <c r="B1510" t="s">
        <v>1318</v>
      </c>
      <c r="C1510" t="s">
        <v>653</v>
      </c>
      <c r="D1510" t="s">
        <v>27</v>
      </c>
      <c r="E1510" t="s">
        <v>41</v>
      </c>
      <c r="F1510" s="79">
        <v>45657</v>
      </c>
      <c r="G1510">
        <v>2024</v>
      </c>
      <c r="H1510" t="s">
        <v>23</v>
      </c>
      <c r="I1510" t="s">
        <v>30</v>
      </c>
      <c r="J1510">
        <v>3</v>
      </c>
      <c r="K1510">
        <v>2.6</v>
      </c>
      <c r="L1510" s="39">
        <f t="shared" si="114"/>
        <v>1.1538461538461537</v>
      </c>
      <c r="M1510" s="39">
        <f t="shared" si="115"/>
        <v>1.1538461538461537</v>
      </c>
      <c r="P1510">
        <v>0</v>
      </c>
      <c r="Q1510">
        <v>0</v>
      </c>
      <c r="R1510" t="s">
        <v>1319</v>
      </c>
    </row>
    <row r="1511" spans="1:18" x14ac:dyDescent="0.3">
      <c r="A1511">
        <v>468</v>
      </c>
      <c r="B1511" t="s">
        <v>1318</v>
      </c>
      <c r="C1511" t="s">
        <v>653</v>
      </c>
      <c r="D1511" t="s">
        <v>21</v>
      </c>
      <c r="E1511" t="s">
        <v>41</v>
      </c>
      <c r="F1511" s="79">
        <v>45838</v>
      </c>
      <c r="G1511">
        <v>2025</v>
      </c>
      <c r="H1511" t="s">
        <v>699</v>
      </c>
      <c r="I1511" t="s">
        <v>700</v>
      </c>
      <c r="J1511">
        <v>2.5</v>
      </c>
      <c r="K1511">
        <v>2.4</v>
      </c>
      <c r="L1511" s="39">
        <f t="shared" si="114"/>
        <v>1.0416666666666667</v>
      </c>
      <c r="M1511" s="39">
        <f t="shared" si="115"/>
        <v>1.0416666666666667</v>
      </c>
      <c r="N1511" t="s">
        <v>136</v>
      </c>
      <c r="O1511" t="s">
        <v>136</v>
      </c>
      <c r="P1511">
        <v>1</v>
      </c>
      <c r="Q1511">
        <v>1</v>
      </c>
      <c r="R1511" t="s">
        <v>3098</v>
      </c>
    </row>
    <row r="1512" spans="1:18" x14ac:dyDescent="0.3">
      <c r="A1512">
        <v>468</v>
      </c>
      <c r="B1512" t="s">
        <v>1318</v>
      </c>
      <c r="C1512" t="s">
        <v>653</v>
      </c>
      <c r="D1512" t="s">
        <v>21</v>
      </c>
      <c r="E1512" t="s">
        <v>41</v>
      </c>
      <c r="F1512" s="79">
        <v>46022</v>
      </c>
      <c r="G1512">
        <v>2025</v>
      </c>
      <c r="H1512" t="s">
        <v>23</v>
      </c>
      <c r="I1512" t="s">
        <v>32</v>
      </c>
      <c r="J1512">
        <v>2.5</v>
      </c>
      <c r="K1512">
        <v>2.1</v>
      </c>
      <c r="L1512" s="39">
        <f t="shared" si="114"/>
        <v>1.1904761904761905</v>
      </c>
      <c r="M1512" s="39">
        <f t="shared" si="115"/>
        <v>1.1904761904761905</v>
      </c>
      <c r="N1512" t="s">
        <v>136</v>
      </c>
      <c r="O1512" t="s">
        <v>136</v>
      </c>
      <c r="P1512">
        <v>1</v>
      </c>
      <c r="Q1512">
        <v>1</v>
      </c>
      <c r="R1512" t="s">
        <v>1320</v>
      </c>
    </row>
    <row r="1513" spans="1:18" x14ac:dyDescent="0.3">
      <c r="A1513">
        <v>469</v>
      </c>
      <c r="B1513" t="s">
        <v>1176</v>
      </c>
      <c r="C1513" t="s">
        <v>567</v>
      </c>
      <c r="D1513" t="s">
        <v>21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114.33</v>
      </c>
      <c r="L1513" s="39">
        <f t="shared" ref="L1513:L1524" si="116">IFERROR(IF(OR(J1513=0,K1513=""),"",IF(E1513="Positivo",MIN(MAX(K1513/J1513,0),1),MIN(MAX(J1513/K1513,0),1))),"")</f>
        <v>1</v>
      </c>
      <c r="M1513" s="39">
        <f t="shared" si="115"/>
        <v>1.1433</v>
      </c>
      <c r="P1513">
        <v>0</v>
      </c>
      <c r="Q1513">
        <v>0</v>
      </c>
      <c r="R1513" t="s">
        <v>3101</v>
      </c>
    </row>
    <row r="1514" spans="1:18" x14ac:dyDescent="0.3">
      <c r="A1514">
        <v>469</v>
      </c>
      <c r="B1514" t="s">
        <v>1176</v>
      </c>
      <c r="C1514" t="s">
        <v>567</v>
      </c>
      <c r="D1514" t="s">
        <v>21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99.7</v>
      </c>
      <c r="L1514" s="39">
        <f t="shared" si="116"/>
        <v>0.997</v>
      </c>
      <c r="M1514" s="39">
        <f t="shared" si="115"/>
        <v>0.997</v>
      </c>
      <c r="P1514">
        <v>0</v>
      </c>
      <c r="Q1514">
        <v>0</v>
      </c>
      <c r="R1514" t="s">
        <v>1321</v>
      </c>
    </row>
    <row r="1515" spans="1:18" x14ac:dyDescent="0.3">
      <c r="A1515">
        <v>469</v>
      </c>
      <c r="B1515" t="s">
        <v>1176</v>
      </c>
      <c r="C1515" t="s">
        <v>567</v>
      </c>
      <c r="D1515" t="s">
        <v>27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J1515">
        <v>100</v>
      </c>
      <c r="K1515">
        <v>103.52</v>
      </c>
      <c r="L1515" s="39">
        <f t="shared" si="116"/>
        <v>1</v>
      </c>
      <c r="M1515" s="39">
        <f t="shared" si="115"/>
        <v>1.0351999999999999</v>
      </c>
      <c r="N1515" t="s">
        <v>25</v>
      </c>
      <c r="O1515" t="s">
        <v>25</v>
      </c>
      <c r="P1515">
        <v>0</v>
      </c>
      <c r="Q1515">
        <v>0</v>
      </c>
      <c r="R1515" t="s">
        <v>3104</v>
      </c>
    </row>
    <row r="1516" spans="1:18" x14ac:dyDescent="0.3">
      <c r="A1516">
        <v>469</v>
      </c>
      <c r="B1516" t="s">
        <v>1176</v>
      </c>
      <c r="C1516" t="s">
        <v>567</v>
      </c>
      <c r="D1516" t="s">
        <v>27</v>
      </c>
      <c r="E1516" t="s">
        <v>22</v>
      </c>
      <c r="F1516" s="79">
        <v>46022</v>
      </c>
      <c r="G1516">
        <v>2025</v>
      </c>
      <c r="H1516" t="s">
        <v>23</v>
      </c>
      <c r="I1516" t="s">
        <v>32</v>
      </c>
      <c r="J1516">
        <v>100</v>
      </c>
      <c r="K1516">
        <v>99.13</v>
      </c>
      <c r="L1516" s="39">
        <f t="shared" si="116"/>
        <v>0.99129999999999996</v>
      </c>
      <c r="M1516" s="39">
        <f t="shared" si="115"/>
        <v>0.99129999999999996</v>
      </c>
      <c r="N1516" t="s">
        <v>25</v>
      </c>
      <c r="O1516" t="s">
        <v>25</v>
      </c>
      <c r="P1516">
        <v>0</v>
      </c>
      <c r="Q1516">
        <v>0</v>
      </c>
      <c r="R1516" t="s">
        <v>1322</v>
      </c>
    </row>
    <row r="1517" spans="1:18" x14ac:dyDescent="0.3">
      <c r="A1517">
        <v>470</v>
      </c>
      <c r="B1517" t="s">
        <v>1323</v>
      </c>
      <c r="C1517" t="s">
        <v>567</v>
      </c>
      <c r="D1517" t="s">
        <v>21</v>
      </c>
      <c r="E1517" t="s">
        <v>22</v>
      </c>
      <c r="F1517" s="79">
        <v>45473</v>
      </c>
      <c r="G1517">
        <v>2024</v>
      </c>
      <c r="H1517" t="s">
        <v>699</v>
      </c>
      <c r="I1517" t="s">
        <v>729</v>
      </c>
      <c r="J1517">
        <v>100</v>
      </c>
      <c r="K1517">
        <v>118.1</v>
      </c>
      <c r="L1517" s="39">
        <f t="shared" si="116"/>
        <v>1</v>
      </c>
      <c r="M1517" s="39">
        <f t="shared" si="115"/>
        <v>1.181</v>
      </c>
      <c r="P1517">
        <v>0</v>
      </c>
      <c r="Q1517">
        <v>0</v>
      </c>
      <c r="R1517" t="s">
        <v>3107</v>
      </c>
    </row>
    <row r="1518" spans="1:18" x14ac:dyDescent="0.3">
      <c r="A1518">
        <v>470</v>
      </c>
      <c r="B1518" t="s">
        <v>1323</v>
      </c>
      <c r="C1518" t="s">
        <v>567</v>
      </c>
      <c r="D1518" t="s">
        <v>21</v>
      </c>
      <c r="E1518" t="s">
        <v>22</v>
      </c>
      <c r="F1518" s="79">
        <v>45657</v>
      </c>
      <c r="G1518">
        <v>2024</v>
      </c>
      <c r="H1518" t="s">
        <v>23</v>
      </c>
      <c r="I1518" t="s">
        <v>30</v>
      </c>
      <c r="J1518">
        <v>100</v>
      </c>
      <c r="K1518">
        <v>100</v>
      </c>
      <c r="L1518" s="39">
        <f t="shared" si="116"/>
        <v>1</v>
      </c>
      <c r="M1518" s="39">
        <f t="shared" si="115"/>
        <v>1</v>
      </c>
      <c r="P1518">
        <v>0</v>
      </c>
      <c r="Q1518">
        <v>0</v>
      </c>
      <c r="R1518" t="s">
        <v>1324</v>
      </c>
    </row>
    <row r="1519" spans="1:18" x14ac:dyDescent="0.3">
      <c r="A1519">
        <v>470</v>
      </c>
      <c r="B1519" t="s">
        <v>1323</v>
      </c>
      <c r="C1519" t="s">
        <v>567</v>
      </c>
      <c r="D1519" t="s">
        <v>27</v>
      </c>
      <c r="E1519" t="s">
        <v>22</v>
      </c>
      <c r="F1519" s="79">
        <v>45838</v>
      </c>
      <c r="G1519">
        <v>2025</v>
      </c>
      <c r="H1519" t="s">
        <v>699</v>
      </c>
      <c r="I1519" t="s">
        <v>700</v>
      </c>
      <c r="J1519">
        <v>100</v>
      </c>
      <c r="K1519">
        <v>148.38</v>
      </c>
      <c r="L1519" s="39">
        <f t="shared" si="116"/>
        <v>1</v>
      </c>
      <c r="M1519" s="39">
        <f t="shared" si="115"/>
        <v>1.4838</v>
      </c>
      <c r="N1519" t="s">
        <v>25</v>
      </c>
      <c r="O1519" t="s">
        <v>25</v>
      </c>
      <c r="P1519">
        <v>0</v>
      </c>
      <c r="Q1519">
        <v>0</v>
      </c>
      <c r="R1519" t="s">
        <v>3110</v>
      </c>
    </row>
    <row r="1520" spans="1:18" x14ac:dyDescent="0.3">
      <c r="A1520">
        <v>470</v>
      </c>
      <c r="B1520" t="s">
        <v>1323</v>
      </c>
      <c r="C1520" t="s">
        <v>567</v>
      </c>
      <c r="D1520" t="s">
        <v>27</v>
      </c>
      <c r="E1520" t="s">
        <v>22</v>
      </c>
      <c r="F1520" s="79">
        <v>46022</v>
      </c>
      <c r="G1520">
        <v>2025</v>
      </c>
      <c r="H1520" t="s">
        <v>23</v>
      </c>
      <c r="I1520" t="s">
        <v>32</v>
      </c>
      <c r="J1520">
        <v>100</v>
      </c>
      <c r="K1520">
        <v>100</v>
      </c>
      <c r="L1520" s="39">
        <f t="shared" si="116"/>
        <v>1</v>
      </c>
      <c r="M1520" s="39">
        <f t="shared" si="115"/>
        <v>1</v>
      </c>
      <c r="N1520" t="s">
        <v>25</v>
      </c>
      <c r="O1520" t="s">
        <v>25</v>
      </c>
      <c r="P1520">
        <v>0</v>
      </c>
      <c r="Q1520">
        <v>0</v>
      </c>
      <c r="R1520" t="s">
        <v>1325</v>
      </c>
    </row>
    <row r="1521" spans="1:18" x14ac:dyDescent="0.3">
      <c r="A1521">
        <v>471</v>
      </c>
      <c r="B1521" t="s">
        <v>1326</v>
      </c>
      <c r="C1521" t="s">
        <v>567</v>
      </c>
      <c r="D1521" t="s">
        <v>21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K1521">
        <v>105.56</v>
      </c>
      <c r="L1521" s="39">
        <f t="shared" si="116"/>
        <v>1</v>
      </c>
      <c r="M1521" s="39">
        <f t="shared" si="115"/>
        <v>1.0556000000000001</v>
      </c>
      <c r="P1521">
        <v>0</v>
      </c>
      <c r="Q1521">
        <v>0</v>
      </c>
      <c r="R1521" t="s">
        <v>3113</v>
      </c>
    </row>
    <row r="1522" spans="1:18" x14ac:dyDescent="0.3">
      <c r="A1522">
        <v>471</v>
      </c>
      <c r="B1522" t="s">
        <v>1326</v>
      </c>
      <c r="C1522" t="s">
        <v>567</v>
      </c>
      <c r="D1522" t="s">
        <v>21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99</v>
      </c>
      <c r="L1522" s="39">
        <f t="shared" si="116"/>
        <v>0.99</v>
      </c>
      <c r="M1522" s="39">
        <f t="shared" si="115"/>
        <v>0.99</v>
      </c>
      <c r="P1522">
        <v>0</v>
      </c>
      <c r="Q1522">
        <v>0</v>
      </c>
      <c r="R1522" t="s">
        <v>1327</v>
      </c>
    </row>
    <row r="1523" spans="1:18" x14ac:dyDescent="0.3">
      <c r="A1523">
        <v>471</v>
      </c>
      <c r="B1523" t="s">
        <v>1326</v>
      </c>
      <c r="C1523" t="s">
        <v>567</v>
      </c>
      <c r="D1523" t="s">
        <v>27</v>
      </c>
      <c r="E1523" t="s">
        <v>22</v>
      </c>
      <c r="F1523" s="79">
        <v>45838</v>
      </c>
      <c r="G1523">
        <v>2025</v>
      </c>
      <c r="H1523" t="s">
        <v>699</v>
      </c>
      <c r="I1523" t="s">
        <v>700</v>
      </c>
      <c r="J1523">
        <v>100</v>
      </c>
      <c r="K1523">
        <v>94.02</v>
      </c>
      <c r="L1523" s="39">
        <f t="shared" si="116"/>
        <v>0.94019999999999992</v>
      </c>
      <c r="M1523" s="39">
        <f t="shared" si="115"/>
        <v>0.94019999999999992</v>
      </c>
      <c r="N1523" t="s">
        <v>25</v>
      </c>
      <c r="O1523" t="s">
        <v>25</v>
      </c>
      <c r="P1523">
        <v>0</v>
      </c>
      <c r="Q1523">
        <v>0</v>
      </c>
      <c r="R1523" t="s">
        <v>3116</v>
      </c>
    </row>
    <row r="1524" spans="1:18" x14ac:dyDescent="0.3">
      <c r="A1524">
        <v>471</v>
      </c>
      <c r="B1524" t="s">
        <v>1326</v>
      </c>
      <c r="C1524" t="s">
        <v>567</v>
      </c>
      <c r="D1524" t="s">
        <v>27</v>
      </c>
      <c r="E1524" t="s">
        <v>22</v>
      </c>
      <c r="F1524" s="79">
        <v>46022</v>
      </c>
      <c r="G1524">
        <v>2025</v>
      </c>
      <c r="H1524" t="s">
        <v>23</v>
      </c>
      <c r="I1524" t="s">
        <v>32</v>
      </c>
      <c r="J1524">
        <v>100</v>
      </c>
      <c r="K1524">
        <v>99.86</v>
      </c>
      <c r="L1524" s="39">
        <f t="shared" si="116"/>
        <v>0.99860000000000004</v>
      </c>
      <c r="M1524" s="39">
        <f t="shared" si="115"/>
        <v>0.99860000000000004</v>
      </c>
      <c r="N1524" t="s">
        <v>25</v>
      </c>
      <c r="O1524" t="s">
        <v>25</v>
      </c>
      <c r="P1524">
        <v>0</v>
      </c>
      <c r="Q1524">
        <v>0</v>
      </c>
      <c r="R1524" t="s">
        <v>1328</v>
      </c>
    </row>
    <row r="1525" spans="1:18" x14ac:dyDescent="0.3">
      <c r="A1525">
        <v>472</v>
      </c>
      <c r="B1525" t="s">
        <v>1329</v>
      </c>
      <c r="C1525" t="s">
        <v>922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K1525">
        <v>82.1</v>
      </c>
      <c r="L1525" s="39">
        <f t="shared" ref="L1525:L1531" si="117">IFERROR(IF(OR(J1525=0,K1525=""),"",IF(E1525="Positivo",MIN(MAX(K1525/J1525,0),1.3),MIN(MAX(J1525/K1525,0),1.3))),"")</f>
        <v>0.82099999999999995</v>
      </c>
      <c r="M1525" s="39">
        <f t="shared" si="115"/>
        <v>0.82099999999999995</v>
      </c>
      <c r="P1525">
        <v>0</v>
      </c>
      <c r="Q1525">
        <v>0</v>
      </c>
      <c r="R1525" t="s">
        <v>3118</v>
      </c>
    </row>
    <row r="1526" spans="1:18" x14ac:dyDescent="0.3">
      <c r="A1526">
        <v>472</v>
      </c>
      <c r="B1526" t="s">
        <v>1329</v>
      </c>
      <c r="C1526" t="s">
        <v>922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 t="shared" si="117"/>
        <v>1</v>
      </c>
      <c r="M1526" s="39">
        <f t="shared" si="115"/>
        <v>1</v>
      </c>
      <c r="P1526">
        <v>0</v>
      </c>
      <c r="Q1526">
        <v>0</v>
      </c>
      <c r="R1526" t="s">
        <v>1330</v>
      </c>
    </row>
    <row r="1527" spans="1:18" x14ac:dyDescent="0.3">
      <c r="A1527">
        <v>473</v>
      </c>
      <c r="B1527" t="s">
        <v>3119</v>
      </c>
      <c r="C1527" t="s">
        <v>549</v>
      </c>
      <c r="D1527" t="s">
        <v>27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K1527">
        <v>100</v>
      </c>
      <c r="L1527" s="39">
        <f t="shared" si="117"/>
        <v>1</v>
      </c>
      <c r="M1527" s="39">
        <f t="shared" si="115"/>
        <v>1</v>
      </c>
      <c r="P1527">
        <v>0</v>
      </c>
      <c r="Q1527">
        <v>0</v>
      </c>
      <c r="R1527" t="s">
        <v>3120</v>
      </c>
    </row>
    <row r="1528" spans="1:18" x14ac:dyDescent="0.3">
      <c r="A1528">
        <v>473</v>
      </c>
      <c r="B1528" t="s">
        <v>1331</v>
      </c>
      <c r="C1528" t="s">
        <v>549</v>
      </c>
      <c r="D1528" t="s">
        <v>27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100</v>
      </c>
      <c r="L1528" s="39">
        <f t="shared" si="117"/>
        <v>1</v>
      </c>
      <c r="M1528" s="39">
        <f t="shared" si="115"/>
        <v>1</v>
      </c>
      <c r="P1528">
        <v>0</v>
      </c>
      <c r="Q1528">
        <v>0</v>
      </c>
      <c r="R1528" t="s">
        <v>1332</v>
      </c>
    </row>
    <row r="1529" spans="1:18" x14ac:dyDescent="0.3">
      <c r="A1529">
        <v>473</v>
      </c>
      <c r="B1529" t="s">
        <v>1331</v>
      </c>
      <c r="C1529" t="s">
        <v>549</v>
      </c>
      <c r="D1529" t="s">
        <v>27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J1529">
        <v>100</v>
      </c>
      <c r="K1529">
        <v>100</v>
      </c>
      <c r="L1529" s="39">
        <f t="shared" si="117"/>
        <v>1</v>
      </c>
      <c r="M1529" s="39">
        <f t="shared" si="115"/>
        <v>1</v>
      </c>
      <c r="P1529">
        <v>0</v>
      </c>
      <c r="Q1529">
        <v>0</v>
      </c>
      <c r="R1529" t="s">
        <v>1333</v>
      </c>
    </row>
    <row r="1530" spans="1:18" x14ac:dyDescent="0.3">
      <c r="A1530">
        <v>474</v>
      </c>
      <c r="B1530" t="s">
        <v>1334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 t="shared" si="117"/>
        <v>1</v>
      </c>
      <c r="M1530" s="39">
        <f t="shared" si="115"/>
        <v>1</v>
      </c>
      <c r="P1530">
        <v>0</v>
      </c>
      <c r="Q1530">
        <v>0</v>
      </c>
      <c r="R1530" t="s">
        <v>3122</v>
      </c>
    </row>
    <row r="1531" spans="1:18" x14ac:dyDescent="0.3">
      <c r="A1531">
        <v>474</v>
      </c>
      <c r="B1531" t="s">
        <v>1334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 t="shared" si="117"/>
        <v>1</v>
      </c>
      <c r="M1531" s="39">
        <f t="shared" si="115"/>
        <v>1</v>
      </c>
      <c r="P1531">
        <v>0</v>
      </c>
      <c r="Q1531">
        <v>0</v>
      </c>
      <c r="R1531" t="s">
        <v>1335</v>
      </c>
    </row>
    <row r="1532" spans="1:18" x14ac:dyDescent="0.3">
      <c r="A1532">
        <v>474</v>
      </c>
      <c r="B1532" t="s">
        <v>1334</v>
      </c>
      <c r="C1532" t="s">
        <v>1059</v>
      </c>
      <c r="D1532" t="s">
        <v>21</v>
      </c>
      <c r="E1532" t="s">
        <v>22</v>
      </c>
      <c r="F1532" s="79">
        <v>45838</v>
      </c>
      <c r="G1532">
        <v>2025</v>
      </c>
      <c r="H1532" t="s">
        <v>699</v>
      </c>
      <c r="I1532" t="s">
        <v>700</v>
      </c>
      <c r="K1532">
        <v>0</v>
      </c>
      <c r="L1532" s="39"/>
      <c r="M1532" s="39"/>
      <c r="N1532" t="s">
        <v>128</v>
      </c>
      <c r="O1532" t="s">
        <v>128</v>
      </c>
      <c r="P1532">
        <v>0</v>
      </c>
      <c r="Q1532">
        <v>0</v>
      </c>
      <c r="R1532" t="s">
        <v>3123</v>
      </c>
    </row>
    <row r="1533" spans="1:18" x14ac:dyDescent="0.3">
      <c r="A1533">
        <v>475</v>
      </c>
      <c r="B1533" t="s">
        <v>1337</v>
      </c>
      <c r="C1533" t="s">
        <v>819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L1533" s="39"/>
      <c r="M1533" s="39"/>
      <c r="P1533">
        <v>0</v>
      </c>
      <c r="Q1533">
        <v>0</v>
      </c>
      <c r="R1533" t="s">
        <v>3124</v>
      </c>
    </row>
    <row r="1534" spans="1:18" x14ac:dyDescent="0.3">
      <c r="A1534">
        <v>475</v>
      </c>
      <c r="B1534" t="s">
        <v>1337</v>
      </c>
      <c r="C1534" t="s">
        <v>819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140</v>
      </c>
      <c r="L1534" s="39">
        <f t="shared" ref="L1534:L1541" si="118">IFERROR(IF(OR(J1534=0,K1534=""),"",IF(E1534="Positivo",MIN(MAX(K1534/J1534,0),1.3),MIN(MAX(J1534/K1534,0),1.3))),"")</f>
        <v>1.3</v>
      </c>
      <c r="M1534" s="39">
        <f t="shared" ref="M1534:M1541" si="119">IFERROR(IF(OR(J1534=0,K1534=""),"",IF(E1534="Positivo",MAX(K1534/J1534,0),MAX(J1534/K1534,0))),"")</f>
        <v>1.4</v>
      </c>
      <c r="P1534">
        <v>0</v>
      </c>
      <c r="Q1534">
        <v>0</v>
      </c>
      <c r="R1534" t="s">
        <v>1338</v>
      </c>
    </row>
    <row r="1535" spans="1:18" x14ac:dyDescent="0.3">
      <c r="A1535">
        <v>475</v>
      </c>
      <c r="B1535" t="s">
        <v>1337</v>
      </c>
      <c r="C1535" t="s">
        <v>819</v>
      </c>
      <c r="D1535" t="s">
        <v>21</v>
      </c>
      <c r="E1535" t="s">
        <v>22</v>
      </c>
      <c r="F1535" s="79">
        <v>46022</v>
      </c>
      <c r="G1535">
        <v>2025</v>
      </c>
      <c r="H1535" t="s">
        <v>23</v>
      </c>
      <c r="I1535" t="s">
        <v>32</v>
      </c>
      <c r="J1535">
        <v>100</v>
      </c>
      <c r="K1535">
        <v>100</v>
      </c>
      <c r="L1535" s="39">
        <f t="shared" si="118"/>
        <v>1</v>
      </c>
      <c r="M1535" s="39">
        <f t="shared" si="119"/>
        <v>1</v>
      </c>
      <c r="N1535" t="s">
        <v>128</v>
      </c>
      <c r="O1535" t="s">
        <v>128</v>
      </c>
      <c r="P1535">
        <v>0</v>
      </c>
      <c r="Q1535">
        <v>0</v>
      </c>
      <c r="R1535" t="s">
        <v>1339</v>
      </c>
    </row>
    <row r="1536" spans="1:18" x14ac:dyDescent="0.3">
      <c r="A1536">
        <v>476</v>
      </c>
      <c r="B1536" t="s">
        <v>1340</v>
      </c>
      <c r="C1536" t="s">
        <v>549</v>
      </c>
      <c r="D1536" t="s">
        <v>27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100</v>
      </c>
      <c r="K1536">
        <v>100</v>
      </c>
      <c r="L1536" s="39">
        <f t="shared" si="118"/>
        <v>1</v>
      </c>
      <c r="M1536" s="39">
        <f t="shared" si="119"/>
        <v>1</v>
      </c>
      <c r="P1536">
        <v>0</v>
      </c>
      <c r="Q1536">
        <v>0</v>
      </c>
      <c r="R1536" t="s">
        <v>3126</v>
      </c>
    </row>
    <row r="1537" spans="1:18" x14ac:dyDescent="0.3">
      <c r="A1537">
        <v>476</v>
      </c>
      <c r="B1537" t="s">
        <v>1340</v>
      </c>
      <c r="C1537" t="s">
        <v>549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 t="shared" si="118"/>
        <v>1</v>
      </c>
      <c r="M1537" s="39">
        <f t="shared" si="119"/>
        <v>1</v>
      </c>
      <c r="P1537">
        <v>0</v>
      </c>
      <c r="Q1537">
        <v>0</v>
      </c>
      <c r="R1537" t="s">
        <v>1341</v>
      </c>
    </row>
    <row r="1538" spans="1:18" x14ac:dyDescent="0.3">
      <c r="A1538">
        <v>476</v>
      </c>
      <c r="B1538" t="s">
        <v>1340</v>
      </c>
      <c r="C1538" t="s">
        <v>549</v>
      </c>
      <c r="D1538" t="s">
        <v>27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100</v>
      </c>
      <c r="K1538">
        <v>100</v>
      </c>
      <c r="L1538" s="39">
        <f t="shared" si="118"/>
        <v>1</v>
      </c>
      <c r="M1538" s="39">
        <f t="shared" si="119"/>
        <v>1</v>
      </c>
      <c r="N1538" t="s">
        <v>128</v>
      </c>
      <c r="O1538" t="s">
        <v>128</v>
      </c>
      <c r="P1538">
        <v>0</v>
      </c>
      <c r="Q1538">
        <v>0</v>
      </c>
      <c r="R1538" t="s">
        <v>3127</v>
      </c>
    </row>
    <row r="1539" spans="1:18" x14ac:dyDescent="0.3">
      <c r="A1539">
        <v>476</v>
      </c>
      <c r="B1539" t="s">
        <v>1340</v>
      </c>
      <c r="C1539" t="s">
        <v>549</v>
      </c>
      <c r="D1539" t="s">
        <v>21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100</v>
      </c>
      <c r="K1539">
        <v>100</v>
      </c>
      <c r="L1539" s="39">
        <f t="shared" si="118"/>
        <v>1</v>
      </c>
      <c r="M1539" s="39">
        <f t="shared" si="119"/>
        <v>1</v>
      </c>
      <c r="N1539" t="s">
        <v>128</v>
      </c>
      <c r="O1539" t="s">
        <v>128</v>
      </c>
      <c r="P1539">
        <v>0</v>
      </c>
      <c r="Q1539">
        <v>0</v>
      </c>
      <c r="R1539" t="s">
        <v>1342</v>
      </c>
    </row>
    <row r="1540" spans="1:18" x14ac:dyDescent="0.3">
      <c r="A1540">
        <v>477</v>
      </c>
      <c r="B1540" t="s">
        <v>1343</v>
      </c>
      <c r="C1540" t="s">
        <v>1059</v>
      </c>
      <c r="D1540" t="s">
        <v>27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J1540">
        <v>100</v>
      </c>
      <c r="K1540">
        <v>100</v>
      </c>
      <c r="L1540" s="39">
        <f t="shared" si="118"/>
        <v>1</v>
      </c>
      <c r="M1540" s="39">
        <f t="shared" si="119"/>
        <v>1</v>
      </c>
      <c r="P1540">
        <v>0</v>
      </c>
      <c r="Q1540">
        <v>0</v>
      </c>
      <c r="R1540" t="s">
        <v>3128</v>
      </c>
    </row>
    <row r="1541" spans="1:18" x14ac:dyDescent="0.3">
      <c r="A1541">
        <v>477</v>
      </c>
      <c r="B1541" t="s">
        <v>1343</v>
      </c>
      <c r="C1541" t="s">
        <v>1059</v>
      </c>
      <c r="D1541" t="s">
        <v>27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100</v>
      </c>
      <c r="K1541">
        <v>100</v>
      </c>
      <c r="L1541" s="39">
        <f t="shared" si="118"/>
        <v>1</v>
      </c>
      <c r="M1541" s="39">
        <f t="shared" si="119"/>
        <v>1</v>
      </c>
      <c r="P1541">
        <v>0</v>
      </c>
      <c r="Q1541">
        <v>0</v>
      </c>
      <c r="R1541" t="s">
        <v>1344</v>
      </c>
    </row>
    <row r="1542" spans="1:18" x14ac:dyDescent="0.3">
      <c r="A1542">
        <v>478</v>
      </c>
      <c r="B1542" t="s">
        <v>1345</v>
      </c>
      <c r="C1542" t="s">
        <v>1059</v>
      </c>
      <c r="D1542" t="s">
        <v>27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J1542">
        <v>100</v>
      </c>
      <c r="L1542" s="39"/>
      <c r="M1542" s="39"/>
      <c r="N1542" t="s">
        <v>128</v>
      </c>
      <c r="O1542" t="s">
        <v>1949</v>
      </c>
      <c r="P1542">
        <v>0</v>
      </c>
      <c r="Q1542">
        <v>0</v>
      </c>
      <c r="R1542" t="s">
        <v>3130</v>
      </c>
    </row>
    <row r="1543" spans="1:18" x14ac:dyDescent="0.3">
      <c r="A1543">
        <v>478</v>
      </c>
      <c r="B1543" t="s">
        <v>1345</v>
      </c>
      <c r="C1543" t="s">
        <v>1059</v>
      </c>
      <c r="D1543" t="s">
        <v>27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100</v>
      </c>
      <c r="K1543">
        <v>100</v>
      </c>
      <c r="L1543" s="39">
        <f>IFERROR(IF(OR(J1543=0,K1543=""),"",IF(E1543="Positivo",MIN(MAX(K1543/J1543,0),1.3),MIN(MAX(J1543/K1543,0),1.3))),"")</f>
        <v>1</v>
      </c>
      <c r="M1543" s="39">
        <f>IFERROR(IF(OR(J1543=0,K1543=""),"",IF(E1543="Positivo",MAX(K1543/J1543,0),MAX(J1543/K1543,0))),"")</f>
        <v>1</v>
      </c>
      <c r="P1543">
        <v>0</v>
      </c>
      <c r="Q1543">
        <v>0</v>
      </c>
      <c r="R1543" t="s">
        <v>1346</v>
      </c>
    </row>
    <row r="1544" spans="1:18" x14ac:dyDescent="0.3">
      <c r="A1544">
        <v>478</v>
      </c>
      <c r="B1544" t="s">
        <v>1345</v>
      </c>
      <c r="C1544" t="s">
        <v>1059</v>
      </c>
      <c r="D1544" t="s">
        <v>21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K1544">
        <v>0</v>
      </c>
      <c r="L1544" s="39"/>
      <c r="M1544" s="39"/>
      <c r="N1544" t="s">
        <v>128</v>
      </c>
      <c r="O1544" t="s">
        <v>128</v>
      </c>
      <c r="P1544">
        <v>0</v>
      </c>
      <c r="Q1544">
        <v>0</v>
      </c>
      <c r="R1544" t="s">
        <v>3131</v>
      </c>
    </row>
    <row r="1545" spans="1:18" x14ac:dyDescent="0.3">
      <c r="A1545">
        <v>479</v>
      </c>
      <c r="B1545" t="s">
        <v>1348</v>
      </c>
      <c r="C1545" t="s">
        <v>1059</v>
      </c>
      <c r="D1545" t="s">
        <v>27</v>
      </c>
      <c r="E1545" t="s">
        <v>22</v>
      </c>
      <c r="F1545" s="79">
        <v>45473</v>
      </c>
      <c r="G1545">
        <v>2024</v>
      </c>
      <c r="H1545" t="s">
        <v>699</v>
      </c>
      <c r="I1545" t="s">
        <v>729</v>
      </c>
      <c r="J1545">
        <v>100</v>
      </c>
      <c r="K1545">
        <v>100</v>
      </c>
      <c r="L1545" s="39">
        <f>IFERROR(IF(OR(J1545=0,K1545=""),"",IF(E1545="Positivo",MIN(MAX(K1545/J1545,0),1.3),MIN(MAX(J1545/K1545,0),1.3))),"")</f>
        <v>1</v>
      </c>
      <c r="M1545" s="39">
        <f>IFERROR(IF(OR(J1545=0,K1545=""),"",IF(E1545="Positivo",MAX(K1545/J1545,0),MAX(J1545/K1545,0))),"")</f>
        <v>1</v>
      </c>
      <c r="P1545">
        <v>0</v>
      </c>
      <c r="Q1545">
        <v>0</v>
      </c>
      <c r="R1545" t="s">
        <v>3132</v>
      </c>
    </row>
    <row r="1546" spans="1:18" x14ac:dyDescent="0.3">
      <c r="A1546">
        <v>479</v>
      </c>
      <c r="B1546" t="s">
        <v>1348</v>
      </c>
      <c r="C1546" t="s">
        <v>1059</v>
      </c>
      <c r="D1546" t="s">
        <v>27</v>
      </c>
      <c r="E1546" t="s">
        <v>22</v>
      </c>
      <c r="F1546" s="79">
        <v>45657</v>
      </c>
      <c r="G1546">
        <v>2024</v>
      </c>
      <c r="H1546" t="s">
        <v>23</v>
      </c>
      <c r="I1546" t="s">
        <v>30</v>
      </c>
      <c r="J1546">
        <v>100</v>
      </c>
      <c r="K1546">
        <v>100</v>
      </c>
      <c r="L1546" s="39">
        <f>IFERROR(IF(OR(J1546=0,K1546=""),"",IF(E1546="Positivo",MIN(MAX(K1546/J1546,0),1.3),MIN(MAX(J1546/K1546,0),1.3))),"")</f>
        <v>1</v>
      </c>
      <c r="M1546" s="39">
        <f>IFERROR(IF(OR(J1546=0,K1546=""),"",IF(E1546="Positivo",MAX(K1546/J1546,0),MAX(J1546/K1546,0))),"")</f>
        <v>1</v>
      </c>
      <c r="P1546">
        <v>0</v>
      </c>
      <c r="Q1546">
        <v>0</v>
      </c>
      <c r="R1546" t="s">
        <v>1349</v>
      </c>
    </row>
    <row r="1547" spans="1:18" x14ac:dyDescent="0.3">
      <c r="A1547">
        <v>480</v>
      </c>
      <c r="B1547" t="s">
        <v>1350</v>
      </c>
      <c r="C1547" t="s">
        <v>1059</v>
      </c>
      <c r="D1547" t="s">
        <v>27</v>
      </c>
      <c r="E1547" t="s">
        <v>22</v>
      </c>
      <c r="F1547" s="79">
        <v>45473</v>
      </c>
      <c r="G1547">
        <v>2024</v>
      </c>
      <c r="H1547" t="s">
        <v>699</v>
      </c>
      <c r="I1547" t="s">
        <v>729</v>
      </c>
      <c r="J1547">
        <v>100</v>
      </c>
      <c r="K1547">
        <v>100</v>
      </c>
      <c r="L1547" s="39">
        <f>IFERROR(IF(OR(J1547=0,K1547=""),"",IF(E1547="Positivo",MIN(MAX(K1547/J1547,0),1.3),MIN(MAX(J1547/K1547,0),1.3))),"")</f>
        <v>1</v>
      </c>
      <c r="M1547" s="39">
        <f>IFERROR(IF(OR(J1547=0,K1547=""),"",IF(E1547="Positivo",MAX(K1547/J1547,0),MAX(J1547/K1547,0))),"")</f>
        <v>1</v>
      </c>
      <c r="P1547">
        <v>0</v>
      </c>
      <c r="Q1547">
        <v>0</v>
      </c>
      <c r="R1547" t="s">
        <v>3134</v>
      </c>
    </row>
    <row r="1548" spans="1:18" x14ac:dyDescent="0.3">
      <c r="A1548">
        <v>480</v>
      </c>
      <c r="B1548" t="s">
        <v>1350</v>
      </c>
      <c r="C1548" t="s">
        <v>1059</v>
      </c>
      <c r="D1548" t="s">
        <v>27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100</v>
      </c>
      <c r="K1548">
        <v>100</v>
      </c>
      <c r="L1548" s="39">
        <f>IFERROR(IF(OR(J1548=0,K1548=""),"",IF(E1548="Positivo",MIN(MAX(K1548/J1548,0),1.3),MIN(MAX(J1548/K1548,0),1.3))),"")</f>
        <v>1</v>
      </c>
      <c r="M1548" s="39">
        <f>IFERROR(IF(OR(J1548=0,K1548=""),"",IF(E1548="Positivo",MAX(K1548/J1548,0),MAX(J1548/K1548,0))),"")</f>
        <v>1</v>
      </c>
      <c r="P1548">
        <v>0</v>
      </c>
      <c r="Q1548">
        <v>0</v>
      </c>
      <c r="R1548" t="s">
        <v>1351</v>
      </c>
    </row>
    <row r="1549" spans="1:18" x14ac:dyDescent="0.3">
      <c r="A1549">
        <v>481</v>
      </c>
      <c r="B1549" t="s">
        <v>1352</v>
      </c>
      <c r="C1549" t="s">
        <v>549</v>
      </c>
      <c r="D1549" t="s">
        <v>27</v>
      </c>
      <c r="E1549" t="s">
        <v>22</v>
      </c>
      <c r="F1549" s="79">
        <v>45473</v>
      </c>
      <c r="G1549">
        <v>2024</v>
      </c>
      <c r="H1549" t="s">
        <v>699</v>
      </c>
      <c r="I1549" t="s">
        <v>729</v>
      </c>
      <c r="J1549">
        <v>100</v>
      </c>
      <c r="K1549">
        <v>100</v>
      </c>
      <c r="L1549" s="39">
        <f>IFERROR(IF(OR(J1549=0,K1549=""),"",IF(E1549="Positivo",MIN(MAX(K1549/J1549,0),1.3),MIN(MAX(J1549/K1549,0),1.3))),"")</f>
        <v>1</v>
      </c>
      <c r="M1549" s="39">
        <f>IFERROR(IF(OR(J1549=0,K1549=""),"",IF(E1549="Positivo",MAX(K1549/J1549,0),MAX(J1549/K1549,0))),"")</f>
        <v>1</v>
      </c>
      <c r="P1549">
        <v>0</v>
      </c>
      <c r="Q1549">
        <v>0</v>
      </c>
      <c r="R1549" t="s">
        <v>3136</v>
      </c>
    </row>
    <row r="1550" spans="1:18" x14ac:dyDescent="0.3">
      <c r="A1550">
        <v>481</v>
      </c>
      <c r="B1550" t="s">
        <v>1352</v>
      </c>
      <c r="C1550" t="s">
        <v>549</v>
      </c>
      <c r="D1550" t="s">
        <v>27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100</v>
      </c>
      <c r="L1550" s="39"/>
      <c r="M1550" s="39"/>
      <c r="N1550" t="s">
        <v>128</v>
      </c>
      <c r="O1550" t="s">
        <v>1949</v>
      </c>
      <c r="P1550">
        <v>0</v>
      </c>
      <c r="Q1550">
        <v>0</v>
      </c>
      <c r="R1550" t="s">
        <v>1353</v>
      </c>
    </row>
    <row r="1551" spans="1:18" x14ac:dyDescent="0.3">
      <c r="A1551">
        <v>481</v>
      </c>
      <c r="B1551" t="s">
        <v>1352</v>
      </c>
      <c r="C1551" t="s">
        <v>549</v>
      </c>
      <c r="D1551" t="s">
        <v>21</v>
      </c>
      <c r="E1551" t="s">
        <v>22</v>
      </c>
      <c r="F1551" s="79">
        <v>45838</v>
      </c>
      <c r="G1551">
        <v>2025</v>
      </c>
      <c r="H1551" t="s">
        <v>699</v>
      </c>
      <c r="I1551" t="s">
        <v>700</v>
      </c>
      <c r="J1551">
        <v>100</v>
      </c>
      <c r="K1551">
        <v>100</v>
      </c>
      <c r="L1551" s="39">
        <f t="shared" ref="L1551:L1556" si="120">IFERROR(IF(OR(J1551=0,K1551=""),"",IF(E1551="Positivo",MIN(MAX(K1551/J1551,0),1.3),MIN(MAX(J1551/K1551,0),1.3))),"")</f>
        <v>1</v>
      </c>
      <c r="M1551" s="39">
        <f t="shared" ref="M1551:M1556" si="121">IFERROR(IF(OR(J1551=0,K1551=""),"",IF(E1551="Positivo",MAX(K1551/J1551,0),MAX(J1551/K1551,0))),"")</f>
        <v>1</v>
      </c>
      <c r="N1551" t="s">
        <v>25</v>
      </c>
      <c r="O1551" t="s">
        <v>25</v>
      </c>
      <c r="P1551">
        <v>0</v>
      </c>
      <c r="Q1551">
        <v>0</v>
      </c>
      <c r="R1551" t="s">
        <v>3137</v>
      </c>
    </row>
    <row r="1552" spans="1:18" x14ac:dyDescent="0.3">
      <c r="A1552">
        <v>483</v>
      </c>
      <c r="B1552" t="s">
        <v>1355</v>
      </c>
      <c r="C1552" t="s">
        <v>1066</v>
      </c>
      <c r="D1552" t="s">
        <v>71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</v>
      </c>
      <c r="K1552">
        <v>91.65</v>
      </c>
      <c r="L1552" s="39">
        <f t="shared" si="120"/>
        <v>1.3</v>
      </c>
      <c r="M1552" s="39">
        <f t="shared" si="121"/>
        <v>9.1650000000000009</v>
      </c>
      <c r="P1552">
        <v>0</v>
      </c>
      <c r="Q1552">
        <v>0</v>
      </c>
      <c r="R1552" t="s">
        <v>1356</v>
      </c>
    </row>
    <row r="1553" spans="1:18" x14ac:dyDescent="0.3">
      <c r="A1553">
        <v>484</v>
      </c>
      <c r="B1553" t="s">
        <v>1357</v>
      </c>
      <c r="C1553" t="s">
        <v>70</v>
      </c>
      <c r="D1553" t="s">
        <v>21</v>
      </c>
      <c r="E1553" t="s">
        <v>22</v>
      </c>
      <c r="F1553" s="79">
        <v>45473</v>
      </c>
      <c r="G1553">
        <v>2024</v>
      </c>
      <c r="H1553" t="s">
        <v>699</v>
      </c>
      <c r="I1553" t="s">
        <v>729</v>
      </c>
      <c r="J1553">
        <v>90</v>
      </c>
      <c r="K1553">
        <v>100</v>
      </c>
      <c r="L1553" s="39">
        <f t="shared" si="120"/>
        <v>1.1111111111111112</v>
      </c>
      <c r="M1553" s="39">
        <f t="shared" si="121"/>
        <v>1.1111111111111112</v>
      </c>
      <c r="P1553">
        <v>0</v>
      </c>
      <c r="Q1553">
        <v>0</v>
      </c>
      <c r="R1553" t="s">
        <v>3138</v>
      </c>
    </row>
    <row r="1554" spans="1:18" x14ac:dyDescent="0.3">
      <c r="A1554">
        <v>484</v>
      </c>
      <c r="B1554" t="s">
        <v>1357</v>
      </c>
      <c r="C1554" t="s">
        <v>70</v>
      </c>
      <c r="D1554" t="s">
        <v>21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90</v>
      </c>
      <c r="K1554">
        <v>100</v>
      </c>
      <c r="L1554" s="39">
        <f t="shared" si="120"/>
        <v>1.1111111111111112</v>
      </c>
      <c r="M1554" s="39">
        <f t="shared" si="121"/>
        <v>1.1111111111111112</v>
      </c>
      <c r="P1554">
        <v>0</v>
      </c>
      <c r="Q1554">
        <v>0</v>
      </c>
      <c r="R1554" t="s">
        <v>1358</v>
      </c>
    </row>
    <row r="1555" spans="1:18" x14ac:dyDescent="0.3">
      <c r="A1555">
        <v>484</v>
      </c>
      <c r="B1555" t="s">
        <v>1357</v>
      </c>
      <c r="C1555" t="s">
        <v>70</v>
      </c>
      <c r="D1555" t="s">
        <v>21</v>
      </c>
      <c r="E1555" t="s">
        <v>22</v>
      </c>
      <c r="F1555" s="79">
        <v>45838</v>
      </c>
      <c r="G1555">
        <v>2025</v>
      </c>
      <c r="H1555" t="s">
        <v>699</v>
      </c>
      <c r="I1555" t="s">
        <v>700</v>
      </c>
      <c r="J1555">
        <v>90</v>
      </c>
      <c r="K1555">
        <v>100</v>
      </c>
      <c r="L1555" s="39">
        <f t="shared" si="120"/>
        <v>1.1111111111111112</v>
      </c>
      <c r="M1555" s="39">
        <f t="shared" si="121"/>
        <v>1.1111111111111112</v>
      </c>
      <c r="N1555" t="s">
        <v>25</v>
      </c>
      <c r="O1555" t="s">
        <v>25</v>
      </c>
      <c r="P1555">
        <v>0</v>
      </c>
      <c r="Q1555">
        <v>0</v>
      </c>
      <c r="R1555" t="s">
        <v>3141</v>
      </c>
    </row>
    <row r="1556" spans="1:18" x14ac:dyDescent="0.3">
      <c r="A1556">
        <v>484</v>
      </c>
      <c r="B1556" t="s">
        <v>1357</v>
      </c>
      <c r="C1556" t="s">
        <v>70</v>
      </c>
      <c r="D1556" t="s">
        <v>27</v>
      </c>
      <c r="E1556" t="s">
        <v>22</v>
      </c>
      <c r="F1556" s="79">
        <v>46022</v>
      </c>
      <c r="G1556">
        <v>2025</v>
      </c>
      <c r="H1556" t="s">
        <v>23</v>
      </c>
      <c r="I1556" t="s">
        <v>32</v>
      </c>
      <c r="J1556">
        <v>90</v>
      </c>
      <c r="K1556">
        <v>100</v>
      </c>
      <c r="L1556" s="39">
        <f t="shared" si="120"/>
        <v>1.1111111111111112</v>
      </c>
      <c r="M1556" s="39">
        <f t="shared" si="121"/>
        <v>1.1111111111111112</v>
      </c>
      <c r="N1556" t="s">
        <v>25</v>
      </c>
      <c r="O1556" t="s">
        <v>25</v>
      </c>
      <c r="P1556">
        <v>0</v>
      </c>
      <c r="Q1556">
        <v>0</v>
      </c>
      <c r="R1556" t="s">
        <v>1359</v>
      </c>
    </row>
    <row r="1557" spans="1:18" x14ac:dyDescent="0.3">
      <c r="A1557">
        <v>485</v>
      </c>
      <c r="B1557" t="s">
        <v>1360</v>
      </c>
      <c r="C1557" t="s">
        <v>198</v>
      </c>
      <c r="D1557" t="s">
        <v>54</v>
      </c>
      <c r="E1557" t="s">
        <v>22</v>
      </c>
      <c r="F1557" s="79">
        <v>45473</v>
      </c>
      <c r="G1557">
        <v>2024</v>
      </c>
      <c r="H1557" t="s">
        <v>699</v>
      </c>
      <c r="I1557" t="s">
        <v>729</v>
      </c>
      <c r="L1557" s="39"/>
      <c r="M1557" s="39"/>
      <c r="P1557">
        <v>0</v>
      </c>
      <c r="Q1557">
        <v>0</v>
      </c>
      <c r="R1557" t="s">
        <v>3148</v>
      </c>
    </row>
    <row r="1558" spans="1:18" x14ac:dyDescent="0.3">
      <c r="A1558">
        <v>485</v>
      </c>
      <c r="B1558" t="s">
        <v>1360</v>
      </c>
      <c r="C1558" t="s">
        <v>198</v>
      </c>
      <c r="D1558" t="s">
        <v>54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91.666666666666657</v>
      </c>
      <c r="L1558" s="39">
        <f>IFERROR(IF(OR(J1558=0,K1558=""),"",IF(E1558="Positivo",MIN(MAX(K1558/J1558,0),1.3),MIN(MAX(J1558/K1558,0),1.3))),"")</f>
        <v>1.1458333333333333</v>
      </c>
      <c r="M1558" s="39">
        <f>IFERROR(IF(OR(J1558=0,K1558=""),"",IF(E1558="Positivo",MAX(K1558/J1558,0),MAX(J1558/K1558,0))),"")</f>
        <v>1.1458333333333333</v>
      </c>
      <c r="P1558">
        <v>0</v>
      </c>
      <c r="Q1558">
        <v>0</v>
      </c>
      <c r="R1558" t="s">
        <v>1361</v>
      </c>
    </row>
    <row r="1559" spans="1:18" x14ac:dyDescent="0.3">
      <c r="A1559">
        <v>485</v>
      </c>
      <c r="B1559" t="s">
        <v>1360</v>
      </c>
      <c r="C1559" t="s">
        <v>198</v>
      </c>
      <c r="D1559" t="s">
        <v>54</v>
      </c>
      <c r="E1559" t="s">
        <v>22</v>
      </c>
      <c r="F1559" s="79">
        <v>45838</v>
      </c>
      <c r="G1559">
        <v>2025</v>
      </c>
      <c r="H1559" t="s">
        <v>699</v>
      </c>
      <c r="I1559" t="s">
        <v>700</v>
      </c>
      <c r="J1559">
        <v>80</v>
      </c>
      <c r="K1559">
        <v>86.111666666666665</v>
      </c>
      <c r="L1559" s="39">
        <f>IFERROR(IF(OR(J1559=0,K1559=""),"",IF(E1559="Positivo",MIN(MAX(K1559/J1559,0),1.3),MIN(MAX(J1559/K1559,0),1.3))),"")</f>
        <v>1.0763958333333332</v>
      </c>
      <c r="M1559" s="39">
        <f>IFERROR(IF(OR(J1559=0,K1559=""),"",IF(E1559="Positivo",MAX(K1559/J1559,0),MAX(J1559/K1559,0))),"")</f>
        <v>1.0763958333333332</v>
      </c>
      <c r="N1559" t="s">
        <v>25</v>
      </c>
      <c r="O1559" t="s">
        <v>25</v>
      </c>
      <c r="P1559">
        <v>0</v>
      </c>
      <c r="Q1559">
        <v>0</v>
      </c>
      <c r="R1559" t="s">
        <v>3158</v>
      </c>
    </row>
    <row r="1560" spans="1:18" x14ac:dyDescent="0.3">
      <c r="A1560">
        <v>485</v>
      </c>
      <c r="B1560" t="s">
        <v>1360</v>
      </c>
      <c r="C1560" t="s">
        <v>198</v>
      </c>
      <c r="D1560" t="s">
        <v>54</v>
      </c>
      <c r="E1560" t="s">
        <v>22</v>
      </c>
      <c r="F1560" s="79">
        <v>46022</v>
      </c>
      <c r="G1560">
        <v>2025</v>
      </c>
      <c r="H1560" t="s">
        <v>23</v>
      </c>
      <c r="I1560" t="s">
        <v>32</v>
      </c>
      <c r="J1560">
        <v>80</v>
      </c>
      <c r="K1560">
        <v>72.975999999999999</v>
      </c>
      <c r="L1560" s="39">
        <f>IFERROR(IF(OR(J1560=0,K1560=""),"",IF(E1560="Positivo",MIN(MAX(K1560/J1560,0),1.3),MIN(MAX(J1560/K1560,0),1.3))),"")</f>
        <v>0.91220000000000001</v>
      </c>
      <c r="M1560" s="39">
        <f>IFERROR(IF(OR(J1560=0,K1560=""),"",IF(E1560="Positivo",MAX(K1560/J1560,0),MAX(J1560/K1560,0))),"")</f>
        <v>0.91220000000000001</v>
      </c>
      <c r="N1560" t="s">
        <v>25</v>
      </c>
      <c r="O1560" t="s">
        <v>25</v>
      </c>
      <c r="P1560">
        <v>0</v>
      </c>
      <c r="Q1560">
        <v>0</v>
      </c>
      <c r="R1560" t="s">
        <v>1362</v>
      </c>
    </row>
    <row r="1561" spans="1:18" x14ac:dyDescent="0.3">
      <c r="A1561">
        <v>486</v>
      </c>
      <c r="B1561" t="s">
        <v>1363</v>
      </c>
      <c r="C1561" t="s">
        <v>149</v>
      </c>
      <c r="D1561" t="s">
        <v>27</v>
      </c>
      <c r="E1561" t="s">
        <v>22</v>
      </c>
      <c r="F1561" s="79">
        <v>45473</v>
      </c>
      <c r="G1561">
        <v>2024</v>
      </c>
      <c r="H1561" t="s">
        <v>699</v>
      </c>
      <c r="I1561" t="s">
        <v>729</v>
      </c>
      <c r="J1561">
        <v>0</v>
      </c>
      <c r="K1561">
        <v>4900000</v>
      </c>
      <c r="L1561" s="39" t="str">
        <f>IFERROR(IF(OR(J1561=0,K1561=""),"",IF(E1561="Positivo",MIN(MAX(K1561/J1561,0),1.3),MIN(MAX(J1561/K1561,0),1.3))),"")</f>
        <v/>
      </c>
      <c r="M1561" s="39" t="str">
        <f>IFERROR(IF(OR(J1561=0,K1561=""),"",IF(E1561="Positivo",MAX(K1561/J1561,0),MAX(J1561/K1561,0))),"")</f>
        <v/>
      </c>
      <c r="P1561">
        <v>0</v>
      </c>
      <c r="Q1561">
        <v>0</v>
      </c>
      <c r="R1561" t="s">
        <v>3164</v>
      </c>
    </row>
    <row r="1562" spans="1:18" x14ac:dyDescent="0.3">
      <c r="A1562">
        <v>486</v>
      </c>
      <c r="B1562" t="s">
        <v>1363</v>
      </c>
      <c r="C1562" t="s">
        <v>149</v>
      </c>
      <c r="D1562" t="s">
        <v>27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0</v>
      </c>
      <c r="K1562">
        <v>2700000</v>
      </c>
      <c r="L1562" s="39" t="str">
        <f>IFERROR(IF(OR(J1562=0,K1562=""),"",IF(E1562="Positivo",MIN(MAX(K1562/J1562,0),1.3),MIN(MAX(J1562/K1562,0),1.3))),"")</f>
        <v/>
      </c>
      <c r="M1562" s="39" t="str">
        <f>IFERROR(IF(OR(J1562=0,K1562=""),"",IF(E1562="Positivo",MAX(K1562/J1562,0),MAX(J1562/K1562,0))),"")</f>
        <v/>
      </c>
      <c r="P1562">
        <v>0</v>
      </c>
      <c r="Q1562">
        <v>0</v>
      </c>
      <c r="R1562" t="s">
        <v>1364</v>
      </c>
    </row>
    <row r="1563" spans="1:18" x14ac:dyDescent="0.3">
      <c r="A1563">
        <v>486</v>
      </c>
      <c r="B1563" t="s">
        <v>1363</v>
      </c>
      <c r="C1563" t="s">
        <v>149</v>
      </c>
      <c r="D1563" t="s">
        <v>21</v>
      </c>
      <c r="E1563" t="s">
        <v>22</v>
      </c>
      <c r="F1563" s="79">
        <v>45838</v>
      </c>
      <c r="G1563">
        <v>2025</v>
      </c>
      <c r="H1563" t="s">
        <v>699</v>
      </c>
      <c r="I1563" t="s">
        <v>700</v>
      </c>
      <c r="K1563">
        <v>2890610</v>
      </c>
      <c r="L1563" s="39"/>
      <c r="M1563" s="39"/>
      <c r="N1563" t="s">
        <v>25</v>
      </c>
      <c r="O1563" t="s">
        <v>25</v>
      </c>
      <c r="P1563">
        <v>0</v>
      </c>
      <c r="Q1563">
        <v>0</v>
      </c>
      <c r="R1563" t="s">
        <v>3165</v>
      </c>
    </row>
    <row r="1564" spans="1:18" x14ac:dyDescent="0.3">
      <c r="A1564">
        <v>486</v>
      </c>
      <c r="B1564" t="s">
        <v>1363</v>
      </c>
      <c r="C1564" t="s">
        <v>149</v>
      </c>
      <c r="D1564" t="s">
        <v>21</v>
      </c>
      <c r="E1564" t="s">
        <v>22</v>
      </c>
      <c r="F1564" s="79">
        <v>46022</v>
      </c>
      <c r="G1564">
        <v>2025</v>
      </c>
      <c r="H1564" t="s">
        <v>23</v>
      </c>
      <c r="I1564" t="s">
        <v>32</v>
      </c>
      <c r="K1564">
        <v>2703941</v>
      </c>
      <c r="L1564" s="39"/>
      <c r="M1564" s="39"/>
      <c r="N1564" t="s">
        <v>25</v>
      </c>
      <c r="O1564" t="s">
        <v>25</v>
      </c>
      <c r="P1564">
        <v>0</v>
      </c>
      <c r="Q1564">
        <v>0</v>
      </c>
      <c r="R1564" t="s">
        <v>1365</v>
      </c>
    </row>
    <row r="1565" spans="1:18" x14ac:dyDescent="0.3">
      <c r="A1565">
        <v>487</v>
      </c>
      <c r="B1565" t="s">
        <v>1366</v>
      </c>
      <c r="C1565" t="s">
        <v>619</v>
      </c>
      <c r="D1565" t="s">
        <v>71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20</v>
      </c>
      <c r="K1565">
        <v>6.06</v>
      </c>
      <c r="L1565" s="39">
        <f>IFERROR(IF(OR(J1565=0,K1565=""),"",IF(E1565="Positivo",MIN(MAX(K1565/J1565,0),1.3),MIN(MAX(J1565/K1565,0),1.3))),"")</f>
        <v>0.30299999999999999</v>
      </c>
      <c r="M1565" s="39">
        <f>IFERROR(IF(OR(J1565=0,K1565=""),"",IF(E1565="Positivo",MAX(K1565/J1565,0),MAX(J1565/K1565,0))),"")</f>
        <v>0.30299999999999999</v>
      </c>
      <c r="P1565">
        <v>0</v>
      </c>
      <c r="Q1565">
        <v>0</v>
      </c>
      <c r="R1565" t="s">
        <v>1367</v>
      </c>
    </row>
    <row r="1566" spans="1:18" x14ac:dyDescent="0.3">
      <c r="A1566">
        <v>487</v>
      </c>
      <c r="B1566" t="s">
        <v>3166</v>
      </c>
      <c r="C1566" t="s">
        <v>619</v>
      </c>
      <c r="D1566" t="s">
        <v>71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20</v>
      </c>
      <c r="K1566">
        <v>58.86</v>
      </c>
      <c r="L1566" s="39">
        <f>IFERROR(IF(OR(J1566=0,K1566=""),"",IF(E1566="Positivo",MIN(MAX(K1566/J1566,0),1.3),MIN(MAX(J1566/K1566,0),1.3))),"")</f>
        <v>1.3</v>
      </c>
      <c r="M1566" s="39">
        <f>IFERROR(IF(OR(J1566=0,K1566=""),"",IF(E1566="Positivo",MAX(K1566/J1566,0),MAX(J1566/K1566,0))),"")</f>
        <v>2.9430000000000001</v>
      </c>
      <c r="N1566" t="s">
        <v>25</v>
      </c>
      <c r="O1566" t="s">
        <v>25</v>
      </c>
      <c r="P1566">
        <v>0</v>
      </c>
      <c r="Q1566">
        <v>0</v>
      </c>
      <c r="R1566" t="s">
        <v>1368</v>
      </c>
    </row>
    <row r="1567" spans="1:18" x14ac:dyDescent="0.3">
      <c r="A1567">
        <v>488</v>
      </c>
      <c r="B1567" t="s">
        <v>1369</v>
      </c>
      <c r="C1567" t="s">
        <v>198</v>
      </c>
      <c r="D1567" t="s">
        <v>54</v>
      </c>
      <c r="E1567" t="s">
        <v>22</v>
      </c>
      <c r="F1567" s="79">
        <v>45473</v>
      </c>
      <c r="G1567">
        <v>2024</v>
      </c>
      <c r="H1567" t="s">
        <v>699</v>
      </c>
      <c r="I1567" t="s">
        <v>729</v>
      </c>
      <c r="L1567" s="39"/>
      <c r="M1567" s="39"/>
      <c r="P1567">
        <v>0</v>
      </c>
      <c r="Q1567">
        <v>0</v>
      </c>
      <c r="R1567" t="s">
        <v>3172</v>
      </c>
    </row>
    <row r="1568" spans="1:18" x14ac:dyDescent="0.3">
      <c r="A1568">
        <v>488</v>
      </c>
      <c r="B1568" t="s">
        <v>1369</v>
      </c>
      <c r="C1568" t="s">
        <v>198</v>
      </c>
      <c r="D1568" t="s">
        <v>54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85</v>
      </c>
      <c r="K1568">
        <v>92.961288460795018</v>
      </c>
      <c r="L1568" s="39">
        <f>IFERROR(IF(OR(J1568=0,K1568=""),"",IF(E1568="Positivo",MIN(MAX(K1568/J1568,0),1.3),MIN(MAX(J1568/K1568,0),1.3))),"")</f>
        <v>1.0936622171858237</v>
      </c>
      <c r="M1568" s="39">
        <f>IFERROR(IF(OR(J1568=0,K1568=""),"",IF(E1568="Positivo",MAX(K1568/J1568,0),MAX(J1568/K1568,0))),"")</f>
        <v>1.0936622171858237</v>
      </c>
      <c r="P1568">
        <v>0</v>
      </c>
      <c r="Q1568">
        <v>0</v>
      </c>
      <c r="R1568" t="s">
        <v>1370</v>
      </c>
    </row>
    <row r="1569" spans="1:18" x14ac:dyDescent="0.3">
      <c r="A1569">
        <v>488</v>
      </c>
      <c r="B1569" t="s">
        <v>1369</v>
      </c>
      <c r="C1569" t="s">
        <v>198</v>
      </c>
      <c r="D1569" t="s">
        <v>54</v>
      </c>
      <c r="E1569" t="s">
        <v>22</v>
      </c>
      <c r="F1569" s="79">
        <v>45838</v>
      </c>
      <c r="G1569">
        <v>2025</v>
      </c>
      <c r="H1569" t="s">
        <v>699</v>
      </c>
      <c r="I1569" t="s">
        <v>700</v>
      </c>
      <c r="J1569">
        <v>85</v>
      </c>
      <c r="K1569">
        <v>72.086932568149209</v>
      </c>
      <c r="L1569" s="39">
        <f>IFERROR(IF(OR(J1569=0,K1569=""),"",IF(E1569="Positivo",MIN(MAX(K1569/J1569,0),1.3),MIN(MAX(J1569/K1569,0),1.3))),"")</f>
        <v>0.84808155962528475</v>
      </c>
      <c r="M1569" s="39">
        <f>IFERROR(IF(OR(J1569=0,K1569=""),"",IF(E1569="Positivo",MAX(K1569/J1569,0),MAX(J1569/K1569,0))),"")</f>
        <v>0.84808155962528475</v>
      </c>
      <c r="N1569" t="s">
        <v>25</v>
      </c>
      <c r="O1569" t="s">
        <v>25</v>
      </c>
      <c r="P1569">
        <v>0</v>
      </c>
      <c r="Q1569">
        <v>0</v>
      </c>
      <c r="R1569" t="s">
        <v>3183</v>
      </c>
    </row>
    <row r="1570" spans="1:18" x14ac:dyDescent="0.3">
      <c r="A1570">
        <v>488</v>
      </c>
      <c r="B1570" t="s">
        <v>1369</v>
      </c>
      <c r="C1570" t="s">
        <v>198</v>
      </c>
      <c r="D1570" t="s">
        <v>54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J1570">
        <v>85</v>
      </c>
      <c r="K1570">
        <v>81.461666666666659</v>
      </c>
      <c r="L1570" s="39">
        <f>IFERROR(IF(OR(J1570=0,K1570=""),"",IF(E1570="Positivo",MIN(MAX(K1570/J1570,0),1.3),MIN(MAX(J1570/K1570,0),1.3))),"")</f>
        <v>0.95837254901960778</v>
      </c>
      <c r="M1570" s="39">
        <f>IFERROR(IF(OR(J1570=0,K1570=""),"",IF(E1570="Positivo",MAX(K1570/J1570,0),MAX(J1570/K1570,0))),"")</f>
        <v>0.95837254901960778</v>
      </c>
      <c r="N1570" t="s">
        <v>25</v>
      </c>
      <c r="O1570" t="s">
        <v>25</v>
      </c>
      <c r="P1570">
        <v>0</v>
      </c>
      <c r="Q1570">
        <v>0</v>
      </c>
      <c r="R1570" t="s">
        <v>1371</v>
      </c>
    </row>
    <row r="1571" spans="1:18" x14ac:dyDescent="0.3">
      <c r="A1571">
        <v>489</v>
      </c>
      <c r="B1571" t="s">
        <v>1373</v>
      </c>
      <c r="C1571" t="s">
        <v>198</v>
      </c>
      <c r="D1571" t="s">
        <v>54</v>
      </c>
      <c r="E1571" t="s">
        <v>22</v>
      </c>
      <c r="F1571" s="79">
        <v>45473</v>
      </c>
      <c r="G1571">
        <v>2024</v>
      </c>
      <c r="H1571" t="s">
        <v>699</v>
      </c>
      <c r="I1571" t="s">
        <v>729</v>
      </c>
      <c r="L1571" s="39"/>
      <c r="M1571" s="39"/>
      <c r="P1571">
        <v>0</v>
      </c>
      <c r="Q1571">
        <v>0</v>
      </c>
      <c r="R1571" t="s">
        <v>3267</v>
      </c>
    </row>
    <row r="1572" spans="1:18" x14ac:dyDescent="0.3">
      <c r="A1572">
        <v>489</v>
      </c>
      <c r="B1572" t="s">
        <v>1373</v>
      </c>
      <c r="C1572" t="s">
        <v>198</v>
      </c>
      <c r="D1572" t="s">
        <v>54</v>
      </c>
      <c r="E1572" t="s">
        <v>22</v>
      </c>
      <c r="F1572" s="79">
        <v>45657</v>
      </c>
      <c r="G1572">
        <v>2024</v>
      </c>
      <c r="H1572" t="s">
        <v>23</v>
      </c>
      <c r="I1572" t="s">
        <v>30</v>
      </c>
      <c r="J1572">
        <v>80</v>
      </c>
      <c r="K1572">
        <v>100</v>
      </c>
      <c r="L1572" s="39">
        <f t="shared" ref="L1572:L1613" si="122">IFERROR(IF(OR(J1572=0,K1572=""),"",IF(E1572="Positivo",MIN(MAX(K1572/J1572,0),1.3),MIN(MAX(J1572/K1572,0),1.3))),"")</f>
        <v>1.25</v>
      </c>
      <c r="M1572" s="39">
        <f t="shared" ref="M1572:M1613" si="123">IFERROR(IF(OR(J1572=0,K1572=""),"",IF(E1572="Positivo",MAX(K1572/J1572,0),MAX(J1572/K1572,0))),"")</f>
        <v>1.25</v>
      </c>
      <c r="P1572">
        <v>0</v>
      </c>
      <c r="Q1572">
        <v>0</v>
      </c>
      <c r="R1572" t="s">
        <v>1374</v>
      </c>
    </row>
    <row r="1573" spans="1:18" x14ac:dyDescent="0.3">
      <c r="A1573">
        <v>490</v>
      </c>
      <c r="B1573" t="s">
        <v>1375</v>
      </c>
      <c r="C1573" t="s">
        <v>567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9">
        <f t="shared" si="122"/>
        <v>1.1000000000000001</v>
      </c>
      <c r="M1573" s="39">
        <f t="shared" si="123"/>
        <v>1.1000000000000001</v>
      </c>
      <c r="P1573">
        <v>0</v>
      </c>
      <c r="Q1573">
        <v>0</v>
      </c>
      <c r="R1573" t="s">
        <v>1376</v>
      </c>
    </row>
    <row r="1574" spans="1:18" x14ac:dyDescent="0.3">
      <c r="A1574">
        <v>490</v>
      </c>
      <c r="B1574" t="s">
        <v>1375</v>
      </c>
      <c r="C1574" t="s">
        <v>567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9">
        <f t="shared" si="122"/>
        <v>1.25</v>
      </c>
      <c r="M1574" s="39">
        <f t="shared" si="123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1377</v>
      </c>
    </row>
    <row r="1575" spans="1:18" x14ac:dyDescent="0.3">
      <c r="A1575">
        <v>491</v>
      </c>
      <c r="B1575" t="s">
        <v>1378</v>
      </c>
      <c r="C1575" t="s">
        <v>511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88</v>
      </c>
      <c r="L1575" s="39">
        <f t="shared" si="122"/>
        <v>1.1000000000000001</v>
      </c>
      <c r="M1575" s="39">
        <f t="shared" si="123"/>
        <v>1.1000000000000001</v>
      </c>
      <c r="P1575">
        <v>0</v>
      </c>
      <c r="Q1575">
        <v>0</v>
      </c>
      <c r="R1575" t="s">
        <v>1379</v>
      </c>
    </row>
    <row r="1576" spans="1:18" x14ac:dyDescent="0.3">
      <c r="A1576">
        <v>491</v>
      </c>
      <c r="B1576" t="s">
        <v>1378</v>
      </c>
      <c r="C1576" t="s">
        <v>511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1380</v>
      </c>
    </row>
    <row r="1577" spans="1:18" x14ac:dyDescent="0.3">
      <c r="A1577">
        <v>492</v>
      </c>
      <c r="B1577" t="s">
        <v>1381</v>
      </c>
      <c r="C1577" t="s">
        <v>554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83</v>
      </c>
      <c r="L1577" s="39">
        <f t="shared" si="122"/>
        <v>1.0375000000000001</v>
      </c>
      <c r="M1577" s="39">
        <f t="shared" si="123"/>
        <v>1.0375000000000001</v>
      </c>
      <c r="P1577">
        <v>0</v>
      </c>
      <c r="Q1577">
        <v>0</v>
      </c>
      <c r="R1577" t="s">
        <v>1382</v>
      </c>
    </row>
    <row r="1578" spans="1:18" x14ac:dyDescent="0.3">
      <c r="A1578">
        <v>492</v>
      </c>
      <c r="B1578" t="s">
        <v>1381</v>
      </c>
      <c r="C1578" t="s">
        <v>554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95</v>
      </c>
      <c r="L1578" s="39">
        <f t="shared" si="122"/>
        <v>1.1875</v>
      </c>
      <c r="M1578" s="39">
        <f t="shared" si="123"/>
        <v>1.1875</v>
      </c>
      <c r="N1578" t="s">
        <v>25</v>
      </c>
      <c r="O1578" t="s">
        <v>25</v>
      </c>
      <c r="P1578">
        <v>0</v>
      </c>
      <c r="Q1578">
        <v>0</v>
      </c>
      <c r="R1578" t="s">
        <v>1383</v>
      </c>
    </row>
    <row r="1579" spans="1:18" x14ac:dyDescent="0.3">
      <c r="A1579">
        <v>493</v>
      </c>
      <c r="B1579" t="s">
        <v>1384</v>
      </c>
      <c r="C1579" t="s">
        <v>595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81</v>
      </c>
      <c r="L1579" s="39">
        <f t="shared" si="122"/>
        <v>1.0125</v>
      </c>
      <c r="M1579" s="39">
        <f t="shared" si="123"/>
        <v>1.0125</v>
      </c>
      <c r="P1579">
        <v>0</v>
      </c>
      <c r="Q1579">
        <v>0</v>
      </c>
      <c r="R1579" t="s">
        <v>1385</v>
      </c>
    </row>
    <row r="1580" spans="1:18" x14ac:dyDescent="0.3">
      <c r="A1580">
        <v>493</v>
      </c>
      <c r="B1580" t="s">
        <v>1384</v>
      </c>
      <c r="C1580" t="s">
        <v>595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77</v>
      </c>
      <c r="L1580" s="39">
        <f t="shared" si="122"/>
        <v>0.96250000000000002</v>
      </c>
      <c r="M1580" s="39">
        <f t="shared" si="123"/>
        <v>0.96250000000000002</v>
      </c>
      <c r="N1580" t="s">
        <v>25</v>
      </c>
      <c r="O1580" t="s">
        <v>25</v>
      </c>
      <c r="P1580">
        <v>0</v>
      </c>
      <c r="Q1580">
        <v>0</v>
      </c>
      <c r="R1580" t="s">
        <v>1386</v>
      </c>
    </row>
    <row r="1581" spans="1:18" x14ac:dyDescent="0.3">
      <c r="A1581">
        <v>494</v>
      </c>
      <c r="B1581" t="s">
        <v>1387</v>
      </c>
      <c r="C1581" t="s">
        <v>739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89</v>
      </c>
      <c r="L1581" s="39">
        <f t="shared" si="122"/>
        <v>1.1125</v>
      </c>
      <c r="M1581" s="39">
        <f t="shared" si="123"/>
        <v>1.1125</v>
      </c>
      <c r="P1581">
        <v>0</v>
      </c>
      <c r="Q1581">
        <v>0</v>
      </c>
      <c r="R1581" t="s">
        <v>1388</v>
      </c>
    </row>
    <row r="1582" spans="1:18" x14ac:dyDescent="0.3">
      <c r="A1582">
        <v>494</v>
      </c>
      <c r="B1582" t="s">
        <v>1387</v>
      </c>
      <c r="C1582" t="s">
        <v>739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93</v>
      </c>
      <c r="L1582" s="39">
        <f t="shared" si="122"/>
        <v>1.1625000000000001</v>
      </c>
      <c r="M1582" s="39">
        <f t="shared" si="123"/>
        <v>1.1625000000000001</v>
      </c>
      <c r="N1582" t="s">
        <v>25</v>
      </c>
      <c r="O1582" t="s">
        <v>25</v>
      </c>
      <c r="P1582">
        <v>0</v>
      </c>
      <c r="Q1582">
        <v>0</v>
      </c>
      <c r="R1582" t="s">
        <v>1389</v>
      </c>
    </row>
    <row r="1583" spans="1:18" x14ac:dyDescent="0.3">
      <c r="A1583">
        <v>495</v>
      </c>
      <c r="B1583" t="s">
        <v>1390</v>
      </c>
      <c r="C1583" t="s">
        <v>901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92</v>
      </c>
      <c r="L1583" s="39">
        <f t="shared" si="122"/>
        <v>1.1499999999999999</v>
      </c>
      <c r="M1583" s="39">
        <f t="shared" si="123"/>
        <v>1.1499999999999999</v>
      </c>
      <c r="P1583">
        <v>0</v>
      </c>
      <c r="Q1583">
        <v>0</v>
      </c>
      <c r="R1583" t="s">
        <v>1391</v>
      </c>
    </row>
    <row r="1584" spans="1:18" x14ac:dyDescent="0.3">
      <c r="A1584">
        <v>495</v>
      </c>
      <c r="B1584" t="s">
        <v>1390</v>
      </c>
      <c r="C1584" t="s">
        <v>901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63</v>
      </c>
      <c r="L1584" s="39">
        <f t="shared" si="122"/>
        <v>0.78749999999999998</v>
      </c>
      <c r="M1584" s="39">
        <f t="shared" si="123"/>
        <v>0.78749999999999998</v>
      </c>
      <c r="N1584" t="s">
        <v>25</v>
      </c>
      <c r="O1584" t="s">
        <v>25</v>
      </c>
      <c r="P1584">
        <v>0</v>
      </c>
      <c r="Q1584">
        <v>0</v>
      </c>
      <c r="R1584" t="s">
        <v>1392</v>
      </c>
    </row>
    <row r="1585" spans="1:19" x14ac:dyDescent="0.3">
      <c r="A1585">
        <v>496</v>
      </c>
      <c r="B1585" t="s">
        <v>1393</v>
      </c>
      <c r="C1585" t="s">
        <v>159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88</v>
      </c>
      <c r="L1585" s="39">
        <f t="shared" si="122"/>
        <v>1.1000000000000001</v>
      </c>
      <c r="M1585" s="39">
        <f t="shared" si="123"/>
        <v>1.1000000000000001</v>
      </c>
      <c r="P1585">
        <v>0</v>
      </c>
      <c r="Q1585">
        <v>0</v>
      </c>
      <c r="R1585" t="s">
        <v>1394</v>
      </c>
    </row>
    <row r="1586" spans="1:19" x14ac:dyDescent="0.3">
      <c r="A1586">
        <v>496</v>
      </c>
      <c r="B1586" t="s">
        <v>1393</v>
      </c>
      <c r="C1586" t="s">
        <v>159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100</v>
      </c>
      <c r="L1586" s="39">
        <f t="shared" si="122"/>
        <v>1.25</v>
      </c>
      <c r="M1586" s="39">
        <f t="shared" si="123"/>
        <v>1.25</v>
      </c>
      <c r="N1586" t="s">
        <v>25</v>
      </c>
      <c r="O1586" t="s">
        <v>25</v>
      </c>
      <c r="P1586">
        <v>0</v>
      </c>
      <c r="Q1586">
        <v>0</v>
      </c>
      <c r="R1586" t="s">
        <v>1395</v>
      </c>
    </row>
    <row r="1587" spans="1:19" x14ac:dyDescent="0.3">
      <c r="A1587">
        <v>497</v>
      </c>
      <c r="B1587" t="s">
        <v>1396</v>
      </c>
      <c r="C1587" t="s">
        <v>927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83</v>
      </c>
      <c r="L1587" s="39">
        <f t="shared" si="122"/>
        <v>1.0375000000000001</v>
      </c>
      <c r="M1587" s="39">
        <f t="shared" si="123"/>
        <v>1.0375000000000001</v>
      </c>
      <c r="P1587">
        <v>0</v>
      </c>
      <c r="Q1587">
        <v>0</v>
      </c>
      <c r="R1587" t="s">
        <v>1397</v>
      </c>
    </row>
    <row r="1588" spans="1:19" x14ac:dyDescent="0.3">
      <c r="A1588">
        <v>498</v>
      </c>
      <c r="B1588" t="s">
        <v>1398</v>
      </c>
      <c r="C1588" t="s">
        <v>619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92</v>
      </c>
      <c r="L1588" s="39">
        <f t="shared" si="122"/>
        <v>1.1499999999999999</v>
      </c>
      <c r="M1588" s="39">
        <f t="shared" si="123"/>
        <v>1.1499999999999999</v>
      </c>
      <c r="P1588">
        <v>0</v>
      </c>
      <c r="Q1588">
        <v>0</v>
      </c>
      <c r="R1588" t="s">
        <v>1399</v>
      </c>
    </row>
    <row r="1589" spans="1:19" x14ac:dyDescent="0.3">
      <c r="A1589">
        <v>498</v>
      </c>
      <c r="B1589" t="s">
        <v>1398</v>
      </c>
      <c r="C1589" t="s">
        <v>619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95</v>
      </c>
      <c r="L1589" s="39">
        <f t="shared" si="122"/>
        <v>1.1875</v>
      </c>
      <c r="M1589" s="39">
        <f t="shared" si="123"/>
        <v>1.1875</v>
      </c>
      <c r="N1589" t="s">
        <v>25</v>
      </c>
      <c r="O1589" t="s">
        <v>25</v>
      </c>
      <c r="P1589">
        <v>0</v>
      </c>
      <c r="Q1589">
        <v>0</v>
      </c>
      <c r="R1589" t="s">
        <v>1400</v>
      </c>
    </row>
    <row r="1590" spans="1:19" x14ac:dyDescent="0.3">
      <c r="A1590">
        <v>499</v>
      </c>
      <c r="B1590" t="s">
        <v>1401</v>
      </c>
      <c r="C1590" t="s">
        <v>922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87</v>
      </c>
      <c r="L1590" s="39">
        <f t="shared" si="122"/>
        <v>1.0874999999999999</v>
      </c>
      <c r="M1590" s="39">
        <f t="shared" si="123"/>
        <v>1.0874999999999999</v>
      </c>
      <c r="P1590">
        <v>0</v>
      </c>
      <c r="Q1590">
        <v>0</v>
      </c>
      <c r="R1590" t="s">
        <v>1402</v>
      </c>
    </row>
    <row r="1591" spans="1:19" x14ac:dyDescent="0.3">
      <c r="A1591">
        <v>499</v>
      </c>
      <c r="B1591" t="s">
        <v>1401</v>
      </c>
      <c r="C1591" t="s">
        <v>922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L1591" s="39" t="str">
        <f t="shared" si="122"/>
        <v/>
      </c>
      <c r="M1591" s="39" t="str">
        <f t="shared" si="123"/>
        <v/>
      </c>
      <c r="N1591" t="s">
        <v>25</v>
      </c>
      <c r="O1591" t="s">
        <v>25</v>
      </c>
      <c r="P1591">
        <v>0</v>
      </c>
      <c r="Q1591">
        <v>0</v>
      </c>
      <c r="R1591" t="s">
        <v>1403</v>
      </c>
      <c r="S1591" t="s">
        <v>302</v>
      </c>
    </row>
    <row r="1592" spans="1:19" x14ac:dyDescent="0.3">
      <c r="A1592">
        <v>500</v>
      </c>
      <c r="B1592" t="s">
        <v>1404</v>
      </c>
      <c r="C1592" t="s">
        <v>753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89</v>
      </c>
      <c r="L1592" s="39">
        <f t="shared" si="122"/>
        <v>1.1125</v>
      </c>
      <c r="M1592" s="39">
        <f t="shared" si="123"/>
        <v>1.1125</v>
      </c>
      <c r="P1592">
        <v>0</v>
      </c>
      <c r="Q1592">
        <v>0</v>
      </c>
      <c r="R1592" t="s">
        <v>1405</v>
      </c>
    </row>
    <row r="1593" spans="1:19" x14ac:dyDescent="0.3">
      <c r="A1593">
        <v>500</v>
      </c>
      <c r="B1593" t="s">
        <v>1404</v>
      </c>
      <c r="C1593" t="s">
        <v>753</v>
      </c>
      <c r="D1593" t="s">
        <v>71</v>
      </c>
      <c r="E1593" t="s">
        <v>22</v>
      </c>
      <c r="F1593" s="79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9">
        <f t="shared" si="122"/>
        <v>1.25</v>
      </c>
      <c r="M1593" s="39">
        <f t="shared" si="123"/>
        <v>1.25</v>
      </c>
      <c r="N1593" t="s">
        <v>25</v>
      </c>
      <c r="O1593" t="s">
        <v>25</v>
      </c>
      <c r="P1593">
        <v>0</v>
      </c>
      <c r="Q1593">
        <v>0</v>
      </c>
      <c r="R1593" t="s">
        <v>1406</v>
      </c>
    </row>
    <row r="1594" spans="1:19" x14ac:dyDescent="0.3">
      <c r="A1594">
        <v>501</v>
      </c>
      <c r="B1594" t="s">
        <v>1407</v>
      </c>
      <c r="C1594" t="s">
        <v>549</v>
      </c>
      <c r="D1594" t="s">
        <v>71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88</v>
      </c>
      <c r="L1594" s="39">
        <f t="shared" si="122"/>
        <v>1.1000000000000001</v>
      </c>
      <c r="M1594" s="39">
        <f t="shared" si="123"/>
        <v>1.1000000000000001</v>
      </c>
      <c r="P1594">
        <v>0</v>
      </c>
      <c r="Q1594">
        <v>0</v>
      </c>
      <c r="R1594" t="s">
        <v>1408</v>
      </c>
    </row>
    <row r="1595" spans="1:19" x14ac:dyDescent="0.3">
      <c r="A1595">
        <v>501</v>
      </c>
      <c r="B1595" t="s">
        <v>1407</v>
      </c>
      <c r="C1595" t="s">
        <v>549</v>
      </c>
      <c r="D1595" t="s">
        <v>71</v>
      </c>
      <c r="E1595" t="s">
        <v>22</v>
      </c>
      <c r="F1595" s="79">
        <v>46022</v>
      </c>
      <c r="G1595">
        <v>2025</v>
      </c>
      <c r="H1595" t="s">
        <v>23</v>
      </c>
      <c r="I1595" t="s">
        <v>32</v>
      </c>
      <c r="J1595">
        <v>80</v>
      </c>
      <c r="K1595">
        <v>100</v>
      </c>
      <c r="L1595" s="39">
        <f t="shared" si="122"/>
        <v>1.25</v>
      </c>
      <c r="M1595" s="39">
        <f t="shared" si="123"/>
        <v>1.25</v>
      </c>
      <c r="N1595" t="s">
        <v>25</v>
      </c>
      <c r="O1595" t="s">
        <v>25</v>
      </c>
      <c r="P1595">
        <v>0</v>
      </c>
      <c r="Q1595">
        <v>0</v>
      </c>
      <c r="R1595" t="s">
        <v>1409</v>
      </c>
    </row>
    <row r="1596" spans="1:19" x14ac:dyDescent="0.3">
      <c r="A1596">
        <v>502</v>
      </c>
      <c r="B1596" t="s">
        <v>1410</v>
      </c>
      <c r="C1596" t="s">
        <v>274</v>
      </c>
      <c r="D1596" t="s">
        <v>71</v>
      </c>
      <c r="E1596" t="s">
        <v>22</v>
      </c>
      <c r="F1596" s="79">
        <v>45657</v>
      </c>
      <c r="G1596">
        <v>2024</v>
      </c>
      <c r="H1596" t="s">
        <v>23</v>
      </c>
      <c r="I1596" t="s">
        <v>30</v>
      </c>
      <c r="J1596">
        <v>80</v>
      </c>
      <c r="K1596">
        <v>90</v>
      </c>
      <c r="L1596" s="39">
        <f t="shared" si="122"/>
        <v>1.125</v>
      </c>
      <c r="M1596" s="39">
        <f t="shared" si="123"/>
        <v>1.125</v>
      </c>
      <c r="P1596">
        <v>0</v>
      </c>
      <c r="Q1596">
        <v>0</v>
      </c>
      <c r="R1596" t="s">
        <v>1411</v>
      </c>
    </row>
    <row r="1597" spans="1:19" x14ac:dyDescent="0.3">
      <c r="A1597">
        <v>502</v>
      </c>
      <c r="B1597" t="s">
        <v>1410</v>
      </c>
      <c r="C1597" t="s">
        <v>274</v>
      </c>
      <c r="D1597" t="s">
        <v>71</v>
      </c>
      <c r="E1597" t="s">
        <v>22</v>
      </c>
      <c r="F1597" s="79">
        <v>46022</v>
      </c>
      <c r="G1597">
        <v>2025</v>
      </c>
      <c r="H1597" t="s">
        <v>23</v>
      </c>
      <c r="I1597" t="s">
        <v>32</v>
      </c>
      <c r="J1597">
        <v>80</v>
      </c>
      <c r="K1597">
        <v>97</v>
      </c>
      <c r="L1597" s="39">
        <f t="shared" si="122"/>
        <v>1.2124999999999999</v>
      </c>
      <c r="M1597" s="39">
        <f t="shared" si="123"/>
        <v>1.2124999999999999</v>
      </c>
      <c r="N1597" t="s">
        <v>25</v>
      </c>
      <c r="O1597" t="s">
        <v>25</v>
      </c>
      <c r="P1597">
        <v>0</v>
      </c>
      <c r="Q1597">
        <v>0</v>
      </c>
      <c r="R1597" t="s">
        <v>1412</v>
      </c>
    </row>
    <row r="1598" spans="1:19" x14ac:dyDescent="0.3">
      <c r="A1598">
        <v>503</v>
      </c>
      <c r="B1598" t="s">
        <v>1413</v>
      </c>
      <c r="C1598" t="s">
        <v>1059</v>
      </c>
      <c r="D1598" t="s">
        <v>71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86</v>
      </c>
      <c r="L1598" s="39">
        <f t="shared" si="122"/>
        <v>1.075</v>
      </c>
      <c r="M1598" s="39">
        <f t="shared" si="123"/>
        <v>1.075</v>
      </c>
      <c r="P1598">
        <v>0</v>
      </c>
      <c r="Q1598">
        <v>0</v>
      </c>
      <c r="R1598" t="s">
        <v>1414</v>
      </c>
    </row>
    <row r="1599" spans="1:19" x14ac:dyDescent="0.3">
      <c r="A1599">
        <v>503</v>
      </c>
      <c r="B1599" t="s">
        <v>1413</v>
      </c>
      <c r="C1599" t="s">
        <v>1059</v>
      </c>
      <c r="D1599" t="s">
        <v>71</v>
      </c>
      <c r="E1599" t="s">
        <v>22</v>
      </c>
      <c r="F1599" s="79">
        <v>46022</v>
      </c>
      <c r="G1599">
        <v>2025</v>
      </c>
      <c r="H1599" t="s">
        <v>23</v>
      </c>
      <c r="I1599" t="s">
        <v>32</v>
      </c>
      <c r="J1599">
        <v>80</v>
      </c>
      <c r="K1599">
        <v>94</v>
      </c>
      <c r="L1599" s="39">
        <f t="shared" si="122"/>
        <v>1.175</v>
      </c>
      <c r="M1599" s="39">
        <f t="shared" si="123"/>
        <v>1.175</v>
      </c>
      <c r="N1599" t="s">
        <v>25</v>
      </c>
      <c r="O1599" t="s">
        <v>25</v>
      </c>
      <c r="P1599">
        <v>0</v>
      </c>
      <c r="Q1599">
        <v>0</v>
      </c>
      <c r="R1599" t="s">
        <v>1415</v>
      </c>
    </row>
    <row r="1600" spans="1:19" x14ac:dyDescent="0.3">
      <c r="A1600">
        <v>504</v>
      </c>
      <c r="B1600" t="s">
        <v>1416</v>
      </c>
      <c r="C1600" t="s">
        <v>1110</v>
      </c>
      <c r="D1600" t="s">
        <v>71</v>
      </c>
      <c r="E1600" t="s">
        <v>22</v>
      </c>
      <c r="F1600" s="79">
        <v>45657</v>
      </c>
      <c r="G1600">
        <v>2024</v>
      </c>
      <c r="H1600" t="s">
        <v>23</v>
      </c>
      <c r="I1600" t="s">
        <v>30</v>
      </c>
      <c r="J1600">
        <v>80</v>
      </c>
      <c r="K1600">
        <v>88</v>
      </c>
      <c r="L1600" s="39">
        <f t="shared" si="122"/>
        <v>1.1000000000000001</v>
      </c>
      <c r="M1600" s="39">
        <f t="shared" si="123"/>
        <v>1.1000000000000001</v>
      </c>
      <c r="P1600">
        <v>0</v>
      </c>
      <c r="Q1600">
        <v>0</v>
      </c>
      <c r="R1600" t="s">
        <v>1417</v>
      </c>
    </row>
    <row r="1601" spans="1:18" x14ac:dyDescent="0.3">
      <c r="A1601">
        <v>504</v>
      </c>
      <c r="B1601" t="s">
        <v>1416</v>
      </c>
      <c r="C1601" t="s">
        <v>1110</v>
      </c>
      <c r="D1601" t="s">
        <v>71</v>
      </c>
      <c r="E1601" t="s">
        <v>22</v>
      </c>
      <c r="F1601" s="79">
        <v>46022</v>
      </c>
      <c r="G1601">
        <v>2025</v>
      </c>
      <c r="H1601" t="s">
        <v>23</v>
      </c>
      <c r="I1601" t="s">
        <v>32</v>
      </c>
      <c r="J1601">
        <v>80</v>
      </c>
      <c r="K1601">
        <v>88</v>
      </c>
      <c r="L1601" s="39">
        <f t="shared" si="122"/>
        <v>1.1000000000000001</v>
      </c>
      <c r="M1601" s="39">
        <f t="shared" si="123"/>
        <v>1.1000000000000001</v>
      </c>
      <c r="N1601" t="s">
        <v>25</v>
      </c>
      <c r="O1601" t="s">
        <v>25</v>
      </c>
      <c r="P1601">
        <v>0</v>
      </c>
      <c r="Q1601">
        <v>0</v>
      </c>
      <c r="R1601" t="s">
        <v>1418</v>
      </c>
    </row>
    <row r="1602" spans="1:18" x14ac:dyDescent="0.3">
      <c r="A1602">
        <v>505</v>
      </c>
      <c r="B1602" t="s">
        <v>1419</v>
      </c>
      <c r="C1602" t="s">
        <v>1183</v>
      </c>
      <c r="D1602" t="s">
        <v>71</v>
      </c>
      <c r="E1602" t="s">
        <v>22</v>
      </c>
      <c r="F1602" s="79">
        <v>45657</v>
      </c>
      <c r="G1602">
        <v>2024</v>
      </c>
      <c r="H1602" t="s">
        <v>23</v>
      </c>
      <c r="I1602" t="s">
        <v>30</v>
      </c>
      <c r="J1602">
        <v>80</v>
      </c>
      <c r="K1602">
        <v>85</v>
      </c>
      <c r="L1602" s="39">
        <f t="shared" si="122"/>
        <v>1.0625</v>
      </c>
      <c r="M1602" s="39">
        <f t="shared" si="123"/>
        <v>1.0625</v>
      </c>
      <c r="P1602">
        <v>0</v>
      </c>
      <c r="Q1602">
        <v>0</v>
      </c>
      <c r="R1602" t="s">
        <v>1420</v>
      </c>
    </row>
    <row r="1603" spans="1:18" x14ac:dyDescent="0.3">
      <c r="A1603">
        <v>505</v>
      </c>
      <c r="B1603" t="s">
        <v>1419</v>
      </c>
      <c r="C1603" t="s">
        <v>1183</v>
      </c>
      <c r="D1603" t="s">
        <v>71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80</v>
      </c>
      <c r="K1603">
        <v>86</v>
      </c>
      <c r="L1603" s="39">
        <f t="shared" si="122"/>
        <v>1.075</v>
      </c>
      <c r="M1603" s="39">
        <f t="shared" si="123"/>
        <v>1.075</v>
      </c>
      <c r="N1603" t="s">
        <v>25</v>
      </c>
      <c r="O1603" t="s">
        <v>25</v>
      </c>
      <c r="P1603">
        <v>0</v>
      </c>
      <c r="Q1603">
        <v>0</v>
      </c>
      <c r="R1603" t="s">
        <v>1421</v>
      </c>
    </row>
    <row r="1604" spans="1:18" x14ac:dyDescent="0.3">
      <c r="A1604">
        <v>506</v>
      </c>
      <c r="B1604" t="s">
        <v>1422</v>
      </c>
      <c r="C1604" t="s">
        <v>941</v>
      </c>
      <c r="D1604" t="s">
        <v>71</v>
      </c>
      <c r="E1604" t="s">
        <v>22</v>
      </c>
      <c r="F1604" s="79">
        <v>45657</v>
      </c>
      <c r="G1604">
        <v>2024</v>
      </c>
      <c r="H1604" t="s">
        <v>23</v>
      </c>
      <c r="I1604" t="s">
        <v>30</v>
      </c>
      <c r="J1604">
        <v>80</v>
      </c>
      <c r="K1604">
        <v>67</v>
      </c>
      <c r="L1604" s="39">
        <f t="shared" si="122"/>
        <v>0.83750000000000002</v>
      </c>
      <c r="M1604" s="39">
        <f t="shared" si="123"/>
        <v>0.83750000000000002</v>
      </c>
      <c r="P1604">
        <v>0</v>
      </c>
      <c r="Q1604">
        <v>0</v>
      </c>
      <c r="R1604" t="s">
        <v>1423</v>
      </c>
    </row>
    <row r="1605" spans="1:18" x14ac:dyDescent="0.3">
      <c r="A1605">
        <v>506</v>
      </c>
      <c r="B1605" t="s">
        <v>1422</v>
      </c>
      <c r="C1605" t="s">
        <v>941</v>
      </c>
      <c r="D1605" t="s">
        <v>21</v>
      </c>
      <c r="E1605" t="s">
        <v>22</v>
      </c>
      <c r="F1605" s="79">
        <v>45838</v>
      </c>
      <c r="G1605">
        <v>2025</v>
      </c>
      <c r="H1605" t="s">
        <v>699</v>
      </c>
      <c r="I1605" t="s">
        <v>700</v>
      </c>
      <c r="J1605">
        <v>80</v>
      </c>
      <c r="K1605">
        <v>95</v>
      </c>
      <c r="L1605" s="39">
        <f t="shared" si="122"/>
        <v>1.1875</v>
      </c>
      <c r="M1605" s="39">
        <f t="shared" si="123"/>
        <v>1.1875</v>
      </c>
      <c r="N1605" t="s">
        <v>25</v>
      </c>
      <c r="O1605" t="s">
        <v>25</v>
      </c>
      <c r="P1605">
        <v>0</v>
      </c>
      <c r="Q1605">
        <v>0</v>
      </c>
      <c r="R1605" t="s">
        <v>3191</v>
      </c>
    </row>
    <row r="1606" spans="1:18" x14ac:dyDescent="0.3">
      <c r="A1606">
        <v>506</v>
      </c>
      <c r="B1606" t="s">
        <v>1422</v>
      </c>
      <c r="C1606" t="s">
        <v>941</v>
      </c>
      <c r="D1606" t="s">
        <v>21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J1606">
        <v>80</v>
      </c>
      <c r="K1606">
        <v>92.5</v>
      </c>
      <c r="L1606" s="39">
        <f t="shared" si="122"/>
        <v>1.15625</v>
      </c>
      <c r="M1606" s="39">
        <f t="shared" si="123"/>
        <v>1.15625</v>
      </c>
      <c r="N1606" t="s">
        <v>25</v>
      </c>
      <c r="O1606" t="s">
        <v>25</v>
      </c>
      <c r="P1606">
        <v>0</v>
      </c>
      <c r="Q1606">
        <v>0</v>
      </c>
      <c r="R1606" t="s">
        <v>1424</v>
      </c>
    </row>
    <row r="1607" spans="1:18" x14ac:dyDescent="0.3">
      <c r="A1607">
        <v>507</v>
      </c>
      <c r="B1607" t="s">
        <v>1425</v>
      </c>
      <c r="C1607" t="s">
        <v>711</v>
      </c>
      <c r="D1607" t="s">
        <v>71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77</v>
      </c>
      <c r="L1607" s="39">
        <f t="shared" si="122"/>
        <v>0.96250000000000002</v>
      </c>
      <c r="M1607" s="39">
        <f t="shared" si="123"/>
        <v>0.96250000000000002</v>
      </c>
      <c r="P1607">
        <v>0</v>
      </c>
      <c r="Q1607">
        <v>0</v>
      </c>
      <c r="R1607" t="s">
        <v>1426</v>
      </c>
    </row>
    <row r="1608" spans="1:18" x14ac:dyDescent="0.3">
      <c r="A1608">
        <v>507</v>
      </c>
      <c r="B1608" t="s">
        <v>1425</v>
      </c>
      <c r="C1608" t="s">
        <v>711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80</v>
      </c>
      <c r="K1608">
        <v>98.75</v>
      </c>
      <c r="L1608" s="39">
        <f t="shared" si="122"/>
        <v>1.234375</v>
      </c>
      <c r="M1608" s="39">
        <f t="shared" si="123"/>
        <v>1.234375</v>
      </c>
      <c r="N1608" t="s">
        <v>25</v>
      </c>
      <c r="O1608" t="s">
        <v>25</v>
      </c>
      <c r="P1608">
        <v>0</v>
      </c>
      <c r="Q1608">
        <v>0</v>
      </c>
      <c r="R1608" t="s">
        <v>3192</v>
      </c>
    </row>
    <row r="1609" spans="1:18" x14ac:dyDescent="0.3">
      <c r="A1609">
        <v>507</v>
      </c>
      <c r="B1609" t="s">
        <v>1425</v>
      </c>
      <c r="C1609" t="s">
        <v>711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80</v>
      </c>
      <c r="K1609">
        <v>99</v>
      </c>
      <c r="L1609" s="39">
        <f t="shared" si="122"/>
        <v>1.2375</v>
      </c>
      <c r="M1609" s="39">
        <f t="shared" si="123"/>
        <v>1.2375</v>
      </c>
      <c r="N1609" t="s">
        <v>25</v>
      </c>
      <c r="O1609" t="s">
        <v>25</v>
      </c>
      <c r="P1609">
        <v>0</v>
      </c>
      <c r="Q1609">
        <v>0</v>
      </c>
      <c r="R1609" t="s">
        <v>1427</v>
      </c>
    </row>
    <row r="1610" spans="1:18" x14ac:dyDescent="0.3">
      <c r="A1610">
        <v>508</v>
      </c>
      <c r="B1610" t="s">
        <v>1428</v>
      </c>
      <c r="C1610" t="s">
        <v>1089</v>
      </c>
      <c r="D1610" t="s">
        <v>71</v>
      </c>
      <c r="E1610" t="s">
        <v>22</v>
      </c>
      <c r="F1610" s="79">
        <v>45657</v>
      </c>
      <c r="G1610">
        <v>2024</v>
      </c>
      <c r="H1610" t="s">
        <v>23</v>
      </c>
      <c r="I1610" t="s">
        <v>30</v>
      </c>
      <c r="J1610">
        <v>80</v>
      </c>
      <c r="K1610">
        <v>88</v>
      </c>
      <c r="L1610" s="39">
        <f t="shared" si="122"/>
        <v>1.1000000000000001</v>
      </c>
      <c r="M1610" s="39">
        <f t="shared" si="123"/>
        <v>1.1000000000000001</v>
      </c>
      <c r="P1610">
        <v>0</v>
      </c>
      <c r="Q1610">
        <v>0</v>
      </c>
      <c r="R1610" t="s">
        <v>1429</v>
      </c>
    </row>
    <row r="1611" spans="1:18" x14ac:dyDescent="0.3">
      <c r="A1611">
        <v>508</v>
      </c>
      <c r="B1611" t="s">
        <v>1428</v>
      </c>
      <c r="C1611" t="s">
        <v>1089</v>
      </c>
      <c r="D1611" t="s">
        <v>71</v>
      </c>
      <c r="E1611" t="s">
        <v>22</v>
      </c>
      <c r="F1611" s="79">
        <v>46022</v>
      </c>
      <c r="G1611">
        <v>2025</v>
      </c>
      <c r="H1611" t="s">
        <v>23</v>
      </c>
      <c r="I1611" t="s">
        <v>32</v>
      </c>
      <c r="J1611">
        <v>80</v>
      </c>
      <c r="K1611">
        <v>89</v>
      </c>
      <c r="L1611" s="39">
        <f t="shared" si="122"/>
        <v>1.1125</v>
      </c>
      <c r="M1611" s="39">
        <f t="shared" si="123"/>
        <v>1.1125</v>
      </c>
      <c r="N1611" t="s">
        <v>25</v>
      </c>
      <c r="O1611" t="s">
        <v>25</v>
      </c>
      <c r="P1611">
        <v>0</v>
      </c>
      <c r="Q1611">
        <v>0</v>
      </c>
      <c r="R1611" t="s">
        <v>1430</v>
      </c>
    </row>
    <row r="1612" spans="1:18" x14ac:dyDescent="0.3">
      <c r="A1612">
        <v>509</v>
      </c>
      <c r="B1612" t="s">
        <v>1431</v>
      </c>
      <c r="C1612" t="s">
        <v>511</v>
      </c>
      <c r="D1612" t="s">
        <v>54</v>
      </c>
      <c r="E1612" t="s">
        <v>22</v>
      </c>
      <c r="F1612" s="79">
        <v>45838</v>
      </c>
      <c r="G1612">
        <v>2025</v>
      </c>
      <c r="H1612" t="s">
        <v>699</v>
      </c>
      <c r="I1612" t="s">
        <v>700</v>
      </c>
      <c r="J1612">
        <v>90</v>
      </c>
      <c r="K1612">
        <v>100.59</v>
      </c>
      <c r="L1612" s="39">
        <f t="shared" si="122"/>
        <v>1.1176666666666668</v>
      </c>
      <c r="M1612" s="39">
        <f t="shared" si="123"/>
        <v>1.1176666666666668</v>
      </c>
      <c r="N1612" t="s">
        <v>25</v>
      </c>
      <c r="O1612" t="s">
        <v>25</v>
      </c>
      <c r="P1612">
        <v>0</v>
      </c>
      <c r="Q1612">
        <v>0</v>
      </c>
      <c r="R1612" t="s">
        <v>3198</v>
      </c>
    </row>
    <row r="1613" spans="1:18" x14ac:dyDescent="0.3">
      <c r="A1613">
        <v>509</v>
      </c>
      <c r="B1613" t="s">
        <v>1431</v>
      </c>
      <c r="C1613" t="s">
        <v>511</v>
      </c>
      <c r="D1613" t="s">
        <v>54</v>
      </c>
      <c r="E1613" t="s">
        <v>22</v>
      </c>
      <c r="F1613" s="79">
        <v>46022</v>
      </c>
      <c r="G1613">
        <v>2025</v>
      </c>
      <c r="H1613" t="s">
        <v>23</v>
      </c>
      <c r="I1613" t="s">
        <v>32</v>
      </c>
      <c r="J1613">
        <v>90</v>
      </c>
      <c r="K1613">
        <v>97.33</v>
      </c>
      <c r="L1613" s="39">
        <f t="shared" si="122"/>
        <v>1.0814444444444444</v>
      </c>
      <c r="M1613" s="39">
        <f t="shared" si="123"/>
        <v>1.0814444444444444</v>
      </c>
      <c r="N1613" t="s">
        <v>25</v>
      </c>
      <c r="O1613" t="s">
        <v>25</v>
      </c>
      <c r="P1613">
        <v>0</v>
      </c>
      <c r="Q1613">
        <v>0</v>
      </c>
      <c r="R1613" t="s">
        <v>1432</v>
      </c>
    </row>
    <row r="1614" spans="1:18" x14ac:dyDescent="0.3">
      <c r="A1614">
        <v>510</v>
      </c>
      <c r="B1614" t="s">
        <v>1433</v>
      </c>
      <c r="C1614" t="s">
        <v>732</v>
      </c>
      <c r="D1614" t="s">
        <v>27</v>
      </c>
      <c r="E1614" t="s">
        <v>22</v>
      </c>
      <c r="F1614" s="79">
        <v>45838</v>
      </c>
      <c r="G1614">
        <v>2025</v>
      </c>
      <c r="H1614" t="s">
        <v>699</v>
      </c>
      <c r="I1614" t="s">
        <v>700</v>
      </c>
      <c r="K1614">
        <v>0</v>
      </c>
      <c r="L1614" s="39"/>
      <c r="M1614" s="39"/>
      <c r="N1614" t="s">
        <v>355</v>
      </c>
      <c r="O1614" t="s">
        <v>25</v>
      </c>
      <c r="P1614">
        <v>0</v>
      </c>
      <c r="Q1614">
        <v>0</v>
      </c>
      <c r="R1614" t="s">
        <v>3205</v>
      </c>
    </row>
    <row r="1615" spans="1:18" x14ac:dyDescent="0.3">
      <c r="A1615">
        <v>510</v>
      </c>
      <c r="B1615" t="s">
        <v>1433</v>
      </c>
      <c r="C1615" t="s">
        <v>732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K1615">
        <v>0</v>
      </c>
      <c r="L1615" s="39"/>
      <c r="M1615" s="39"/>
      <c r="N1615" t="s">
        <v>355</v>
      </c>
      <c r="O1615" t="s">
        <v>25</v>
      </c>
      <c r="P1615">
        <v>0</v>
      </c>
      <c r="Q1615">
        <v>0</v>
      </c>
      <c r="R1615" t="s">
        <v>1434</v>
      </c>
    </row>
    <row r="1616" spans="1:18" x14ac:dyDescent="0.3">
      <c r="A1616">
        <v>511</v>
      </c>
      <c r="B1616" t="s">
        <v>1435</v>
      </c>
      <c r="C1616" t="s">
        <v>732</v>
      </c>
      <c r="D1616" t="s">
        <v>27</v>
      </c>
      <c r="E1616" t="s">
        <v>22</v>
      </c>
      <c r="F1616" s="79">
        <v>45838</v>
      </c>
      <c r="G1616">
        <v>2025</v>
      </c>
      <c r="H1616" t="s">
        <v>699</v>
      </c>
      <c r="I1616" t="s">
        <v>700</v>
      </c>
      <c r="K1616">
        <v>86.36</v>
      </c>
      <c r="L1616" s="39"/>
      <c r="M1616" s="39"/>
      <c r="N1616" t="s">
        <v>355</v>
      </c>
      <c r="O1616" t="s">
        <v>25</v>
      </c>
      <c r="P1616">
        <v>0</v>
      </c>
      <c r="Q1616">
        <v>0</v>
      </c>
      <c r="R1616" t="s">
        <v>3208</v>
      </c>
    </row>
    <row r="1617" spans="1:18" x14ac:dyDescent="0.3">
      <c r="A1617">
        <v>511</v>
      </c>
      <c r="B1617" t="s">
        <v>1435</v>
      </c>
      <c r="C1617" t="s">
        <v>732</v>
      </c>
      <c r="D1617" t="s">
        <v>27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K1617">
        <v>171.12</v>
      </c>
      <c r="L1617" s="39"/>
      <c r="M1617" s="39"/>
      <c r="N1617" t="s">
        <v>355</v>
      </c>
      <c r="O1617" t="s">
        <v>25</v>
      </c>
      <c r="P1617">
        <v>0</v>
      </c>
      <c r="Q1617">
        <v>0</v>
      </c>
      <c r="R1617" t="s">
        <v>1436</v>
      </c>
    </row>
    <row r="1618" spans="1:18" x14ac:dyDescent="0.3">
      <c r="A1618">
        <v>513</v>
      </c>
      <c r="B1618" t="s">
        <v>1437</v>
      </c>
      <c r="C1618" t="s">
        <v>732</v>
      </c>
      <c r="D1618" t="s">
        <v>27</v>
      </c>
      <c r="E1618" t="s">
        <v>22</v>
      </c>
      <c r="F1618" s="79">
        <v>45838</v>
      </c>
      <c r="G1618">
        <v>2025</v>
      </c>
      <c r="H1618" t="s">
        <v>699</v>
      </c>
      <c r="I1618" t="s">
        <v>700</v>
      </c>
      <c r="K1618">
        <v>100</v>
      </c>
      <c r="L1618" s="39"/>
      <c r="M1618" s="39"/>
      <c r="N1618" t="s">
        <v>355</v>
      </c>
      <c r="O1618" t="s">
        <v>25</v>
      </c>
      <c r="P1618">
        <v>0</v>
      </c>
      <c r="Q1618">
        <v>0</v>
      </c>
      <c r="R1618" t="s">
        <v>3211</v>
      </c>
    </row>
    <row r="1619" spans="1:18" x14ac:dyDescent="0.3">
      <c r="A1619">
        <v>514</v>
      </c>
      <c r="B1619" t="s">
        <v>1439</v>
      </c>
      <c r="C1619" t="s">
        <v>732</v>
      </c>
      <c r="D1619" t="s">
        <v>21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70</v>
      </c>
      <c r="K1619">
        <v>91.82</v>
      </c>
      <c r="L1619" s="39">
        <f>IFERROR(IF(OR(J1619=0,K1619=""),"",IF(E1619="Positivo",MIN(MAX(K1619/J1619,0),1.3),MIN(MAX(J1619/K1619,0),1.3))),"")</f>
        <v>1.3</v>
      </c>
      <c r="M1619" s="39">
        <f>IFERROR(IF(OR(J1619=0,K1619=""),"",IF(E1619="Positivo",MAX(K1619/J1619,0),MAX(J1619/K1619,0))),"")</f>
        <v>1.3117142857142856</v>
      </c>
      <c r="N1619" t="s">
        <v>25</v>
      </c>
      <c r="O1619" t="s">
        <v>25</v>
      </c>
      <c r="P1619">
        <v>0</v>
      </c>
      <c r="Q1619">
        <v>0</v>
      </c>
      <c r="R1619" t="s">
        <v>3213</v>
      </c>
    </row>
    <row r="1620" spans="1:18" x14ac:dyDescent="0.3">
      <c r="A1620">
        <v>514</v>
      </c>
      <c r="B1620" t="s">
        <v>1439</v>
      </c>
      <c r="C1620" t="s">
        <v>732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70</v>
      </c>
      <c r="K1620">
        <v>45.96</v>
      </c>
      <c r="L1620" s="39">
        <f>IFERROR(IF(OR(J1620=0,K1620=""),"",IF(E1620="Positivo",MIN(MAX(K1620/J1620,0),1.3),MIN(MAX(J1620/K1620,0),1.3))),"")</f>
        <v>0.65657142857142858</v>
      </c>
      <c r="M1620" s="39">
        <f>IFERROR(IF(OR(J1620=0,K1620=""),"",IF(E1620="Positivo",MAX(K1620/J1620,0),MAX(J1620/K1620,0))),"")</f>
        <v>0.65657142857142858</v>
      </c>
      <c r="N1620" t="s">
        <v>25</v>
      </c>
      <c r="O1620" t="s">
        <v>25</v>
      </c>
      <c r="P1620">
        <v>0</v>
      </c>
      <c r="Q1620">
        <v>0</v>
      </c>
      <c r="R1620" t="s">
        <v>1440</v>
      </c>
    </row>
    <row r="1621" spans="1:18" x14ac:dyDescent="0.3">
      <c r="A1621">
        <v>515</v>
      </c>
      <c r="B1621" t="s">
        <v>1441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K1621">
        <v>66.67</v>
      </c>
      <c r="L1621" s="39"/>
      <c r="M1621" s="39"/>
      <c r="N1621" t="s">
        <v>25</v>
      </c>
      <c r="O1621" t="s">
        <v>25</v>
      </c>
      <c r="P1621">
        <v>0</v>
      </c>
      <c r="Q1621">
        <v>0</v>
      </c>
      <c r="R1621" t="s">
        <v>1442</v>
      </c>
    </row>
    <row r="1622" spans="1:18" x14ac:dyDescent="0.3">
      <c r="A1622">
        <v>516</v>
      </c>
      <c r="B1622" t="s">
        <v>1443</v>
      </c>
      <c r="C1622" t="s">
        <v>53</v>
      </c>
      <c r="D1622" t="s">
        <v>21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K1622">
        <v>315.79000000000002</v>
      </c>
      <c r="L1622" s="39"/>
      <c r="M1622" s="39"/>
      <c r="N1622" t="s">
        <v>25</v>
      </c>
      <c r="O1622" t="s">
        <v>25</v>
      </c>
      <c r="P1622">
        <v>0</v>
      </c>
      <c r="Q1622">
        <v>0</v>
      </c>
      <c r="R1622" t="s">
        <v>1444</v>
      </c>
    </row>
    <row r="1623" spans="1:18" x14ac:dyDescent="0.3">
      <c r="A1623">
        <v>518</v>
      </c>
      <c r="B1623" t="s">
        <v>62</v>
      </c>
      <c r="C1623" t="s">
        <v>63</v>
      </c>
      <c r="D1623" t="s">
        <v>64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J1623">
        <v>100</v>
      </c>
      <c r="K1623">
        <v>87.5</v>
      </c>
      <c r="L1623" s="39">
        <f t="shared" ref="L1623:L1655" si="124">IFERROR(IF(OR(J1623=0,K1623=""),"",IF(E1623="Positivo",MIN(MAX(K1623/J1623,0),1.3),MIN(MAX(J1623/K1623,0),1.3))),"")</f>
        <v>0.875</v>
      </c>
      <c r="M1623" s="39">
        <f t="shared" ref="M1623:M1655" si="125">IFERROR(IF(OR(J1623=0,K1623=""),"",IF(E1623="Positivo",MAX(K1623/J1623,0),MAX(J1623/K1623,0))),"")</f>
        <v>0.875</v>
      </c>
      <c r="N1623" t="s">
        <v>25</v>
      </c>
      <c r="O1623" t="s">
        <v>25</v>
      </c>
      <c r="P1623">
        <v>0</v>
      </c>
      <c r="Q1623">
        <v>0</v>
      </c>
      <c r="R1623" t="s">
        <v>3215</v>
      </c>
    </row>
    <row r="1624" spans="1:18" x14ac:dyDescent="0.3">
      <c r="A1624">
        <v>518</v>
      </c>
      <c r="B1624" t="s">
        <v>62</v>
      </c>
      <c r="C1624" t="s">
        <v>63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100</v>
      </c>
      <c r="K1624">
        <v>137.5</v>
      </c>
      <c r="L1624" s="39">
        <f t="shared" si="124"/>
        <v>1.3</v>
      </c>
      <c r="M1624" s="39">
        <f t="shared" si="125"/>
        <v>1.375</v>
      </c>
      <c r="N1624" t="s">
        <v>25</v>
      </c>
      <c r="O1624" t="s">
        <v>25</v>
      </c>
      <c r="P1624">
        <v>0</v>
      </c>
      <c r="Q1624">
        <v>0</v>
      </c>
      <c r="R1624" t="s">
        <v>1445</v>
      </c>
    </row>
    <row r="1625" spans="1:18" x14ac:dyDescent="0.3">
      <c r="A1625">
        <v>519</v>
      </c>
      <c r="B1625" t="s">
        <v>1446</v>
      </c>
      <c r="C1625" t="s">
        <v>1078</v>
      </c>
      <c r="D1625" t="s">
        <v>21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J1625">
        <v>100</v>
      </c>
      <c r="K1625">
        <v>431.45</v>
      </c>
      <c r="L1625" s="39">
        <f t="shared" si="124"/>
        <v>1.3</v>
      </c>
      <c r="M1625" s="39">
        <f t="shared" si="125"/>
        <v>4.3144999999999998</v>
      </c>
      <c r="N1625" t="s">
        <v>25</v>
      </c>
      <c r="O1625" t="s">
        <v>25</v>
      </c>
      <c r="P1625">
        <v>0</v>
      </c>
      <c r="Q1625">
        <v>0</v>
      </c>
      <c r="R1625" t="s">
        <v>3217</v>
      </c>
    </row>
    <row r="1626" spans="1:18" x14ac:dyDescent="0.3">
      <c r="A1626">
        <v>519</v>
      </c>
      <c r="B1626" t="s">
        <v>1446</v>
      </c>
      <c r="C1626" t="s">
        <v>1078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100</v>
      </c>
      <c r="K1626">
        <v>131.13</v>
      </c>
      <c r="L1626" s="39">
        <f t="shared" si="124"/>
        <v>1.3</v>
      </c>
      <c r="M1626" s="39">
        <f t="shared" si="125"/>
        <v>1.3112999999999999</v>
      </c>
      <c r="N1626" t="s">
        <v>25</v>
      </c>
      <c r="O1626" t="s">
        <v>25</v>
      </c>
      <c r="P1626">
        <v>0</v>
      </c>
      <c r="Q1626">
        <v>0</v>
      </c>
      <c r="R1626" t="s">
        <v>1447</v>
      </c>
    </row>
    <row r="1627" spans="1:18" x14ac:dyDescent="0.3">
      <c r="A1627">
        <v>522</v>
      </c>
      <c r="B1627" t="s">
        <v>1448</v>
      </c>
      <c r="C1627" t="s">
        <v>549</v>
      </c>
      <c r="D1627" t="s">
        <v>71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20</v>
      </c>
      <c r="K1627">
        <v>100</v>
      </c>
      <c r="L1627" s="39">
        <f t="shared" si="124"/>
        <v>1.3</v>
      </c>
      <c r="M1627" s="39">
        <f t="shared" si="125"/>
        <v>5</v>
      </c>
      <c r="N1627" t="s">
        <v>25</v>
      </c>
      <c r="O1627" t="s">
        <v>25</v>
      </c>
      <c r="P1627">
        <v>0</v>
      </c>
      <c r="Q1627">
        <v>0</v>
      </c>
      <c r="R1627" t="s">
        <v>1449</v>
      </c>
    </row>
    <row r="1628" spans="1:18" x14ac:dyDescent="0.3">
      <c r="A1628">
        <v>523</v>
      </c>
      <c r="B1628" t="s">
        <v>1043</v>
      </c>
      <c r="C1628" t="s">
        <v>159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95</v>
      </c>
      <c r="K1628">
        <v>128.41</v>
      </c>
      <c r="L1628" s="39">
        <f t="shared" si="124"/>
        <v>1.3</v>
      </c>
      <c r="M1628" s="39">
        <f t="shared" si="125"/>
        <v>1.3516842105263158</v>
      </c>
      <c r="N1628" t="s">
        <v>25</v>
      </c>
      <c r="O1628" t="s">
        <v>25</v>
      </c>
      <c r="P1628">
        <v>0</v>
      </c>
      <c r="Q1628">
        <v>0</v>
      </c>
      <c r="R1628" t="s">
        <v>3218</v>
      </c>
    </row>
    <row r="1629" spans="1:18" x14ac:dyDescent="0.3">
      <c r="A1629">
        <v>523</v>
      </c>
      <c r="B1629" t="s">
        <v>1043</v>
      </c>
      <c r="C1629" t="s">
        <v>159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95</v>
      </c>
      <c r="K1629">
        <v>95.76</v>
      </c>
      <c r="L1629" s="39">
        <f t="shared" si="124"/>
        <v>1.008</v>
      </c>
      <c r="M1629" s="39">
        <f t="shared" si="125"/>
        <v>1.008</v>
      </c>
      <c r="N1629" t="s">
        <v>25</v>
      </c>
      <c r="O1629" t="s">
        <v>25</v>
      </c>
      <c r="P1629">
        <v>0</v>
      </c>
      <c r="Q1629">
        <v>0</v>
      </c>
      <c r="R1629" t="s">
        <v>1450</v>
      </c>
    </row>
    <row r="1630" spans="1:18" x14ac:dyDescent="0.3">
      <c r="A1630">
        <v>524</v>
      </c>
      <c r="B1630" t="s">
        <v>1182</v>
      </c>
      <c r="C1630" t="s">
        <v>1183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99.38</v>
      </c>
      <c r="L1630" s="39">
        <f t="shared" si="124"/>
        <v>0.99379999999999991</v>
      </c>
      <c r="M1630" s="39">
        <f t="shared" si="125"/>
        <v>0.99379999999999991</v>
      </c>
      <c r="N1630" t="s">
        <v>128</v>
      </c>
      <c r="O1630" t="s">
        <v>128</v>
      </c>
      <c r="P1630">
        <v>0</v>
      </c>
      <c r="Q1630">
        <v>0</v>
      </c>
      <c r="R1630" t="s">
        <v>3219</v>
      </c>
    </row>
    <row r="1631" spans="1:18" x14ac:dyDescent="0.3">
      <c r="A1631">
        <v>524</v>
      </c>
      <c r="B1631" t="s">
        <v>1182</v>
      </c>
      <c r="C1631" t="s">
        <v>1183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106.07</v>
      </c>
      <c r="L1631" s="39">
        <f t="shared" si="124"/>
        <v>1.0607</v>
      </c>
      <c r="M1631" s="39">
        <f t="shared" si="125"/>
        <v>1.0607</v>
      </c>
      <c r="N1631" t="s">
        <v>128</v>
      </c>
      <c r="O1631" t="s">
        <v>128</v>
      </c>
      <c r="P1631">
        <v>0</v>
      </c>
      <c r="Q1631">
        <v>0</v>
      </c>
      <c r="R1631" t="s">
        <v>1451</v>
      </c>
    </row>
    <row r="1632" spans="1:18" x14ac:dyDescent="0.3">
      <c r="A1632">
        <v>526</v>
      </c>
      <c r="B1632" t="s">
        <v>1452</v>
      </c>
      <c r="C1632" t="s">
        <v>706</v>
      </c>
      <c r="D1632" t="s">
        <v>27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95</v>
      </c>
      <c r="K1632">
        <v>96.6</v>
      </c>
      <c r="L1632" s="39">
        <f t="shared" si="124"/>
        <v>1.0168421052631578</v>
      </c>
      <c r="M1632" s="39">
        <f t="shared" si="125"/>
        <v>1.0168421052631578</v>
      </c>
      <c r="N1632" t="s">
        <v>25</v>
      </c>
      <c r="O1632" t="s">
        <v>25</v>
      </c>
      <c r="P1632">
        <v>0</v>
      </c>
      <c r="Q1632">
        <v>0</v>
      </c>
      <c r="R1632" t="s">
        <v>3268</v>
      </c>
    </row>
    <row r="1633" spans="1:18" x14ac:dyDescent="0.3">
      <c r="A1633">
        <v>527</v>
      </c>
      <c r="B1633" t="s">
        <v>1454</v>
      </c>
      <c r="C1633" t="s">
        <v>567</v>
      </c>
      <c r="D1633" t="s">
        <v>71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197.94</v>
      </c>
      <c r="L1633" s="39">
        <f t="shared" si="124"/>
        <v>1.3</v>
      </c>
      <c r="M1633" s="39">
        <f t="shared" si="125"/>
        <v>1.9794</v>
      </c>
      <c r="N1633" t="s">
        <v>25</v>
      </c>
      <c r="O1633" t="s">
        <v>25</v>
      </c>
      <c r="P1633">
        <v>0</v>
      </c>
      <c r="Q1633">
        <v>0</v>
      </c>
      <c r="R1633" t="s">
        <v>1455</v>
      </c>
    </row>
    <row r="1634" spans="1:18" x14ac:dyDescent="0.3">
      <c r="A1634">
        <v>528</v>
      </c>
      <c r="B1634" t="s">
        <v>1456</v>
      </c>
      <c r="C1634" t="s">
        <v>567</v>
      </c>
      <c r="D1634" t="s">
        <v>71</v>
      </c>
      <c r="E1634" t="s">
        <v>22</v>
      </c>
      <c r="F1634" s="79">
        <v>45838</v>
      </c>
      <c r="G1634">
        <v>2025</v>
      </c>
      <c r="H1634" t="s">
        <v>699</v>
      </c>
      <c r="I1634" t="s">
        <v>700</v>
      </c>
      <c r="J1634">
        <v>100</v>
      </c>
      <c r="K1634">
        <v>173.92055267703</v>
      </c>
      <c r="L1634" s="39">
        <f t="shared" si="124"/>
        <v>1.3</v>
      </c>
      <c r="M1634" s="39">
        <f t="shared" si="125"/>
        <v>1.7392055267702999</v>
      </c>
      <c r="N1634" t="s">
        <v>128</v>
      </c>
      <c r="O1634" t="s">
        <v>128</v>
      </c>
      <c r="P1634">
        <v>0</v>
      </c>
      <c r="Q1634">
        <v>0</v>
      </c>
      <c r="R1634" t="s">
        <v>3221</v>
      </c>
    </row>
    <row r="1635" spans="1:18" x14ac:dyDescent="0.3">
      <c r="A1635">
        <v>528</v>
      </c>
      <c r="B1635" t="s">
        <v>1456</v>
      </c>
      <c r="C1635" t="s">
        <v>567</v>
      </c>
      <c r="D1635" t="s">
        <v>71</v>
      </c>
      <c r="E1635" t="s">
        <v>22</v>
      </c>
      <c r="F1635" s="79">
        <v>46022</v>
      </c>
      <c r="G1635">
        <v>2025</v>
      </c>
      <c r="H1635" t="s">
        <v>23</v>
      </c>
      <c r="I1635" t="s">
        <v>32</v>
      </c>
      <c r="J1635">
        <v>100</v>
      </c>
      <c r="K1635">
        <v>1158</v>
      </c>
      <c r="L1635" s="39">
        <f t="shared" si="124"/>
        <v>1.3</v>
      </c>
      <c r="M1635" s="39">
        <f t="shared" si="125"/>
        <v>11.58</v>
      </c>
      <c r="N1635" t="s">
        <v>128</v>
      </c>
      <c r="O1635" t="s">
        <v>128</v>
      </c>
      <c r="P1635">
        <v>0</v>
      </c>
      <c r="Q1635">
        <v>0</v>
      </c>
      <c r="R1635" t="s">
        <v>1457</v>
      </c>
    </row>
    <row r="1636" spans="1:18" x14ac:dyDescent="0.3">
      <c r="A1636">
        <v>529</v>
      </c>
      <c r="B1636" t="s">
        <v>1458</v>
      </c>
      <c r="C1636" t="s">
        <v>167</v>
      </c>
      <c r="D1636" t="s">
        <v>27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180</v>
      </c>
      <c r="K1636">
        <v>294.16000000000003</v>
      </c>
      <c r="L1636" s="39">
        <f t="shared" si="124"/>
        <v>1.3</v>
      </c>
      <c r="M1636" s="39">
        <f t="shared" si="125"/>
        <v>1.6342222222222225</v>
      </c>
      <c r="N1636" t="s">
        <v>25</v>
      </c>
      <c r="O1636" t="s">
        <v>25</v>
      </c>
      <c r="P1636">
        <v>0</v>
      </c>
      <c r="Q1636">
        <v>0</v>
      </c>
      <c r="R1636" t="s">
        <v>1459</v>
      </c>
    </row>
    <row r="1637" spans="1:18" x14ac:dyDescent="0.3">
      <c r="A1637">
        <v>530</v>
      </c>
      <c r="B1637" t="s">
        <v>1460</v>
      </c>
      <c r="C1637" t="s">
        <v>53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85.56</v>
      </c>
      <c r="L1637" s="39">
        <f t="shared" si="124"/>
        <v>0.88206185567010309</v>
      </c>
      <c r="M1637" s="39">
        <f t="shared" si="125"/>
        <v>0.88206185567010309</v>
      </c>
      <c r="N1637" t="s">
        <v>25</v>
      </c>
      <c r="O1637" t="s">
        <v>25</v>
      </c>
      <c r="P1637">
        <v>0</v>
      </c>
      <c r="Q1637">
        <v>0</v>
      </c>
      <c r="R1637" t="s">
        <v>1461</v>
      </c>
    </row>
    <row r="1638" spans="1:18" x14ac:dyDescent="0.3">
      <c r="A1638">
        <v>531</v>
      </c>
      <c r="B1638" t="s">
        <v>1462</v>
      </c>
      <c r="C1638" t="s">
        <v>53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90</v>
      </c>
      <c r="K1638">
        <v>93.94</v>
      </c>
      <c r="L1638" s="39">
        <f t="shared" si="124"/>
        <v>1.0437777777777777</v>
      </c>
      <c r="M1638" s="39">
        <f t="shared" si="125"/>
        <v>1.0437777777777777</v>
      </c>
      <c r="N1638" t="s">
        <v>25</v>
      </c>
      <c r="O1638" t="s">
        <v>25</v>
      </c>
      <c r="P1638">
        <v>0</v>
      </c>
      <c r="Q1638">
        <v>0</v>
      </c>
      <c r="R1638" t="s">
        <v>1463</v>
      </c>
    </row>
    <row r="1639" spans="1:18" x14ac:dyDescent="0.3">
      <c r="A1639">
        <v>532</v>
      </c>
      <c r="B1639" t="s">
        <v>1464</v>
      </c>
      <c r="C1639" t="s">
        <v>246</v>
      </c>
      <c r="D1639" t="s">
        <v>21</v>
      </c>
      <c r="E1639" t="s">
        <v>22</v>
      </c>
      <c r="F1639" s="79">
        <v>45838</v>
      </c>
      <c r="G1639">
        <v>2025</v>
      </c>
      <c r="H1639" t="s">
        <v>699</v>
      </c>
      <c r="I1639" t="s">
        <v>700</v>
      </c>
      <c r="J1639">
        <v>100</v>
      </c>
      <c r="K1639">
        <v>133.15</v>
      </c>
      <c r="L1639" s="39">
        <f t="shared" si="124"/>
        <v>1.3</v>
      </c>
      <c r="M1639" s="39">
        <f t="shared" si="125"/>
        <v>1.3315000000000001</v>
      </c>
      <c r="N1639" t="s">
        <v>25</v>
      </c>
      <c r="O1639" t="s">
        <v>25</v>
      </c>
      <c r="P1639">
        <v>0</v>
      </c>
      <c r="Q1639">
        <v>0</v>
      </c>
      <c r="R1639" t="s">
        <v>3224</v>
      </c>
    </row>
    <row r="1640" spans="1:18" x14ac:dyDescent="0.3">
      <c r="A1640">
        <v>532</v>
      </c>
      <c r="B1640" t="s">
        <v>1464</v>
      </c>
      <c r="C1640" t="s">
        <v>246</v>
      </c>
      <c r="D1640" t="s">
        <v>21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100</v>
      </c>
      <c r="K1640">
        <v>134.78</v>
      </c>
      <c r="L1640" s="39">
        <f t="shared" si="124"/>
        <v>1.3</v>
      </c>
      <c r="M1640" s="39">
        <f t="shared" si="125"/>
        <v>1.3478000000000001</v>
      </c>
      <c r="N1640" t="s">
        <v>25</v>
      </c>
      <c r="O1640" t="s">
        <v>25</v>
      </c>
      <c r="P1640">
        <v>0</v>
      </c>
      <c r="Q1640">
        <v>0</v>
      </c>
      <c r="R1640" t="s">
        <v>1465</v>
      </c>
    </row>
    <row r="1641" spans="1:18" x14ac:dyDescent="0.3">
      <c r="A1641">
        <v>533</v>
      </c>
      <c r="B1641" t="s">
        <v>1466</v>
      </c>
      <c r="C1641" t="s">
        <v>246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124.89</v>
      </c>
      <c r="L1641" s="39">
        <f t="shared" si="124"/>
        <v>1.2488999999999999</v>
      </c>
      <c r="M1641" s="39">
        <f t="shared" si="125"/>
        <v>1.2488999999999999</v>
      </c>
      <c r="N1641" t="s">
        <v>25</v>
      </c>
      <c r="O1641" t="s">
        <v>25</v>
      </c>
      <c r="P1641">
        <v>0</v>
      </c>
      <c r="Q1641">
        <v>0</v>
      </c>
      <c r="R1641" t="s">
        <v>3225</v>
      </c>
    </row>
    <row r="1642" spans="1:18" x14ac:dyDescent="0.3">
      <c r="A1642">
        <v>533</v>
      </c>
      <c r="B1642" t="s">
        <v>1466</v>
      </c>
      <c r="C1642" t="s">
        <v>246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177.95</v>
      </c>
      <c r="L1642" s="39">
        <f t="shared" si="124"/>
        <v>1.3</v>
      </c>
      <c r="M1642" s="39">
        <f t="shared" si="125"/>
        <v>1.7794999999999999</v>
      </c>
      <c r="N1642" t="s">
        <v>25</v>
      </c>
      <c r="O1642" t="s">
        <v>25</v>
      </c>
      <c r="P1642">
        <v>0</v>
      </c>
      <c r="Q1642">
        <v>0</v>
      </c>
      <c r="R1642" t="s">
        <v>1467</v>
      </c>
    </row>
    <row r="1643" spans="1:18" x14ac:dyDescent="0.3">
      <c r="A1643">
        <v>534</v>
      </c>
      <c r="B1643" t="s">
        <v>1468</v>
      </c>
      <c r="C1643" t="s">
        <v>246</v>
      </c>
      <c r="D1643" t="s">
        <v>21</v>
      </c>
      <c r="E1643" t="s">
        <v>22</v>
      </c>
      <c r="F1643" s="79">
        <v>45838</v>
      </c>
      <c r="G1643">
        <v>2025</v>
      </c>
      <c r="H1643" t="s">
        <v>699</v>
      </c>
      <c r="I1643" t="s">
        <v>700</v>
      </c>
      <c r="J1643">
        <v>100</v>
      </c>
      <c r="K1643">
        <v>134.09</v>
      </c>
      <c r="L1643" s="39">
        <f t="shared" si="124"/>
        <v>1.3</v>
      </c>
      <c r="M1643" s="39">
        <f t="shared" si="125"/>
        <v>1.3409</v>
      </c>
      <c r="N1643" t="s">
        <v>25</v>
      </c>
      <c r="O1643" t="s">
        <v>25</v>
      </c>
      <c r="P1643">
        <v>0</v>
      </c>
      <c r="Q1643">
        <v>0</v>
      </c>
      <c r="R1643" t="s">
        <v>3226</v>
      </c>
    </row>
    <row r="1644" spans="1:18" x14ac:dyDescent="0.3">
      <c r="A1644">
        <v>534</v>
      </c>
      <c r="B1644" t="s">
        <v>1468</v>
      </c>
      <c r="C1644" t="s">
        <v>246</v>
      </c>
      <c r="D1644" t="s">
        <v>21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134.53</v>
      </c>
      <c r="L1644" s="39">
        <f t="shared" si="124"/>
        <v>1.3</v>
      </c>
      <c r="M1644" s="39">
        <f t="shared" si="125"/>
        <v>1.3452999999999999</v>
      </c>
      <c r="N1644" t="s">
        <v>25</v>
      </c>
      <c r="O1644" t="s">
        <v>25</v>
      </c>
      <c r="P1644">
        <v>0</v>
      </c>
      <c r="Q1644">
        <v>0</v>
      </c>
      <c r="R1644" t="s">
        <v>1469</v>
      </c>
    </row>
    <row r="1645" spans="1:18" x14ac:dyDescent="0.3">
      <c r="A1645">
        <v>535</v>
      </c>
      <c r="B1645" t="s">
        <v>1470</v>
      </c>
      <c r="C1645" t="s">
        <v>246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J1645">
        <v>100</v>
      </c>
      <c r="K1645">
        <v>132.66999999999999</v>
      </c>
      <c r="L1645" s="39">
        <f t="shared" si="124"/>
        <v>1.3</v>
      </c>
      <c r="M1645" s="39">
        <f t="shared" si="125"/>
        <v>1.3266999999999998</v>
      </c>
      <c r="N1645" t="s">
        <v>25</v>
      </c>
      <c r="O1645" t="s">
        <v>25</v>
      </c>
      <c r="P1645">
        <v>0</v>
      </c>
      <c r="Q1645">
        <v>0</v>
      </c>
      <c r="R1645" t="s">
        <v>3227</v>
      </c>
    </row>
    <row r="1646" spans="1:18" x14ac:dyDescent="0.3">
      <c r="A1646">
        <v>535</v>
      </c>
      <c r="B1646" t="s">
        <v>1470</v>
      </c>
      <c r="C1646" t="s">
        <v>246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J1646">
        <v>100</v>
      </c>
      <c r="K1646">
        <v>209.63</v>
      </c>
      <c r="L1646" s="39">
        <f t="shared" si="124"/>
        <v>1.3</v>
      </c>
      <c r="M1646" s="39">
        <f t="shared" si="125"/>
        <v>2.0962999999999998</v>
      </c>
      <c r="N1646" t="s">
        <v>25</v>
      </c>
      <c r="O1646" t="s">
        <v>25</v>
      </c>
      <c r="P1646">
        <v>0</v>
      </c>
      <c r="Q1646">
        <v>0</v>
      </c>
      <c r="R1646" t="s">
        <v>1471</v>
      </c>
    </row>
    <row r="1647" spans="1:18" x14ac:dyDescent="0.3">
      <c r="A1647">
        <v>536</v>
      </c>
      <c r="B1647" t="s">
        <v>1472</v>
      </c>
      <c r="C1647" t="s">
        <v>246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100</v>
      </c>
      <c r="K1647">
        <v>109.33</v>
      </c>
      <c r="L1647" s="39">
        <f t="shared" si="124"/>
        <v>1.0932999999999999</v>
      </c>
      <c r="M1647" s="39">
        <f t="shared" si="125"/>
        <v>1.0932999999999999</v>
      </c>
      <c r="N1647" t="s">
        <v>25</v>
      </c>
      <c r="O1647" t="s">
        <v>25</v>
      </c>
      <c r="P1647">
        <v>0</v>
      </c>
      <c r="Q1647">
        <v>0</v>
      </c>
      <c r="R1647" t="s">
        <v>3228</v>
      </c>
    </row>
    <row r="1648" spans="1:18" x14ac:dyDescent="0.3">
      <c r="A1648">
        <v>536</v>
      </c>
      <c r="B1648" t="s">
        <v>1472</v>
      </c>
      <c r="C1648" t="s">
        <v>246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100</v>
      </c>
      <c r="K1648">
        <v>260.75</v>
      </c>
      <c r="L1648" s="39">
        <f t="shared" si="124"/>
        <v>1.3</v>
      </c>
      <c r="M1648" s="39">
        <f t="shared" si="125"/>
        <v>2.6074999999999999</v>
      </c>
      <c r="N1648" t="s">
        <v>25</v>
      </c>
      <c r="O1648" t="s">
        <v>25</v>
      </c>
      <c r="P1648">
        <v>0</v>
      </c>
      <c r="Q1648">
        <v>0</v>
      </c>
      <c r="R1648" t="s">
        <v>1473</v>
      </c>
    </row>
    <row r="1649" spans="1:19" x14ac:dyDescent="0.3">
      <c r="A1649">
        <v>537</v>
      </c>
      <c r="B1649" t="s">
        <v>1474</v>
      </c>
      <c r="C1649" t="s">
        <v>333</v>
      </c>
      <c r="D1649" t="s">
        <v>21</v>
      </c>
      <c r="E1649" t="s">
        <v>22</v>
      </c>
      <c r="F1649" s="79">
        <v>45838</v>
      </c>
      <c r="G1649">
        <v>2025</v>
      </c>
      <c r="H1649" t="s">
        <v>699</v>
      </c>
      <c r="I1649" t="s">
        <v>700</v>
      </c>
      <c r="J1649">
        <v>65</v>
      </c>
      <c r="K1649">
        <v>58.9</v>
      </c>
      <c r="L1649" s="39">
        <f t="shared" si="124"/>
        <v>0.90615384615384609</v>
      </c>
      <c r="M1649" s="39">
        <f t="shared" si="125"/>
        <v>0.90615384615384609</v>
      </c>
      <c r="N1649" t="s">
        <v>128</v>
      </c>
      <c r="O1649" t="s">
        <v>128</v>
      </c>
      <c r="P1649">
        <v>0</v>
      </c>
      <c r="Q1649">
        <v>0</v>
      </c>
      <c r="R1649" t="s">
        <v>3229</v>
      </c>
    </row>
    <row r="1650" spans="1:19" x14ac:dyDescent="0.3">
      <c r="A1650">
        <v>537</v>
      </c>
      <c r="B1650" t="s">
        <v>1474</v>
      </c>
      <c r="C1650" t="s">
        <v>333</v>
      </c>
      <c r="D1650" t="s">
        <v>21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J1650">
        <v>65</v>
      </c>
      <c r="K1650">
        <v>64.3</v>
      </c>
      <c r="L1650" s="39">
        <f t="shared" si="124"/>
        <v>0.98923076923076914</v>
      </c>
      <c r="M1650" s="39">
        <f t="shared" si="125"/>
        <v>0.98923076923076914</v>
      </c>
      <c r="N1650" t="s">
        <v>128</v>
      </c>
      <c r="O1650" t="s">
        <v>128</v>
      </c>
      <c r="P1650">
        <v>0</v>
      </c>
      <c r="Q1650">
        <v>0</v>
      </c>
      <c r="R1650" t="s">
        <v>1475</v>
      </c>
    </row>
    <row r="1651" spans="1:19" x14ac:dyDescent="0.3">
      <c r="A1651">
        <v>538</v>
      </c>
      <c r="B1651" t="s">
        <v>1476</v>
      </c>
      <c r="C1651" t="s">
        <v>541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90</v>
      </c>
      <c r="K1651">
        <v>100</v>
      </c>
      <c r="L1651" s="39">
        <f t="shared" si="124"/>
        <v>1.1111111111111112</v>
      </c>
      <c r="M1651" s="39">
        <f t="shared" si="125"/>
        <v>1.1111111111111112</v>
      </c>
      <c r="N1651" t="s">
        <v>25</v>
      </c>
      <c r="O1651" t="s">
        <v>25</v>
      </c>
      <c r="P1651">
        <v>0</v>
      </c>
      <c r="Q1651">
        <v>0</v>
      </c>
      <c r="R1651" t="s">
        <v>1477</v>
      </c>
    </row>
    <row r="1652" spans="1:19" x14ac:dyDescent="0.3">
      <c r="A1652">
        <v>539</v>
      </c>
      <c r="B1652" t="s">
        <v>1478</v>
      </c>
      <c r="C1652" t="s">
        <v>541</v>
      </c>
      <c r="D1652" t="s">
        <v>21</v>
      </c>
      <c r="E1652" t="s">
        <v>41</v>
      </c>
      <c r="F1652" s="79">
        <v>46022</v>
      </c>
      <c r="G1652">
        <v>2025</v>
      </c>
      <c r="H1652" t="s">
        <v>23</v>
      </c>
      <c r="I1652" t="s">
        <v>32</v>
      </c>
      <c r="J1652">
        <v>2.5</v>
      </c>
      <c r="K1652">
        <v>2.5</v>
      </c>
      <c r="L1652" s="39">
        <f t="shared" si="124"/>
        <v>1</v>
      </c>
      <c r="M1652" s="39">
        <f t="shared" si="125"/>
        <v>1</v>
      </c>
      <c r="N1652" t="s">
        <v>25</v>
      </c>
      <c r="O1652" t="s">
        <v>25</v>
      </c>
      <c r="P1652">
        <v>0</v>
      </c>
      <c r="Q1652">
        <v>0</v>
      </c>
      <c r="R1652" t="s">
        <v>1479</v>
      </c>
    </row>
    <row r="1653" spans="1:19" x14ac:dyDescent="0.3">
      <c r="A1653">
        <v>540</v>
      </c>
      <c r="B1653" t="s">
        <v>1480</v>
      </c>
      <c r="C1653" t="s">
        <v>922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J1653">
        <v>97</v>
      </c>
      <c r="K1653">
        <v>97.33</v>
      </c>
      <c r="L1653" s="39">
        <f t="shared" si="124"/>
        <v>1.00340206185567</v>
      </c>
      <c r="M1653" s="39">
        <f t="shared" si="125"/>
        <v>1.00340206185567</v>
      </c>
      <c r="N1653" t="s">
        <v>25</v>
      </c>
      <c r="O1653" t="s">
        <v>25</v>
      </c>
      <c r="P1653">
        <v>0</v>
      </c>
      <c r="Q1653">
        <v>0</v>
      </c>
      <c r="R1653" t="s">
        <v>3230</v>
      </c>
    </row>
    <row r="1654" spans="1:19" x14ac:dyDescent="0.3">
      <c r="A1654">
        <v>540</v>
      </c>
      <c r="B1654" t="s">
        <v>1480</v>
      </c>
      <c r="C1654" t="s">
        <v>922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97</v>
      </c>
      <c r="K1654">
        <v>97.9</v>
      </c>
      <c r="L1654" s="39">
        <f t="shared" si="124"/>
        <v>1.0092783505154639</v>
      </c>
      <c r="M1654" s="39">
        <f t="shared" si="125"/>
        <v>1.0092783505154639</v>
      </c>
      <c r="N1654" t="s">
        <v>25</v>
      </c>
      <c r="O1654" t="s">
        <v>25</v>
      </c>
      <c r="P1654">
        <v>0</v>
      </c>
      <c r="Q1654">
        <v>0</v>
      </c>
      <c r="R1654" t="s">
        <v>1481</v>
      </c>
    </row>
    <row r="1655" spans="1:19" x14ac:dyDescent="0.3">
      <c r="A1655">
        <v>541</v>
      </c>
      <c r="B1655" t="s">
        <v>1482</v>
      </c>
      <c r="C1655" t="s">
        <v>842</v>
      </c>
      <c r="D1655" t="s">
        <v>71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4</v>
      </c>
      <c r="K1655">
        <v>6.99</v>
      </c>
      <c r="L1655" s="39">
        <f t="shared" si="124"/>
        <v>1.3</v>
      </c>
      <c r="M1655" s="39">
        <f t="shared" si="125"/>
        <v>1.7475000000000001</v>
      </c>
      <c r="N1655" t="s">
        <v>25</v>
      </c>
      <c r="O1655" t="s">
        <v>25</v>
      </c>
      <c r="P1655">
        <v>0</v>
      </c>
      <c r="Q1655">
        <v>0</v>
      </c>
      <c r="R1655" t="s">
        <v>1483</v>
      </c>
    </row>
    <row r="1656" spans="1:19" x14ac:dyDescent="0.3">
      <c r="A1656">
        <v>542</v>
      </c>
      <c r="B1656" t="s">
        <v>1484</v>
      </c>
      <c r="C1656" t="s">
        <v>842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K1656">
        <v>81.239999999999995</v>
      </c>
      <c r="L1656" s="39"/>
      <c r="M1656" s="39"/>
      <c r="N1656" t="s">
        <v>25</v>
      </c>
      <c r="O1656" t="s">
        <v>25</v>
      </c>
      <c r="P1656">
        <v>0</v>
      </c>
      <c r="Q1656">
        <v>0</v>
      </c>
      <c r="R1656" t="s">
        <v>1485</v>
      </c>
      <c r="S1656" t="s">
        <v>263</v>
      </c>
    </row>
    <row r="1657" spans="1:19" x14ac:dyDescent="0.3">
      <c r="A1657">
        <v>543</v>
      </c>
      <c r="B1657" t="s">
        <v>1486</v>
      </c>
      <c r="C1657" t="s">
        <v>308</v>
      </c>
      <c r="D1657" t="s">
        <v>21</v>
      </c>
      <c r="E1657" t="s">
        <v>22</v>
      </c>
      <c r="F1657" s="79">
        <v>45838</v>
      </c>
      <c r="G1657">
        <v>2025</v>
      </c>
      <c r="H1657" t="s">
        <v>699</v>
      </c>
      <c r="I1657" t="s">
        <v>700</v>
      </c>
      <c r="K1657">
        <v>7.29</v>
      </c>
      <c r="L1657" s="39"/>
      <c r="M1657" s="39"/>
      <c r="N1657" t="s">
        <v>128</v>
      </c>
      <c r="O1657" t="s">
        <v>128</v>
      </c>
      <c r="P1657">
        <v>0</v>
      </c>
      <c r="Q1657">
        <v>0</v>
      </c>
      <c r="R1657" t="s">
        <v>3231</v>
      </c>
    </row>
    <row r="1658" spans="1:19" x14ac:dyDescent="0.3">
      <c r="A1658">
        <v>543</v>
      </c>
      <c r="B1658" t="s">
        <v>1486</v>
      </c>
      <c r="C1658" t="s">
        <v>308</v>
      </c>
      <c r="D1658" t="s">
        <v>21</v>
      </c>
      <c r="E1658" t="s">
        <v>22</v>
      </c>
      <c r="F1658" s="79">
        <v>46022</v>
      </c>
      <c r="G1658">
        <v>2025</v>
      </c>
      <c r="H1658" t="s">
        <v>23</v>
      </c>
      <c r="I1658" t="s">
        <v>32</v>
      </c>
      <c r="K1658">
        <v>6.91</v>
      </c>
      <c r="L1658" s="39"/>
      <c r="M1658" s="39"/>
      <c r="N1658" t="s">
        <v>128</v>
      </c>
      <c r="O1658" t="s">
        <v>128</v>
      </c>
      <c r="P1658">
        <v>0</v>
      </c>
      <c r="Q1658">
        <v>0</v>
      </c>
      <c r="R1658" t="s">
        <v>1487</v>
      </c>
    </row>
    <row r="1659" spans="1:19" x14ac:dyDescent="0.3">
      <c r="A1659">
        <v>544</v>
      </c>
      <c r="B1659" t="s">
        <v>1488</v>
      </c>
      <c r="C1659" t="s">
        <v>1110</v>
      </c>
      <c r="D1659" t="s">
        <v>21</v>
      </c>
      <c r="E1659" t="s">
        <v>22</v>
      </c>
      <c r="F1659" s="79">
        <v>45838</v>
      </c>
      <c r="G1659">
        <v>2025</v>
      </c>
      <c r="H1659" t="s">
        <v>699</v>
      </c>
      <c r="I1659" t="s">
        <v>700</v>
      </c>
      <c r="J1659">
        <v>100</v>
      </c>
      <c r="K1659">
        <v>250</v>
      </c>
      <c r="L1659" s="39">
        <f>IFERROR(IF(OR(J1659=0,K1659=""),"",IF(E1659="Positivo",MIN(MAX(K1659/J1659,0),1.3),MIN(MAX(J1659/K1659,0),1.3))),"")</f>
        <v>1.3</v>
      </c>
      <c r="M1659" s="39">
        <f>IFERROR(IF(OR(J1659=0,K1659=""),"",IF(E1659="Positivo",MAX(K1659/J1659,0),MAX(J1659/K1659,0))),"")</f>
        <v>2.5</v>
      </c>
      <c r="N1659" t="s">
        <v>128</v>
      </c>
      <c r="O1659" t="s">
        <v>128</v>
      </c>
      <c r="P1659">
        <v>0</v>
      </c>
      <c r="Q1659">
        <v>0</v>
      </c>
      <c r="R1659" t="s">
        <v>3232</v>
      </c>
    </row>
    <row r="1660" spans="1:19" x14ac:dyDescent="0.3">
      <c r="A1660">
        <v>544</v>
      </c>
      <c r="B1660" t="s">
        <v>1488</v>
      </c>
      <c r="C1660" t="s">
        <v>1110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32</v>
      </c>
      <c r="J1660">
        <v>100</v>
      </c>
      <c r="K1660">
        <v>162.5</v>
      </c>
      <c r="L1660" s="39">
        <f>IFERROR(IF(OR(J1660=0,K1660=""),"",IF(E1660="Positivo",MIN(MAX(K1660/J1660,0),1.3),MIN(MAX(J1660/K1660,0),1.3))),"")</f>
        <v>1.3</v>
      </c>
      <c r="M1660" s="39">
        <f>IFERROR(IF(OR(J1660=0,K1660=""),"",IF(E1660="Positivo",MAX(K1660/J1660,0),MAX(J1660/K1660,0))),"")</f>
        <v>1.625</v>
      </c>
      <c r="N1660" t="s">
        <v>128</v>
      </c>
      <c r="O1660" t="s">
        <v>128</v>
      </c>
      <c r="P1660">
        <v>0</v>
      </c>
      <c r="Q1660">
        <v>0</v>
      </c>
      <c r="R1660" t="s">
        <v>1489</v>
      </c>
    </row>
    <row r="1661" spans="1:19" x14ac:dyDescent="0.3">
      <c r="A1661">
        <v>546</v>
      </c>
      <c r="B1661" t="s">
        <v>1490</v>
      </c>
      <c r="C1661" t="s">
        <v>842</v>
      </c>
      <c r="D1661" t="s">
        <v>71</v>
      </c>
      <c r="E1661" t="s">
        <v>22</v>
      </c>
      <c r="F1661" s="79">
        <v>46022</v>
      </c>
      <c r="G1661">
        <v>2025</v>
      </c>
      <c r="H1661" t="s">
        <v>23</v>
      </c>
      <c r="I1661" t="s">
        <v>32</v>
      </c>
      <c r="J1661">
        <v>100</v>
      </c>
      <c r="K1661">
        <v>113.38</v>
      </c>
      <c r="L1661" s="39">
        <f>IFERROR(IF(OR(J1661=0,K1661=""),"",IF(E1661="Positivo",MIN(MAX(K1661/J1661,0),1.3),MIN(MAX(J1661/K1661,0),1.3))),"")</f>
        <v>1.1337999999999999</v>
      </c>
      <c r="M1661" s="39">
        <f>IFERROR(IF(OR(J1661=0,K1661=""),"",IF(E1661="Positivo",MAX(K1661/J1661,0),MAX(J1661/K1661,0))),"")</f>
        <v>1.1337999999999999</v>
      </c>
      <c r="N1661" t="s">
        <v>25</v>
      </c>
      <c r="O1661" t="s">
        <v>25</v>
      </c>
      <c r="P1661">
        <v>0</v>
      </c>
      <c r="Q1661">
        <v>0</v>
      </c>
      <c r="R1661" t="s">
        <v>1491</v>
      </c>
    </row>
    <row r="1662" spans="1:19" x14ac:dyDescent="0.3">
      <c r="A1662">
        <v>547</v>
      </c>
      <c r="B1662" t="s">
        <v>1492</v>
      </c>
      <c r="C1662" t="s">
        <v>842</v>
      </c>
      <c r="D1662" t="s">
        <v>71</v>
      </c>
      <c r="E1662" t="s">
        <v>22</v>
      </c>
      <c r="F1662" s="79">
        <v>46022</v>
      </c>
      <c r="G1662">
        <v>2025</v>
      </c>
      <c r="H1662" t="s">
        <v>23</v>
      </c>
      <c r="I1662" t="s">
        <v>32</v>
      </c>
      <c r="K1662">
        <v>92</v>
      </c>
      <c r="L1662" s="39"/>
      <c r="M1662" s="39"/>
      <c r="N1662" t="s">
        <v>25</v>
      </c>
      <c r="O1662" t="s">
        <v>25</v>
      </c>
      <c r="P1662">
        <v>0</v>
      </c>
      <c r="Q1662">
        <v>0</v>
      </c>
      <c r="R1662" t="s">
        <v>1493</v>
      </c>
    </row>
    <row r="1663" spans="1:19" x14ac:dyDescent="0.3">
      <c r="A1663">
        <v>550</v>
      </c>
      <c r="B1663" t="s">
        <v>1494</v>
      </c>
      <c r="C1663" t="s">
        <v>1097</v>
      </c>
      <c r="D1663" t="s">
        <v>21</v>
      </c>
      <c r="E1663" t="s">
        <v>22</v>
      </c>
      <c r="F1663" s="79">
        <v>45838</v>
      </c>
      <c r="G1663">
        <v>2025</v>
      </c>
      <c r="H1663" t="s">
        <v>699</v>
      </c>
      <c r="I1663" t="s">
        <v>700</v>
      </c>
      <c r="J1663">
        <v>80</v>
      </c>
      <c r="K1663">
        <v>95</v>
      </c>
      <c r="L1663" s="39">
        <f t="shared" ref="L1663:L1673" si="126">IFERROR(IF(OR(J1663=0,K1663=""),"",IF(E1663="Positivo",MIN(MAX(K1663/J1663,0),1.3),MIN(MAX(J1663/K1663,0),1.3))),"")</f>
        <v>1.1875</v>
      </c>
      <c r="M1663" s="39">
        <f t="shared" ref="M1663:M1673" si="127">IFERROR(IF(OR(J1663=0,K1663=""),"",IF(E1663="Positivo",MAX(K1663/J1663,0),MAX(J1663/K1663,0))),"")</f>
        <v>1.1875</v>
      </c>
      <c r="N1663" t="s">
        <v>25</v>
      </c>
      <c r="O1663" t="s">
        <v>25</v>
      </c>
      <c r="P1663">
        <v>0</v>
      </c>
      <c r="Q1663">
        <v>0</v>
      </c>
      <c r="R1663" t="s">
        <v>3233</v>
      </c>
    </row>
    <row r="1664" spans="1:19" x14ac:dyDescent="0.3">
      <c r="A1664">
        <v>550</v>
      </c>
      <c r="B1664" t="s">
        <v>1494</v>
      </c>
      <c r="C1664" t="s">
        <v>1097</v>
      </c>
      <c r="D1664" t="s">
        <v>21</v>
      </c>
      <c r="E1664" t="s">
        <v>22</v>
      </c>
      <c r="F1664" s="79">
        <v>46022</v>
      </c>
      <c r="G1664">
        <v>2025</v>
      </c>
      <c r="H1664" t="s">
        <v>23</v>
      </c>
      <c r="I1664" t="s">
        <v>32</v>
      </c>
      <c r="J1664">
        <v>80</v>
      </c>
      <c r="K1664">
        <v>95.5</v>
      </c>
      <c r="L1664" s="39">
        <f t="shared" si="126"/>
        <v>1.1937500000000001</v>
      </c>
      <c r="M1664" s="39">
        <f t="shared" si="127"/>
        <v>1.1937500000000001</v>
      </c>
      <c r="N1664" t="s">
        <v>25</v>
      </c>
      <c r="O1664" t="s">
        <v>25</v>
      </c>
      <c r="P1664">
        <v>0</v>
      </c>
      <c r="Q1664">
        <v>0</v>
      </c>
      <c r="R1664" t="s">
        <v>1495</v>
      </c>
    </row>
    <row r="1665" spans="1:18" x14ac:dyDescent="0.3">
      <c r="A1665">
        <v>551</v>
      </c>
      <c r="B1665" t="s">
        <v>1496</v>
      </c>
      <c r="C1665" t="s">
        <v>1097</v>
      </c>
      <c r="D1665" t="s">
        <v>21</v>
      </c>
      <c r="E1665" t="s">
        <v>22</v>
      </c>
      <c r="F1665" s="79">
        <v>45838</v>
      </c>
      <c r="G1665">
        <v>2025</v>
      </c>
      <c r="H1665" t="s">
        <v>699</v>
      </c>
      <c r="I1665" t="s">
        <v>700</v>
      </c>
      <c r="J1665">
        <v>4</v>
      </c>
      <c r="K1665">
        <v>5</v>
      </c>
      <c r="L1665" s="39">
        <f t="shared" si="126"/>
        <v>1.25</v>
      </c>
      <c r="M1665" s="39">
        <f t="shared" si="127"/>
        <v>1.25</v>
      </c>
      <c r="N1665" t="s">
        <v>25</v>
      </c>
      <c r="O1665" t="s">
        <v>25</v>
      </c>
      <c r="P1665">
        <v>0</v>
      </c>
      <c r="Q1665">
        <v>0</v>
      </c>
      <c r="R1665" t="s">
        <v>3234</v>
      </c>
    </row>
    <row r="1666" spans="1:18" x14ac:dyDescent="0.3">
      <c r="A1666">
        <v>551</v>
      </c>
      <c r="B1666" t="s">
        <v>1496</v>
      </c>
      <c r="C1666" t="s">
        <v>1097</v>
      </c>
      <c r="D1666" t="s">
        <v>21</v>
      </c>
      <c r="E1666" t="s">
        <v>22</v>
      </c>
      <c r="F1666" s="79">
        <v>46022</v>
      </c>
      <c r="G1666">
        <v>2025</v>
      </c>
      <c r="H1666" t="s">
        <v>23</v>
      </c>
      <c r="I1666" t="s">
        <v>32</v>
      </c>
      <c r="J1666">
        <v>4</v>
      </c>
      <c r="K1666">
        <v>5</v>
      </c>
      <c r="L1666" s="39">
        <f t="shared" si="126"/>
        <v>1.25</v>
      </c>
      <c r="M1666" s="39">
        <f t="shared" si="127"/>
        <v>1.25</v>
      </c>
      <c r="N1666" t="s">
        <v>25</v>
      </c>
      <c r="O1666" t="s">
        <v>25</v>
      </c>
      <c r="P1666">
        <v>0</v>
      </c>
      <c r="Q1666">
        <v>0</v>
      </c>
      <c r="R1666" t="s">
        <v>1497</v>
      </c>
    </row>
    <row r="1667" spans="1:18" x14ac:dyDescent="0.3">
      <c r="A1667">
        <v>552</v>
      </c>
      <c r="B1667" t="s">
        <v>1498</v>
      </c>
      <c r="C1667" t="s">
        <v>951</v>
      </c>
      <c r="D1667" t="s">
        <v>71</v>
      </c>
      <c r="E1667" t="s">
        <v>22</v>
      </c>
      <c r="F1667" s="79">
        <v>45838</v>
      </c>
      <c r="G1667">
        <v>2025</v>
      </c>
      <c r="H1667" t="s">
        <v>699</v>
      </c>
      <c r="I1667" t="s">
        <v>700</v>
      </c>
      <c r="J1667">
        <v>80</v>
      </c>
      <c r="K1667">
        <v>92</v>
      </c>
      <c r="L1667" s="39">
        <f t="shared" si="126"/>
        <v>1.1499999999999999</v>
      </c>
      <c r="M1667" s="39">
        <f t="shared" si="127"/>
        <v>1.1499999999999999</v>
      </c>
      <c r="N1667" t="s">
        <v>25</v>
      </c>
      <c r="O1667" t="s">
        <v>25</v>
      </c>
      <c r="P1667">
        <v>0</v>
      </c>
      <c r="Q1667">
        <v>0</v>
      </c>
      <c r="R1667" t="s">
        <v>3235</v>
      </c>
    </row>
    <row r="1668" spans="1:18" x14ac:dyDescent="0.3">
      <c r="A1668">
        <v>552</v>
      </c>
      <c r="B1668" t="s">
        <v>1498</v>
      </c>
      <c r="C1668" t="s">
        <v>951</v>
      </c>
      <c r="D1668" t="s">
        <v>71</v>
      </c>
      <c r="E1668" t="s">
        <v>22</v>
      </c>
      <c r="F1668" s="79">
        <v>46022</v>
      </c>
      <c r="G1668">
        <v>2025</v>
      </c>
      <c r="H1668" t="s">
        <v>23</v>
      </c>
      <c r="I1668" t="s">
        <v>32</v>
      </c>
      <c r="J1668">
        <v>80</v>
      </c>
      <c r="K1668">
        <v>92</v>
      </c>
      <c r="L1668" s="39">
        <f t="shared" si="126"/>
        <v>1.1499999999999999</v>
      </c>
      <c r="M1668" s="39">
        <f t="shared" si="127"/>
        <v>1.1499999999999999</v>
      </c>
      <c r="N1668" t="s">
        <v>25</v>
      </c>
      <c r="O1668" t="s">
        <v>25</v>
      </c>
      <c r="P1668">
        <v>0</v>
      </c>
      <c r="Q1668">
        <v>0</v>
      </c>
      <c r="R1668" t="s">
        <v>1499</v>
      </c>
    </row>
    <row r="1669" spans="1:18" x14ac:dyDescent="0.3">
      <c r="A1669">
        <v>553</v>
      </c>
      <c r="B1669" t="s">
        <v>1500</v>
      </c>
      <c r="C1669" t="s">
        <v>1020</v>
      </c>
      <c r="D1669" t="s">
        <v>71</v>
      </c>
      <c r="E1669" t="s">
        <v>22</v>
      </c>
      <c r="F1669" s="79">
        <v>46022</v>
      </c>
      <c r="G1669">
        <v>2025</v>
      </c>
      <c r="H1669" t="s">
        <v>23</v>
      </c>
      <c r="I1669" t="s">
        <v>32</v>
      </c>
      <c r="J1669">
        <v>80</v>
      </c>
      <c r="K1669">
        <v>83</v>
      </c>
      <c r="L1669" s="39">
        <f t="shared" si="126"/>
        <v>1.0375000000000001</v>
      </c>
      <c r="M1669" s="39">
        <f t="shared" si="127"/>
        <v>1.0375000000000001</v>
      </c>
      <c r="N1669" t="s">
        <v>25</v>
      </c>
      <c r="O1669" t="s">
        <v>25</v>
      </c>
      <c r="P1669">
        <v>0</v>
      </c>
      <c r="Q1669">
        <v>0</v>
      </c>
      <c r="R1669" t="s">
        <v>1501</v>
      </c>
    </row>
    <row r="1670" spans="1:18" x14ac:dyDescent="0.3">
      <c r="A1670">
        <v>554</v>
      </c>
      <c r="B1670" t="s">
        <v>1502</v>
      </c>
      <c r="C1670" t="s">
        <v>536</v>
      </c>
      <c r="D1670" t="s">
        <v>21</v>
      </c>
      <c r="E1670" t="s">
        <v>22</v>
      </c>
      <c r="F1670" s="79">
        <v>45838</v>
      </c>
      <c r="G1670">
        <v>2025</v>
      </c>
      <c r="H1670" t="s">
        <v>699</v>
      </c>
      <c r="I1670" t="s">
        <v>700</v>
      </c>
      <c r="J1670">
        <v>80</v>
      </c>
      <c r="K1670">
        <v>0</v>
      </c>
      <c r="L1670" s="39">
        <f t="shared" si="126"/>
        <v>0</v>
      </c>
      <c r="M1670" s="39">
        <f t="shared" si="127"/>
        <v>0</v>
      </c>
      <c r="N1670" t="s">
        <v>25</v>
      </c>
      <c r="O1670" t="s">
        <v>25</v>
      </c>
      <c r="P1670">
        <v>0</v>
      </c>
      <c r="Q1670">
        <v>0</v>
      </c>
      <c r="R1670" t="s">
        <v>3236</v>
      </c>
    </row>
    <row r="1671" spans="1:18" x14ac:dyDescent="0.3">
      <c r="A1671">
        <v>554</v>
      </c>
      <c r="B1671" t="s">
        <v>1502</v>
      </c>
      <c r="C1671" t="s">
        <v>536</v>
      </c>
      <c r="D1671" t="s">
        <v>21</v>
      </c>
      <c r="E1671" t="s">
        <v>22</v>
      </c>
      <c r="F1671" s="79">
        <v>46022</v>
      </c>
      <c r="G1671">
        <v>2025</v>
      </c>
      <c r="H1671" t="s">
        <v>23</v>
      </c>
      <c r="I1671" t="s">
        <v>32</v>
      </c>
      <c r="J1671">
        <v>80</v>
      </c>
      <c r="K1671">
        <v>95</v>
      </c>
      <c r="L1671" s="39">
        <f t="shared" si="126"/>
        <v>1.1875</v>
      </c>
      <c r="M1671" s="39">
        <f t="shared" si="127"/>
        <v>1.1875</v>
      </c>
      <c r="N1671" t="s">
        <v>25</v>
      </c>
      <c r="O1671" t="s">
        <v>25</v>
      </c>
      <c r="P1671">
        <v>0</v>
      </c>
      <c r="Q1671">
        <v>0</v>
      </c>
      <c r="R1671" t="s">
        <v>1503</v>
      </c>
    </row>
    <row r="1672" spans="1:18" x14ac:dyDescent="0.3">
      <c r="A1672">
        <v>555</v>
      </c>
      <c r="B1672" t="s">
        <v>1504</v>
      </c>
      <c r="C1672" t="s">
        <v>1044</v>
      </c>
      <c r="D1672" t="s">
        <v>21</v>
      </c>
      <c r="E1672" t="s">
        <v>22</v>
      </c>
      <c r="F1672" s="79">
        <v>46022</v>
      </c>
      <c r="G1672">
        <v>2025</v>
      </c>
      <c r="H1672" t="s">
        <v>23</v>
      </c>
      <c r="I1672" t="s">
        <v>32</v>
      </c>
      <c r="J1672">
        <v>80</v>
      </c>
      <c r="K1672">
        <v>100</v>
      </c>
      <c r="L1672" s="39">
        <f t="shared" si="126"/>
        <v>1.25</v>
      </c>
      <c r="M1672" s="39">
        <f t="shared" si="127"/>
        <v>1.25</v>
      </c>
      <c r="N1672" t="s">
        <v>25</v>
      </c>
      <c r="O1672" t="s">
        <v>25</v>
      </c>
      <c r="P1672">
        <v>0</v>
      </c>
      <c r="Q1672">
        <v>0</v>
      </c>
      <c r="R1672" t="s">
        <v>1505</v>
      </c>
    </row>
    <row r="1673" spans="1:18" x14ac:dyDescent="0.3">
      <c r="A1673">
        <v>556</v>
      </c>
      <c r="B1673" t="s">
        <v>1506</v>
      </c>
      <c r="C1673" t="s">
        <v>40</v>
      </c>
      <c r="D1673" t="s">
        <v>71</v>
      </c>
      <c r="E1673" t="s">
        <v>22</v>
      </c>
      <c r="F1673" s="79">
        <v>46022</v>
      </c>
      <c r="G1673">
        <v>2025</v>
      </c>
      <c r="H1673" t="s">
        <v>23</v>
      </c>
      <c r="I1673" t="s">
        <v>32</v>
      </c>
      <c r="J1673">
        <v>70</v>
      </c>
      <c r="K1673">
        <v>113.75</v>
      </c>
      <c r="L1673" s="39">
        <f t="shared" si="126"/>
        <v>1.3</v>
      </c>
      <c r="M1673" s="39">
        <f t="shared" si="127"/>
        <v>1.625</v>
      </c>
      <c r="N1673" t="s">
        <v>25</v>
      </c>
      <c r="O1673" t="s">
        <v>25</v>
      </c>
      <c r="P1673">
        <v>0</v>
      </c>
      <c r="Q1673">
        <v>0</v>
      </c>
      <c r="R1673" t="s">
        <v>1507</v>
      </c>
    </row>
  </sheetData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 filterMode="1"/>
  <dimension ref="A1:S985"/>
  <sheetViews>
    <sheetView zoomScaleNormal="100" workbookViewId="0">
      <selection activeCell="A927" sqref="A927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hidden="1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hidden="1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hidden="1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hidden="1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hidden="1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hidden="1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hidden="1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hidden="1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hidden="1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hidden="1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hidden="1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hidden="1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hidden="1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hidden="1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hidden="1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hidden="1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hidden="1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hidden="1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hidden="1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hidden="1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hidden="1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hidden="1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hidden="1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hidden="1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hidden="1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hidden="1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hidden="1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hidden="1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hidden="1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hidden="1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hidden="1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hidden="1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hidden="1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hidden="1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hidden="1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hidden="1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hidden="1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hidden="1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hidden="1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hidden="1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hidden="1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hidden="1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hidden="1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hidden="1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hidden="1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hidden="1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hidden="1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hidden="1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hidden="1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hidden="1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hidden="1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hidden="1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hidden="1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hidden="1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hidden="1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hidden="1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hidden="1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hidden="1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hidden="1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hidden="1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hidden="1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hidden="1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hidden="1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hidden="1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hidden="1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hidden="1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hidden="1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hidden="1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hidden="1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hidden="1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hidden="1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hidden="1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hidden="1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hidden="1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hidden="1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hidden="1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hidden="1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hidden="1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hidden="1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hidden="1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hidden="1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hidden="1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hidden="1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hidden="1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hidden="1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hidden="1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hidden="1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hidden="1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hidden="1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hidden="1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hidden="1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hidden="1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hidden="1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hidden="1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hidden="1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hidden="1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hidden="1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hidden="1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hidden="1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hidden="1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hidden="1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hidden="1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hidden="1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hidden="1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hidden="1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hidden="1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hidden="1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hidden="1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hidden="1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hidden="1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hidden="1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hidden="1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hidden="1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hidden="1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hidden="1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hidden="1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hidden="1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hidden="1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hidden="1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hidden="1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hidden="1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hidden="1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hidden="1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hidden="1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hidden="1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hidden="1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hidden="1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hidden="1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hidden="1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hidden="1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hidden="1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hidden="1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hidden="1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hidden="1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hidden="1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hidden="1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hidden="1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hidden="1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hidden="1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hidden="1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hidden="1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hidden="1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hidden="1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hidden="1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hidden="1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hidden="1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hidden="1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hidden="1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hidden="1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hidden="1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hidden="1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hidden="1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hidden="1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hidden="1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hidden="1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hidden="1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hidden="1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hidden="1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hidden="1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hidden="1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hidden="1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hidden="1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hidden="1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hidden="1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hidden="1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hidden="1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hidden="1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hidden="1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hidden="1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hidden="1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hidden="1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hidden="1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hidden="1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hidden="1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hidden="1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hidden="1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hidden="1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hidden="1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hidden="1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hidden="1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hidden="1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hidden="1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hidden="1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hidden="1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hidden="1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hidden="1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hidden="1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hidden="1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hidden="1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hidden="1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hidden="1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hidden="1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hidden="1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hidden="1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hidden="1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hidden="1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hidden="1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hidden="1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hidden="1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hidden="1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hidden="1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hidden="1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hidden="1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hidden="1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hidden="1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hidden="1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hidden="1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hidden="1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hidden="1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hidden="1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hidden="1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hidden="1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hidden="1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hidden="1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hidden="1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hidden="1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hidden="1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hidden="1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hidden="1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hidden="1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hidden="1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hidden="1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hidden="1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hidden="1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hidden="1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hidden="1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hidden="1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hidden="1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hidden="1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hidden="1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hidden="1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hidden="1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hidden="1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hidden="1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hidden="1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hidden="1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hidden="1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hidden="1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hidden="1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hidden="1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hidden="1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hidden="1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hidden="1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hidden="1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hidden="1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hidden="1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hidden="1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hidden="1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hidden="1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hidden="1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hidden="1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hidden="1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hidden="1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hidden="1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hidden="1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hidden="1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hidden="1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hidden="1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hidden="1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hidden="1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hidden="1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hidden="1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hidden="1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hidden="1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hidden="1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hidden="1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hidden="1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hidden="1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hidden="1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hidden="1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hidden="1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hidden="1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hidden="1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hidden="1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hidden="1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hidden="1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hidden="1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hidden="1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hidden="1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hidden="1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hidden="1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hidden="1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hidden="1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hidden="1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hidden="1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hidden="1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hidden="1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hidden="1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hidden="1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hidden="1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hidden="1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hidden="1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hidden="1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hidden="1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hidden="1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hidden="1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hidden="1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hidden="1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hidden="1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hidden="1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hidden="1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hidden="1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hidden="1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hidden="1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hidden="1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hidden="1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hidden="1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hidden="1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hidden="1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hidden="1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hidden="1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hidden="1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hidden="1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hidden="1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hidden="1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hidden="1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hidden="1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hidden="1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hidden="1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hidden="1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hidden="1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hidden="1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hidden="1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hidden="1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hidden="1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hidden="1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hidden="1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hidden="1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hidden="1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hidden="1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hidden="1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hidden="1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hidden="1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hidden="1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hidden="1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hidden="1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hidden="1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hidden="1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hidden="1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hidden="1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hidden="1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hidden="1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hidden="1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hidden="1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hidden="1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hidden="1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hidden="1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hidden="1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hidden="1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hidden="1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hidden="1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hidden="1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hidden="1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hidden="1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hidden="1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hidden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hidden="1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hidden="1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hidden="1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hidden="1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hidden="1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hidden="1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hidden="1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hidden="1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hidden="1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hidden="1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hidden="1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hidden="1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hidden="1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hidden="1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hidden="1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hidden="1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hidden="1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hidden="1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hidden="1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hidden="1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hidden="1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hidden="1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hidden="1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hidden="1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hidden="1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hidden="1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hidden="1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hidden="1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hidden="1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hidden="1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hidden="1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hidden="1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hidden="1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hidden="1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hidden="1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hidden="1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hidden="1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hidden="1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hidden="1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hidden="1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hidden="1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hidden="1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hidden="1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hidden="1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hidden="1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hidden="1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hidden="1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hidden="1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hidden="1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hidden="1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hidden="1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hidden="1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hidden="1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hidden="1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hidden="1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hidden="1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hidden="1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hidden="1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hidden="1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hidden="1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hidden="1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hidden="1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hidden="1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hidden="1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hidden="1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hidden="1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hidden="1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hidden="1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hidden="1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hidden="1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hidden="1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hidden="1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hidden="1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hidden="1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0" si="34">IFERROR(IF(OR(J433=0,K433=""),"",IF(E433="Positivo",MIN(MAX(K433/J433,0),1.3),MIN(MAX(J433/K433,0),1.3))),"")</f>
        <v/>
      </c>
      <c r="M433" s="14" t="str">
        <f t="shared" ref="M433:M450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hidden="1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hidden="1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hidden="1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hidden="1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hidden="1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hidden="1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45291</v>
      </c>
      <c r="G439" s="5">
        <v>2023</v>
      </c>
      <c r="H439" s="5" t="s">
        <v>23</v>
      </c>
      <c r="I439" s="6" t="s">
        <v>28</v>
      </c>
      <c r="J439" s="5">
        <v>200</v>
      </c>
      <c r="K439" s="52">
        <v>195.360521164251</v>
      </c>
      <c r="L439" s="14">
        <f t="shared" si="34"/>
        <v>0.976802605821255</v>
      </c>
      <c r="M439" s="14">
        <f t="shared" si="35"/>
        <v>0.976802605821255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hidden="1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45657</v>
      </c>
      <c r="G440" s="5">
        <v>2024</v>
      </c>
      <c r="H440" s="5" t="s">
        <v>23</v>
      </c>
      <c r="I440" s="6" t="s">
        <v>30</v>
      </c>
      <c r="J440" s="5">
        <v>200</v>
      </c>
      <c r="K440" s="5">
        <v>203.94805184696449</v>
      </c>
      <c r="L440" s="14">
        <f t="shared" si="34"/>
        <v>1.0197402592348224</v>
      </c>
      <c r="M440" s="14">
        <f t="shared" si="35"/>
        <v>1.0197402592348224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650</v>
      </c>
    </row>
    <row r="441" spans="1:18" hidden="1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46022</v>
      </c>
      <c r="G441" s="5">
        <v>2025</v>
      </c>
      <c r="H441" s="5" t="s">
        <v>23</v>
      </c>
      <c r="I441" s="6" t="s">
        <v>32</v>
      </c>
      <c r="J441" s="5">
        <v>200</v>
      </c>
      <c r="K441" s="5">
        <v>207.83</v>
      </c>
      <c r="L441" s="14">
        <f t="shared" si="34"/>
        <v>1.03915</v>
      </c>
      <c r="M441" s="14">
        <f t="shared" si="35"/>
        <v>1.03915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651</v>
      </c>
    </row>
    <row r="442" spans="1:18" hidden="1" x14ac:dyDescent="0.3">
      <c r="A442" s="5">
        <v>275</v>
      </c>
      <c r="B442" s="5" t="s">
        <v>652</v>
      </c>
      <c r="C442" s="5" t="s">
        <v>653</v>
      </c>
      <c r="D442" s="5" t="s">
        <v>21</v>
      </c>
      <c r="E442" s="5" t="s">
        <v>22</v>
      </c>
      <c r="F442" s="71">
        <v>45291</v>
      </c>
      <c r="G442" s="5">
        <v>2023</v>
      </c>
      <c r="H442" s="5" t="s">
        <v>23</v>
      </c>
      <c r="I442" s="6" t="s">
        <v>28</v>
      </c>
      <c r="J442" s="5">
        <v>80</v>
      </c>
      <c r="K442" s="5">
        <v>0</v>
      </c>
      <c r="L442" s="14">
        <f t="shared" si="34"/>
        <v>0</v>
      </c>
      <c r="M442" s="14">
        <f t="shared" si="35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654</v>
      </c>
    </row>
    <row r="443" spans="1:18" hidden="1" x14ac:dyDescent="0.3">
      <c r="A443" s="5">
        <v>275</v>
      </c>
      <c r="B443" s="5" t="s">
        <v>652</v>
      </c>
      <c r="C443" s="5" t="s">
        <v>653</v>
      </c>
      <c r="D443" s="5" t="s">
        <v>27</v>
      </c>
      <c r="E443" s="5" t="s">
        <v>22</v>
      </c>
      <c r="F443" s="71">
        <v>45657</v>
      </c>
      <c r="G443" s="5">
        <v>2024</v>
      </c>
      <c r="H443" s="5" t="s">
        <v>23</v>
      </c>
      <c r="I443" s="6" t="s">
        <v>30</v>
      </c>
      <c r="J443" s="5">
        <v>80</v>
      </c>
      <c r="K443" s="5">
        <v>106.66500000000001</v>
      </c>
      <c r="L443" s="14">
        <f t="shared" si="34"/>
        <v>1.3</v>
      </c>
      <c r="M443" s="14">
        <f t="shared" si="35"/>
        <v>1.3333125000000001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655</v>
      </c>
    </row>
    <row r="444" spans="1:18" hidden="1" x14ac:dyDescent="0.3">
      <c r="A444" s="5">
        <v>275</v>
      </c>
      <c r="B444" s="5" t="s">
        <v>652</v>
      </c>
      <c r="C444" s="5" t="s">
        <v>653</v>
      </c>
      <c r="D444" s="5" t="s">
        <v>21</v>
      </c>
      <c r="E444" s="5" t="s">
        <v>22</v>
      </c>
      <c r="F444" s="71">
        <v>46022</v>
      </c>
      <c r="G444" s="5">
        <v>2025</v>
      </c>
      <c r="H444" s="5" t="s">
        <v>23</v>
      </c>
      <c r="I444" s="6" t="s">
        <v>32</v>
      </c>
      <c r="J444" s="5">
        <v>80</v>
      </c>
      <c r="K444" s="5">
        <v>90.835000000000008</v>
      </c>
      <c r="L444" s="14">
        <f t="shared" si="34"/>
        <v>1.1354375000000001</v>
      </c>
      <c r="M444" s="14">
        <f t="shared" si="35"/>
        <v>1.1354375000000001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656</v>
      </c>
    </row>
    <row r="445" spans="1:18" hidden="1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85</v>
      </c>
      <c r="K445" s="5">
        <v>84.5</v>
      </c>
      <c r="L445" s="14">
        <f t="shared" si="34"/>
        <v>1.0059171597633136</v>
      </c>
      <c r="M445" s="14">
        <f t="shared" si="35"/>
        <v>1.0059171597633136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659</v>
      </c>
    </row>
    <row r="446" spans="1:18" hidden="1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75</v>
      </c>
      <c r="K446" s="5">
        <v>82.68</v>
      </c>
      <c r="L446" s="14">
        <f t="shared" si="34"/>
        <v>0.90711175616835982</v>
      </c>
      <c r="M446" s="14">
        <f t="shared" si="35"/>
        <v>0.90711175616835982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660</v>
      </c>
    </row>
    <row r="447" spans="1:18" hidden="1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81</v>
      </c>
      <c r="K447" s="5">
        <v>82.81</v>
      </c>
      <c r="L447" s="14">
        <f t="shared" si="34"/>
        <v>0.97814273638449456</v>
      </c>
      <c r="M447" s="14">
        <f t="shared" si="35"/>
        <v>0.97814273638449456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661</v>
      </c>
    </row>
    <row r="448" spans="1:18" hidden="1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85</v>
      </c>
      <c r="K448" s="10">
        <v>73.290000000000006</v>
      </c>
      <c r="L448" s="14">
        <f t="shared" si="34"/>
        <v>1.1597762314094691</v>
      </c>
      <c r="M448" s="14">
        <f t="shared" si="35"/>
        <v>1.1597762314094691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663</v>
      </c>
    </row>
    <row r="449" spans="1:19" hidden="1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73</v>
      </c>
      <c r="K449" s="5">
        <v>71.239999999999995</v>
      </c>
      <c r="L449" s="14">
        <f t="shared" si="34"/>
        <v>1.0247052217855139</v>
      </c>
      <c r="M449" s="14">
        <f t="shared" si="35"/>
        <v>1.0247052217855139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664</v>
      </c>
    </row>
    <row r="450" spans="1:19" hidden="1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46022</v>
      </c>
      <c r="G450" s="5">
        <v>2025</v>
      </c>
      <c r="H450" s="5" t="s">
        <v>23</v>
      </c>
      <c r="I450" s="6" t="s">
        <v>32</v>
      </c>
      <c r="J450" s="5">
        <v>71</v>
      </c>
      <c r="K450" s="5">
        <v>68.400000000000006</v>
      </c>
      <c r="L450" s="14">
        <f t="shared" si="34"/>
        <v>1.0380116959064327</v>
      </c>
      <c r="M450" s="14">
        <f t="shared" si="35"/>
        <v>1.0380116959064327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665</v>
      </c>
    </row>
    <row r="451" spans="1:19" hidden="1" x14ac:dyDescent="0.3">
      <c r="A451" s="5">
        <v>278</v>
      </c>
      <c r="B451" s="5" t="s">
        <v>666</v>
      </c>
      <c r="C451" s="5" t="s">
        <v>658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/>
      <c r="K451" s="5">
        <v>1017</v>
      </c>
      <c r="L451" s="14"/>
      <c r="M451" s="14"/>
      <c r="N451" s="5" t="s">
        <v>128</v>
      </c>
      <c r="O451" s="5" t="s">
        <v>128</v>
      </c>
      <c r="P451" s="5">
        <v>0</v>
      </c>
      <c r="Q451" s="5">
        <v>0</v>
      </c>
      <c r="R451" s="5" t="s">
        <v>667</v>
      </c>
    </row>
    <row r="452" spans="1:19" hidden="1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45657</v>
      </c>
      <c r="G452" s="5">
        <v>2024</v>
      </c>
      <c r="H452" s="5" t="s">
        <v>23</v>
      </c>
      <c r="I452" s="6" t="s">
        <v>30</v>
      </c>
      <c r="J452" s="5"/>
      <c r="K452" s="5">
        <v>2098</v>
      </c>
      <c r="L452" s="14"/>
      <c r="M452" s="14"/>
      <c r="N452" s="5" t="s">
        <v>263</v>
      </c>
      <c r="O452" s="5" t="s">
        <v>263</v>
      </c>
      <c r="P452" s="5">
        <v>0</v>
      </c>
      <c r="Q452" s="5">
        <v>0</v>
      </c>
      <c r="R452" s="5" t="s">
        <v>668</v>
      </c>
    </row>
    <row r="453" spans="1:19" hidden="1" x14ac:dyDescent="0.3">
      <c r="A453" s="5">
        <v>278</v>
      </c>
      <c r="B453" s="5" t="s">
        <v>669</v>
      </c>
      <c r="C453" s="5" t="s">
        <v>658</v>
      </c>
      <c r="D453" s="5" t="s">
        <v>21</v>
      </c>
      <c r="E453" s="5" t="s">
        <v>22</v>
      </c>
      <c r="F453" s="71">
        <v>46022</v>
      </c>
      <c r="G453" s="5">
        <v>2025</v>
      </c>
      <c r="H453" s="5" t="s">
        <v>23</v>
      </c>
      <c r="I453" s="6" t="s">
        <v>32</v>
      </c>
      <c r="J453" s="5"/>
      <c r="K453" s="5">
        <v>2170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670</v>
      </c>
      <c r="S453" t="s">
        <v>263</v>
      </c>
    </row>
    <row r="454" spans="1:19" hidden="1" x14ac:dyDescent="0.3">
      <c r="A454" s="5">
        <v>279</v>
      </c>
      <c r="B454" s="5" t="s">
        <v>671</v>
      </c>
      <c r="C454" s="5" t="s">
        <v>658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/>
      <c r="K454" s="5">
        <v>608</v>
      </c>
      <c r="L454" s="14"/>
      <c r="M454" s="14"/>
      <c r="N454" s="5">
        <v>0</v>
      </c>
      <c r="O454" s="5" t="s">
        <v>128</v>
      </c>
      <c r="P454" s="5">
        <v>0</v>
      </c>
      <c r="Q454" s="5">
        <v>0</v>
      </c>
      <c r="R454" s="5" t="s">
        <v>672</v>
      </c>
    </row>
    <row r="455" spans="1:19" hidden="1" x14ac:dyDescent="0.3">
      <c r="A455" s="5">
        <v>280</v>
      </c>
      <c r="B455" s="5" t="s">
        <v>673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186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674</v>
      </c>
    </row>
    <row r="456" spans="1:19" hidden="1" x14ac:dyDescent="0.3">
      <c r="A456" s="5">
        <v>281</v>
      </c>
      <c r="B456" s="5" t="s">
        <v>675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223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676</v>
      </c>
    </row>
    <row r="457" spans="1:19" hidden="1" x14ac:dyDescent="0.3">
      <c r="A457" s="5">
        <v>282</v>
      </c>
      <c r="B457" s="5" t="s">
        <v>677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192</v>
      </c>
      <c r="K457" s="5">
        <v>194.36</v>
      </c>
      <c r="L457" s="14">
        <f t="shared" ref="L457:L462" si="36">IFERROR(IF(OR(J457=0,K457=""),"",IF(E457="Positivo",MIN(MAX(K457/J457,0),1.3),MIN(MAX(J457/K457,0),1.3))),"")</f>
        <v>1.0122916666666668</v>
      </c>
      <c r="M457" s="14">
        <f t="shared" ref="M457:M462" si="37">IFERROR(IF(OR(J457=0,K457=""),"",IF(E457="Positivo",MAX(K457/J457,0),MAX(J457/K457,0))),"")</f>
        <v>1.0122916666666668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678</v>
      </c>
    </row>
    <row r="458" spans="1:19" hidden="1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194</v>
      </c>
      <c r="K458" s="5">
        <v>193.86</v>
      </c>
      <c r="L458" s="14">
        <f t="shared" si="36"/>
        <v>0.99927835051546399</v>
      </c>
      <c r="M458" s="14">
        <f t="shared" si="37"/>
        <v>0.99927835051546399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679</v>
      </c>
    </row>
    <row r="459" spans="1:19" hidden="1" x14ac:dyDescent="0.3">
      <c r="A459" s="5">
        <v>282</v>
      </c>
      <c r="B459" s="5" t="s">
        <v>677</v>
      </c>
      <c r="C459" s="5" t="s">
        <v>658</v>
      </c>
      <c r="D459" s="5" t="s">
        <v>21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194</v>
      </c>
      <c r="K459" s="5">
        <v>194.97</v>
      </c>
      <c r="L459" s="14">
        <f t="shared" si="36"/>
        <v>1.0049999999999999</v>
      </c>
      <c r="M459" s="14">
        <f t="shared" si="37"/>
        <v>1.0049999999999999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680</v>
      </c>
    </row>
    <row r="460" spans="1:19" hidden="1" x14ac:dyDescent="0.3">
      <c r="A460" s="5">
        <v>283</v>
      </c>
      <c r="B460" s="5" t="s">
        <v>681</v>
      </c>
      <c r="C460" s="5" t="s">
        <v>658</v>
      </c>
      <c r="D460" s="5" t="s">
        <v>27</v>
      </c>
      <c r="E460" s="5" t="s">
        <v>22</v>
      </c>
      <c r="F460" s="71">
        <v>45291</v>
      </c>
      <c r="G460" s="5">
        <v>2023</v>
      </c>
      <c r="H460" s="5" t="s">
        <v>23</v>
      </c>
      <c r="I460" s="6" t="s">
        <v>28</v>
      </c>
      <c r="J460" s="5">
        <v>4.5</v>
      </c>
      <c r="K460" s="5">
        <v>4.55</v>
      </c>
      <c r="L460" s="14">
        <f t="shared" si="36"/>
        <v>1.0111111111111111</v>
      </c>
      <c r="M460" s="14">
        <f t="shared" si="37"/>
        <v>1.0111111111111111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682</v>
      </c>
    </row>
    <row r="461" spans="1:19" hidden="1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45657</v>
      </c>
      <c r="G461" s="5">
        <v>2024</v>
      </c>
      <c r="H461" s="5" t="s">
        <v>23</v>
      </c>
      <c r="I461" s="6" t="s">
        <v>30</v>
      </c>
      <c r="J461" s="5">
        <v>4.5</v>
      </c>
      <c r="K461" s="5">
        <v>4.6399999999999997</v>
      </c>
      <c r="L461" s="14">
        <f t="shared" si="36"/>
        <v>1.0311111111111111</v>
      </c>
      <c r="M461" s="14">
        <f t="shared" si="37"/>
        <v>1.0311111111111111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683</v>
      </c>
    </row>
    <row r="462" spans="1:19" hidden="1" x14ac:dyDescent="0.3">
      <c r="A462" s="5">
        <v>283</v>
      </c>
      <c r="B462" s="5" t="s">
        <v>681</v>
      </c>
      <c r="C462" s="5" t="s">
        <v>658</v>
      </c>
      <c r="D462" s="5" t="s">
        <v>21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32</v>
      </c>
      <c r="J462" s="5">
        <v>4.5999999999999996</v>
      </c>
      <c r="K462" s="5">
        <v>4.67</v>
      </c>
      <c r="L462" s="14">
        <f t="shared" si="36"/>
        <v>1.0152173913043478</v>
      </c>
      <c r="M462" s="14">
        <f t="shared" si="37"/>
        <v>1.0152173913043478</v>
      </c>
      <c r="N462" s="5" t="s">
        <v>136</v>
      </c>
      <c r="O462" s="5" t="s">
        <v>136</v>
      </c>
      <c r="P462" s="5">
        <v>1</v>
      </c>
      <c r="Q462" s="5">
        <v>2</v>
      </c>
      <c r="R462" s="5" t="s">
        <v>684</v>
      </c>
    </row>
    <row r="463" spans="1:19" hidden="1" x14ac:dyDescent="0.3">
      <c r="A463" s="5">
        <v>284</v>
      </c>
      <c r="B463" s="5" t="s">
        <v>685</v>
      </c>
      <c r="C463" s="5" t="s">
        <v>658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16281</v>
      </c>
      <c r="L463" s="14"/>
      <c r="M463" s="14"/>
      <c r="N463" s="5" t="s">
        <v>136</v>
      </c>
      <c r="O463" s="5" t="s">
        <v>128</v>
      </c>
      <c r="P463" s="5">
        <v>0</v>
      </c>
      <c r="Q463" s="5">
        <v>0</v>
      </c>
      <c r="R463" s="5" t="s">
        <v>686</v>
      </c>
    </row>
    <row r="464" spans="1:19" hidden="1" x14ac:dyDescent="0.3">
      <c r="A464" s="5">
        <v>285</v>
      </c>
      <c r="B464" s="5" t="s">
        <v>687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>
        <v>100</v>
      </c>
      <c r="K464" s="5">
        <v>100</v>
      </c>
      <c r="L464" s="14">
        <f>IFERROR(IF(OR(J464=0,K464=""),"",IF(E464="Positivo",MIN(MAX(K464/J464,0),1.3),MIN(MAX(J464/K464,0),1.3))),"")</f>
        <v>1</v>
      </c>
      <c r="M464" s="14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688</v>
      </c>
    </row>
    <row r="465" spans="1:19" hidden="1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689</v>
      </c>
    </row>
    <row r="466" spans="1:19" hidden="1" x14ac:dyDescent="0.3">
      <c r="A466" s="5">
        <v>285</v>
      </c>
      <c r="B466" s="5" t="s">
        <v>687</v>
      </c>
      <c r="C466" s="5" t="s">
        <v>658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32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690</v>
      </c>
    </row>
    <row r="467" spans="1:19" hidden="1" x14ac:dyDescent="0.3">
      <c r="A467" s="5">
        <v>286</v>
      </c>
      <c r="B467" s="5" t="s">
        <v>691</v>
      </c>
      <c r="C467" s="5" t="s">
        <v>658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/>
      <c r="K467" s="5">
        <v>1017</v>
      </c>
      <c r="L467" s="14"/>
      <c r="M467" s="14"/>
      <c r="N467" s="5" t="s">
        <v>25</v>
      </c>
      <c r="O467" s="5" t="s">
        <v>128</v>
      </c>
      <c r="P467" s="5">
        <v>0</v>
      </c>
      <c r="Q467" s="5">
        <v>0</v>
      </c>
      <c r="R467" s="5" t="s">
        <v>692</v>
      </c>
    </row>
    <row r="468" spans="1:19" hidden="1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2098</v>
      </c>
      <c r="L468" s="14"/>
      <c r="M468" s="14"/>
      <c r="N468" s="5" t="s">
        <v>263</v>
      </c>
      <c r="O468" s="5" t="s">
        <v>263</v>
      </c>
      <c r="P468" s="5">
        <v>0</v>
      </c>
      <c r="Q468" s="5">
        <v>0</v>
      </c>
      <c r="R468" s="5" t="s">
        <v>693</v>
      </c>
    </row>
    <row r="469" spans="1:19" hidden="1" x14ac:dyDescent="0.3">
      <c r="A469" s="5">
        <v>286</v>
      </c>
      <c r="B469" s="5" t="s">
        <v>694</v>
      </c>
      <c r="C469" s="5" t="s">
        <v>658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32</v>
      </c>
      <c r="J469" s="5"/>
      <c r="K469" s="5">
        <v>2170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695</v>
      </c>
      <c r="S469" t="s">
        <v>263</v>
      </c>
    </row>
    <row r="470" spans="1:19" hidden="1" x14ac:dyDescent="0.3">
      <c r="A470" s="5">
        <v>288</v>
      </c>
      <c r="B470" s="5" t="s">
        <v>696</v>
      </c>
      <c r="C470" s="5" t="s">
        <v>658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85</v>
      </c>
      <c r="K470" s="5">
        <v>112.5</v>
      </c>
      <c r="L470" s="14">
        <f t="shared" ref="L470:L491" si="38">IFERROR(IF(OR(J470=0,K470=""),"",IF(E470="Positivo",MIN(MAX(K470/J470,0),1.3),MIN(MAX(J470/K470,0),1.3))),"")</f>
        <v>1.3</v>
      </c>
      <c r="M470" s="14">
        <f t="shared" ref="M470:M491" si="39">IFERROR(IF(OR(J470=0,K470=""),"",IF(E470="Positivo",MAX(K470/J470,0),MAX(J470/K470,0))),"")</f>
        <v>1.3235294117647058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697</v>
      </c>
    </row>
    <row r="471" spans="1:19" hidden="1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85</v>
      </c>
      <c r="K471" s="5">
        <v>26</v>
      </c>
      <c r="L471" s="14">
        <f t="shared" si="38"/>
        <v>0.30588235294117649</v>
      </c>
      <c r="M471" s="14">
        <f t="shared" si="39"/>
        <v>0.30588235294117649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698</v>
      </c>
    </row>
    <row r="472" spans="1:19" hidden="1" x14ac:dyDescent="0.3">
      <c r="A472" s="5">
        <v>288</v>
      </c>
      <c r="B472" s="5" t="s">
        <v>696</v>
      </c>
      <c r="C472" s="5" t="s">
        <v>658</v>
      </c>
      <c r="D472" s="5" t="s">
        <v>71</v>
      </c>
      <c r="E472" s="5" t="s">
        <v>22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100</v>
      </c>
      <c r="K472" s="5">
        <v>100</v>
      </c>
      <c r="L472" s="14">
        <f t="shared" si="38"/>
        <v>1</v>
      </c>
      <c r="M472" s="14">
        <f t="shared" si="39"/>
        <v>1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701</v>
      </c>
    </row>
    <row r="473" spans="1:19" hidden="1" x14ac:dyDescent="0.3">
      <c r="A473" s="5">
        <v>289</v>
      </c>
      <c r="B473" s="5" t="s">
        <v>702</v>
      </c>
      <c r="C473" s="5" t="s">
        <v>198</v>
      </c>
      <c r="D473" s="5" t="s">
        <v>21</v>
      </c>
      <c r="E473" s="5" t="s">
        <v>22</v>
      </c>
      <c r="F473" s="71">
        <v>45291</v>
      </c>
      <c r="G473" s="5">
        <v>2023</v>
      </c>
      <c r="H473" s="5" t="s">
        <v>23</v>
      </c>
      <c r="I473" s="6" t="s">
        <v>28</v>
      </c>
      <c r="J473" s="5">
        <v>95</v>
      </c>
      <c r="K473" s="5">
        <v>87.5</v>
      </c>
      <c r="L473" s="14">
        <f t="shared" si="38"/>
        <v>0.92105263157894735</v>
      </c>
      <c r="M473" s="14">
        <f t="shared" si="39"/>
        <v>0.92105263157894735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703</v>
      </c>
    </row>
    <row r="474" spans="1:19" hidden="1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95</v>
      </c>
      <c r="K474" s="10">
        <v>100</v>
      </c>
      <c r="L474" s="14">
        <f t="shared" si="38"/>
        <v>1.0526315789473684</v>
      </c>
      <c r="M474" s="14">
        <f t="shared" si="39"/>
        <v>1.0526315789473684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704</v>
      </c>
    </row>
    <row r="475" spans="1:19" hidden="1" x14ac:dyDescent="0.3">
      <c r="A475" s="5">
        <v>290</v>
      </c>
      <c r="B475" s="5" t="s">
        <v>705</v>
      </c>
      <c r="C475" s="5" t="s">
        <v>706</v>
      </c>
      <c r="D475" s="5" t="s">
        <v>64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>
        <v>90</v>
      </c>
      <c r="K475" s="5">
        <v>89.36</v>
      </c>
      <c r="L475" s="14">
        <f t="shared" si="38"/>
        <v>0.99288888888888893</v>
      </c>
      <c r="M475" s="14">
        <f t="shared" si="39"/>
        <v>0.99288888888888893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707</v>
      </c>
    </row>
    <row r="476" spans="1:19" hidden="1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>
        <v>90</v>
      </c>
      <c r="K476" s="5">
        <v>100</v>
      </c>
      <c r="L476" s="14">
        <f t="shared" si="38"/>
        <v>1.1111111111111112</v>
      </c>
      <c r="M476" s="14">
        <f t="shared" si="39"/>
        <v>1.1111111111111112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708</v>
      </c>
    </row>
    <row r="477" spans="1:19" hidden="1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45838</v>
      </c>
      <c r="G477" s="5">
        <v>2025</v>
      </c>
      <c r="H477" s="5" t="s">
        <v>699</v>
      </c>
      <c r="I477" s="6" t="s">
        <v>700</v>
      </c>
      <c r="J477" s="5">
        <v>90</v>
      </c>
      <c r="K477" s="5">
        <v>93.33</v>
      </c>
      <c r="L477" s="14">
        <f t="shared" si="38"/>
        <v>1.0369999999999999</v>
      </c>
      <c r="M477" s="14">
        <f t="shared" si="39"/>
        <v>1.0369999999999999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709</v>
      </c>
    </row>
    <row r="478" spans="1:19" hidden="1" x14ac:dyDescent="0.3">
      <c r="A478" s="5">
        <v>291</v>
      </c>
      <c r="B478" s="5" t="s">
        <v>710</v>
      </c>
      <c r="C478" s="5" t="s">
        <v>711</v>
      </c>
      <c r="D478" s="5" t="s">
        <v>27</v>
      </c>
      <c r="E478" s="5" t="s">
        <v>22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100</v>
      </c>
      <c r="K478" s="5">
        <v>100</v>
      </c>
      <c r="L478" s="14">
        <f t="shared" si="38"/>
        <v>1</v>
      </c>
      <c r="M478" s="14">
        <f t="shared" si="39"/>
        <v>1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712</v>
      </c>
    </row>
    <row r="479" spans="1:19" hidden="1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100</v>
      </c>
      <c r="K479" s="5">
        <v>100</v>
      </c>
      <c r="L479" s="14">
        <f t="shared" si="38"/>
        <v>1</v>
      </c>
      <c r="M479" s="14">
        <f t="shared" si="39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713</v>
      </c>
    </row>
    <row r="480" spans="1:19" hidden="1" x14ac:dyDescent="0.3">
      <c r="A480" s="5">
        <v>292</v>
      </c>
      <c r="B480" s="5" t="s">
        <v>714</v>
      </c>
      <c r="C480" s="5" t="s">
        <v>711</v>
      </c>
      <c r="D480" s="5" t="s">
        <v>27</v>
      </c>
      <c r="E480" s="5" t="s">
        <v>22</v>
      </c>
      <c r="F480" s="71">
        <v>45291</v>
      </c>
      <c r="G480" s="5">
        <v>2023</v>
      </c>
      <c r="H480" s="5" t="s">
        <v>23</v>
      </c>
      <c r="I480" s="6" t="s">
        <v>28</v>
      </c>
      <c r="J480" s="5">
        <v>6</v>
      </c>
      <c r="K480" s="5">
        <v>38.649673477985999</v>
      </c>
      <c r="L480" s="14">
        <f t="shared" si="38"/>
        <v>1.3</v>
      </c>
      <c r="M480" s="14">
        <f t="shared" si="39"/>
        <v>6.4416122463310002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715</v>
      </c>
    </row>
    <row r="481" spans="1:18" hidden="1" x14ac:dyDescent="0.3">
      <c r="A481" s="5">
        <v>292</v>
      </c>
      <c r="B481" s="5" t="s">
        <v>716</v>
      </c>
      <c r="C481" s="5" t="s">
        <v>711</v>
      </c>
      <c r="D481" s="5" t="s">
        <v>27</v>
      </c>
      <c r="E481" s="5" t="s">
        <v>22</v>
      </c>
      <c r="F481" s="71">
        <v>45657</v>
      </c>
      <c r="G481" s="5">
        <v>2024</v>
      </c>
      <c r="H481" s="5" t="s">
        <v>23</v>
      </c>
      <c r="I481" s="6" t="s">
        <v>30</v>
      </c>
      <c r="J481" s="5">
        <v>6</v>
      </c>
      <c r="K481" s="5">
        <v>37.577767411796728</v>
      </c>
      <c r="L481" s="14">
        <f t="shared" si="38"/>
        <v>1.3</v>
      </c>
      <c r="M481" s="14">
        <f t="shared" si="39"/>
        <v>6.2629612352994544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717</v>
      </c>
    </row>
    <row r="482" spans="1:18" hidden="1" x14ac:dyDescent="0.3">
      <c r="A482" s="5">
        <v>292</v>
      </c>
      <c r="B482" s="5" t="s">
        <v>716</v>
      </c>
      <c r="C482" s="5" t="s">
        <v>711</v>
      </c>
      <c r="D482" s="5" t="s">
        <v>21</v>
      </c>
      <c r="E482" s="5" t="s">
        <v>22</v>
      </c>
      <c r="F482" s="71">
        <v>46022</v>
      </c>
      <c r="G482" s="5">
        <v>2025</v>
      </c>
      <c r="H482" s="5" t="s">
        <v>23</v>
      </c>
      <c r="I482" s="6" t="s">
        <v>32</v>
      </c>
      <c r="J482" s="5">
        <v>16</v>
      </c>
      <c r="K482" s="5">
        <v>21</v>
      </c>
      <c r="L482" s="14">
        <f t="shared" si="38"/>
        <v>1.3</v>
      </c>
      <c r="M482" s="14">
        <f t="shared" si="39"/>
        <v>1.3125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718</v>
      </c>
    </row>
    <row r="483" spans="1:18" hidden="1" x14ac:dyDescent="0.3">
      <c r="A483" s="5">
        <v>293</v>
      </c>
      <c r="B483" s="5" t="s">
        <v>719</v>
      </c>
      <c r="C483" s="5" t="s">
        <v>711</v>
      </c>
      <c r="D483" s="5" t="s">
        <v>27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100</v>
      </c>
      <c r="K483" s="5">
        <v>100</v>
      </c>
      <c r="L483" s="14">
        <f t="shared" si="38"/>
        <v>1</v>
      </c>
      <c r="M483" s="14">
        <f t="shared" si="39"/>
        <v>1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720</v>
      </c>
    </row>
    <row r="484" spans="1:18" hidden="1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100</v>
      </c>
      <c r="K484" s="5">
        <v>100</v>
      </c>
      <c r="L484" s="14">
        <f t="shared" si="38"/>
        <v>1</v>
      </c>
      <c r="M484" s="14">
        <f t="shared" si="39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721</v>
      </c>
    </row>
    <row r="485" spans="1:18" hidden="1" x14ac:dyDescent="0.3">
      <c r="A485" s="5">
        <v>294</v>
      </c>
      <c r="B485" s="5" t="s">
        <v>722</v>
      </c>
      <c r="C485" s="5" t="s">
        <v>711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6</v>
      </c>
      <c r="K485" s="5">
        <v>72.145485125617</v>
      </c>
      <c r="L485" s="14">
        <f t="shared" si="38"/>
        <v>1.3</v>
      </c>
      <c r="M485" s="14">
        <f t="shared" si="39"/>
        <v>12.024247520936166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723</v>
      </c>
    </row>
    <row r="486" spans="1:18" hidden="1" x14ac:dyDescent="0.3">
      <c r="A486" s="5">
        <v>294</v>
      </c>
      <c r="B486" s="5" t="s">
        <v>724</v>
      </c>
      <c r="C486" s="5" t="s">
        <v>711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6</v>
      </c>
      <c r="K486" s="5">
        <v>31.77669452181987</v>
      </c>
      <c r="L486" s="14">
        <f t="shared" si="38"/>
        <v>1.3</v>
      </c>
      <c r="M486" s="14">
        <f t="shared" si="39"/>
        <v>5.296115753636645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725</v>
      </c>
    </row>
    <row r="487" spans="1:18" hidden="1" x14ac:dyDescent="0.3">
      <c r="A487" s="5">
        <v>294</v>
      </c>
      <c r="B487" s="5" t="s">
        <v>724</v>
      </c>
      <c r="C487" s="5" t="s">
        <v>711</v>
      </c>
      <c r="D487" s="5" t="s">
        <v>21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32</v>
      </c>
      <c r="J487" s="5">
        <v>16</v>
      </c>
      <c r="K487" s="5">
        <v>44.830000000000013</v>
      </c>
      <c r="L487" s="14">
        <f t="shared" si="38"/>
        <v>1.3</v>
      </c>
      <c r="M487" s="14">
        <f t="shared" si="39"/>
        <v>2.8018750000000008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726</v>
      </c>
    </row>
    <row r="488" spans="1:18" hidden="1" x14ac:dyDescent="0.3">
      <c r="A488" s="5">
        <v>295</v>
      </c>
      <c r="B488" s="5" t="s">
        <v>727</v>
      </c>
      <c r="C488" s="5" t="s">
        <v>63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32</v>
      </c>
      <c r="K488" s="5">
        <v>14</v>
      </c>
      <c r="L488" s="14">
        <f t="shared" si="38"/>
        <v>0.4375</v>
      </c>
      <c r="M488" s="14">
        <f t="shared" si="39"/>
        <v>0.4375</v>
      </c>
      <c r="N488" s="5" t="s">
        <v>128</v>
      </c>
      <c r="O488" s="5" t="s">
        <v>128</v>
      </c>
      <c r="P488" s="5">
        <v>0</v>
      </c>
      <c r="Q488" s="5">
        <v>0</v>
      </c>
      <c r="R488" s="5" t="s">
        <v>728</v>
      </c>
    </row>
    <row r="489" spans="1:18" hidden="1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45473</v>
      </c>
      <c r="G489" s="5">
        <v>2024</v>
      </c>
      <c r="H489" s="5" t="s">
        <v>699</v>
      </c>
      <c r="I489" s="6" t="s">
        <v>729</v>
      </c>
      <c r="J489" s="5">
        <v>60</v>
      </c>
      <c r="K489" s="5">
        <v>52.38</v>
      </c>
      <c r="L489" s="14">
        <f t="shared" si="38"/>
        <v>0.873</v>
      </c>
      <c r="M489" s="14">
        <f t="shared" si="39"/>
        <v>0.873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730</v>
      </c>
    </row>
    <row r="490" spans="1:18" hidden="1" x14ac:dyDescent="0.3">
      <c r="A490" s="5">
        <v>296</v>
      </c>
      <c r="B490" s="5" t="s">
        <v>731</v>
      </c>
      <c r="C490" s="5" t="s">
        <v>732</v>
      </c>
      <c r="D490" s="5" t="s">
        <v>64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85.45</v>
      </c>
      <c r="L490" s="14">
        <f t="shared" si="38"/>
        <v>0.85450000000000004</v>
      </c>
      <c r="M490" s="14">
        <f t="shared" si="39"/>
        <v>0.85450000000000004</v>
      </c>
      <c r="N490" s="5" t="s">
        <v>128</v>
      </c>
      <c r="O490" s="5" t="s">
        <v>136</v>
      </c>
      <c r="P490" s="5">
        <v>1</v>
      </c>
      <c r="Q490" s="5">
        <v>1</v>
      </c>
      <c r="R490" s="5" t="s">
        <v>733</v>
      </c>
    </row>
    <row r="491" spans="1:18" hidden="1" x14ac:dyDescent="0.3">
      <c r="A491" s="5">
        <v>297</v>
      </c>
      <c r="B491" s="5" t="s">
        <v>734</v>
      </c>
      <c r="C491" s="5" t="s">
        <v>732</v>
      </c>
      <c r="D491" s="5" t="s">
        <v>64</v>
      </c>
      <c r="E491" s="5" t="s">
        <v>41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20</v>
      </c>
      <c r="K491" s="5">
        <v>0.93</v>
      </c>
      <c r="L491" s="14">
        <f t="shared" si="38"/>
        <v>1.3</v>
      </c>
      <c r="M491" s="14">
        <f t="shared" si="39"/>
        <v>21.50537634408602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735</v>
      </c>
    </row>
    <row r="492" spans="1:18" hidden="1" x14ac:dyDescent="0.3">
      <c r="A492" s="5">
        <v>298</v>
      </c>
      <c r="B492" s="5" t="s">
        <v>736</v>
      </c>
      <c r="C492" s="5" t="s">
        <v>732</v>
      </c>
      <c r="D492" s="5" t="s">
        <v>27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/>
      <c r="K492" s="5">
        <v>1</v>
      </c>
      <c r="L492" s="14"/>
      <c r="M492" s="14"/>
      <c r="N492" s="5" t="s">
        <v>355</v>
      </c>
      <c r="O492" s="5" t="s">
        <v>128</v>
      </c>
      <c r="P492" s="5">
        <v>0</v>
      </c>
      <c r="Q492" s="5">
        <v>0</v>
      </c>
      <c r="R492" s="5" t="s">
        <v>737</v>
      </c>
    </row>
    <row r="493" spans="1:18" hidden="1" x14ac:dyDescent="0.3">
      <c r="A493" s="5">
        <v>300</v>
      </c>
      <c r="B493" s="5" t="s">
        <v>738</v>
      </c>
      <c r="C493" s="5" t="s">
        <v>739</v>
      </c>
      <c r="D493" s="5" t="s">
        <v>21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100</v>
      </c>
      <c r="K493" s="5">
        <v>100</v>
      </c>
      <c r="L493" s="14">
        <f t="shared" ref="L493:L498" si="40">IFERROR(IF(OR(J493=0,K493=""),"",IF(E493="Positivo",MIN(MAX(K493/J493,0),1.3),MIN(MAX(J493/K493,0),1.3))),"")</f>
        <v>1</v>
      </c>
      <c r="M493" s="14">
        <f t="shared" ref="M493:M498" si="41">IFERROR(IF(OR(J493=0,K493=""),"",IF(E493="Positivo",MAX(K493/J493,0),MAX(J493/K493,0))),"")</f>
        <v>1</v>
      </c>
      <c r="N493" s="38" t="s">
        <v>25</v>
      </c>
      <c r="O493" s="38" t="s">
        <v>25</v>
      </c>
      <c r="P493" s="5">
        <v>0</v>
      </c>
      <c r="Q493" s="5">
        <v>0</v>
      </c>
      <c r="R493" s="5" t="s">
        <v>740</v>
      </c>
    </row>
    <row r="494" spans="1:18" hidden="1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100</v>
      </c>
      <c r="K494" s="5">
        <v>100</v>
      </c>
      <c r="L494" s="14">
        <f t="shared" si="40"/>
        <v>1</v>
      </c>
      <c r="M494" s="14">
        <f t="shared" si="41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741</v>
      </c>
    </row>
    <row r="495" spans="1:18" hidden="1" x14ac:dyDescent="0.3">
      <c r="A495" s="5">
        <v>300</v>
      </c>
      <c r="B495" s="5" t="s">
        <v>738</v>
      </c>
      <c r="C495" s="5" t="s">
        <v>739</v>
      </c>
      <c r="D495" s="5" t="s">
        <v>27</v>
      </c>
      <c r="E495" s="5" t="s">
        <v>22</v>
      </c>
      <c r="F495" s="71">
        <v>46022</v>
      </c>
      <c r="G495" s="5">
        <v>2025</v>
      </c>
      <c r="H495" s="5" t="s">
        <v>23</v>
      </c>
      <c r="I495" s="6" t="s">
        <v>32</v>
      </c>
      <c r="J495" s="5">
        <v>100</v>
      </c>
      <c r="K495" s="5">
        <v>100</v>
      </c>
      <c r="L495" s="14">
        <f t="shared" si="40"/>
        <v>1</v>
      </c>
      <c r="M495" s="14">
        <f t="shared" si="41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742</v>
      </c>
    </row>
    <row r="496" spans="1:18" hidden="1" x14ac:dyDescent="0.3">
      <c r="A496" s="5">
        <v>301</v>
      </c>
      <c r="B496" s="5" t="s">
        <v>743</v>
      </c>
      <c r="C496" s="5" t="s">
        <v>739</v>
      </c>
      <c r="D496" s="5" t="s">
        <v>21</v>
      </c>
      <c r="E496" s="5" t="s">
        <v>22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100</v>
      </c>
      <c r="K496" s="5">
        <v>100</v>
      </c>
      <c r="L496" s="14">
        <f t="shared" si="40"/>
        <v>1</v>
      </c>
      <c r="M496" s="14">
        <f t="shared" si="41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744</v>
      </c>
    </row>
    <row r="497" spans="1:19" hidden="1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100</v>
      </c>
      <c r="K497" s="5">
        <v>100</v>
      </c>
      <c r="L497" s="14">
        <f t="shared" si="40"/>
        <v>1</v>
      </c>
      <c r="M497" s="14">
        <f t="shared" si="41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745</v>
      </c>
    </row>
    <row r="498" spans="1:19" hidden="1" x14ac:dyDescent="0.3">
      <c r="A498" s="5">
        <v>301</v>
      </c>
      <c r="B498" s="5" t="s">
        <v>743</v>
      </c>
      <c r="C498" s="5" t="s">
        <v>739</v>
      </c>
      <c r="D498" s="5" t="s">
        <v>27</v>
      </c>
      <c r="E498" s="5" t="s">
        <v>22</v>
      </c>
      <c r="F498" s="71">
        <v>46022</v>
      </c>
      <c r="G498" s="5">
        <v>2025</v>
      </c>
      <c r="H498" s="5" t="s">
        <v>23</v>
      </c>
      <c r="I498" s="6" t="s">
        <v>32</v>
      </c>
      <c r="J498" s="5">
        <v>100</v>
      </c>
      <c r="K498" s="5">
        <v>100</v>
      </c>
      <c r="L498" s="14">
        <f t="shared" si="40"/>
        <v>1</v>
      </c>
      <c r="M498" s="14">
        <f t="shared" si="41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746</v>
      </c>
    </row>
    <row r="499" spans="1:19" hidden="1" x14ac:dyDescent="0.3">
      <c r="A499" s="5">
        <v>302</v>
      </c>
      <c r="B499" s="5" t="s">
        <v>747</v>
      </c>
      <c r="C499" s="5" t="s">
        <v>619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0</v>
      </c>
      <c r="L499" s="14"/>
      <c r="M499" s="14"/>
      <c r="N499" s="5" t="s">
        <v>25</v>
      </c>
      <c r="O499" s="5" t="s">
        <v>128</v>
      </c>
      <c r="P499" s="5">
        <v>0</v>
      </c>
      <c r="Q499" s="5">
        <v>0</v>
      </c>
      <c r="R499" s="5" t="s">
        <v>748</v>
      </c>
    </row>
    <row r="500" spans="1:19" hidden="1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0</v>
      </c>
      <c r="K500" s="5">
        <v>37020</v>
      </c>
      <c r="L500" s="14" t="str">
        <f>IFERROR(IF(OR(J500=0,K500=""),"",IF(E500="Positivo",MIN(MAX(K500/J500,0),1.3),MIN(MAX(J500/K500,0),1.3))),"")</f>
        <v/>
      </c>
      <c r="M500" s="14" t="str">
        <f>IFERROR(IF(OR(J500=0,K500=""),"",IF(E500="Positivo",MAX(K500/J500,0),MAX(J500/K500,0))),"")</f>
        <v/>
      </c>
      <c r="N500" s="5">
        <v>0</v>
      </c>
      <c r="O500" s="5" t="s">
        <v>128</v>
      </c>
      <c r="P500" s="5">
        <v>0</v>
      </c>
      <c r="Q500" s="5">
        <v>0</v>
      </c>
      <c r="R500" s="5" t="s">
        <v>749</v>
      </c>
    </row>
    <row r="501" spans="1:19" hidden="1" x14ac:dyDescent="0.3">
      <c r="A501" s="5">
        <v>302</v>
      </c>
      <c r="B501" s="5" t="s">
        <v>750</v>
      </c>
      <c r="C501" s="5" t="s">
        <v>619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32</v>
      </c>
      <c r="J501" s="5"/>
      <c r="K501" s="5">
        <v>53083</v>
      </c>
      <c r="L501" s="14"/>
      <c r="M501" s="14"/>
      <c r="N501" s="5" t="s">
        <v>25</v>
      </c>
      <c r="O501" s="5" t="s">
        <v>128</v>
      </c>
      <c r="P501" s="5">
        <v>0</v>
      </c>
      <c r="Q501" s="5">
        <v>0</v>
      </c>
      <c r="R501" s="5" t="s">
        <v>751</v>
      </c>
      <c r="S501" t="s">
        <v>263</v>
      </c>
    </row>
    <row r="502" spans="1:19" hidden="1" x14ac:dyDescent="0.3">
      <c r="A502" s="5">
        <v>303</v>
      </c>
      <c r="B502" s="5" t="s">
        <v>752</v>
      </c>
      <c r="C502" s="5" t="s">
        <v>753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200</v>
      </c>
      <c r="K502" s="5">
        <v>155.30303030303051</v>
      </c>
      <c r="L502" s="14">
        <f t="shared" ref="L502:L529" si="42">IFERROR(IF(OR(J502=0,K502=""),"",IF(E502="Positivo",MIN(MAX(K502/J502,0),1.3),MIN(MAX(J502/K502,0),1.3))),"")</f>
        <v>0.7765151515151526</v>
      </c>
      <c r="M502" s="14">
        <f t="shared" ref="M502:M529" si="43">IFERROR(IF(OR(J502=0,K502=""),"",IF(E502="Positivo",MAX(K502/J502,0),MAX(J502/K502,0))),"")</f>
        <v>0.7765151515151526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754</v>
      </c>
    </row>
    <row r="503" spans="1:19" hidden="1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190</v>
      </c>
      <c r="K503" s="5">
        <v>195.6521739130435</v>
      </c>
      <c r="L503" s="14">
        <f t="shared" si="42"/>
        <v>1.0297482837528604</v>
      </c>
      <c r="M503" s="14">
        <f t="shared" si="43"/>
        <v>1.0297482837528604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755</v>
      </c>
    </row>
    <row r="504" spans="1:19" hidden="1" x14ac:dyDescent="0.3">
      <c r="A504" s="21">
        <v>303</v>
      </c>
      <c r="B504" s="20" t="s">
        <v>752</v>
      </c>
      <c r="C504" s="5" t="s">
        <v>753</v>
      </c>
      <c r="D504" s="5" t="s">
        <v>21</v>
      </c>
      <c r="E504" s="5" t="s">
        <v>22</v>
      </c>
      <c r="F504" s="71">
        <v>46022</v>
      </c>
      <c r="G504" s="5">
        <v>2025</v>
      </c>
      <c r="H504" s="5" t="s">
        <v>23</v>
      </c>
      <c r="I504" s="6" t="s">
        <v>32</v>
      </c>
      <c r="J504" s="5">
        <v>190</v>
      </c>
      <c r="K504" s="5">
        <v>190.32</v>
      </c>
      <c r="L504" s="14">
        <f t="shared" si="42"/>
        <v>1.0016842105263157</v>
      </c>
      <c r="M504" s="14">
        <f t="shared" si="43"/>
        <v>1.0016842105263157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756</v>
      </c>
    </row>
    <row r="505" spans="1:19" hidden="1" x14ac:dyDescent="0.3">
      <c r="A505" s="5">
        <v>304</v>
      </c>
      <c r="B505" s="5" t="s">
        <v>757</v>
      </c>
      <c r="C505" s="5" t="s">
        <v>753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200</v>
      </c>
      <c r="K505" s="5">
        <v>366.19000000000011</v>
      </c>
      <c r="L505" s="14">
        <f t="shared" si="42"/>
        <v>1.3</v>
      </c>
      <c r="M505" s="14">
        <f t="shared" si="43"/>
        <v>1.8309500000000005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758</v>
      </c>
    </row>
    <row r="506" spans="1:19" hidden="1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200</v>
      </c>
      <c r="K506" s="5">
        <v>183.68</v>
      </c>
      <c r="L506" s="14">
        <f t="shared" si="42"/>
        <v>0.91839999999999999</v>
      </c>
      <c r="M506" s="14">
        <f t="shared" si="43"/>
        <v>0.91839999999999999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759</v>
      </c>
    </row>
    <row r="507" spans="1:19" hidden="1" x14ac:dyDescent="0.3">
      <c r="A507" s="5">
        <v>304</v>
      </c>
      <c r="B507" s="5" t="s">
        <v>757</v>
      </c>
      <c r="C507" s="5" t="s">
        <v>753</v>
      </c>
      <c r="D507" s="5" t="s">
        <v>21</v>
      </c>
      <c r="E507" s="5" t="s">
        <v>22</v>
      </c>
      <c r="F507" s="71">
        <v>46022</v>
      </c>
      <c r="G507" s="5">
        <v>2025</v>
      </c>
      <c r="H507" s="5" t="s">
        <v>23</v>
      </c>
      <c r="I507" s="6" t="s">
        <v>32</v>
      </c>
      <c r="J507" s="5">
        <v>200</v>
      </c>
      <c r="K507" s="5">
        <v>214.56</v>
      </c>
      <c r="L507" s="14">
        <f t="shared" si="42"/>
        <v>1.0728</v>
      </c>
      <c r="M507" s="14">
        <f t="shared" si="43"/>
        <v>1.0728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760</v>
      </c>
    </row>
    <row r="508" spans="1:19" hidden="1" x14ac:dyDescent="0.3">
      <c r="A508" s="5">
        <v>305</v>
      </c>
      <c r="B508" s="5" t="s">
        <v>761</v>
      </c>
      <c r="C508" s="5" t="s">
        <v>753</v>
      </c>
      <c r="D508" s="5" t="s">
        <v>71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100</v>
      </c>
      <c r="L508" s="14">
        <f t="shared" si="42"/>
        <v>1</v>
      </c>
      <c r="M508" s="14">
        <f t="shared" si="43"/>
        <v>1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762</v>
      </c>
    </row>
    <row r="509" spans="1:19" hidden="1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100</v>
      </c>
      <c r="L509" s="14">
        <f t="shared" si="42"/>
        <v>1</v>
      </c>
      <c r="M509" s="14">
        <f t="shared" si="43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763</v>
      </c>
    </row>
    <row r="510" spans="1:19" hidden="1" x14ac:dyDescent="0.3">
      <c r="A510" s="5">
        <v>306</v>
      </c>
      <c r="B510" s="5" t="s">
        <v>764</v>
      </c>
      <c r="C510" s="5" t="s">
        <v>554</v>
      </c>
      <c r="D510" s="5" t="s">
        <v>21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100</v>
      </c>
      <c r="K510" s="5">
        <v>156.5</v>
      </c>
      <c r="L510" s="14">
        <f t="shared" si="42"/>
        <v>1.3</v>
      </c>
      <c r="M510" s="14">
        <f t="shared" si="43"/>
        <v>1.5649999999999999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765</v>
      </c>
    </row>
    <row r="511" spans="1:19" hidden="1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5">
        <v>175.5</v>
      </c>
      <c r="L511" s="14">
        <f t="shared" si="42"/>
        <v>1.3</v>
      </c>
      <c r="M511" s="14">
        <f t="shared" si="43"/>
        <v>1.7549999999999999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766</v>
      </c>
    </row>
    <row r="512" spans="1:19" hidden="1" x14ac:dyDescent="0.3">
      <c r="A512" s="5">
        <v>306</v>
      </c>
      <c r="B512" s="5" t="s">
        <v>764</v>
      </c>
      <c r="C512" s="5" t="s">
        <v>554</v>
      </c>
      <c r="D512" s="5" t="s">
        <v>27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100</v>
      </c>
      <c r="K512" s="5">
        <v>107.37333333333331</v>
      </c>
      <c r="L512" s="14">
        <f t="shared" si="42"/>
        <v>1.073733333333333</v>
      </c>
      <c r="M512" s="14">
        <f t="shared" si="43"/>
        <v>1.073733333333333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767</v>
      </c>
    </row>
    <row r="513" spans="1:18" hidden="1" x14ac:dyDescent="0.3">
      <c r="A513" s="5">
        <v>307</v>
      </c>
      <c r="B513" s="5" t="s">
        <v>768</v>
      </c>
      <c r="C513" s="5" t="s">
        <v>246</v>
      </c>
      <c r="D513" s="5" t="s">
        <v>27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46</v>
      </c>
      <c r="K513" s="5">
        <v>107</v>
      </c>
      <c r="L513" s="14">
        <f t="shared" si="42"/>
        <v>1.3</v>
      </c>
      <c r="M513" s="14">
        <f t="shared" si="43"/>
        <v>2.3260869565217392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769</v>
      </c>
    </row>
    <row r="514" spans="1:18" hidden="1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45657</v>
      </c>
      <c r="G514" s="5">
        <v>2024</v>
      </c>
      <c r="H514" s="5" t="s">
        <v>23</v>
      </c>
      <c r="I514" s="6" t="s">
        <v>30</v>
      </c>
      <c r="J514" s="5">
        <v>100</v>
      </c>
      <c r="K514" s="5">
        <v>413.33</v>
      </c>
      <c r="L514" s="14">
        <f t="shared" si="42"/>
        <v>1.3</v>
      </c>
      <c r="M514" s="14">
        <f t="shared" si="43"/>
        <v>4.1333000000000002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770</v>
      </c>
    </row>
    <row r="515" spans="1:18" hidden="1" x14ac:dyDescent="0.3">
      <c r="A515" s="5">
        <v>308</v>
      </c>
      <c r="B515" s="5" t="s">
        <v>771</v>
      </c>
      <c r="C515" s="5" t="s">
        <v>246</v>
      </c>
      <c r="D515" s="5" t="s">
        <v>27</v>
      </c>
      <c r="E515" s="5" t="s">
        <v>22</v>
      </c>
      <c r="F515" s="71">
        <v>45291</v>
      </c>
      <c r="G515" s="5">
        <v>2023</v>
      </c>
      <c r="H515" s="5" t="s">
        <v>23</v>
      </c>
      <c r="I515" s="6" t="s">
        <v>28</v>
      </c>
      <c r="J515" s="5">
        <v>32</v>
      </c>
      <c r="K515" s="5">
        <v>81</v>
      </c>
      <c r="L515" s="14">
        <f t="shared" si="42"/>
        <v>1.3</v>
      </c>
      <c r="M515" s="14">
        <f t="shared" si="43"/>
        <v>2.53125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772</v>
      </c>
    </row>
    <row r="516" spans="1:18" hidden="1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100</v>
      </c>
      <c r="K516" s="5">
        <v>100</v>
      </c>
      <c r="L516" s="14">
        <f t="shared" si="42"/>
        <v>1</v>
      </c>
      <c r="M516" s="14">
        <f t="shared" si="43"/>
        <v>1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773</v>
      </c>
    </row>
    <row r="517" spans="1:18" hidden="1" x14ac:dyDescent="0.3">
      <c r="A517" s="5">
        <v>309</v>
      </c>
      <c r="B517" s="5" t="s">
        <v>774</v>
      </c>
      <c r="C517" s="5" t="s">
        <v>246</v>
      </c>
      <c r="D517" s="5" t="s">
        <v>27</v>
      </c>
      <c r="E517" s="5" t="s">
        <v>22</v>
      </c>
      <c r="F517" s="71">
        <v>45291</v>
      </c>
      <c r="G517" s="5">
        <v>2023</v>
      </c>
      <c r="H517" s="5" t="s">
        <v>23</v>
      </c>
      <c r="I517" s="6" t="s">
        <v>28</v>
      </c>
      <c r="J517" s="5">
        <v>64</v>
      </c>
      <c r="K517" s="5">
        <v>103</v>
      </c>
      <c r="L517" s="14">
        <f t="shared" si="42"/>
        <v>1.3</v>
      </c>
      <c r="M517" s="14">
        <f t="shared" si="43"/>
        <v>1.609375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775</v>
      </c>
    </row>
    <row r="518" spans="1:18" hidden="1" x14ac:dyDescent="0.3">
      <c r="A518" s="5">
        <v>309</v>
      </c>
      <c r="B518" s="5" t="s">
        <v>776</v>
      </c>
      <c r="C518" s="5" t="s">
        <v>246</v>
      </c>
      <c r="D518" s="5" t="s">
        <v>27</v>
      </c>
      <c r="E518" s="5" t="s">
        <v>22</v>
      </c>
      <c r="F518" s="71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154.66999999999999</v>
      </c>
      <c r="L518" s="14">
        <f t="shared" si="42"/>
        <v>1.3</v>
      </c>
      <c r="M518" s="14">
        <f t="shared" si="43"/>
        <v>1.5467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777</v>
      </c>
    </row>
    <row r="519" spans="1:18" hidden="1" x14ac:dyDescent="0.3">
      <c r="A519" s="5">
        <v>310</v>
      </c>
      <c r="B519" s="5" t="s">
        <v>778</v>
      </c>
      <c r="C519" s="5" t="s">
        <v>246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>
        <v>84</v>
      </c>
      <c r="K519" s="5">
        <v>166</v>
      </c>
      <c r="L519" s="14">
        <f t="shared" si="42"/>
        <v>1.3</v>
      </c>
      <c r="M519" s="14">
        <f t="shared" si="43"/>
        <v>1.9761904761904763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779</v>
      </c>
    </row>
    <row r="520" spans="1:18" hidden="1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79.13</v>
      </c>
      <c r="L520" s="14">
        <f t="shared" si="42"/>
        <v>0.7913</v>
      </c>
      <c r="M520" s="14">
        <f t="shared" si="43"/>
        <v>0.7913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780</v>
      </c>
    </row>
    <row r="521" spans="1:18" hidden="1" x14ac:dyDescent="0.3">
      <c r="A521" s="5">
        <v>311</v>
      </c>
      <c r="B521" s="5" t="s">
        <v>781</v>
      </c>
      <c r="C521" s="5" t="s">
        <v>246</v>
      </c>
      <c r="D521" s="5" t="s">
        <v>27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267</v>
      </c>
      <c r="K521" s="5">
        <v>332</v>
      </c>
      <c r="L521" s="14">
        <f t="shared" si="42"/>
        <v>1.2434456928838951</v>
      </c>
      <c r="M521" s="14">
        <f t="shared" si="43"/>
        <v>1.2434456928838951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782</v>
      </c>
    </row>
    <row r="522" spans="1:18" hidden="1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67.760000000000005</v>
      </c>
      <c r="L522" s="14">
        <f t="shared" si="42"/>
        <v>0.67760000000000009</v>
      </c>
      <c r="M522" s="14">
        <f t="shared" si="43"/>
        <v>0.67760000000000009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783</v>
      </c>
    </row>
    <row r="523" spans="1:18" hidden="1" x14ac:dyDescent="0.3">
      <c r="A523" s="5">
        <v>312</v>
      </c>
      <c r="B523" s="5" t="s">
        <v>784</v>
      </c>
      <c r="C523" s="5" t="s">
        <v>246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221</v>
      </c>
      <c r="K523" s="5">
        <v>243</v>
      </c>
      <c r="L523" s="14">
        <f t="shared" si="42"/>
        <v>1.0995475113122173</v>
      </c>
      <c r="M523" s="14">
        <f t="shared" si="43"/>
        <v>1.0995475113122173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785</v>
      </c>
    </row>
    <row r="524" spans="1:18" hidden="1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137</v>
      </c>
      <c r="L524" s="14">
        <f t="shared" si="42"/>
        <v>1.3</v>
      </c>
      <c r="M524" s="14">
        <f t="shared" si="43"/>
        <v>1.37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786</v>
      </c>
    </row>
    <row r="525" spans="1:18" hidden="1" x14ac:dyDescent="0.3">
      <c r="A525" s="5">
        <v>313</v>
      </c>
      <c r="B525" s="5" t="s">
        <v>787</v>
      </c>
      <c r="C525" s="5" t="s">
        <v>246</v>
      </c>
      <c r="D525" s="5" t="s">
        <v>27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28</v>
      </c>
      <c r="K525" s="5">
        <v>25</v>
      </c>
      <c r="L525" s="14">
        <f t="shared" si="42"/>
        <v>0.8928571428571429</v>
      </c>
      <c r="M525" s="14">
        <f t="shared" si="43"/>
        <v>0.8928571428571429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788</v>
      </c>
    </row>
    <row r="526" spans="1:18" hidden="1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100</v>
      </c>
      <c r="L526" s="14">
        <f t="shared" si="42"/>
        <v>1</v>
      </c>
      <c r="M526" s="14">
        <f t="shared" si="43"/>
        <v>1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789</v>
      </c>
    </row>
    <row r="527" spans="1:18" hidden="1" x14ac:dyDescent="0.3">
      <c r="A527" s="5">
        <v>314</v>
      </c>
      <c r="B527" s="5" t="s">
        <v>790</v>
      </c>
      <c r="C527" s="5" t="s">
        <v>246</v>
      </c>
      <c r="D527" s="5" t="s">
        <v>27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23</v>
      </c>
      <c r="K527" s="5">
        <v>29</v>
      </c>
      <c r="L527" s="14">
        <f t="shared" si="42"/>
        <v>1.2608695652173914</v>
      </c>
      <c r="M527" s="14">
        <f t="shared" si="43"/>
        <v>1.2608695652173914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791</v>
      </c>
    </row>
    <row r="528" spans="1:18" hidden="1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100</v>
      </c>
      <c r="K528" s="5">
        <v>145</v>
      </c>
      <c r="L528" s="14">
        <f t="shared" si="42"/>
        <v>1.3</v>
      </c>
      <c r="M528" s="14">
        <f t="shared" si="43"/>
        <v>1.45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792</v>
      </c>
    </row>
    <row r="529" spans="1:18" hidden="1" x14ac:dyDescent="0.3">
      <c r="A529" s="5">
        <v>315</v>
      </c>
      <c r="B529" s="5" t="s">
        <v>793</v>
      </c>
      <c r="C529" s="5" t="s">
        <v>246</v>
      </c>
      <c r="D529" s="5" t="s">
        <v>27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5</v>
      </c>
      <c r="K529" s="5">
        <v>7</v>
      </c>
      <c r="L529" s="14">
        <f t="shared" si="42"/>
        <v>1.3</v>
      </c>
      <c r="M529" s="14">
        <f t="shared" si="43"/>
        <v>1.4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794</v>
      </c>
    </row>
    <row r="530" spans="1:18" hidden="1" x14ac:dyDescent="0.3">
      <c r="A530" s="5">
        <v>315</v>
      </c>
      <c r="B530" s="5" t="s">
        <v>795</v>
      </c>
      <c r="C530" s="5" t="s">
        <v>246</v>
      </c>
      <c r="D530" s="5" t="s">
        <v>27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/>
      <c r="K530" s="5"/>
      <c r="L530" s="14"/>
      <c r="M530" s="14"/>
      <c r="N530" s="5" t="s">
        <v>128</v>
      </c>
      <c r="O530" s="5" t="s">
        <v>128</v>
      </c>
      <c r="P530" s="5">
        <v>0</v>
      </c>
      <c r="Q530" s="5">
        <v>0</v>
      </c>
      <c r="R530" s="5" t="s">
        <v>796</v>
      </c>
    </row>
    <row r="531" spans="1:18" hidden="1" x14ac:dyDescent="0.3">
      <c r="A531" s="5">
        <v>316</v>
      </c>
      <c r="B531" s="5" t="s">
        <v>797</v>
      </c>
      <c r="C531" s="5" t="s">
        <v>246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21</v>
      </c>
      <c r="K531" s="5">
        <v>22</v>
      </c>
      <c r="L531" s="14">
        <f t="shared" ref="L531:L552" si="44">IFERROR(IF(OR(J531=0,K531=""),"",IF(E531="Positivo",MIN(MAX(K531/J531,0),1.3),MIN(MAX(J531/K531,0),1.3))),"")</f>
        <v>1.0476190476190477</v>
      </c>
      <c r="M531" s="14">
        <f t="shared" ref="M531:M552" si="45">IFERROR(IF(OR(J531=0,K531=""),"",IF(E531="Positivo",MAX(K531/J531,0),MAX(J531/K531,0))),"")</f>
        <v>1.0476190476190477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798</v>
      </c>
    </row>
    <row r="532" spans="1:18" hidden="1" x14ac:dyDescent="0.3">
      <c r="A532" s="5">
        <v>317</v>
      </c>
      <c r="B532" s="5" t="s">
        <v>799</v>
      </c>
      <c r="C532" s="5" t="s">
        <v>246</v>
      </c>
      <c r="D532" s="5" t="s">
        <v>71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12</v>
      </c>
      <c r="K532" s="5">
        <v>12</v>
      </c>
      <c r="L532" s="14">
        <f t="shared" si="44"/>
        <v>1</v>
      </c>
      <c r="M532" s="14">
        <f t="shared" si="45"/>
        <v>1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800</v>
      </c>
    </row>
    <row r="533" spans="1:18" hidden="1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100</v>
      </c>
      <c r="L533" s="14">
        <f t="shared" si="44"/>
        <v>1</v>
      </c>
      <c r="M533" s="14">
        <f t="shared" si="45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801</v>
      </c>
    </row>
    <row r="534" spans="1:18" hidden="1" x14ac:dyDescent="0.3">
      <c r="A534" s="5">
        <v>318</v>
      </c>
      <c r="B534" s="5" t="s">
        <v>802</v>
      </c>
      <c r="C534" s="5" t="s">
        <v>246</v>
      </c>
      <c r="D534" s="5" t="s">
        <v>27</v>
      </c>
      <c r="E534" s="5" t="s">
        <v>22</v>
      </c>
      <c r="F534" s="71">
        <v>45291</v>
      </c>
      <c r="G534" s="5">
        <v>2023</v>
      </c>
      <c r="H534" s="5" t="s">
        <v>23</v>
      </c>
      <c r="I534" s="6" t="s">
        <v>28</v>
      </c>
      <c r="J534" s="5">
        <v>80</v>
      </c>
      <c r="K534" s="5">
        <v>90.909090909090907</v>
      </c>
      <c r="L534" s="14">
        <f t="shared" si="44"/>
        <v>1.1363636363636362</v>
      </c>
      <c r="M534" s="14">
        <f t="shared" si="45"/>
        <v>1.1363636363636362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803</v>
      </c>
    </row>
    <row r="535" spans="1:18" hidden="1" x14ac:dyDescent="0.3">
      <c r="A535" s="5">
        <v>318</v>
      </c>
      <c r="B535" s="5" t="s">
        <v>804</v>
      </c>
      <c r="C535" s="5" t="s">
        <v>246</v>
      </c>
      <c r="D535" s="5" t="s">
        <v>71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80</v>
      </c>
      <c r="K535" s="5">
        <v>90.28</v>
      </c>
      <c r="L535" s="14">
        <f t="shared" si="44"/>
        <v>1.1285000000000001</v>
      </c>
      <c r="M535" s="14">
        <f t="shared" si="45"/>
        <v>1.1285000000000001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805</v>
      </c>
    </row>
    <row r="536" spans="1:18" hidden="1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85</v>
      </c>
      <c r="K536" s="5">
        <v>86.16</v>
      </c>
      <c r="L536" s="14">
        <f t="shared" si="44"/>
        <v>1.0136470588235293</v>
      </c>
      <c r="M536" s="14">
        <f t="shared" si="45"/>
        <v>1.0136470588235293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806</v>
      </c>
    </row>
    <row r="537" spans="1:18" hidden="1" x14ac:dyDescent="0.3">
      <c r="A537" s="5">
        <v>319</v>
      </c>
      <c r="B537" s="5" t="s">
        <v>807</v>
      </c>
      <c r="C537" s="5" t="s">
        <v>246</v>
      </c>
      <c r="D537" s="5" t="s">
        <v>27</v>
      </c>
      <c r="E537" s="5" t="s">
        <v>22</v>
      </c>
      <c r="F537" s="71">
        <v>45291</v>
      </c>
      <c r="G537" s="15">
        <v>2023</v>
      </c>
      <c r="H537" s="6" t="s">
        <v>23</v>
      </c>
      <c r="I537" s="6" t="s">
        <v>28</v>
      </c>
      <c r="J537" s="73">
        <v>100</v>
      </c>
      <c r="K537" s="9">
        <v>100</v>
      </c>
      <c r="L537" s="14">
        <f t="shared" si="44"/>
        <v>1</v>
      </c>
      <c r="M537" s="14">
        <f t="shared" si="45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808</v>
      </c>
    </row>
    <row r="538" spans="1:18" hidden="1" x14ac:dyDescent="0.3">
      <c r="A538" s="5">
        <v>319</v>
      </c>
      <c r="B538" s="5" t="s">
        <v>807</v>
      </c>
      <c r="C538" s="5" t="s">
        <v>246</v>
      </c>
      <c r="D538" s="13" t="s">
        <v>27</v>
      </c>
      <c r="E538" s="5" t="s">
        <v>22</v>
      </c>
      <c r="F538" s="71">
        <v>45657</v>
      </c>
      <c r="G538" s="15">
        <v>2024</v>
      </c>
      <c r="H538" s="6" t="s">
        <v>23</v>
      </c>
      <c r="I538" s="6" t="s">
        <v>30</v>
      </c>
      <c r="J538" s="5">
        <v>100</v>
      </c>
      <c r="K538" s="5">
        <v>100</v>
      </c>
      <c r="L538" s="14">
        <f t="shared" si="44"/>
        <v>1</v>
      </c>
      <c r="M538" s="14">
        <f t="shared" si="45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809</v>
      </c>
    </row>
    <row r="539" spans="1:18" hidden="1" x14ac:dyDescent="0.3">
      <c r="A539" s="5">
        <v>320</v>
      </c>
      <c r="B539" s="5" t="s">
        <v>810</v>
      </c>
      <c r="C539" s="5" t="s">
        <v>246</v>
      </c>
      <c r="D539" s="13" t="s">
        <v>27</v>
      </c>
      <c r="E539" s="5" t="s">
        <v>22</v>
      </c>
      <c r="F539" s="71">
        <v>45291</v>
      </c>
      <c r="G539" s="15">
        <v>2023</v>
      </c>
      <c r="H539" s="6" t="s">
        <v>23</v>
      </c>
      <c r="I539" s="6" t="s">
        <v>28</v>
      </c>
      <c r="J539" s="5">
        <v>41</v>
      </c>
      <c r="K539" s="5">
        <v>29</v>
      </c>
      <c r="L539" s="14">
        <f t="shared" si="44"/>
        <v>0.70731707317073167</v>
      </c>
      <c r="M539" s="14">
        <f t="shared" si="45"/>
        <v>0.70731707317073167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811</v>
      </c>
    </row>
    <row r="540" spans="1:18" hidden="1" x14ac:dyDescent="0.3">
      <c r="A540" s="5">
        <v>320</v>
      </c>
      <c r="B540" s="5" t="s">
        <v>812</v>
      </c>
      <c r="C540" s="5" t="s">
        <v>246</v>
      </c>
      <c r="D540" s="13" t="s">
        <v>27</v>
      </c>
      <c r="E540" s="5" t="s">
        <v>22</v>
      </c>
      <c r="F540" s="71">
        <v>45657</v>
      </c>
      <c r="G540" s="15">
        <v>2024</v>
      </c>
      <c r="H540" s="6" t="s">
        <v>23</v>
      </c>
      <c r="I540" s="6" t="s">
        <v>30</v>
      </c>
      <c r="J540" s="5">
        <v>100</v>
      </c>
      <c r="K540" s="5">
        <v>115</v>
      </c>
      <c r="L540" s="14">
        <f t="shared" si="44"/>
        <v>1.1499999999999999</v>
      </c>
      <c r="M540" s="14">
        <f t="shared" si="45"/>
        <v>1.1499999999999999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813</v>
      </c>
    </row>
    <row r="541" spans="1:18" hidden="1" x14ac:dyDescent="0.3">
      <c r="A541" s="5">
        <v>321</v>
      </c>
      <c r="B541" s="5" t="s">
        <v>814</v>
      </c>
      <c r="C541" s="5" t="s">
        <v>246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360</v>
      </c>
      <c r="K541" s="5">
        <v>467</v>
      </c>
      <c r="L541" s="14">
        <f t="shared" si="44"/>
        <v>1.2972222222222223</v>
      </c>
      <c r="M541" s="14">
        <f t="shared" si="45"/>
        <v>1.2972222222222223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815</v>
      </c>
    </row>
    <row r="542" spans="1:18" hidden="1" x14ac:dyDescent="0.3">
      <c r="A542" s="5">
        <v>321</v>
      </c>
      <c r="B542" s="5" t="s">
        <v>816</v>
      </c>
      <c r="C542" s="5" t="s">
        <v>246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100</v>
      </c>
      <c r="K542" s="5">
        <v>502.17</v>
      </c>
      <c r="L542" s="14">
        <f t="shared" si="44"/>
        <v>1.3</v>
      </c>
      <c r="M542" s="14">
        <f t="shared" si="45"/>
        <v>5.0217000000000001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817</v>
      </c>
    </row>
    <row r="543" spans="1:18" hidden="1" x14ac:dyDescent="0.3">
      <c r="A543" s="5">
        <v>323</v>
      </c>
      <c r="B543" s="5" t="s">
        <v>818</v>
      </c>
      <c r="C543" s="5" t="s">
        <v>819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200</v>
      </c>
      <c r="K543" s="5">
        <v>200</v>
      </c>
      <c r="L543" s="14">
        <f t="shared" si="44"/>
        <v>1</v>
      </c>
      <c r="M543" s="14">
        <f t="shared" si="45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820</v>
      </c>
    </row>
    <row r="544" spans="1:18" hidden="1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200</v>
      </c>
      <c r="K544" s="5">
        <v>100</v>
      </c>
      <c r="L544" s="14">
        <f t="shared" si="44"/>
        <v>0.5</v>
      </c>
      <c r="M544" s="14">
        <f t="shared" si="45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821</v>
      </c>
    </row>
    <row r="545" spans="1:19" hidden="1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200</v>
      </c>
      <c r="K545" s="5">
        <v>200</v>
      </c>
      <c r="L545" s="14">
        <f t="shared" si="44"/>
        <v>1</v>
      </c>
      <c r="M545" s="14">
        <f t="shared" si="45"/>
        <v>1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822</v>
      </c>
    </row>
    <row r="546" spans="1:19" hidden="1" x14ac:dyDescent="0.3">
      <c r="A546" s="5">
        <v>324</v>
      </c>
      <c r="B546" s="5" t="s">
        <v>823</v>
      </c>
      <c r="C546" s="5" t="s">
        <v>819</v>
      </c>
      <c r="D546" s="5" t="s">
        <v>27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200</v>
      </c>
      <c r="K546" s="5">
        <v>100</v>
      </c>
      <c r="L546" s="14">
        <f t="shared" si="44"/>
        <v>0.5</v>
      </c>
      <c r="M546" s="14">
        <f t="shared" si="45"/>
        <v>0.5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824</v>
      </c>
    </row>
    <row r="547" spans="1:19" hidden="1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45657</v>
      </c>
      <c r="G547" s="5">
        <v>2024</v>
      </c>
      <c r="H547" s="5" t="s">
        <v>23</v>
      </c>
      <c r="I547" s="6" t="s">
        <v>30</v>
      </c>
      <c r="J547" s="5">
        <v>200</v>
      </c>
      <c r="K547" s="5">
        <v>100</v>
      </c>
      <c r="L547" s="14">
        <f t="shared" si="44"/>
        <v>0.5</v>
      </c>
      <c r="M547" s="14">
        <f t="shared" si="45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825</v>
      </c>
    </row>
    <row r="548" spans="1:19" hidden="1" x14ac:dyDescent="0.3">
      <c r="A548" s="5">
        <v>324</v>
      </c>
      <c r="B548" s="5" t="s">
        <v>823</v>
      </c>
      <c r="C548" s="5" t="s">
        <v>819</v>
      </c>
      <c r="D548" s="5" t="s">
        <v>21</v>
      </c>
      <c r="E548" s="5" t="s">
        <v>22</v>
      </c>
      <c r="F548" s="71">
        <v>46022</v>
      </c>
      <c r="G548" s="5">
        <v>2025</v>
      </c>
      <c r="H548" s="5" t="s">
        <v>23</v>
      </c>
      <c r="I548" s="6" t="s">
        <v>32</v>
      </c>
      <c r="J548" s="5">
        <v>200</v>
      </c>
      <c r="K548" s="5">
        <v>300</v>
      </c>
      <c r="L548" s="14">
        <f t="shared" si="44"/>
        <v>1.3</v>
      </c>
      <c r="M548" s="14">
        <f t="shared" si="45"/>
        <v>1.5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826</v>
      </c>
    </row>
    <row r="549" spans="1:19" hidden="1" x14ac:dyDescent="0.3">
      <c r="A549" s="5">
        <v>325</v>
      </c>
      <c r="B549" s="5" t="s">
        <v>827</v>
      </c>
      <c r="C549" s="5" t="s">
        <v>819</v>
      </c>
      <c r="D549" s="5" t="s">
        <v>27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200</v>
      </c>
      <c r="K549" s="5">
        <v>100</v>
      </c>
      <c r="L549" s="14">
        <f t="shared" si="44"/>
        <v>0.5</v>
      </c>
      <c r="M549" s="14">
        <f t="shared" si="45"/>
        <v>0.5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828</v>
      </c>
    </row>
    <row r="550" spans="1:19" hidden="1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45657</v>
      </c>
      <c r="G550" s="5">
        <v>2024</v>
      </c>
      <c r="H550" s="5" t="s">
        <v>23</v>
      </c>
      <c r="I550" s="6" t="s">
        <v>30</v>
      </c>
      <c r="J550" s="5">
        <v>200</v>
      </c>
      <c r="K550" s="5">
        <v>200</v>
      </c>
      <c r="L550" s="14">
        <f t="shared" si="44"/>
        <v>1</v>
      </c>
      <c r="M550" s="14">
        <f t="shared" si="45"/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829</v>
      </c>
    </row>
    <row r="551" spans="1:19" hidden="1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46022</v>
      </c>
      <c r="G551" s="5">
        <v>2025</v>
      </c>
      <c r="H551" s="5" t="s">
        <v>23</v>
      </c>
      <c r="I551" s="6" t="s">
        <v>32</v>
      </c>
      <c r="J551" s="5">
        <v>12</v>
      </c>
      <c r="K551" s="5">
        <v>200</v>
      </c>
      <c r="L551" s="14">
        <f t="shared" si="44"/>
        <v>1.3</v>
      </c>
      <c r="M551" s="14">
        <f t="shared" si="45"/>
        <v>16.666666666666668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830</v>
      </c>
    </row>
    <row r="552" spans="1:19" hidden="1" x14ac:dyDescent="0.3">
      <c r="A552" s="5">
        <v>326</v>
      </c>
      <c r="B552" s="5" t="s">
        <v>831</v>
      </c>
      <c r="C552" s="5" t="s">
        <v>644</v>
      </c>
      <c r="D552" s="5" t="s">
        <v>71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100</v>
      </c>
      <c r="K552" s="5">
        <v>100</v>
      </c>
      <c r="L552" s="14">
        <f t="shared" si="44"/>
        <v>1</v>
      </c>
      <c r="M552" s="14">
        <f t="shared" si="45"/>
        <v>1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832</v>
      </c>
    </row>
    <row r="553" spans="1:19" hidden="1" x14ac:dyDescent="0.3">
      <c r="A553" s="5">
        <v>326</v>
      </c>
      <c r="B553" s="5" t="s">
        <v>833</v>
      </c>
      <c r="C553" s="5" t="s">
        <v>644</v>
      </c>
      <c r="D553" s="5" t="s">
        <v>71</v>
      </c>
      <c r="E553" s="5" t="s">
        <v>22</v>
      </c>
      <c r="F553" s="71">
        <v>45657</v>
      </c>
      <c r="G553" s="5">
        <v>2024</v>
      </c>
      <c r="H553" s="5" t="s">
        <v>23</v>
      </c>
      <c r="I553" s="6" t="s">
        <v>30</v>
      </c>
      <c r="J553" s="5">
        <v>0</v>
      </c>
      <c r="K553" s="5">
        <v>0</v>
      </c>
      <c r="L553" s="14"/>
      <c r="M553" s="14"/>
      <c r="N553" s="5" t="s">
        <v>128</v>
      </c>
      <c r="O553" s="5" t="s">
        <v>128</v>
      </c>
      <c r="P553" s="5">
        <v>0</v>
      </c>
      <c r="Q553" s="5">
        <v>0</v>
      </c>
      <c r="R553" s="5" t="s">
        <v>834</v>
      </c>
      <c r="S553" t="s">
        <v>263</v>
      </c>
    </row>
    <row r="554" spans="1:19" hidden="1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46022</v>
      </c>
      <c r="G554" s="5">
        <v>2025</v>
      </c>
      <c r="H554" s="5" t="s">
        <v>23</v>
      </c>
      <c r="I554" s="6" t="s">
        <v>32</v>
      </c>
      <c r="J554" s="5">
        <v>3</v>
      </c>
      <c r="K554" s="5">
        <v>100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835</v>
      </c>
      <c r="S554" t="s">
        <v>263</v>
      </c>
    </row>
    <row r="555" spans="1:19" hidden="1" x14ac:dyDescent="0.3">
      <c r="A555" s="5">
        <v>327</v>
      </c>
      <c r="B555" s="5" t="s">
        <v>836</v>
      </c>
      <c r="C555" s="5" t="s">
        <v>644</v>
      </c>
      <c r="D555" s="5" t="s">
        <v>27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200</v>
      </c>
      <c r="K555" s="5">
        <v>100</v>
      </c>
      <c r="L555" s="14">
        <f>IFERROR(IF(OR(J555=0,K555=""),"",IF(E555="Positivo",MIN(MAX(K555/J555,0),1.3),MIN(MAX(J555/K555,0),1.3))),"")</f>
        <v>0.5</v>
      </c>
      <c r="M555" s="14">
        <f>IFERROR(IF(OR(J555=0,K555=""),"",IF(E555="Positivo",MAX(K555/J555,0),MAX(J555/K555,0))),"")</f>
        <v>0.5</v>
      </c>
      <c r="N555" s="5" t="s">
        <v>128</v>
      </c>
      <c r="O555" s="5" t="s">
        <v>128</v>
      </c>
      <c r="P555" s="5">
        <v>0</v>
      </c>
      <c r="Q555" s="5">
        <v>0</v>
      </c>
      <c r="R555" s="5" t="s">
        <v>837</v>
      </c>
    </row>
    <row r="556" spans="1:19" hidden="1" x14ac:dyDescent="0.3">
      <c r="A556" s="5">
        <v>327</v>
      </c>
      <c r="B556" s="61" t="s">
        <v>836</v>
      </c>
      <c r="C556" s="5" t="s">
        <v>644</v>
      </c>
      <c r="D556" s="5" t="s">
        <v>27</v>
      </c>
      <c r="E556" s="5" t="s">
        <v>22</v>
      </c>
      <c r="F556" s="71">
        <v>45657</v>
      </c>
      <c r="G556" s="5">
        <v>2024</v>
      </c>
      <c r="H556" s="5" t="s">
        <v>23</v>
      </c>
      <c r="I556" s="6" t="s">
        <v>30</v>
      </c>
      <c r="J556" s="5">
        <v>100</v>
      </c>
      <c r="K556" s="5">
        <v>0</v>
      </c>
      <c r="L556" s="14">
        <f>IFERROR(IF(OR(J556=0,K556=""),"",IF(E556="Positivo",MIN(MAX(K556/J556,0),1.3),MIN(MAX(J556/K556,0),1.3))),"")</f>
        <v>0</v>
      </c>
      <c r="M556" s="14">
        <f>IFERROR(IF(OR(J556=0,K556=""),"",IF(E556="Positivo",MAX(K556/J556,0),MAX(J556/K556,0))),"")</f>
        <v>0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838</v>
      </c>
    </row>
    <row r="557" spans="1:19" hidden="1" x14ac:dyDescent="0.3">
      <c r="A557" s="5">
        <v>327</v>
      </c>
      <c r="B557" s="5" t="s">
        <v>839</v>
      </c>
      <c r="C557" s="5" t="s">
        <v>644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32</v>
      </c>
      <c r="J557" s="5">
        <v>200</v>
      </c>
      <c r="K557" s="5">
        <v>200</v>
      </c>
      <c r="L557" s="14"/>
      <c r="M557" s="14"/>
      <c r="N557" s="5" t="s">
        <v>128</v>
      </c>
      <c r="O557" s="5" t="s">
        <v>128</v>
      </c>
      <c r="P557" s="5">
        <v>0</v>
      </c>
      <c r="Q557" s="5">
        <v>0</v>
      </c>
      <c r="R557" s="5" t="s">
        <v>840</v>
      </c>
      <c r="S557" t="s">
        <v>263</v>
      </c>
    </row>
    <row r="558" spans="1:19" hidden="1" x14ac:dyDescent="0.3">
      <c r="A558" s="5">
        <v>328</v>
      </c>
      <c r="B558" s="5" t="s">
        <v>841</v>
      </c>
      <c r="C558" s="5" t="s">
        <v>842</v>
      </c>
      <c r="D558" s="5" t="s">
        <v>71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800</v>
      </c>
      <c r="K558" s="5">
        <v>1035</v>
      </c>
      <c r="L558" s="14">
        <f>IFERROR(IF(OR(J558=0,K558=""),"",IF(E558="Positivo",MIN(MAX(K558/J558,0),1.3),MIN(MAX(J558/K558,0),1.3))),"")</f>
        <v>1.29375</v>
      </c>
      <c r="M558" s="14">
        <f>IFERROR(IF(OR(J558=0,K558=""),"",IF(E558="Positivo",MAX(K558/J558,0),MAX(J558/K558,0))),"")</f>
        <v>1.29375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843</v>
      </c>
    </row>
    <row r="559" spans="1:19" hidden="1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45657</v>
      </c>
      <c r="G559" s="5">
        <v>2024</v>
      </c>
      <c r="H559" s="5" t="s">
        <v>23</v>
      </c>
      <c r="I559" s="6" t="s">
        <v>30</v>
      </c>
      <c r="J559" s="5">
        <v>100</v>
      </c>
      <c r="K559" s="5">
        <v>157</v>
      </c>
      <c r="L559" s="14">
        <f>IFERROR(IF(OR(J559=0,K559=""),"",IF(E559="Positivo",MIN(MAX(K559/J559,0),1.3),MIN(MAX(J559/K559,0),1.3))),"")</f>
        <v>1.3</v>
      </c>
      <c r="M559" s="14">
        <f>IFERROR(IF(OR(J559=0,K559=""),"",IF(E559="Positivo",MAX(K559/J559,0),MAX(J559/K559,0))),"")</f>
        <v>1.57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844</v>
      </c>
    </row>
    <row r="560" spans="1:19" hidden="1" x14ac:dyDescent="0.3">
      <c r="A560" s="5">
        <v>329</v>
      </c>
      <c r="B560" s="5" t="s">
        <v>845</v>
      </c>
      <c r="C560" s="5" t="s">
        <v>842</v>
      </c>
      <c r="D560" s="5" t="s">
        <v>71</v>
      </c>
      <c r="E560" s="5" t="s">
        <v>22</v>
      </c>
      <c r="F560" s="71">
        <v>45291</v>
      </c>
      <c r="G560" s="5">
        <v>2023</v>
      </c>
      <c r="H560" s="5" t="s">
        <v>23</v>
      </c>
      <c r="I560" s="6" t="s">
        <v>28</v>
      </c>
      <c r="J560" s="5">
        <v>3000</v>
      </c>
      <c r="K560" s="5">
        <v>3315</v>
      </c>
      <c r="L560" s="14">
        <f>IFERROR(IF(OR(J560=0,K560=""),"",IF(E560="Positivo",MIN(MAX(K560/J560,0),1.3),MIN(MAX(J560/K560,0),1.3))),"")</f>
        <v>1.105</v>
      </c>
      <c r="M560" s="14">
        <f>IFERROR(IF(OR(J560=0,K560=""),"",IF(E560="Positivo",MAX(K560/J560,0),MAX(J560/K560,0))),"")</f>
        <v>1.105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846</v>
      </c>
    </row>
    <row r="561" spans="1:18" hidden="1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45657</v>
      </c>
      <c r="G561" s="5">
        <v>2024</v>
      </c>
      <c r="H561" s="5" t="s">
        <v>23</v>
      </c>
      <c r="I561" s="6" t="s">
        <v>30</v>
      </c>
      <c r="J561" s="5">
        <v>100</v>
      </c>
      <c r="K561" s="5">
        <v>106.63</v>
      </c>
      <c r="L561" s="14">
        <f>IFERROR(IF(OR(J561=0,K561=""),"",IF(E561="Positivo",MIN(MAX(K561/J561,0),1.3),MIN(MAX(J561/K561,0),1.3))),"")</f>
        <v>1.0663</v>
      </c>
      <c r="M561" s="14">
        <f>IFERROR(IF(OR(J561=0,K561=""),"",IF(E561="Positivo",MAX(K561/J561,0),MAX(J561/K561,0))),"")</f>
        <v>1.0663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847</v>
      </c>
    </row>
    <row r="562" spans="1:18" hidden="1" x14ac:dyDescent="0.3">
      <c r="A562" s="5">
        <v>331</v>
      </c>
      <c r="B562" s="5" t="s">
        <v>848</v>
      </c>
      <c r="C562" s="5" t="s">
        <v>842</v>
      </c>
      <c r="D562" s="5" t="s">
        <v>71</v>
      </c>
      <c r="E562" s="5" t="s">
        <v>22</v>
      </c>
      <c r="F562" s="71">
        <v>45291</v>
      </c>
      <c r="G562" s="5">
        <v>2023</v>
      </c>
      <c r="H562" s="5" t="s">
        <v>23</v>
      </c>
      <c r="I562" s="6" t="s">
        <v>28</v>
      </c>
      <c r="J562" s="5"/>
      <c r="K562" s="5">
        <v>81</v>
      </c>
      <c r="L562" s="14"/>
      <c r="M562" s="14"/>
      <c r="N562" s="5" t="s">
        <v>302</v>
      </c>
      <c r="O562" s="5" t="s">
        <v>25</v>
      </c>
      <c r="P562" s="5">
        <v>0</v>
      </c>
      <c r="Q562" s="5">
        <v>0</v>
      </c>
      <c r="R562" s="5" t="s">
        <v>849</v>
      </c>
    </row>
    <row r="563" spans="1:18" hidden="1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/>
      <c r="K563" s="5">
        <v>82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850</v>
      </c>
    </row>
    <row r="564" spans="1:18" hidden="1" x14ac:dyDescent="0.3">
      <c r="A564" s="5">
        <v>332</v>
      </c>
      <c r="B564" s="5" t="s">
        <v>851</v>
      </c>
      <c r="C564" s="5" t="s">
        <v>40</v>
      </c>
      <c r="D564" s="5" t="s">
        <v>27</v>
      </c>
      <c r="E564" s="5" t="s">
        <v>41</v>
      </c>
      <c r="F564" s="71">
        <v>45291</v>
      </c>
      <c r="G564" s="5">
        <v>2023</v>
      </c>
      <c r="H564" s="5" t="s">
        <v>23</v>
      </c>
      <c r="I564" s="6" t="s">
        <v>28</v>
      </c>
      <c r="J564" s="5">
        <v>1.8</v>
      </c>
      <c r="K564" s="5">
        <v>1.4350000000000001</v>
      </c>
      <c r="L564" s="14">
        <f t="shared" ref="L564:L576" si="46">IFERROR(IF(OR(J564=0,K564=""),"",IF(E564="Positivo",MIN(MAX(K564/J564,0),1.3),MIN(MAX(J564/K564,0),1.3))),"")</f>
        <v>1.254355400696864</v>
      </c>
      <c r="M564" s="14">
        <f t="shared" ref="M564:M576" si="47">IFERROR(IF(OR(J564=0,K564=""),"",IF(E564="Positivo",MAX(K564/J564,0),MAX(J564/K564,0))),"")</f>
        <v>1.254355400696864</v>
      </c>
      <c r="N564" s="5" t="s">
        <v>136</v>
      </c>
      <c r="O564" s="5" t="s">
        <v>136</v>
      </c>
      <c r="P564" s="5">
        <v>1</v>
      </c>
      <c r="Q564" s="5">
        <v>1</v>
      </c>
      <c r="R564" s="5" t="s">
        <v>852</v>
      </c>
    </row>
    <row r="565" spans="1:18" hidden="1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45657</v>
      </c>
      <c r="G565" s="5">
        <v>2024</v>
      </c>
      <c r="H565" s="5" t="s">
        <v>23</v>
      </c>
      <c r="I565" s="6" t="s">
        <v>30</v>
      </c>
      <c r="J565" s="5">
        <v>1.65</v>
      </c>
      <c r="K565" s="10">
        <v>1.1499999999999999</v>
      </c>
      <c r="L565" s="14">
        <f t="shared" si="46"/>
        <v>1.3</v>
      </c>
      <c r="M565" s="14">
        <f t="shared" si="47"/>
        <v>1.4347826086956521</v>
      </c>
      <c r="N565" s="5" t="s">
        <v>136</v>
      </c>
      <c r="O565" s="5" t="s">
        <v>136</v>
      </c>
      <c r="P565" s="5">
        <v>1</v>
      </c>
      <c r="Q565" s="5">
        <v>2</v>
      </c>
      <c r="R565" s="5" t="s">
        <v>853</v>
      </c>
    </row>
    <row r="566" spans="1:18" hidden="1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46022</v>
      </c>
      <c r="G566" s="5">
        <v>2025</v>
      </c>
      <c r="H566" s="5" t="s">
        <v>23</v>
      </c>
      <c r="I566" s="6" t="s">
        <v>32</v>
      </c>
      <c r="J566" s="5">
        <v>1.18</v>
      </c>
      <c r="K566" s="5">
        <v>0.89</v>
      </c>
      <c r="L566" s="14">
        <f t="shared" si="46"/>
        <v>1.3</v>
      </c>
      <c r="M566" s="14">
        <f t="shared" si="47"/>
        <v>1.3258426966292134</v>
      </c>
      <c r="N566" s="5" t="s">
        <v>136</v>
      </c>
      <c r="O566" s="5" t="s">
        <v>136</v>
      </c>
      <c r="P566" s="5">
        <v>2</v>
      </c>
      <c r="Q566" s="5">
        <v>2</v>
      </c>
      <c r="R566" s="5" t="s">
        <v>854</v>
      </c>
    </row>
    <row r="567" spans="1:18" hidden="1" x14ac:dyDescent="0.3">
      <c r="A567" s="5">
        <v>334</v>
      </c>
      <c r="B567" s="5" t="s">
        <v>855</v>
      </c>
      <c r="C567" s="5" t="s">
        <v>40</v>
      </c>
      <c r="D567" s="5" t="s">
        <v>71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88</v>
      </c>
      <c r="K567" s="5">
        <v>88.39</v>
      </c>
      <c r="L567" s="14">
        <f t="shared" si="46"/>
        <v>1.0044318181818181</v>
      </c>
      <c r="M567" s="14">
        <f t="shared" si="47"/>
        <v>1.0044318181818181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856</v>
      </c>
    </row>
    <row r="568" spans="1:18" hidden="1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88</v>
      </c>
      <c r="K568" s="15">
        <v>88.84</v>
      </c>
      <c r="L568" s="14">
        <f t="shared" si="46"/>
        <v>1.0095454545454545</v>
      </c>
      <c r="M568" s="14">
        <f t="shared" si="47"/>
        <v>1.0095454545454545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857</v>
      </c>
    </row>
    <row r="569" spans="1:18" hidden="1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46022</v>
      </c>
      <c r="G569" s="5">
        <v>2025</v>
      </c>
      <c r="H569" s="5" t="s">
        <v>23</v>
      </c>
      <c r="I569" s="6" t="s">
        <v>32</v>
      </c>
      <c r="J569" s="5">
        <v>89</v>
      </c>
      <c r="K569" s="5">
        <v>90.1</v>
      </c>
      <c r="L569" s="14">
        <f t="shared" si="46"/>
        <v>1.0123595505617977</v>
      </c>
      <c r="M569" s="14">
        <f t="shared" si="47"/>
        <v>1.0123595505617977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858</v>
      </c>
    </row>
    <row r="570" spans="1:18" hidden="1" x14ac:dyDescent="0.3">
      <c r="A570" s="5">
        <v>335</v>
      </c>
      <c r="B570" s="5" t="s">
        <v>859</v>
      </c>
      <c r="C570" s="5" t="s">
        <v>40</v>
      </c>
      <c r="D570" s="5" t="s">
        <v>71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5">
        <v>93.85</v>
      </c>
      <c r="L570" s="14">
        <f t="shared" si="46"/>
        <v>1.173125</v>
      </c>
      <c r="M570" s="14">
        <f t="shared" si="47"/>
        <v>1.173125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860</v>
      </c>
    </row>
    <row r="571" spans="1:18" hidden="1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45657</v>
      </c>
      <c r="G571" s="15">
        <v>2024</v>
      </c>
      <c r="H571" s="6" t="s">
        <v>23</v>
      </c>
      <c r="I571" s="6" t="s">
        <v>30</v>
      </c>
      <c r="J571" s="5">
        <v>82</v>
      </c>
      <c r="K571" s="5">
        <v>80.95</v>
      </c>
      <c r="L571" s="14">
        <f t="shared" si="46"/>
        <v>0.9871951219512195</v>
      </c>
      <c r="M571" s="14">
        <f t="shared" si="47"/>
        <v>0.9871951219512195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861</v>
      </c>
    </row>
    <row r="572" spans="1:18" hidden="1" x14ac:dyDescent="0.3">
      <c r="A572" s="5">
        <v>336</v>
      </c>
      <c r="B572" s="5" t="s">
        <v>862</v>
      </c>
      <c r="C572" s="5" t="s">
        <v>254</v>
      </c>
      <c r="D572" s="5" t="s">
        <v>71</v>
      </c>
      <c r="E572" s="5" t="s">
        <v>41</v>
      </c>
      <c r="F572" s="71">
        <v>45291</v>
      </c>
      <c r="G572" s="15">
        <v>2023</v>
      </c>
      <c r="H572" s="6" t="s">
        <v>23</v>
      </c>
      <c r="I572" s="6" t="s">
        <v>28</v>
      </c>
      <c r="J572" s="5">
        <v>2</v>
      </c>
      <c r="K572" s="5">
        <v>1.742198218602321</v>
      </c>
      <c r="L572" s="14">
        <f t="shared" si="46"/>
        <v>1.1479750000000002</v>
      </c>
      <c r="M572" s="14">
        <f t="shared" si="47"/>
        <v>1.1479750000000002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863</v>
      </c>
    </row>
    <row r="573" spans="1:18" hidden="1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45657</v>
      </c>
      <c r="G573" s="15">
        <v>2024</v>
      </c>
      <c r="H573" s="6" t="s">
        <v>23</v>
      </c>
      <c r="I573" s="6" t="s">
        <v>30</v>
      </c>
      <c r="J573" s="5">
        <v>2</v>
      </c>
      <c r="K573" s="5">
        <v>0.79</v>
      </c>
      <c r="L573" s="14">
        <f t="shared" si="46"/>
        <v>1.3</v>
      </c>
      <c r="M573" s="14">
        <f t="shared" si="47"/>
        <v>2.5316455696202529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864</v>
      </c>
    </row>
    <row r="574" spans="1:18" hidden="1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46022</v>
      </c>
      <c r="G574" s="15">
        <v>2025</v>
      </c>
      <c r="H574" s="6" t="s">
        <v>23</v>
      </c>
      <c r="I574" s="6" t="s">
        <v>32</v>
      </c>
      <c r="J574" s="5">
        <v>2</v>
      </c>
      <c r="K574" s="5">
        <v>0.36</v>
      </c>
      <c r="L574" s="14">
        <f t="shared" si="46"/>
        <v>1.3</v>
      </c>
      <c r="M574" s="14">
        <f t="shared" si="47"/>
        <v>5.5555555555555554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865</v>
      </c>
    </row>
    <row r="575" spans="1:18" hidden="1" x14ac:dyDescent="0.3">
      <c r="A575" s="5">
        <v>337</v>
      </c>
      <c r="B575" s="5" t="s">
        <v>866</v>
      </c>
      <c r="C575" s="5" t="s">
        <v>644</v>
      </c>
      <c r="D575" s="5" t="s">
        <v>27</v>
      </c>
      <c r="E575" s="5" t="s">
        <v>22</v>
      </c>
      <c r="F575" s="71">
        <v>45291</v>
      </c>
      <c r="G575" s="15">
        <v>2023</v>
      </c>
      <c r="H575" s="6" t="s">
        <v>23</v>
      </c>
      <c r="I575" s="6" t="s">
        <v>28</v>
      </c>
      <c r="J575" s="5">
        <v>200</v>
      </c>
      <c r="K575" s="5">
        <v>100</v>
      </c>
      <c r="L575" s="14">
        <f t="shared" si="46"/>
        <v>0.5</v>
      </c>
      <c r="M575" s="14">
        <f t="shared" si="47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867</v>
      </c>
    </row>
    <row r="576" spans="1:18" hidden="1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45657</v>
      </c>
      <c r="G576" s="15">
        <v>2024</v>
      </c>
      <c r="H576" s="6" t="s">
        <v>23</v>
      </c>
      <c r="I576" s="6" t="s">
        <v>30</v>
      </c>
      <c r="J576" s="5">
        <v>200</v>
      </c>
      <c r="K576" s="10">
        <v>100</v>
      </c>
      <c r="L576" s="14">
        <f t="shared" si="46"/>
        <v>0.5</v>
      </c>
      <c r="M576" s="14">
        <f t="shared" si="47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868</v>
      </c>
    </row>
    <row r="577" spans="1:19" hidden="1" x14ac:dyDescent="0.3">
      <c r="A577" s="5">
        <v>337</v>
      </c>
      <c r="B577" s="5" t="s">
        <v>869</v>
      </c>
      <c r="C577" s="5" t="s">
        <v>644</v>
      </c>
      <c r="D577" s="5" t="s">
        <v>27</v>
      </c>
      <c r="E577" s="5" t="s">
        <v>22</v>
      </c>
      <c r="F577" s="71">
        <v>45838</v>
      </c>
      <c r="G577" s="15">
        <v>2025</v>
      </c>
      <c r="H577" s="6" t="s">
        <v>699</v>
      </c>
      <c r="I577" s="6" t="s">
        <v>700</v>
      </c>
      <c r="J577" s="5">
        <v>100</v>
      </c>
      <c r="K577" s="10"/>
      <c r="L577" s="14"/>
      <c r="M577" s="14"/>
      <c r="N577" s="5"/>
      <c r="O577" s="5"/>
      <c r="P577" s="5">
        <v>0</v>
      </c>
      <c r="Q577" s="5">
        <v>0</v>
      </c>
      <c r="R577" s="5" t="s">
        <v>870</v>
      </c>
    </row>
    <row r="578" spans="1:19" hidden="1" x14ac:dyDescent="0.3">
      <c r="A578" s="5">
        <v>338</v>
      </c>
      <c r="B578" s="5" t="s">
        <v>871</v>
      </c>
      <c r="C578" s="5" t="s">
        <v>644</v>
      </c>
      <c r="D578" s="5" t="s">
        <v>27</v>
      </c>
      <c r="E578" s="5" t="s">
        <v>22</v>
      </c>
      <c r="F578" s="71">
        <v>45291</v>
      </c>
      <c r="G578" s="15">
        <v>2023</v>
      </c>
      <c r="H578" s="6" t="s">
        <v>23</v>
      </c>
      <c r="I578" s="6" t="s">
        <v>28</v>
      </c>
      <c r="J578" s="5">
        <v>100</v>
      </c>
      <c r="K578" s="5">
        <v>100</v>
      </c>
      <c r="L578" s="14">
        <f>IFERROR(IF(OR(J578=0,K578=""),"",IF(E578="Positivo",MIN(MAX(K578/J578,0),1.3),MIN(MAX(J578/K578,0),1.3))),"")</f>
        <v>1</v>
      </c>
      <c r="M578" s="14">
        <f>IFERROR(IF(OR(J578=0,K578=""),"",IF(E578="Positivo",MAX(K578/J578,0),MAX(J578/K578,0))),"")</f>
        <v>1</v>
      </c>
      <c r="N578" s="5" t="s">
        <v>128</v>
      </c>
      <c r="O578" s="5" t="s">
        <v>128</v>
      </c>
      <c r="P578" s="5">
        <v>0</v>
      </c>
      <c r="Q578" s="5">
        <v>0</v>
      </c>
      <c r="R578" s="5" t="s">
        <v>872</v>
      </c>
    </row>
    <row r="579" spans="1:19" hidden="1" x14ac:dyDescent="0.3">
      <c r="A579" s="21">
        <v>338</v>
      </c>
      <c r="B579" s="20" t="s">
        <v>871</v>
      </c>
      <c r="C579" s="5" t="s">
        <v>644</v>
      </c>
      <c r="D579" s="5" t="s">
        <v>27</v>
      </c>
      <c r="E579" s="5" t="s">
        <v>22</v>
      </c>
      <c r="F579" s="71">
        <v>45657</v>
      </c>
      <c r="G579" s="15">
        <v>2024</v>
      </c>
      <c r="H579" s="6" t="s">
        <v>23</v>
      </c>
      <c r="I579" s="6" t="s">
        <v>30</v>
      </c>
      <c r="J579" s="5">
        <v>200</v>
      </c>
      <c r="K579" s="5">
        <v>100</v>
      </c>
      <c r="L579" s="14">
        <f>IFERROR(IF(OR(J579=0,K579=""),"",IF(E579="Positivo",MIN(MAX(K579/J579,0),1.3),MIN(MAX(J579/K579,0),1.3))),"")</f>
        <v>0.5</v>
      </c>
      <c r="M579" s="14">
        <f>IFERROR(IF(OR(J579=0,K579=""),"",IF(E579="Positivo",MAX(K579/J579,0),MAX(J579/K579,0))),"")</f>
        <v>0.5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873</v>
      </c>
    </row>
    <row r="580" spans="1:19" hidden="1" x14ac:dyDescent="0.3">
      <c r="A580" s="5">
        <v>338</v>
      </c>
      <c r="B580" s="5" t="s">
        <v>874</v>
      </c>
      <c r="C580" s="5" t="s">
        <v>644</v>
      </c>
      <c r="D580" s="5" t="s">
        <v>21</v>
      </c>
      <c r="E580" s="5" t="s">
        <v>22</v>
      </c>
      <c r="F580" s="71">
        <v>46022</v>
      </c>
      <c r="G580" s="15">
        <v>2025</v>
      </c>
      <c r="H580" s="6" t="s">
        <v>23</v>
      </c>
      <c r="I580" s="6" t="s">
        <v>32</v>
      </c>
      <c r="J580" s="5">
        <v>200</v>
      </c>
      <c r="K580" s="5">
        <v>200</v>
      </c>
      <c r="L580" s="14"/>
      <c r="M580" s="14"/>
      <c r="N580" s="5" t="s">
        <v>128</v>
      </c>
      <c r="O580" s="5" t="s">
        <v>128</v>
      </c>
      <c r="P580" s="5">
        <v>0</v>
      </c>
      <c r="Q580" s="5">
        <v>0</v>
      </c>
      <c r="R580" s="5" t="s">
        <v>875</v>
      </c>
      <c r="S580" t="s">
        <v>263</v>
      </c>
    </row>
    <row r="581" spans="1:19" hidden="1" x14ac:dyDescent="0.3">
      <c r="A581" s="5">
        <v>339</v>
      </c>
      <c r="B581" s="5" t="s">
        <v>876</v>
      </c>
      <c r="C581" s="5" t="s">
        <v>877</v>
      </c>
      <c r="D581" s="5" t="s">
        <v>71</v>
      </c>
      <c r="E581" s="5" t="s">
        <v>22</v>
      </c>
      <c r="F581" s="71">
        <v>45291</v>
      </c>
      <c r="G581" s="15">
        <v>2023</v>
      </c>
      <c r="H581" s="6" t="s">
        <v>23</v>
      </c>
      <c r="I581" s="6" t="s">
        <v>28</v>
      </c>
      <c r="J581" s="5">
        <v>30</v>
      </c>
      <c r="K581" s="5">
        <v>28.571428571428569</v>
      </c>
      <c r="L581" s="14">
        <f t="shared" ref="L581:L591" si="48">IFERROR(IF(OR(J581=0,K581=""),"",IF(E581="Positivo",MIN(MAX(K581/J581,0),1.3),MIN(MAX(J581/K581,0),1.3))),"")</f>
        <v>0.95238095238095233</v>
      </c>
      <c r="M581" s="14">
        <f t="shared" ref="M581:M591" si="49">IFERROR(IF(OR(J581=0,K581=""),"",IF(E581="Positivo",MAX(K581/J581,0),MAX(J581/K581,0))),"")</f>
        <v>0.95238095238095233</v>
      </c>
      <c r="N581" s="5" t="s">
        <v>25</v>
      </c>
      <c r="O581" s="5" t="s">
        <v>25</v>
      </c>
      <c r="P581" s="5">
        <v>0</v>
      </c>
      <c r="Q581" s="5">
        <v>1</v>
      </c>
      <c r="R581" s="5" t="s">
        <v>878</v>
      </c>
    </row>
    <row r="582" spans="1:19" hidden="1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45657</v>
      </c>
      <c r="G582" s="15">
        <v>2024</v>
      </c>
      <c r="H582" s="6" t="s">
        <v>23</v>
      </c>
      <c r="I582" s="6" t="s">
        <v>30</v>
      </c>
      <c r="J582" s="5">
        <v>30</v>
      </c>
      <c r="K582" s="5">
        <v>30.3</v>
      </c>
      <c r="L582" s="14">
        <f t="shared" si="48"/>
        <v>1.01</v>
      </c>
      <c r="M582" s="14">
        <f t="shared" si="49"/>
        <v>1.01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879</v>
      </c>
    </row>
    <row r="583" spans="1:19" hidden="1" x14ac:dyDescent="0.3">
      <c r="A583" s="5">
        <v>339</v>
      </c>
      <c r="B583" s="5" t="s">
        <v>876</v>
      </c>
      <c r="C583" s="5" t="s">
        <v>877</v>
      </c>
      <c r="D583" s="13" t="s">
        <v>71</v>
      </c>
      <c r="E583" s="5" t="s">
        <v>22</v>
      </c>
      <c r="F583" s="71">
        <v>46022</v>
      </c>
      <c r="G583" s="15">
        <v>2025</v>
      </c>
      <c r="H583" s="6" t="s">
        <v>23</v>
      </c>
      <c r="I583" s="6" t="s">
        <v>32</v>
      </c>
      <c r="J583" s="5">
        <v>30</v>
      </c>
      <c r="K583" s="5">
        <v>35.29</v>
      </c>
      <c r="L583" s="14">
        <f t="shared" si="48"/>
        <v>1.1763333333333332</v>
      </c>
      <c r="M583" s="14">
        <f t="shared" si="49"/>
        <v>1.1763333333333332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880</v>
      </c>
    </row>
    <row r="584" spans="1:19" hidden="1" x14ac:dyDescent="0.3">
      <c r="A584" s="5">
        <v>340</v>
      </c>
      <c r="B584" s="5" t="s">
        <v>881</v>
      </c>
      <c r="C584" s="5" t="s">
        <v>167</v>
      </c>
      <c r="D584" s="13" t="s">
        <v>21</v>
      </c>
      <c r="E584" s="5" t="s">
        <v>22</v>
      </c>
      <c r="F584" s="71">
        <v>45291</v>
      </c>
      <c r="G584" s="15">
        <v>2023</v>
      </c>
      <c r="H584" s="6" t="s">
        <v>23</v>
      </c>
      <c r="I584" s="6" t="s">
        <v>28</v>
      </c>
      <c r="J584" s="5">
        <v>90</v>
      </c>
      <c r="K584" s="5">
        <v>100</v>
      </c>
      <c r="L584" s="14">
        <f t="shared" si="48"/>
        <v>1.1111111111111112</v>
      </c>
      <c r="M584" s="14">
        <f t="shared" si="49"/>
        <v>1.1111111111111112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882</v>
      </c>
    </row>
    <row r="585" spans="1:19" hidden="1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45657</v>
      </c>
      <c r="G585" s="15">
        <v>2024</v>
      </c>
      <c r="H585" s="6" t="s">
        <v>23</v>
      </c>
      <c r="I585" s="6" t="s">
        <v>30</v>
      </c>
      <c r="J585" s="5">
        <v>95</v>
      </c>
      <c r="K585" s="5">
        <v>100</v>
      </c>
      <c r="L585" s="14">
        <f t="shared" si="48"/>
        <v>1.0526315789473684</v>
      </c>
      <c r="M585" s="14">
        <f t="shared" si="49"/>
        <v>1.0526315789473684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883</v>
      </c>
    </row>
    <row r="586" spans="1:19" hidden="1" x14ac:dyDescent="0.3">
      <c r="A586" s="5">
        <v>341</v>
      </c>
      <c r="B586" s="5" t="s">
        <v>884</v>
      </c>
      <c r="C586" s="5" t="s">
        <v>20</v>
      </c>
      <c r="D586" s="13" t="s">
        <v>27</v>
      </c>
      <c r="E586" s="5" t="s">
        <v>22</v>
      </c>
      <c r="F586" s="71">
        <v>45291</v>
      </c>
      <c r="G586" s="15">
        <v>2023</v>
      </c>
      <c r="H586" s="6" t="s">
        <v>23</v>
      </c>
      <c r="I586" s="6" t="s">
        <v>28</v>
      </c>
      <c r="J586" s="5">
        <v>200</v>
      </c>
      <c r="K586" s="5">
        <v>254.43966666667001</v>
      </c>
      <c r="L586" s="14">
        <f t="shared" si="48"/>
        <v>1.27219833333335</v>
      </c>
      <c r="M586" s="14">
        <f t="shared" si="49"/>
        <v>1.27219833333335</v>
      </c>
      <c r="N586" s="5" t="s">
        <v>205</v>
      </c>
      <c r="O586" s="5" t="s">
        <v>205</v>
      </c>
      <c r="P586" s="5">
        <v>0</v>
      </c>
      <c r="Q586" s="5">
        <v>0</v>
      </c>
      <c r="R586" s="5" t="s">
        <v>885</v>
      </c>
    </row>
    <row r="587" spans="1:19" hidden="1" x14ac:dyDescent="0.3">
      <c r="A587" s="5">
        <v>341</v>
      </c>
      <c r="B587" s="5" t="s">
        <v>886</v>
      </c>
      <c r="C587" s="5" t="s">
        <v>20</v>
      </c>
      <c r="D587" s="13" t="s">
        <v>27</v>
      </c>
      <c r="E587" s="5" t="s">
        <v>22</v>
      </c>
      <c r="F587" s="71">
        <v>45657</v>
      </c>
      <c r="G587" s="15">
        <v>2024</v>
      </c>
      <c r="H587" s="6" t="s">
        <v>23</v>
      </c>
      <c r="I587" s="6" t="s">
        <v>30</v>
      </c>
      <c r="J587" s="5">
        <v>200</v>
      </c>
      <c r="K587" s="5">
        <v>227.44</v>
      </c>
      <c r="L587" s="14">
        <f t="shared" si="48"/>
        <v>1.1372</v>
      </c>
      <c r="M587" s="14">
        <f t="shared" si="49"/>
        <v>1.1372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887</v>
      </c>
    </row>
    <row r="588" spans="1:19" hidden="1" x14ac:dyDescent="0.3">
      <c r="A588" s="5">
        <v>341</v>
      </c>
      <c r="B588" s="5" t="s">
        <v>888</v>
      </c>
      <c r="C588" s="5" t="s">
        <v>20</v>
      </c>
      <c r="D588" s="13" t="s">
        <v>21</v>
      </c>
      <c r="E588" s="5" t="s">
        <v>22</v>
      </c>
      <c r="F588" s="71">
        <v>46022</v>
      </c>
      <c r="G588" s="15">
        <v>2025</v>
      </c>
      <c r="H588" s="6" t="s">
        <v>23</v>
      </c>
      <c r="I588" s="6" t="s">
        <v>32</v>
      </c>
      <c r="J588" s="5">
        <v>200</v>
      </c>
      <c r="K588" s="5">
        <v>204.9</v>
      </c>
      <c r="L588" s="14">
        <f t="shared" si="48"/>
        <v>1.0245</v>
      </c>
      <c r="M588" s="14">
        <f t="shared" si="49"/>
        <v>1.0245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889</v>
      </c>
    </row>
    <row r="589" spans="1:19" hidden="1" x14ac:dyDescent="0.3">
      <c r="A589" s="5">
        <v>344</v>
      </c>
      <c r="B589" s="5" t="s">
        <v>890</v>
      </c>
      <c r="C589" s="5" t="s">
        <v>40</v>
      </c>
      <c r="D589" s="13" t="s">
        <v>27</v>
      </c>
      <c r="E589" s="5" t="s">
        <v>22</v>
      </c>
      <c r="F589" s="71">
        <v>45291</v>
      </c>
      <c r="G589" s="15">
        <v>2023</v>
      </c>
      <c r="H589" s="6" t="s">
        <v>23</v>
      </c>
      <c r="I589" s="6" t="s">
        <v>28</v>
      </c>
      <c r="J589" s="5">
        <v>90</v>
      </c>
      <c r="K589" s="5">
        <v>97.752180451127998</v>
      </c>
      <c r="L589" s="14">
        <f t="shared" si="48"/>
        <v>1.0861353383458667</v>
      </c>
      <c r="M589" s="14">
        <f t="shared" si="49"/>
        <v>1.0861353383458667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891</v>
      </c>
    </row>
    <row r="590" spans="1:19" hidden="1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45657</v>
      </c>
      <c r="G590" s="15">
        <v>2024</v>
      </c>
      <c r="H590" s="6" t="s">
        <v>23</v>
      </c>
      <c r="I590" s="6" t="s">
        <v>30</v>
      </c>
      <c r="J590" s="5">
        <v>93</v>
      </c>
      <c r="K590" s="5">
        <v>98.265000000000001</v>
      </c>
      <c r="L590" s="14">
        <f t="shared" si="48"/>
        <v>1.0566129032258065</v>
      </c>
      <c r="M590" s="14">
        <f t="shared" si="49"/>
        <v>1.0566129032258065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892</v>
      </c>
    </row>
    <row r="591" spans="1:19" hidden="1" x14ac:dyDescent="0.3">
      <c r="A591" s="5">
        <v>344</v>
      </c>
      <c r="B591" s="5" t="s">
        <v>890</v>
      </c>
      <c r="C591" s="5" t="s">
        <v>40</v>
      </c>
      <c r="D591" s="13" t="s">
        <v>21</v>
      </c>
      <c r="E591" s="5" t="s">
        <v>22</v>
      </c>
      <c r="F591" s="71">
        <v>46022</v>
      </c>
      <c r="G591" s="15">
        <v>2025</v>
      </c>
      <c r="H591" s="6" t="s">
        <v>23</v>
      </c>
      <c r="I591" s="6" t="s">
        <v>32</v>
      </c>
      <c r="J591" s="5">
        <v>93</v>
      </c>
      <c r="K591" s="5">
        <v>99.715000000000003</v>
      </c>
      <c r="L591" s="14">
        <f t="shared" si="48"/>
        <v>1.0722043010752689</v>
      </c>
      <c r="M591" s="14">
        <f t="shared" si="49"/>
        <v>1.0722043010752689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893</v>
      </c>
    </row>
    <row r="592" spans="1:19" hidden="1" x14ac:dyDescent="0.3">
      <c r="A592" s="5">
        <v>345</v>
      </c>
      <c r="B592" s="5" t="s">
        <v>894</v>
      </c>
      <c r="C592" s="5" t="s">
        <v>40</v>
      </c>
      <c r="D592" s="13" t="s">
        <v>71</v>
      </c>
      <c r="E592" s="5" t="s">
        <v>22</v>
      </c>
      <c r="F592" s="71">
        <v>45291</v>
      </c>
      <c r="G592" s="15">
        <v>2023</v>
      </c>
      <c r="H592" s="6" t="s">
        <v>23</v>
      </c>
      <c r="I592" s="6" t="s">
        <v>28</v>
      </c>
      <c r="J592" s="5"/>
      <c r="K592" s="5">
        <v>94.85</v>
      </c>
      <c r="L592" s="14"/>
      <c r="M592" s="14"/>
      <c r="N592" s="5" t="s">
        <v>355</v>
      </c>
      <c r="O592" s="5" t="s">
        <v>25</v>
      </c>
      <c r="P592" s="5">
        <v>0</v>
      </c>
      <c r="Q592" s="5">
        <v>0</v>
      </c>
      <c r="R592" s="5" t="s">
        <v>895</v>
      </c>
    </row>
    <row r="593" spans="1:18" hidden="1" x14ac:dyDescent="0.3">
      <c r="A593" s="5">
        <v>346</v>
      </c>
      <c r="B593" s="5" t="s">
        <v>896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83.91608391608392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897</v>
      </c>
    </row>
    <row r="594" spans="1:18" hidden="1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45657</v>
      </c>
      <c r="G594" s="15">
        <v>2024</v>
      </c>
      <c r="H594" s="6" t="s">
        <v>23</v>
      </c>
      <c r="I594" s="6" t="s">
        <v>30</v>
      </c>
      <c r="J594" s="5">
        <v>85</v>
      </c>
      <c r="K594" s="5">
        <v>91.88</v>
      </c>
      <c r="L594" s="14">
        <f t="shared" ref="L594:L601" si="50">IFERROR(IF(OR(J594=0,K594=""),"",IF(E594="Positivo",MIN(MAX(K594/J594,0),1.3),MIN(MAX(J594/K594,0),1.3))),"")</f>
        <v>1.0809411764705881</v>
      </c>
      <c r="M594" s="14">
        <f t="shared" ref="M594:M601" si="51">IFERROR(IF(OR(J594=0,K594=""),"",IF(E594="Positivo",MAX(K594/J594,0),MAX(J594/K594,0))),"")</f>
        <v>1.0809411764705881</v>
      </c>
      <c r="N594" s="5" t="s">
        <v>355</v>
      </c>
      <c r="O594" s="5" t="s">
        <v>25</v>
      </c>
      <c r="P594" s="5">
        <v>0</v>
      </c>
      <c r="Q594" s="5">
        <v>0</v>
      </c>
      <c r="R594" s="5" t="s">
        <v>898</v>
      </c>
    </row>
    <row r="595" spans="1:18" hidden="1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46022</v>
      </c>
      <c r="G595" s="15">
        <v>2025</v>
      </c>
      <c r="H595" s="6" t="s">
        <v>23</v>
      </c>
      <c r="I595" s="6" t="s">
        <v>32</v>
      </c>
      <c r="J595" s="5">
        <v>85</v>
      </c>
      <c r="K595" s="5">
        <v>97.28</v>
      </c>
      <c r="L595" s="14">
        <f t="shared" si="50"/>
        <v>1.1444705882352941</v>
      </c>
      <c r="M595" s="14">
        <f t="shared" si="51"/>
        <v>1.1444705882352941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899</v>
      </c>
    </row>
    <row r="596" spans="1:18" hidden="1" x14ac:dyDescent="0.3">
      <c r="A596" s="5">
        <v>347</v>
      </c>
      <c r="B596" s="5" t="s">
        <v>900</v>
      </c>
      <c r="C596" s="5" t="s">
        <v>901</v>
      </c>
      <c r="D596" s="13" t="s">
        <v>21</v>
      </c>
      <c r="E596" s="5" t="s">
        <v>41</v>
      </c>
      <c r="F596" s="71">
        <v>45291</v>
      </c>
      <c r="G596" s="15">
        <v>2023</v>
      </c>
      <c r="H596" s="6" t="s">
        <v>23</v>
      </c>
      <c r="I596" s="6" t="s">
        <v>28</v>
      </c>
      <c r="J596" s="5">
        <v>0</v>
      </c>
      <c r="K596" s="10">
        <v>6.75</v>
      </c>
      <c r="L596" s="14" t="str">
        <f t="shared" si="50"/>
        <v/>
      </c>
      <c r="M596" s="14" t="str">
        <f t="shared" si="51"/>
        <v/>
      </c>
      <c r="N596" s="5" t="s">
        <v>128</v>
      </c>
      <c r="O596" s="5" t="s">
        <v>128</v>
      </c>
      <c r="P596" s="5">
        <v>0</v>
      </c>
      <c r="Q596" s="5">
        <v>0</v>
      </c>
      <c r="R596" s="5" t="s">
        <v>902</v>
      </c>
    </row>
    <row r="597" spans="1:18" hidden="1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45657</v>
      </c>
      <c r="G597" s="15">
        <v>2024</v>
      </c>
      <c r="H597" s="6" t="s">
        <v>23</v>
      </c>
      <c r="I597" s="6" t="s">
        <v>30</v>
      </c>
      <c r="J597" s="5">
        <v>5</v>
      </c>
      <c r="K597" s="5">
        <v>0.75</v>
      </c>
      <c r="L597" s="14">
        <f t="shared" si="50"/>
        <v>1.3</v>
      </c>
      <c r="M597" s="14">
        <f t="shared" si="51"/>
        <v>6.666666666666667</v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903</v>
      </c>
    </row>
    <row r="598" spans="1:18" hidden="1" x14ac:dyDescent="0.3">
      <c r="A598" s="5">
        <v>347</v>
      </c>
      <c r="B598" s="5" t="s">
        <v>900</v>
      </c>
      <c r="C598" s="5" t="s">
        <v>901</v>
      </c>
      <c r="D598" s="13" t="s">
        <v>27</v>
      </c>
      <c r="E598" s="5" t="s">
        <v>41</v>
      </c>
      <c r="F598" s="71">
        <v>46022</v>
      </c>
      <c r="G598" s="15">
        <v>2025</v>
      </c>
      <c r="H598" s="6" t="s">
        <v>23</v>
      </c>
      <c r="I598" s="6" t="s">
        <v>32</v>
      </c>
      <c r="J598" s="5">
        <v>5</v>
      </c>
      <c r="K598" s="5">
        <v>2.25</v>
      </c>
      <c r="L598" s="14">
        <f t="shared" si="50"/>
        <v>1.3</v>
      </c>
      <c r="M598" s="14">
        <f t="shared" si="51"/>
        <v>2.2222222222222223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904</v>
      </c>
    </row>
    <row r="599" spans="1:18" hidden="1" x14ac:dyDescent="0.3">
      <c r="A599" s="5">
        <v>348</v>
      </c>
      <c r="B599" s="5" t="s">
        <v>905</v>
      </c>
      <c r="C599" s="5" t="s">
        <v>901</v>
      </c>
      <c r="D599" s="13" t="s">
        <v>21</v>
      </c>
      <c r="E599" s="5" t="s">
        <v>22</v>
      </c>
      <c r="F599" s="71">
        <v>45291</v>
      </c>
      <c r="G599" s="15">
        <v>2023</v>
      </c>
      <c r="H599" s="6" t="s">
        <v>23</v>
      </c>
      <c r="I599" s="6" t="s">
        <v>28</v>
      </c>
      <c r="J599" s="5">
        <v>99</v>
      </c>
      <c r="K599" s="5">
        <v>99.908847789972995</v>
      </c>
      <c r="L599" s="14">
        <f t="shared" si="50"/>
        <v>1.009180280706798</v>
      </c>
      <c r="M599" s="14">
        <f t="shared" si="51"/>
        <v>1.009180280706798</v>
      </c>
      <c r="N599" s="5" t="s">
        <v>25</v>
      </c>
      <c r="O599" s="5" t="s">
        <v>25</v>
      </c>
      <c r="P599" s="5">
        <v>1</v>
      </c>
      <c r="Q599" s="5">
        <v>0</v>
      </c>
      <c r="R599" s="5" t="s">
        <v>906</v>
      </c>
    </row>
    <row r="600" spans="1:18" hidden="1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45657</v>
      </c>
      <c r="G600" s="15">
        <v>2024</v>
      </c>
      <c r="H600" s="6" t="s">
        <v>23</v>
      </c>
      <c r="I600" s="6" t="s">
        <v>30</v>
      </c>
      <c r="J600" s="5">
        <v>99</v>
      </c>
      <c r="K600" s="5">
        <v>99.962500000000006</v>
      </c>
      <c r="L600" s="14">
        <f t="shared" si="50"/>
        <v>1.0097222222222222</v>
      </c>
      <c r="M600" s="14">
        <f t="shared" si="51"/>
        <v>1.0097222222222222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907</v>
      </c>
    </row>
    <row r="601" spans="1:18" hidden="1" x14ac:dyDescent="0.3">
      <c r="A601" s="5">
        <v>348</v>
      </c>
      <c r="B601" s="5" t="s">
        <v>905</v>
      </c>
      <c r="C601" s="5" t="s">
        <v>901</v>
      </c>
      <c r="D601" s="13" t="s">
        <v>27</v>
      </c>
      <c r="E601" s="5" t="s">
        <v>22</v>
      </c>
      <c r="F601" s="71">
        <v>46022</v>
      </c>
      <c r="G601" s="15">
        <v>2025</v>
      </c>
      <c r="H601" s="6" t="s">
        <v>23</v>
      </c>
      <c r="I601" s="6" t="s">
        <v>32</v>
      </c>
      <c r="J601" s="5">
        <v>99</v>
      </c>
      <c r="K601" s="5">
        <v>100</v>
      </c>
      <c r="L601" s="14">
        <f t="shared" si="50"/>
        <v>1.0101010101010102</v>
      </c>
      <c r="M601" s="14">
        <f t="shared" si="51"/>
        <v>1.0101010101010102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908</v>
      </c>
    </row>
    <row r="602" spans="1:18" hidden="1" x14ac:dyDescent="0.3">
      <c r="A602" s="5">
        <v>349</v>
      </c>
      <c r="B602" s="5" t="s">
        <v>909</v>
      </c>
      <c r="C602" s="5" t="s">
        <v>127</v>
      </c>
      <c r="D602" s="13" t="s">
        <v>71</v>
      </c>
      <c r="E602" s="5" t="s">
        <v>22</v>
      </c>
      <c r="F602" s="71">
        <v>45291</v>
      </c>
      <c r="G602" s="15">
        <v>2023</v>
      </c>
      <c r="H602" s="6" t="s">
        <v>23</v>
      </c>
      <c r="I602" s="6" t="s">
        <v>28</v>
      </c>
      <c r="J602" s="5"/>
      <c r="K602" s="5"/>
      <c r="L602" s="14"/>
      <c r="M602" s="14"/>
      <c r="N602" s="5" t="s">
        <v>128</v>
      </c>
      <c r="O602" s="5" t="s">
        <v>136</v>
      </c>
      <c r="P602" s="5">
        <v>0</v>
      </c>
      <c r="Q602" s="5">
        <v>0</v>
      </c>
      <c r="R602" s="5" t="s">
        <v>910</v>
      </c>
    </row>
    <row r="603" spans="1:18" hidden="1" x14ac:dyDescent="0.3">
      <c r="A603" s="5">
        <v>350</v>
      </c>
      <c r="B603" s="5" t="s">
        <v>911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912</v>
      </c>
    </row>
    <row r="604" spans="1:18" hidden="1" x14ac:dyDescent="0.3">
      <c r="A604" s="5">
        <v>351</v>
      </c>
      <c r="B604" s="5" t="s">
        <v>913</v>
      </c>
      <c r="C604" s="5" t="s">
        <v>901</v>
      </c>
      <c r="D604" s="13" t="s">
        <v>21</v>
      </c>
      <c r="E604" s="5" t="s">
        <v>41</v>
      </c>
      <c r="F604" s="71">
        <v>45291</v>
      </c>
      <c r="G604" s="15">
        <v>2023</v>
      </c>
      <c r="H604" s="6" t="s">
        <v>23</v>
      </c>
      <c r="I604" s="6" t="s">
        <v>28</v>
      </c>
      <c r="J604" s="5">
        <v>0</v>
      </c>
      <c r="K604" s="5">
        <v>8.3735820704944324</v>
      </c>
      <c r="L604" s="14" t="str">
        <f t="shared" ref="L604:L617" si="52">IFERROR(IF(OR(J604=0,K604=""),"",IF(E604="Positivo",MIN(MAX(K604/J604,0),1.3),MIN(MAX(J604/K604,0),1.3))),"")</f>
        <v/>
      </c>
      <c r="M604" s="14" t="str">
        <f t="shared" ref="M604:M617" si="53">IFERROR(IF(OR(J604=0,K604=""),"",IF(E604="Positivo",MAX(K604/J604,0),MAX(J604/K604,0))),"")</f>
        <v/>
      </c>
      <c r="N604" s="5" t="s">
        <v>128</v>
      </c>
      <c r="O604" s="5" t="s">
        <v>136</v>
      </c>
      <c r="P604" s="5">
        <v>0</v>
      </c>
      <c r="Q604" s="5">
        <v>1</v>
      </c>
      <c r="R604" s="5" t="s">
        <v>914</v>
      </c>
    </row>
    <row r="605" spans="1:18" hidden="1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45657</v>
      </c>
      <c r="G605" s="15">
        <v>2024</v>
      </c>
      <c r="H605" s="6" t="s">
        <v>23</v>
      </c>
      <c r="I605" s="6" t="s">
        <v>30</v>
      </c>
      <c r="J605" s="5">
        <v>0</v>
      </c>
      <c r="K605" s="5">
        <v>5.5516894052425059</v>
      </c>
      <c r="L605" s="14" t="str">
        <f t="shared" si="52"/>
        <v/>
      </c>
      <c r="M605" s="14" t="str">
        <f t="shared" si="53"/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915</v>
      </c>
    </row>
    <row r="606" spans="1:18" hidden="1" x14ac:dyDescent="0.3">
      <c r="A606" s="5">
        <v>351</v>
      </c>
      <c r="B606" s="5" t="s">
        <v>913</v>
      </c>
      <c r="C606" s="5" t="s">
        <v>901</v>
      </c>
      <c r="D606" s="13" t="s">
        <v>27</v>
      </c>
      <c r="E606" s="5" t="s">
        <v>41</v>
      </c>
      <c r="F606" s="71">
        <v>45930</v>
      </c>
      <c r="G606" s="15">
        <v>2025</v>
      </c>
      <c r="H606" s="6" t="s">
        <v>162</v>
      </c>
      <c r="I606" s="6" t="s">
        <v>32</v>
      </c>
      <c r="J606" s="5">
        <v>0</v>
      </c>
      <c r="K606" s="5">
        <v>0.46</v>
      </c>
      <c r="L606" s="14" t="str">
        <f t="shared" si="52"/>
        <v/>
      </c>
      <c r="M606" s="14" t="str">
        <f t="shared" si="53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916</v>
      </c>
    </row>
    <row r="607" spans="1:18" hidden="1" x14ac:dyDescent="0.3">
      <c r="A607" s="5">
        <v>352</v>
      </c>
      <c r="B607" s="5" t="s">
        <v>917</v>
      </c>
      <c r="C607" s="5" t="s">
        <v>901</v>
      </c>
      <c r="D607" s="13" t="s">
        <v>21</v>
      </c>
      <c r="E607" s="5" t="s">
        <v>41</v>
      </c>
      <c r="F607" s="71">
        <v>45291</v>
      </c>
      <c r="G607" s="15">
        <v>2023</v>
      </c>
      <c r="H607" s="6" t="s">
        <v>23</v>
      </c>
      <c r="I607" s="6" t="s">
        <v>28</v>
      </c>
      <c r="J607" s="5">
        <v>0</v>
      </c>
      <c r="K607" s="5">
        <v>8.6619740286967825E-2</v>
      </c>
      <c r="L607" s="14" t="str">
        <f t="shared" si="52"/>
        <v/>
      </c>
      <c r="M607" s="14" t="str">
        <f t="shared" si="53"/>
        <v/>
      </c>
      <c r="N607" s="5" t="s">
        <v>25</v>
      </c>
      <c r="O607" s="5" t="s">
        <v>25</v>
      </c>
      <c r="P607" s="5">
        <v>0</v>
      </c>
      <c r="Q607" s="5">
        <v>2</v>
      </c>
      <c r="R607" s="5" t="s">
        <v>918</v>
      </c>
    </row>
    <row r="608" spans="1:18" hidden="1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45657</v>
      </c>
      <c r="G608" s="15">
        <v>2024</v>
      </c>
      <c r="H608" s="6" t="s">
        <v>23</v>
      </c>
      <c r="I608" s="6" t="s">
        <v>30</v>
      </c>
      <c r="J608" s="5">
        <v>0</v>
      </c>
      <c r="K608" s="5">
        <v>4.3542136500113029E-2</v>
      </c>
      <c r="L608" s="14" t="str">
        <f t="shared" si="52"/>
        <v/>
      </c>
      <c r="M608" s="14" t="str">
        <f t="shared" si="53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919</v>
      </c>
    </row>
    <row r="609" spans="1:19" hidden="1" x14ac:dyDescent="0.3">
      <c r="A609" s="5">
        <v>352</v>
      </c>
      <c r="B609" s="5" t="s">
        <v>917</v>
      </c>
      <c r="C609" s="5" t="s">
        <v>901</v>
      </c>
      <c r="D609" s="13" t="s">
        <v>27</v>
      </c>
      <c r="E609" s="5" t="s">
        <v>41</v>
      </c>
      <c r="F609" s="71">
        <v>45930</v>
      </c>
      <c r="G609" s="15">
        <v>2025</v>
      </c>
      <c r="H609" s="6" t="s">
        <v>162</v>
      </c>
      <c r="I609" s="6" t="s">
        <v>32</v>
      </c>
      <c r="J609" s="5">
        <v>0</v>
      </c>
      <c r="K609" s="5">
        <v>6.6666666666666671E-3</v>
      </c>
      <c r="L609" s="14" t="str">
        <f t="shared" si="52"/>
        <v/>
      </c>
      <c r="M609" s="14" t="str">
        <f t="shared" si="53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920</v>
      </c>
    </row>
    <row r="610" spans="1:19" x14ac:dyDescent="0.3">
      <c r="A610" s="5">
        <v>353</v>
      </c>
      <c r="B610" s="5" t="s">
        <v>921</v>
      </c>
      <c r="C610" s="5" t="s">
        <v>922</v>
      </c>
      <c r="D610" s="13" t="s">
        <v>27</v>
      </c>
      <c r="E610" s="5" t="s">
        <v>22</v>
      </c>
      <c r="F610" s="71">
        <v>45291</v>
      </c>
      <c r="G610" s="15">
        <v>2023</v>
      </c>
      <c r="H610" s="6" t="s">
        <v>23</v>
      </c>
      <c r="I610" s="6" t="s">
        <v>28</v>
      </c>
      <c r="J610" s="5">
        <v>35</v>
      </c>
      <c r="K610" s="5">
        <v>40.384615384615401</v>
      </c>
      <c r="L610" s="14">
        <f t="shared" si="52"/>
        <v>1.1538461538461544</v>
      </c>
      <c r="M610" s="14">
        <f t="shared" si="53"/>
        <v>1.1538461538461544</v>
      </c>
      <c r="N610" s="5" t="s">
        <v>128</v>
      </c>
      <c r="O610" s="5" t="s">
        <v>128</v>
      </c>
      <c r="P610" s="5">
        <v>1</v>
      </c>
      <c r="Q610" s="5">
        <v>1</v>
      </c>
      <c r="R610" s="5" t="s">
        <v>923</v>
      </c>
    </row>
    <row r="611" spans="1:19" x14ac:dyDescent="0.3">
      <c r="A611" s="5">
        <v>354</v>
      </c>
      <c r="B611" s="5" t="s">
        <v>924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10</v>
      </c>
      <c r="K611" s="5">
        <v>31.77</v>
      </c>
      <c r="L611" s="14">
        <f t="shared" si="52"/>
        <v>1.3</v>
      </c>
      <c r="M611" s="14">
        <f t="shared" si="53"/>
        <v>3.177</v>
      </c>
      <c r="N611" s="5" t="s">
        <v>128</v>
      </c>
      <c r="O611" s="5" t="s">
        <v>136</v>
      </c>
      <c r="P611" s="5">
        <v>1</v>
      </c>
      <c r="Q611" s="5">
        <v>1</v>
      </c>
      <c r="R611" s="5" t="s">
        <v>925</v>
      </c>
    </row>
    <row r="612" spans="1:19" hidden="1" x14ac:dyDescent="0.3">
      <c r="A612" s="5">
        <v>355</v>
      </c>
      <c r="B612" s="5" t="s">
        <v>926</v>
      </c>
      <c r="C612" s="5" t="s">
        <v>927</v>
      </c>
      <c r="D612" s="13" t="s">
        <v>71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73">
        <v>1</v>
      </c>
      <c r="K612" s="9">
        <v>1.64916004403234</v>
      </c>
      <c r="L612" s="14">
        <f t="shared" si="52"/>
        <v>1.3</v>
      </c>
      <c r="M612" s="14">
        <f t="shared" si="53"/>
        <v>1.64916004403234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928</v>
      </c>
    </row>
    <row r="613" spans="1:19" hidden="1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45657</v>
      </c>
      <c r="G613" s="15">
        <v>2024</v>
      </c>
      <c r="H613" s="6" t="s">
        <v>23</v>
      </c>
      <c r="I613" s="6" t="s">
        <v>30</v>
      </c>
      <c r="J613" s="5">
        <v>1.7</v>
      </c>
      <c r="K613" s="5">
        <v>1.69</v>
      </c>
      <c r="L613" s="14">
        <f t="shared" si="52"/>
        <v>0.99411764705882355</v>
      </c>
      <c r="M613" s="14">
        <f t="shared" si="53"/>
        <v>0.99411764705882355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929</v>
      </c>
    </row>
    <row r="614" spans="1:19" hidden="1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46022</v>
      </c>
      <c r="G614" s="15">
        <v>2025</v>
      </c>
      <c r="H614" s="6" t="s">
        <v>23</v>
      </c>
      <c r="I614" s="6" t="s">
        <v>32</v>
      </c>
      <c r="J614" s="5">
        <v>1.4</v>
      </c>
      <c r="K614" s="5">
        <v>1.56</v>
      </c>
      <c r="L614" s="14">
        <f t="shared" si="52"/>
        <v>1.1142857142857143</v>
      </c>
      <c r="M614" s="14">
        <f t="shared" si="53"/>
        <v>1.1142857142857143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930</v>
      </c>
    </row>
    <row r="615" spans="1:19" hidden="1" x14ac:dyDescent="0.3">
      <c r="A615" s="5">
        <v>356</v>
      </c>
      <c r="B615" s="5" t="s">
        <v>931</v>
      </c>
      <c r="C615" s="5" t="s">
        <v>927</v>
      </c>
      <c r="D615" s="13" t="s">
        <v>27</v>
      </c>
      <c r="E615" s="5" t="s">
        <v>41</v>
      </c>
      <c r="F615" s="71">
        <v>45291</v>
      </c>
      <c r="G615" s="15">
        <v>2023</v>
      </c>
      <c r="H615" s="6" t="s">
        <v>23</v>
      </c>
      <c r="I615" s="6" t="s">
        <v>28</v>
      </c>
      <c r="J615" s="5">
        <v>60</v>
      </c>
      <c r="K615" s="5">
        <v>55.376980703801003</v>
      </c>
      <c r="L615" s="14">
        <f t="shared" si="52"/>
        <v>1.0834826896924281</v>
      </c>
      <c r="M615" s="14">
        <f t="shared" si="53"/>
        <v>1.0834826896924281</v>
      </c>
      <c r="N615" s="5" t="s">
        <v>25</v>
      </c>
      <c r="O615" s="5" t="s">
        <v>25</v>
      </c>
      <c r="P615" s="5">
        <v>0</v>
      </c>
      <c r="Q615" s="5">
        <v>1</v>
      </c>
      <c r="R615" s="5" t="s">
        <v>932</v>
      </c>
    </row>
    <row r="616" spans="1:19" hidden="1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45657</v>
      </c>
      <c r="G616" s="15">
        <v>2024</v>
      </c>
      <c r="H616" s="6" t="s">
        <v>23</v>
      </c>
      <c r="I616" s="6" t="s">
        <v>30</v>
      </c>
      <c r="J616" s="5">
        <v>60</v>
      </c>
      <c r="K616" s="5">
        <v>59.814999999999998</v>
      </c>
      <c r="L616" s="14">
        <f t="shared" si="52"/>
        <v>1.003092869681518</v>
      </c>
      <c r="M616" s="14">
        <f t="shared" si="53"/>
        <v>1.003092869681518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933</v>
      </c>
    </row>
    <row r="617" spans="1:19" hidden="1" x14ac:dyDescent="0.3">
      <c r="A617" s="5">
        <v>356</v>
      </c>
      <c r="B617" s="5" t="s">
        <v>931</v>
      </c>
      <c r="C617" s="5" t="s">
        <v>927</v>
      </c>
      <c r="D617" s="13" t="s">
        <v>21</v>
      </c>
      <c r="E617" s="5" t="s">
        <v>41</v>
      </c>
      <c r="F617" s="71">
        <v>46022</v>
      </c>
      <c r="G617" s="15">
        <v>2025</v>
      </c>
      <c r="H617" s="6" t="s">
        <v>23</v>
      </c>
      <c r="I617" s="6" t="s">
        <v>32</v>
      </c>
      <c r="J617" s="5">
        <v>60</v>
      </c>
      <c r="K617" s="5">
        <v>56.954999999999998</v>
      </c>
      <c r="L617" s="14">
        <f t="shared" si="52"/>
        <v>1.0534632604687912</v>
      </c>
      <c r="M617" s="14">
        <f t="shared" si="53"/>
        <v>1.0534632604687912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934</v>
      </c>
    </row>
    <row r="618" spans="1:19" hidden="1" x14ac:dyDescent="0.3">
      <c r="A618" s="5">
        <v>357</v>
      </c>
      <c r="B618" s="5" t="s">
        <v>935</v>
      </c>
      <c r="C618" s="5" t="s">
        <v>927</v>
      </c>
      <c r="D618" s="13" t="s">
        <v>27</v>
      </c>
      <c r="E618" s="5" t="s">
        <v>22</v>
      </c>
      <c r="F618" s="71">
        <v>45291</v>
      </c>
      <c r="G618" s="15">
        <v>2023</v>
      </c>
      <c r="H618" s="6" t="s">
        <v>23</v>
      </c>
      <c r="I618" s="6" t="s">
        <v>28</v>
      </c>
      <c r="J618" s="5"/>
      <c r="K618" s="5">
        <v>4.45</v>
      </c>
      <c r="L618" s="14"/>
      <c r="M618" s="14"/>
      <c r="N618" s="5" t="s">
        <v>263</v>
      </c>
      <c r="O618" s="5"/>
      <c r="P618" s="5">
        <v>0</v>
      </c>
      <c r="Q618" s="5">
        <v>2</v>
      </c>
      <c r="R618" s="5" t="s">
        <v>936</v>
      </c>
    </row>
    <row r="619" spans="1:19" hidden="1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45657</v>
      </c>
      <c r="G619" s="15">
        <v>2024</v>
      </c>
      <c r="H619" s="6" t="s">
        <v>23</v>
      </c>
      <c r="I619" s="6" t="s">
        <v>30</v>
      </c>
      <c r="J619" s="5"/>
      <c r="K619" s="5">
        <v>0.51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937</v>
      </c>
    </row>
    <row r="620" spans="1:19" hidden="1" x14ac:dyDescent="0.3">
      <c r="A620" s="63">
        <v>357</v>
      </c>
      <c r="B620" s="63" t="s">
        <v>938</v>
      </c>
      <c r="C620" s="5" t="s">
        <v>927</v>
      </c>
      <c r="D620" s="13" t="s">
        <v>21</v>
      </c>
      <c r="E620" s="5" t="s">
        <v>22</v>
      </c>
      <c r="F620" s="71">
        <v>46022</v>
      </c>
      <c r="G620" s="15">
        <v>2025</v>
      </c>
      <c r="H620" s="6" t="s">
        <v>23</v>
      </c>
      <c r="I620" s="6" t="s">
        <v>32</v>
      </c>
      <c r="J620" s="73">
        <v>10049277970</v>
      </c>
      <c r="K620" s="9">
        <v>0.44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939</v>
      </c>
      <c r="S620" t="s">
        <v>263</v>
      </c>
    </row>
    <row r="621" spans="1:19" hidden="1" x14ac:dyDescent="0.3">
      <c r="A621" s="5">
        <v>358</v>
      </c>
      <c r="B621" s="5" t="s">
        <v>940</v>
      </c>
      <c r="C621" s="5" t="s">
        <v>941</v>
      </c>
      <c r="D621" s="13" t="s">
        <v>27</v>
      </c>
      <c r="E621" s="5" t="s">
        <v>22</v>
      </c>
      <c r="F621" s="71">
        <v>45291</v>
      </c>
      <c r="G621" s="15">
        <v>2023</v>
      </c>
      <c r="H621" s="6" t="s">
        <v>23</v>
      </c>
      <c r="I621" s="6" t="s">
        <v>28</v>
      </c>
      <c r="J621" s="5">
        <v>87</v>
      </c>
      <c r="K621" s="5">
        <v>90.992268041236997</v>
      </c>
      <c r="L621" s="14">
        <f t="shared" ref="L621:L626" si="54">IFERROR(IF(OR(J621=0,K621=""),"",IF(E621="Positivo",MIN(MAX(K621/J621,0),1.3),MIN(MAX(J621/K621,0),1.3))),"")</f>
        <v>1.0458881384050229</v>
      </c>
      <c r="M621" s="14">
        <f t="shared" ref="M621:M626" si="55">IFERROR(IF(OR(J621=0,K621=""),"",IF(E621="Positivo",MAX(K621/J621,0),MAX(J621/K621,0))),"")</f>
        <v>1.0458881384050229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942</v>
      </c>
    </row>
    <row r="622" spans="1:19" hidden="1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45657</v>
      </c>
      <c r="G622" s="15">
        <v>2024</v>
      </c>
      <c r="H622" s="6" t="s">
        <v>23</v>
      </c>
      <c r="I622" s="6" t="s">
        <v>30</v>
      </c>
      <c r="J622" s="5">
        <v>87</v>
      </c>
      <c r="K622" s="5">
        <v>98.995000000000005</v>
      </c>
      <c r="L622" s="14">
        <f t="shared" si="54"/>
        <v>1.1378735632183909</v>
      </c>
      <c r="M622" s="14">
        <f t="shared" si="55"/>
        <v>1.1378735632183909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943</v>
      </c>
    </row>
    <row r="623" spans="1:19" hidden="1" x14ac:dyDescent="0.3">
      <c r="A623" s="5">
        <v>358</v>
      </c>
      <c r="B623" s="5" t="s">
        <v>944</v>
      </c>
      <c r="C623" s="5" t="s">
        <v>941</v>
      </c>
      <c r="D623" s="13" t="s">
        <v>21</v>
      </c>
      <c r="E623" s="5" t="s">
        <v>22</v>
      </c>
      <c r="F623" s="71">
        <v>46022</v>
      </c>
      <c r="G623" s="15">
        <v>2025</v>
      </c>
      <c r="H623" s="6" t="s">
        <v>23</v>
      </c>
      <c r="I623" s="6" t="s">
        <v>32</v>
      </c>
      <c r="J623" s="3">
        <v>100</v>
      </c>
      <c r="K623" s="9">
        <v>100</v>
      </c>
      <c r="L623" s="14">
        <f t="shared" si="54"/>
        <v>1</v>
      </c>
      <c r="M623" s="14">
        <f t="shared" si="55"/>
        <v>1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945</v>
      </c>
    </row>
    <row r="624" spans="1:19" hidden="1" x14ac:dyDescent="0.3">
      <c r="A624" s="5">
        <v>359</v>
      </c>
      <c r="B624" s="5" t="s">
        <v>946</v>
      </c>
      <c r="C624" s="5" t="s">
        <v>653</v>
      </c>
      <c r="D624" s="13" t="s">
        <v>27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5">
        <v>80</v>
      </c>
      <c r="K624" s="10">
        <v>86</v>
      </c>
      <c r="L624" s="14">
        <f t="shared" si="54"/>
        <v>1.075</v>
      </c>
      <c r="M624" s="14">
        <f t="shared" si="55"/>
        <v>1.075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947</v>
      </c>
    </row>
    <row r="625" spans="1:18" hidden="1" x14ac:dyDescent="0.3">
      <c r="A625" s="5">
        <v>359</v>
      </c>
      <c r="B625" s="5" t="s">
        <v>948</v>
      </c>
      <c r="C625" s="5" t="s">
        <v>653</v>
      </c>
      <c r="D625" s="13" t="s">
        <v>21</v>
      </c>
      <c r="E625" s="5" t="s">
        <v>22</v>
      </c>
      <c r="F625" s="71">
        <v>46022</v>
      </c>
      <c r="G625" s="15">
        <v>2025</v>
      </c>
      <c r="H625" s="6" t="s">
        <v>23</v>
      </c>
      <c r="I625" s="6" t="s">
        <v>32</v>
      </c>
      <c r="J625" s="5">
        <v>85</v>
      </c>
      <c r="K625" s="52">
        <v>89.9</v>
      </c>
      <c r="L625" s="14">
        <f t="shared" si="54"/>
        <v>1.0576470588235294</v>
      </c>
      <c r="M625" s="14">
        <f t="shared" si="55"/>
        <v>1.0576470588235294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949</v>
      </c>
    </row>
    <row r="626" spans="1:18" hidden="1" x14ac:dyDescent="0.3">
      <c r="A626" s="5">
        <v>361</v>
      </c>
      <c r="B626" s="5" t="s">
        <v>950</v>
      </c>
      <c r="C626" s="5" t="s">
        <v>951</v>
      </c>
      <c r="D626" s="13" t="s">
        <v>71</v>
      </c>
      <c r="E626" s="5" t="s">
        <v>22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4.5</v>
      </c>
      <c r="K626" s="5">
        <v>4.5599999999999996</v>
      </c>
      <c r="L626" s="14">
        <f t="shared" si="54"/>
        <v>1.0133333333333332</v>
      </c>
      <c r="M626" s="14">
        <f t="shared" si="55"/>
        <v>1.0133333333333332</v>
      </c>
      <c r="N626" s="5" t="s">
        <v>136</v>
      </c>
      <c r="O626" s="5" t="s">
        <v>136</v>
      </c>
      <c r="P626" s="5">
        <v>1</v>
      </c>
      <c r="Q626" s="5">
        <v>2</v>
      </c>
      <c r="R626" s="5" t="s">
        <v>952</v>
      </c>
    </row>
    <row r="627" spans="1:18" hidden="1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45657</v>
      </c>
      <c r="G627" s="15">
        <v>2024</v>
      </c>
      <c r="H627" s="6" t="s">
        <v>23</v>
      </c>
      <c r="I627" s="6" t="s">
        <v>30</v>
      </c>
      <c r="J627" s="5"/>
      <c r="K627" s="5"/>
      <c r="L627" s="14"/>
      <c r="M627" s="14"/>
      <c r="N627" s="5" t="s">
        <v>302</v>
      </c>
      <c r="O627" s="5" t="s">
        <v>302</v>
      </c>
      <c r="P627" s="5">
        <v>1</v>
      </c>
      <c r="Q627" s="5">
        <v>2</v>
      </c>
      <c r="R627" s="5" t="s">
        <v>953</v>
      </c>
    </row>
    <row r="628" spans="1:18" hidden="1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46022</v>
      </c>
      <c r="G628" s="15">
        <v>2025</v>
      </c>
      <c r="H628" s="6" t="s">
        <v>23</v>
      </c>
      <c r="I628" s="6" t="s">
        <v>32</v>
      </c>
      <c r="J628" s="5">
        <v>4.5999999999999996</v>
      </c>
      <c r="K628" s="5">
        <v>4.78</v>
      </c>
      <c r="L628" s="14">
        <f t="shared" ref="L628:L634" si="56">IFERROR(IF(OR(J628=0,K628=""),"",IF(E628="Positivo",MIN(MAX(K628/J628,0),1.3),MIN(MAX(J628/K628,0),1.3))),"")</f>
        <v>1.0391304347826089</v>
      </c>
      <c r="M628" s="14">
        <f t="shared" ref="M628:M634" si="57">IFERROR(IF(OR(J628=0,K628=""),"",IF(E628="Positivo",MAX(K628/J628,0),MAX(J628/K628,0))),"")</f>
        <v>1.0391304347826089</v>
      </c>
      <c r="N628" s="5" t="s">
        <v>136</v>
      </c>
      <c r="O628" s="5" t="s">
        <v>136</v>
      </c>
      <c r="P628" s="5">
        <v>1</v>
      </c>
      <c r="Q628" s="5">
        <v>2</v>
      </c>
      <c r="R628" s="5" t="s">
        <v>954</v>
      </c>
    </row>
    <row r="629" spans="1:18" hidden="1" x14ac:dyDescent="0.3">
      <c r="A629" s="5">
        <v>362</v>
      </c>
      <c r="B629" s="5" t="s">
        <v>955</v>
      </c>
      <c r="C629" s="5" t="s">
        <v>956</v>
      </c>
      <c r="D629" s="13" t="s">
        <v>27</v>
      </c>
      <c r="E629" s="5" t="s">
        <v>22</v>
      </c>
      <c r="F629" s="71">
        <v>45291</v>
      </c>
      <c r="G629" s="15">
        <v>2023</v>
      </c>
      <c r="H629" s="6" t="s">
        <v>23</v>
      </c>
      <c r="I629" s="6" t="s">
        <v>28</v>
      </c>
      <c r="J629" s="5">
        <v>100</v>
      </c>
      <c r="K629" s="5">
        <v>99.156641448591998</v>
      </c>
      <c r="L629" s="14">
        <f t="shared" si="56"/>
        <v>0.99156641448591998</v>
      </c>
      <c r="M629" s="14">
        <f t="shared" si="57"/>
        <v>0.99156641448591998</v>
      </c>
      <c r="N629" s="5" t="s">
        <v>25</v>
      </c>
      <c r="O629" s="5" t="s">
        <v>25</v>
      </c>
      <c r="P629" s="5">
        <v>0</v>
      </c>
      <c r="Q629" s="5">
        <v>0</v>
      </c>
      <c r="R629" s="5" t="s">
        <v>957</v>
      </c>
    </row>
    <row r="630" spans="1:18" hidden="1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45657</v>
      </c>
      <c r="G630" s="15">
        <v>2024</v>
      </c>
      <c r="H630" s="6" t="s">
        <v>23</v>
      </c>
      <c r="I630" s="6" t="s">
        <v>30</v>
      </c>
      <c r="J630" s="5">
        <v>196</v>
      </c>
      <c r="K630" s="5">
        <v>199.07432304038011</v>
      </c>
      <c r="L630" s="14">
        <f t="shared" si="56"/>
        <v>1.0156853216345925</v>
      </c>
      <c r="M630" s="14">
        <f t="shared" si="57"/>
        <v>1.0156853216345925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958</v>
      </c>
    </row>
    <row r="631" spans="1:18" hidden="1" x14ac:dyDescent="0.3">
      <c r="A631" s="5">
        <v>362</v>
      </c>
      <c r="B631" s="5" t="s">
        <v>955</v>
      </c>
      <c r="C631" s="5" t="s">
        <v>956</v>
      </c>
      <c r="D631" s="13" t="s">
        <v>21</v>
      </c>
      <c r="E631" s="5" t="s">
        <v>22</v>
      </c>
      <c r="F631" s="71">
        <v>46022</v>
      </c>
      <c r="G631" s="15">
        <v>2025</v>
      </c>
      <c r="H631" s="6" t="s">
        <v>23</v>
      </c>
      <c r="I631" s="6" t="s">
        <v>32</v>
      </c>
      <c r="J631" s="5">
        <v>196</v>
      </c>
      <c r="K631" s="5">
        <v>199.33</v>
      </c>
      <c r="L631" s="14">
        <f t="shared" si="56"/>
        <v>1.0169897959183674</v>
      </c>
      <c r="M631" s="14">
        <f t="shared" si="57"/>
        <v>1.0169897959183674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959</v>
      </c>
    </row>
    <row r="632" spans="1:18" hidden="1" x14ac:dyDescent="0.3">
      <c r="A632" s="5">
        <v>363</v>
      </c>
      <c r="B632" s="5" t="s">
        <v>960</v>
      </c>
      <c r="C632" s="5" t="s">
        <v>956</v>
      </c>
      <c r="D632" s="13" t="s">
        <v>27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100</v>
      </c>
      <c r="K632" s="5">
        <v>100</v>
      </c>
      <c r="L632" s="14">
        <f t="shared" si="56"/>
        <v>1</v>
      </c>
      <c r="M632" s="14">
        <f t="shared" si="57"/>
        <v>1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961</v>
      </c>
    </row>
    <row r="633" spans="1:18" hidden="1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45657</v>
      </c>
      <c r="G633" s="15">
        <v>2024</v>
      </c>
      <c r="H633" s="6" t="s">
        <v>23</v>
      </c>
      <c r="I633" s="6" t="s">
        <v>30</v>
      </c>
      <c r="J633" s="5">
        <v>100</v>
      </c>
      <c r="K633" s="5">
        <v>100</v>
      </c>
      <c r="L633" s="14">
        <f t="shared" si="56"/>
        <v>1</v>
      </c>
      <c r="M633" s="14">
        <f t="shared" si="57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962</v>
      </c>
    </row>
    <row r="634" spans="1:18" hidden="1" x14ac:dyDescent="0.3">
      <c r="A634" s="5">
        <v>363</v>
      </c>
      <c r="B634" s="5" t="s">
        <v>960</v>
      </c>
      <c r="C634" s="5" t="s">
        <v>956</v>
      </c>
      <c r="D634" s="13" t="s">
        <v>21</v>
      </c>
      <c r="E634" s="5" t="s">
        <v>22</v>
      </c>
      <c r="F634" s="71">
        <v>46022</v>
      </c>
      <c r="G634" s="15">
        <v>2025</v>
      </c>
      <c r="H634" s="6" t="s">
        <v>23</v>
      </c>
      <c r="I634" s="6" t="s">
        <v>32</v>
      </c>
      <c r="J634" s="5">
        <v>100</v>
      </c>
      <c r="K634" s="5">
        <v>100</v>
      </c>
      <c r="L634" s="14">
        <f t="shared" si="56"/>
        <v>1</v>
      </c>
      <c r="M634" s="14">
        <f t="shared" si="57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963</v>
      </c>
    </row>
    <row r="635" spans="1:18" hidden="1" x14ac:dyDescent="0.3">
      <c r="A635" s="5">
        <v>364</v>
      </c>
      <c r="B635" s="5" t="s">
        <v>964</v>
      </c>
      <c r="C635" s="5" t="s">
        <v>951</v>
      </c>
      <c r="D635" s="13" t="s">
        <v>27</v>
      </c>
      <c r="E635" s="5" t="s">
        <v>22</v>
      </c>
      <c r="F635" s="71">
        <v>45291</v>
      </c>
      <c r="G635" s="15">
        <v>2023</v>
      </c>
      <c r="H635" s="6" t="s">
        <v>23</v>
      </c>
      <c r="I635" s="6" t="s">
        <v>28</v>
      </c>
      <c r="J635" s="5"/>
      <c r="K635" s="5">
        <v>108694</v>
      </c>
      <c r="L635" s="14"/>
      <c r="M635" s="14"/>
      <c r="N635" s="5" t="s">
        <v>355</v>
      </c>
      <c r="O635" s="5" t="s">
        <v>128</v>
      </c>
      <c r="P635" s="5">
        <v>0</v>
      </c>
      <c r="Q635" s="5">
        <v>0</v>
      </c>
      <c r="R635" s="5" t="s">
        <v>965</v>
      </c>
    </row>
    <row r="636" spans="1:18" hidden="1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45657</v>
      </c>
      <c r="G636" s="15">
        <v>2024</v>
      </c>
      <c r="H636" s="6" t="s">
        <v>23</v>
      </c>
      <c r="I636" s="6" t="s">
        <v>30</v>
      </c>
      <c r="J636" s="5">
        <v>200</v>
      </c>
      <c r="K636" s="5">
        <v>230.82</v>
      </c>
      <c r="L636" s="14">
        <f t="shared" ref="L636:L647" si="58">IFERROR(IF(OR(J636=0,K636=""),"",IF(E636="Positivo",MIN(MAX(K636/J636,0),1.3),MIN(MAX(J636/K636,0),1.3))),"")</f>
        <v>1.1540999999999999</v>
      </c>
      <c r="M636" s="14">
        <f t="shared" ref="M636:M647" si="59">IFERROR(IF(OR(J636=0,K636=""),"",IF(E636="Positivo",MAX(K636/J636,0),MAX(J636/K636,0))),"")</f>
        <v>1.1540999999999999</v>
      </c>
      <c r="N636" s="5" t="s">
        <v>128</v>
      </c>
      <c r="O636" s="5" t="s">
        <v>128</v>
      </c>
      <c r="P636" s="5">
        <v>0</v>
      </c>
      <c r="Q636" s="5">
        <v>0</v>
      </c>
      <c r="R636" s="5" t="s">
        <v>966</v>
      </c>
    </row>
    <row r="637" spans="1:18" hidden="1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41</v>
      </c>
      <c r="F637" s="71">
        <v>46022</v>
      </c>
      <c r="G637" s="15">
        <v>2025</v>
      </c>
      <c r="H637" s="6" t="s">
        <v>23</v>
      </c>
      <c r="I637" s="6" t="s">
        <v>32</v>
      </c>
      <c r="J637" s="5">
        <v>200</v>
      </c>
      <c r="K637" s="5">
        <v>172</v>
      </c>
      <c r="L637" s="14">
        <f t="shared" si="58"/>
        <v>1.1627906976744187</v>
      </c>
      <c r="M637" s="14">
        <f t="shared" si="59"/>
        <v>1.1627906976744187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967</v>
      </c>
    </row>
    <row r="638" spans="1:18" hidden="1" x14ac:dyDescent="0.3">
      <c r="A638" s="5">
        <v>365</v>
      </c>
      <c r="B638" s="5" t="s">
        <v>968</v>
      </c>
      <c r="C638" s="5" t="s">
        <v>956</v>
      </c>
      <c r="D638" s="13" t="s">
        <v>27</v>
      </c>
      <c r="E638" s="5" t="s">
        <v>22</v>
      </c>
      <c r="F638" s="71">
        <v>45291</v>
      </c>
      <c r="G638" s="15">
        <v>2023</v>
      </c>
      <c r="H638" s="6" t="s">
        <v>23</v>
      </c>
      <c r="I638" s="6" t="s">
        <v>28</v>
      </c>
      <c r="J638" s="5">
        <v>100</v>
      </c>
      <c r="K638" s="5">
        <v>100</v>
      </c>
      <c r="L638" s="14">
        <f t="shared" si="58"/>
        <v>1</v>
      </c>
      <c r="M638" s="14">
        <f t="shared" si="59"/>
        <v>1</v>
      </c>
      <c r="N638" s="5" t="s">
        <v>25</v>
      </c>
      <c r="O638" s="5" t="s">
        <v>25</v>
      </c>
      <c r="P638" s="5">
        <v>0</v>
      </c>
      <c r="Q638" s="5">
        <v>0</v>
      </c>
      <c r="R638" s="5" t="s">
        <v>969</v>
      </c>
    </row>
    <row r="639" spans="1:18" hidden="1" x14ac:dyDescent="0.3">
      <c r="A639" s="5">
        <v>366</v>
      </c>
      <c r="B639" s="5" t="s">
        <v>970</v>
      </c>
      <c r="C639" s="5" t="s">
        <v>956</v>
      </c>
      <c r="D639" s="13" t="s">
        <v>71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58"/>
        <v>1</v>
      </c>
      <c r="M639" s="14">
        <f t="shared" si="59"/>
        <v>1</v>
      </c>
      <c r="N639" s="5" t="s">
        <v>128</v>
      </c>
      <c r="O639" s="5" t="s">
        <v>128</v>
      </c>
      <c r="P639" s="5">
        <v>0</v>
      </c>
      <c r="Q639" s="5">
        <v>0</v>
      </c>
      <c r="R639" s="5" t="s">
        <v>971</v>
      </c>
    </row>
    <row r="640" spans="1:18" hidden="1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45657</v>
      </c>
      <c r="G640" s="15">
        <v>2024</v>
      </c>
      <c r="H640" s="6" t="s">
        <v>23</v>
      </c>
      <c r="I640" s="6" t="s">
        <v>30</v>
      </c>
      <c r="J640" s="5">
        <v>100</v>
      </c>
      <c r="K640" s="5">
        <v>100</v>
      </c>
      <c r="L640" s="14">
        <f t="shared" si="58"/>
        <v>1</v>
      </c>
      <c r="M640" s="14">
        <f t="shared" si="59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972</v>
      </c>
    </row>
    <row r="641" spans="1:18" hidden="1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46022</v>
      </c>
      <c r="G641" s="15">
        <v>2025</v>
      </c>
      <c r="H641" s="6" t="s">
        <v>23</v>
      </c>
      <c r="I641" s="6" t="s">
        <v>32</v>
      </c>
      <c r="J641" s="5">
        <v>100</v>
      </c>
      <c r="K641" s="5">
        <v>100</v>
      </c>
      <c r="L641" s="14">
        <f t="shared" si="58"/>
        <v>1</v>
      </c>
      <c r="M641" s="14">
        <f t="shared" si="59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973</v>
      </c>
    </row>
    <row r="642" spans="1:18" hidden="1" x14ac:dyDescent="0.3">
      <c r="A642" s="5">
        <v>367</v>
      </c>
      <c r="B642" s="5" t="s">
        <v>974</v>
      </c>
      <c r="C642" s="5" t="s">
        <v>951</v>
      </c>
      <c r="D642" s="13" t="s">
        <v>71</v>
      </c>
      <c r="E642" s="5" t="s">
        <v>22</v>
      </c>
      <c r="F642" s="71">
        <v>45291</v>
      </c>
      <c r="G642" s="15">
        <v>2023</v>
      </c>
      <c r="H642" s="6" t="s">
        <v>23</v>
      </c>
      <c r="I642" s="6" t="s">
        <v>28</v>
      </c>
      <c r="J642" s="5">
        <v>5</v>
      </c>
      <c r="K642" s="5">
        <v>6.2497567052045619</v>
      </c>
      <c r="L642" s="14">
        <f t="shared" si="58"/>
        <v>1.2499513410409124</v>
      </c>
      <c r="M642" s="14">
        <f t="shared" si="59"/>
        <v>1.2499513410409124</v>
      </c>
      <c r="N642" s="5" t="s">
        <v>25</v>
      </c>
      <c r="O642" s="5" t="s">
        <v>25</v>
      </c>
      <c r="P642" s="5">
        <v>0</v>
      </c>
      <c r="Q642" s="5">
        <v>2</v>
      </c>
      <c r="R642" s="5" t="s">
        <v>975</v>
      </c>
    </row>
    <row r="643" spans="1:18" hidden="1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45657</v>
      </c>
      <c r="G643" s="15">
        <v>2024</v>
      </c>
      <c r="H643" s="6" t="s">
        <v>23</v>
      </c>
      <c r="I643" s="6" t="s">
        <v>30</v>
      </c>
      <c r="J643" s="5">
        <v>5</v>
      </c>
      <c r="K643" s="5">
        <v>4.96</v>
      </c>
      <c r="L643" s="14">
        <f t="shared" si="58"/>
        <v>0.99199999999999999</v>
      </c>
      <c r="M643" s="14">
        <f t="shared" si="59"/>
        <v>0.99199999999999999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976</v>
      </c>
    </row>
    <row r="644" spans="1:18" hidden="1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46022</v>
      </c>
      <c r="G644" s="15">
        <v>2025</v>
      </c>
      <c r="H644" s="6" t="s">
        <v>23</v>
      </c>
      <c r="I644" s="6" t="s">
        <v>32</v>
      </c>
      <c r="J644" s="5">
        <v>5</v>
      </c>
      <c r="K644" s="5">
        <v>3.82</v>
      </c>
      <c r="L644" s="14">
        <f t="shared" si="58"/>
        <v>0.76400000000000001</v>
      </c>
      <c r="M644" s="14">
        <f t="shared" si="59"/>
        <v>0.76400000000000001</v>
      </c>
      <c r="N644" s="5" t="s">
        <v>25</v>
      </c>
      <c r="O644" s="5" t="s">
        <v>25</v>
      </c>
      <c r="P644" s="5">
        <v>1</v>
      </c>
      <c r="Q644" s="5">
        <v>2</v>
      </c>
      <c r="R644" s="5" t="s">
        <v>977</v>
      </c>
    </row>
    <row r="645" spans="1:18" hidden="1" x14ac:dyDescent="0.3">
      <c r="A645" s="5">
        <v>368</v>
      </c>
      <c r="B645" s="5" t="s">
        <v>978</v>
      </c>
      <c r="C645" s="5" t="s">
        <v>979</v>
      </c>
      <c r="D645" s="13" t="s">
        <v>21</v>
      </c>
      <c r="E645" s="5" t="s">
        <v>22</v>
      </c>
      <c r="F645" s="71">
        <v>45291</v>
      </c>
      <c r="G645" s="15">
        <v>2023</v>
      </c>
      <c r="H645" s="6" t="s">
        <v>23</v>
      </c>
      <c r="I645" s="6" t="s">
        <v>28</v>
      </c>
      <c r="J645" s="5">
        <v>90</v>
      </c>
      <c r="K645" s="5">
        <v>94.5</v>
      </c>
      <c r="L645" s="14">
        <f t="shared" si="58"/>
        <v>1.05</v>
      </c>
      <c r="M645" s="14">
        <f t="shared" si="59"/>
        <v>1.05</v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980</v>
      </c>
    </row>
    <row r="646" spans="1:18" hidden="1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45657</v>
      </c>
      <c r="G646" s="15">
        <v>2024</v>
      </c>
      <c r="H646" s="6" t="s">
        <v>23</v>
      </c>
      <c r="I646" s="6" t="s">
        <v>30</v>
      </c>
      <c r="J646" s="5">
        <v>90</v>
      </c>
      <c r="K646" s="5">
        <v>94.25</v>
      </c>
      <c r="L646" s="14">
        <f t="shared" si="58"/>
        <v>1.0472222222222223</v>
      </c>
      <c r="M646" s="14">
        <f t="shared" si="59"/>
        <v>1.0472222222222223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981</v>
      </c>
    </row>
    <row r="647" spans="1:18" hidden="1" x14ac:dyDescent="0.3">
      <c r="A647" s="5">
        <v>368</v>
      </c>
      <c r="B647" s="5" t="s">
        <v>978</v>
      </c>
      <c r="C647" s="5" t="s">
        <v>982</v>
      </c>
      <c r="D647" s="13" t="s">
        <v>27</v>
      </c>
      <c r="E647" s="5" t="s">
        <v>22</v>
      </c>
      <c r="F647" s="71">
        <v>46022</v>
      </c>
      <c r="G647" s="15">
        <v>2025</v>
      </c>
      <c r="H647" s="6" t="s">
        <v>23</v>
      </c>
      <c r="I647" s="6" t="s">
        <v>32</v>
      </c>
      <c r="J647" s="5">
        <v>93</v>
      </c>
      <c r="K647" s="5">
        <v>95</v>
      </c>
      <c r="L647" s="14">
        <f t="shared" si="58"/>
        <v>1.021505376344086</v>
      </c>
      <c r="M647" s="14">
        <f t="shared" si="59"/>
        <v>1.021505376344086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983</v>
      </c>
    </row>
    <row r="648" spans="1:18" hidden="1" x14ac:dyDescent="0.3">
      <c r="A648" s="5">
        <v>369</v>
      </c>
      <c r="B648" s="5" t="s">
        <v>984</v>
      </c>
      <c r="C648" s="5" t="s">
        <v>951</v>
      </c>
      <c r="D648" s="13" t="s">
        <v>27</v>
      </c>
      <c r="E648" s="5" t="s">
        <v>22</v>
      </c>
      <c r="F648" s="71">
        <v>45291</v>
      </c>
      <c r="G648" s="15">
        <v>2023</v>
      </c>
      <c r="H648" s="6" t="s">
        <v>23</v>
      </c>
      <c r="I648" s="6" t="s">
        <v>28</v>
      </c>
      <c r="J648" s="5"/>
      <c r="K648" s="5">
        <v>174</v>
      </c>
      <c r="L648" s="14"/>
      <c r="M648" s="14"/>
      <c r="N648" s="5" t="s">
        <v>355</v>
      </c>
      <c r="O648" s="5" t="s">
        <v>128</v>
      </c>
      <c r="P648" s="5">
        <v>0</v>
      </c>
      <c r="Q648" s="5">
        <v>0</v>
      </c>
      <c r="R648" s="5" t="s">
        <v>985</v>
      </c>
    </row>
    <row r="649" spans="1:18" hidden="1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45657</v>
      </c>
      <c r="G649" s="15">
        <v>2024</v>
      </c>
      <c r="H649" s="6" t="s">
        <v>23</v>
      </c>
      <c r="I649" s="6" t="s">
        <v>30</v>
      </c>
      <c r="J649" s="5">
        <v>200</v>
      </c>
      <c r="K649" s="5">
        <v>147.55000000000001</v>
      </c>
      <c r="L649" s="14">
        <f>IFERROR(IF(OR(J649=0,K649=""),"",IF(E649="Positivo",MIN(MAX(K649/J649,0),1.3),MIN(MAX(J649/K649,0),1.3))),"")</f>
        <v>0.73775000000000002</v>
      </c>
      <c r="M649" s="14">
        <f>IFERROR(IF(OR(J649=0,K649=""),"",IF(E649="Positivo",MAX(K649/J649,0),MAX(J649/K649,0))),"")</f>
        <v>0.73775000000000002</v>
      </c>
      <c r="N649" s="5" t="s">
        <v>128</v>
      </c>
      <c r="O649" s="5" t="s">
        <v>128</v>
      </c>
      <c r="P649" s="5">
        <v>0</v>
      </c>
      <c r="Q649" s="5">
        <v>0</v>
      </c>
      <c r="R649" s="5" t="s">
        <v>986</v>
      </c>
    </row>
    <row r="650" spans="1:18" hidden="1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46022</v>
      </c>
      <c r="G650" s="15">
        <v>2025</v>
      </c>
      <c r="H650" s="6" t="s">
        <v>23</v>
      </c>
      <c r="I650" s="6" t="s">
        <v>32</v>
      </c>
      <c r="J650" s="5">
        <v>200</v>
      </c>
      <c r="K650" s="5">
        <v>197.15</v>
      </c>
      <c r="L650" s="14">
        <f>IFERROR(IF(OR(J650=0,K650=""),"",IF(E650="Positivo",MIN(MAX(K650/J650,0),1.3),MIN(MAX(J650/K650,0),1.3))),"")</f>
        <v>0.98575000000000002</v>
      </c>
      <c r="M650" s="14">
        <f>IFERROR(IF(OR(J650=0,K650=""),"",IF(E650="Positivo",MAX(K650/J650,0),MAX(J650/K650,0))),"")</f>
        <v>0.98575000000000002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987</v>
      </c>
    </row>
    <row r="651" spans="1:18" hidden="1" x14ac:dyDescent="0.3">
      <c r="A651" s="5">
        <v>370</v>
      </c>
      <c r="B651" s="5" t="s">
        <v>988</v>
      </c>
      <c r="C651" s="5" t="s">
        <v>951</v>
      </c>
      <c r="D651" s="13" t="s">
        <v>27</v>
      </c>
      <c r="E651" s="5" t="s">
        <v>22</v>
      </c>
      <c r="F651" s="71">
        <v>45291</v>
      </c>
      <c r="G651" s="15">
        <v>2023</v>
      </c>
      <c r="H651" s="6" t="s">
        <v>23</v>
      </c>
      <c r="I651" s="6" t="s">
        <v>28</v>
      </c>
      <c r="J651" s="5"/>
      <c r="K651" s="5"/>
      <c r="L651" s="14"/>
      <c r="M651" s="14"/>
      <c r="N651" s="5" t="s">
        <v>128</v>
      </c>
      <c r="O651" s="5" t="s">
        <v>128</v>
      </c>
      <c r="P651" s="5">
        <v>0</v>
      </c>
      <c r="Q651" s="5">
        <v>0</v>
      </c>
      <c r="R651" s="5" t="s">
        <v>989</v>
      </c>
    </row>
    <row r="652" spans="1:18" hidden="1" x14ac:dyDescent="0.3">
      <c r="A652" s="5">
        <v>371</v>
      </c>
      <c r="B652" s="5" t="s">
        <v>990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>
        <v>200</v>
      </c>
      <c r="K652" s="5">
        <v>330.57274243635999</v>
      </c>
      <c r="L652" s="14">
        <f t="shared" ref="L652:L657" si="60">IFERROR(IF(OR(J652=0,K652=""),"",IF(E652="Positivo",MIN(MAX(K652/J652,0),1.3),MIN(MAX(J652/K652,0),1.3))),"")</f>
        <v>1.3</v>
      </c>
      <c r="M652" s="14">
        <f t="shared" ref="M652:M699" si="61">IFERROR(IF(OR(J652=0,K652=""),"",IF(E652="Positivo",MAX(K652/J652,0),MAX(J652/K652,0))),"")</f>
        <v>1.6528637121817999</v>
      </c>
      <c r="N652" s="5" t="s">
        <v>205</v>
      </c>
      <c r="O652" s="5" t="s">
        <v>205</v>
      </c>
      <c r="P652" s="5">
        <v>0</v>
      </c>
      <c r="Q652" s="5">
        <v>0</v>
      </c>
      <c r="R652" s="5" t="s">
        <v>991</v>
      </c>
    </row>
    <row r="653" spans="1:18" hidden="1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45657</v>
      </c>
      <c r="G653" s="15">
        <v>2024</v>
      </c>
      <c r="H653" s="6" t="s">
        <v>23</v>
      </c>
      <c r="I653" s="6" t="s">
        <v>30</v>
      </c>
      <c r="J653" s="5">
        <v>200</v>
      </c>
      <c r="K653" s="5">
        <v>246.71</v>
      </c>
      <c r="L653" s="14">
        <f t="shared" si="60"/>
        <v>1.2335500000000001</v>
      </c>
      <c r="M653" s="14">
        <f t="shared" si="61"/>
        <v>1.2335500000000001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992</v>
      </c>
    </row>
    <row r="654" spans="1:18" hidden="1" x14ac:dyDescent="0.3">
      <c r="A654" s="5">
        <v>371</v>
      </c>
      <c r="B654" s="5" t="s">
        <v>990</v>
      </c>
      <c r="C654" s="5" t="s">
        <v>951</v>
      </c>
      <c r="D654" s="13" t="s">
        <v>21</v>
      </c>
      <c r="E654" s="5" t="s">
        <v>22</v>
      </c>
      <c r="F654" s="71">
        <v>46022</v>
      </c>
      <c r="G654" s="15">
        <v>2025</v>
      </c>
      <c r="H654" s="6" t="s">
        <v>23</v>
      </c>
      <c r="I654" s="6" t="s">
        <v>32</v>
      </c>
      <c r="J654" s="5">
        <v>200</v>
      </c>
      <c r="K654" s="5">
        <v>157.11000000000001</v>
      </c>
      <c r="L654" s="14">
        <f t="shared" si="60"/>
        <v>0.78555000000000008</v>
      </c>
      <c r="M654" s="14">
        <f t="shared" si="61"/>
        <v>0.78555000000000008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993</v>
      </c>
    </row>
    <row r="655" spans="1:18" hidden="1" x14ac:dyDescent="0.3">
      <c r="A655" s="5">
        <v>372</v>
      </c>
      <c r="B655" s="5" t="s">
        <v>994</v>
      </c>
      <c r="C655" s="5" t="s">
        <v>979</v>
      </c>
      <c r="D655" s="13" t="s">
        <v>21</v>
      </c>
      <c r="E655" s="5" t="s">
        <v>22</v>
      </c>
      <c r="F655" s="71">
        <v>45291</v>
      </c>
      <c r="G655" s="15">
        <v>2023</v>
      </c>
      <c r="H655" s="6" t="s">
        <v>23</v>
      </c>
      <c r="I655" s="6" t="s">
        <v>28</v>
      </c>
      <c r="J655" s="5">
        <v>87</v>
      </c>
      <c r="K655" s="5">
        <v>95.5</v>
      </c>
      <c r="L655" s="14">
        <f t="shared" si="60"/>
        <v>1.0977011494252873</v>
      </c>
      <c r="M655" s="14">
        <f t="shared" si="61"/>
        <v>1.0977011494252873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995</v>
      </c>
    </row>
    <row r="656" spans="1:18" hidden="1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45657</v>
      </c>
      <c r="G656" s="15">
        <v>2024</v>
      </c>
      <c r="H656" s="6" t="s">
        <v>23</v>
      </c>
      <c r="I656" s="6" t="s">
        <v>30</v>
      </c>
      <c r="J656" s="5">
        <v>87</v>
      </c>
      <c r="K656" s="5">
        <v>91.75</v>
      </c>
      <c r="L656" s="14">
        <f t="shared" si="60"/>
        <v>1.0545977011494252</v>
      </c>
      <c r="M656" s="14">
        <f t="shared" si="61"/>
        <v>1.0545977011494252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996</v>
      </c>
    </row>
    <row r="657" spans="1:18" hidden="1" x14ac:dyDescent="0.3">
      <c r="A657" s="5">
        <v>372</v>
      </c>
      <c r="B657" s="5" t="s">
        <v>994</v>
      </c>
      <c r="C657" s="5" t="s">
        <v>982</v>
      </c>
      <c r="D657" s="13" t="s">
        <v>27</v>
      </c>
      <c r="E657" s="5" t="s">
        <v>22</v>
      </c>
      <c r="F657" s="71">
        <v>46022</v>
      </c>
      <c r="G657" s="15">
        <v>2025</v>
      </c>
      <c r="H657" s="6" t="s">
        <v>23</v>
      </c>
      <c r="I657" s="6" t="s">
        <v>32</v>
      </c>
      <c r="J657" s="5">
        <v>90</v>
      </c>
      <c r="K657" s="5">
        <v>95.5</v>
      </c>
      <c r="L657" s="14">
        <f t="shared" si="60"/>
        <v>1.0611111111111111</v>
      </c>
      <c r="M657" s="14">
        <f t="shared" si="61"/>
        <v>1.0611111111111111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997</v>
      </c>
    </row>
    <row r="658" spans="1:18" hidden="1" x14ac:dyDescent="0.3">
      <c r="A658" s="5">
        <v>373</v>
      </c>
      <c r="B658" s="5" t="s">
        <v>998</v>
      </c>
      <c r="C658" s="5" t="s">
        <v>567</v>
      </c>
      <c r="D658" s="13" t="s">
        <v>21</v>
      </c>
      <c r="E658" s="5" t="s">
        <v>22</v>
      </c>
      <c r="F658" s="71">
        <v>45291</v>
      </c>
      <c r="G658" s="15">
        <v>2023</v>
      </c>
      <c r="H658" s="6" t="s">
        <v>23</v>
      </c>
      <c r="I658" s="6" t="s">
        <v>28</v>
      </c>
      <c r="J658" s="5">
        <v>100</v>
      </c>
      <c r="K658" s="5">
        <v>73.961666666667497</v>
      </c>
      <c r="L658" s="14">
        <f>IFERROR(IF(OR(J658=0,K658=""),"",IF(E658="Positivo",MIN(MAX(K658/J658,0),1),MIN(MAX(J658/K658,0),1))),"")</f>
        <v>0.73961666666667503</v>
      </c>
      <c r="M658" s="14">
        <f t="shared" si="61"/>
        <v>0.73961666666667503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999</v>
      </c>
    </row>
    <row r="659" spans="1:18" hidden="1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45657</v>
      </c>
      <c r="G659" s="15">
        <v>2024</v>
      </c>
      <c r="H659" s="6" t="s">
        <v>23</v>
      </c>
      <c r="I659" s="6" t="s">
        <v>30</v>
      </c>
      <c r="J659" s="5">
        <v>100</v>
      </c>
      <c r="K659" s="5">
        <v>98.525000000000006</v>
      </c>
      <c r="L659" s="14">
        <f>IFERROR(IF(OR(J659=0,K659=""),"",IF(E659="Positivo",MIN(MAX(K659/J659,0),1),MIN(MAX(J659/K659,0),1))),"")</f>
        <v>0.98525000000000007</v>
      </c>
      <c r="M659" s="14">
        <f t="shared" si="61"/>
        <v>0.98525000000000007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1000</v>
      </c>
    </row>
    <row r="660" spans="1:18" hidden="1" x14ac:dyDescent="0.3">
      <c r="A660" s="5">
        <v>373</v>
      </c>
      <c r="B660" s="5" t="s">
        <v>998</v>
      </c>
      <c r="C660" s="5" t="s">
        <v>567</v>
      </c>
      <c r="D660" s="13" t="s">
        <v>27</v>
      </c>
      <c r="E660" s="5" t="s">
        <v>22</v>
      </c>
      <c r="F660" s="71">
        <v>46022</v>
      </c>
      <c r="G660" s="15">
        <v>2025</v>
      </c>
      <c r="H660" s="6" t="s">
        <v>23</v>
      </c>
      <c r="I660" s="6" t="s">
        <v>32</v>
      </c>
      <c r="J660" s="5">
        <v>100</v>
      </c>
      <c r="K660" s="5">
        <v>101.215</v>
      </c>
      <c r="L660" s="14">
        <f>IFERROR(IF(OR(J660=0,K660=""),"",IF(E660="Positivo",MIN(MAX(K660/J660,0),1),MIN(MAX(J660/K660,0),1))),"")</f>
        <v>1</v>
      </c>
      <c r="M660" s="14">
        <f t="shared" si="61"/>
        <v>1.0121500000000001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1001</v>
      </c>
    </row>
    <row r="661" spans="1:18" hidden="1" x14ac:dyDescent="0.3">
      <c r="A661" s="5">
        <v>374</v>
      </c>
      <c r="B661" s="5" t="s">
        <v>1002</v>
      </c>
      <c r="C661" s="5" t="s">
        <v>956</v>
      </c>
      <c r="D661" s="13" t="s">
        <v>27</v>
      </c>
      <c r="E661" s="5" t="s">
        <v>22</v>
      </c>
      <c r="F661" s="71">
        <v>45291</v>
      </c>
      <c r="G661" s="15">
        <v>2023</v>
      </c>
      <c r="H661" s="6" t="s">
        <v>23</v>
      </c>
      <c r="I661" s="6" t="s">
        <v>28</v>
      </c>
      <c r="J661" s="5">
        <v>100</v>
      </c>
      <c r="K661" s="5">
        <v>100</v>
      </c>
      <c r="L661" s="14">
        <f t="shared" ref="L661:L699" si="62">IFERROR(IF(OR(J661=0,K661=""),"",IF(E661="Positivo",MIN(MAX(K661/J661,0),1.3),MIN(MAX(J661/K661,0),1.3))),"")</f>
        <v>1</v>
      </c>
      <c r="M661" s="14">
        <f t="shared" si="61"/>
        <v>1</v>
      </c>
      <c r="N661" s="5" t="s">
        <v>128</v>
      </c>
      <c r="O661" s="5" t="s">
        <v>128</v>
      </c>
      <c r="P661" s="5">
        <v>0</v>
      </c>
      <c r="Q661" s="5">
        <v>0</v>
      </c>
      <c r="R661" s="5" t="s">
        <v>1003</v>
      </c>
    </row>
    <row r="662" spans="1:18" hidden="1" x14ac:dyDescent="0.3">
      <c r="A662" s="5">
        <v>375</v>
      </c>
      <c r="B662" s="5" t="s">
        <v>1004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50</v>
      </c>
      <c r="L662" s="14">
        <f t="shared" si="62"/>
        <v>0.5</v>
      </c>
      <c r="M662" s="14">
        <f t="shared" si="61"/>
        <v>0.5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1005</v>
      </c>
    </row>
    <row r="663" spans="1:18" hidden="1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45657</v>
      </c>
      <c r="G663" s="15">
        <v>2024</v>
      </c>
      <c r="H663" s="6" t="s">
        <v>23</v>
      </c>
      <c r="I663" s="6" t="s">
        <v>30</v>
      </c>
      <c r="J663" s="5">
        <v>100</v>
      </c>
      <c r="K663" s="5">
        <v>100</v>
      </c>
      <c r="L663" s="14">
        <f t="shared" si="62"/>
        <v>1</v>
      </c>
      <c r="M663" s="14">
        <f t="shared" si="61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1006</v>
      </c>
    </row>
    <row r="664" spans="1:18" hidden="1" x14ac:dyDescent="0.3">
      <c r="A664" s="5">
        <v>375</v>
      </c>
      <c r="B664" s="5" t="s">
        <v>1004</v>
      </c>
      <c r="C664" s="5" t="s">
        <v>956</v>
      </c>
      <c r="D664" s="13" t="s">
        <v>21</v>
      </c>
      <c r="E664" s="5" t="s">
        <v>22</v>
      </c>
      <c r="F664" s="71">
        <v>46022</v>
      </c>
      <c r="G664" s="15">
        <v>2025</v>
      </c>
      <c r="H664" s="6" t="s">
        <v>23</v>
      </c>
      <c r="I664" s="6" t="s">
        <v>32</v>
      </c>
      <c r="J664" s="5">
        <v>100</v>
      </c>
      <c r="K664" s="5">
        <v>100</v>
      </c>
      <c r="L664" s="14">
        <f t="shared" si="62"/>
        <v>1</v>
      </c>
      <c r="M664" s="14">
        <f t="shared" si="61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1007</v>
      </c>
    </row>
    <row r="665" spans="1:18" hidden="1" x14ac:dyDescent="0.3">
      <c r="A665" s="5">
        <v>376</v>
      </c>
      <c r="B665" s="5" t="s">
        <v>1008</v>
      </c>
      <c r="C665" s="5" t="s">
        <v>159</v>
      </c>
      <c r="D665" s="13" t="s">
        <v>27</v>
      </c>
      <c r="E665" s="5" t="s">
        <v>22</v>
      </c>
      <c r="F665" s="71">
        <v>45291</v>
      </c>
      <c r="G665" s="15">
        <v>2023</v>
      </c>
      <c r="H665" s="6" t="s">
        <v>23</v>
      </c>
      <c r="I665" s="6" t="s">
        <v>28</v>
      </c>
      <c r="J665" s="5">
        <v>95</v>
      </c>
      <c r="K665" s="5">
        <v>101.26</v>
      </c>
      <c r="L665" s="14">
        <f t="shared" si="62"/>
        <v>1.0658947368421052</v>
      </c>
      <c r="M665" s="14">
        <f t="shared" si="61"/>
        <v>1.0658947368421052</v>
      </c>
      <c r="N665" s="5" t="s">
        <v>205</v>
      </c>
      <c r="O665" s="5" t="s">
        <v>205</v>
      </c>
      <c r="P665" s="5">
        <v>0</v>
      </c>
      <c r="Q665" s="5">
        <v>0</v>
      </c>
      <c r="R665" s="5" t="s">
        <v>1009</v>
      </c>
    </row>
    <row r="666" spans="1:18" hidden="1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45657</v>
      </c>
      <c r="G666" s="15">
        <v>2024</v>
      </c>
      <c r="H666" s="6" t="s">
        <v>23</v>
      </c>
      <c r="I666" s="6" t="s">
        <v>30</v>
      </c>
      <c r="J666" s="5">
        <v>95</v>
      </c>
      <c r="K666" s="5">
        <v>109.1</v>
      </c>
      <c r="L666" s="14">
        <f t="shared" si="62"/>
        <v>1.1484210526315788</v>
      </c>
      <c r="M666" s="14">
        <f t="shared" si="61"/>
        <v>1.1484210526315788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1010</v>
      </c>
    </row>
    <row r="667" spans="1:18" hidden="1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46022</v>
      </c>
      <c r="G667" s="15">
        <v>2025</v>
      </c>
      <c r="H667" s="6" t="s">
        <v>23</v>
      </c>
      <c r="I667" s="6" t="s">
        <v>32</v>
      </c>
      <c r="J667" s="5">
        <v>95</v>
      </c>
      <c r="K667" s="5">
        <v>117.51</v>
      </c>
      <c r="L667" s="14">
        <f t="shared" si="62"/>
        <v>1.2369473684210528</v>
      </c>
      <c r="M667" s="14">
        <f t="shared" si="61"/>
        <v>1.2369473684210528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1011</v>
      </c>
    </row>
    <row r="668" spans="1:18" hidden="1" x14ac:dyDescent="0.3">
      <c r="A668" s="5">
        <v>377</v>
      </c>
      <c r="B668" s="5" t="s">
        <v>1012</v>
      </c>
      <c r="C668" s="5" t="s">
        <v>159</v>
      </c>
      <c r="D668" s="13" t="s">
        <v>27</v>
      </c>
      <c r="E668" s="5" t="s">
        <v>41</v>
      </c>
      <c r="F668" s="71">
        <v>45291</v>
      </c>
      <c r="G668" s="15">
        <v>2023</v>
      </c>
      <c r="H668" s="6" t="s">
        <v>23</v>
      </c>
      <c r="I668" s="6" t="s">
        <v>28</v>
      </c>
      <c r="J668" s="5">
        <v>100</v>
      </c>
      <c r="K668" s="5">
        <v>60.77</v>
      </c>
      <c r="L668" s="14">
        <f t="shared" si="62"/>
        <v>1.3</v>
      </c>
      <c r="M668" s="14">
        <f t="shared" si="61"/>
        <v>1.6455487905216388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1013</v>
      </c>
    </row>
    <row r="669" spans="1:18" hidden="1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45657</v>
      </c>
      <c r="G669" s="15">
        <v>2024</v>
      </c>
      <c r="H669" s="6" t="s">
        <v>23</v>
      </c>
      <c r="I669" s="6" t="s">
        <v>30</v>
      </c>
      <c r="J669" s="5">
        <v>100</v>
      </c>
      <c r="K669" s="10">
        <v>125.01</v>
      </c>
      <c r="L669" s="14">
        <f t="shared" si="62"/>
        <v>0.7999360051195904</v>
      </c>
      <c r="M669" s="14">
        <f t="shared" si="61"/>
        <v>0.7999360051195904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1014</v>
      </c>
    </row>
    <row r="670" spans="1:18" hidden="1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22</v>
      </c>
      <c r="F670" s="71">
        <v>46022</v>
      </c>
      <c r="G670" s="15">
        <v>2025</v>
      </c>
      <c r="H670" s="6" t="s">
        <v>23</v>
      </c>
      <c r="I670" s="6" t="s">
        <v>32</v>
      </c>
      <c r="J670" s="5">
        <v>100</v>
      </c>
      <c r="K670" s="5">
        <v>107.11</v>
      </c>
      <c r="L670" s="14">
        <f t="shared" si="62"/>
        <v>1.0710999999999999</v>
      </c>
      <c r="M670" s="14">
        <f t="shared" si="61"/>
        <v>1.0710999999999999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1015</v>
      </c>
    </row>
    <row r="671" spans="1:18" hidden="1" x14ac:dyDescent="0.3">
      <c r="A671" s="5">
        <v>378</v>
      </c>
      <c r="B671" s="5" t="s">
        <v>1016</v>
      </c>
      <c r="C671" s="5" t="s">
        <v>53</v>
      </c>
      <c r="D671" s="13" t="s">
        <v>54</v>
      </c>
      <c r="E671" s="5" t="s">
        <v>22</v>
      </c>
      <c r="F671" s="71">
        <v>45291</v>
      </c>
      <c r="G671" s="15">
        <v>2023</v>
      </c>
      <c r="H671" s="6" t="s">
        <v>23</v>
      </c>
      <c r="I671" s="6" t="s">
        <v>28</v>
      </c>
      <c r="J671" s="5">
        <v>92</v>
      </c>
      <c r="K671" s="5">
        <v>95.58</v>
      </c>
      <c r="L671" s="14">
        <f t="shared" si="62"/>
        <v>1.0389130434782607</v>
      </c>
      <c r="M671" s="14">
        <f t="shared" si="61"/>
        <v>1.0389130434782607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1017</v>
      </c>
    </row>
    <row r="672" spans="1:18" hidden="1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45657</v>
      </c>
      <c r="G672" s="15">
        <v>2024</v>
      </c>
      <c r="H672" s="6" t="s">
        <v>23</v>
      </c>
      <c r="I672" s="6" t="s">
        <v>30</v>
      </c>
      <c r="J672" s="5">
        <v>0</v>
      </c>
      <c r="K672" s="5">
        <v>0</v>
      </c>
      <c r="L672" s="14" t="str">
        <f t="shared" si="62"/>
        <v/>
      </c>
      <c r="M672" s="14" t="str">
        <f t="shared" si="61"/>
        <v/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1018</v>
      </c>
    </row>
    <row r="673" spans="1:18" hidden="1" x14ac:dyDescent="0.3">
      <c r="A673" s="5">
        <v>379</v>
      </c>
      <c r="B673" s="5" t="s">
        <v>1019</v>
      </c>
      <c r="C673" s="5" t="s">
        <v>1020</v>
      </c>
      <c r="D673" s="13" t="s">
        <v>27</v>
      </c>
      <c r="E673" s="5" t="s">
        <v>22</v>
      </c>
      <c r="F673" s="71">
        <v>45291</v>
      </c>
      <c r="G673" s="15">
        <v>2023</v>
      </c>
      <c r="H673" s="6" t="s">
        <v>23</v>
      </c>
      <c r="I673" s="6" t="s">
        <v>28</v>
      </c>
      <c r="J673" s="5">
        <v>200</v>
      </c>
      <c r="K673" s="5">
        <v>211.37877164055999</v>
      </c>
      <c r="L673" s="14">
        <f t="shared" si="62"/>
        <v>1.0568938582028</v>
      </c>
      <c r="M673" s="14">
        <f t="shared" si="61"/>
        <v>1.0568938582028</v>
      </c>
      <c r="N673" s="5" t="s">
        <v>128</v>
      </c>
      <c r="O673" s="5" t="s">
        <v>128</v>
      </c>
      <c r="P673" s="5">
        <v>0</v>
      </c>
      <c r="Q673" s="5">
        <v>0</v>
      </c>
      <c r="R673" s="5" t="s">
        <v>1021</v>
      </c>
    </row>
    <row r="674" spans="1:18" hidden="1" x14ac:dyDescent="0.3">
      <c r="A674" s="5">
        <v>379</v>
      </c>
      <c r="B674" s="5" t="s">
        <v>1019</v>
      </c>
      <c r="C674" s="5" t="s">
        <v>1020</v>
      </c>
      <c r="D674" s="13" t="s">
        <v>27</v>
      </c>
      <c r="E674" s="5" t="s">
        <v>22</v>
      </c>
      <c r="F674" s="71">
        <v>45657</v>
      </c>
      <c r="G674" s="15">
        <v>2024</v>
      </c>
      <c r="H674" s="6" t="s">
        <v>23</v>
      </c>
      <c r="I674" s="6" t="s">
        <v>30</v>
      </c>
      <c r="J674" s="5">
        <v>200</v>
      </c>
      <c r="K674" s="5">
        <v>195.23</v>
      </c>
      <c r="L674" s="14">
        <f t="shared" si="62"/>
        <v>0.97614999999999996</v>
      </c>
      <c r="M674" s="14">
        <f t="shared" si="61"/>
        <v>0.97614999999999996</v>
      </c>
      <c r="N674" s="5" t="s">
        <v>128</v>
      </c>
      <c r="O674" s="5" t="s">
        <v>128</v>
      </c>
      <c r="P674" s="5">
        <v>0</v>
      </c>
      <c r="Q674" s="5">
        <v>0</v>
      </c>
      <c r="R674" s="5" t="s">
        <v>1022</v>
      </c>
    </row>
    <row r="675" spans="1:18" hidden="1" x14ac:dyDescent="0.3">
      <c r="A675" s="5">
        <v>379</v>
      </c>
      <c r="B675" s="5" t="s">
        <v>1019</v>
      </c>
      <c r="C675" s="5" t="s">
        <v>1020</v>
      </c>
      <c r="D675" s="13" t="s">
        <v>27</v>
      </c>
      <c r="E675" s="5" t="s">
        <v>22</v>
      </c>
      <c r="F675" s="71">
        <v>46022</v>
      </c>
      <c r="G675" s="15">
        <v>2025</v>
      </c>
      <c r="H675" s="6" t="s">
        <v>23</v>
      </c>
      <c r="I675" s="6" t="s">
        <v>32</v>
      </c>
      <c r="J675" s="5">
        <v>200</v>
      </c>
      <c r="K675" s="5">
        <v>206.52</v>
      </c>
      <c r="L675" s="14">
        <f t="shared" si="62"/>
        <v>1.0326</v>
      </c>
      <c r="M675" s="14">
        <f t="shared" si="61"/>
        <v>1.0326</v>
      </c>
      <c r="N675" s="5" t="s">
        <v>128</v>
      </c>
      <c r="O675" s="5" t="s">
        <v>128</v>
      </c>
      <c r="P675" s="5">
        <v>0</v>
      </c>
      <c r="Q675" s="5">
        <v>0</v>
      </c>
      <c r="R675" s="5" t="s">
        <v>1023</v>
      </c>
    </row>
    <row r="676" spans="1:18" hidden="1" x14ac:dyDescent="0.3">
      <c r="A676" s="5">
        <v>380</v>
      </c>
      <c r="B676" s="5" t="s">
        <v>1024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49384.117102999997</v>
      </c>
      <c r="K676" s="5">
        <v>51094.632052000001</v>
      </c>
      <c r="L676" s="14">
        <f t="shared" si="62"/>
        <v>1.0346369450208535</v>
      </c>
      <c r="M676" s="14">
        <f t="shared" si="61"/>
        <v>1.0346369450208535</v>
      </c>
      <c r="N676" s="5" t="s">
        <v>205</v>
      </c>
      <c r="O676" s="5" t="s">
        <v>205</v>
      </c>
      <c r="P676" s="5">
        <v>0</v>
      </c>
      <c r="Q676" s="5">
        <v>0</v>
      </c>
      <c r="R676" s="5" t="s">
        <v>1025</v>
      </c>
    </row>
    <row r="677" spans="1:18" hidden="1" x14ac:dyDescent="0.3">
      <c r="A677" s="5">
        <v>380</v>
      </c>
      <c r="B677" s="5" t="s">
        <v>1024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100</v>
      </c>
      <c r="K677" s="5">
        <v>78.92</v>
      </c>
      <c r="L677" s="14">
        <f t="shared" si="62"/>
        <v>0.78920000000000001</v>
      </c>
      <c r="M677" s="14">
        <f t="shared" si="61"/>
        <v>0.78920000000000001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1026</v>
      </c>
    </row>
    <row r="678" spans="1:18" hidden="1" x14ac:dyDescent="0.3">
      <c r="A678" s="5">
        <v>381</v>
      </c>
      <c r="B678" s="5" t="s">
        <v>1027</v>
      </c>
      <c r="C678" s="5" t="s">
        <v>1020</v>
      </c>
      <c r="D678" s="13" t="s">
        <v>27</v>
      </c>
      <c r="E678" s="5" t="s">
        <v>22</v>
      </c>
      <c r="F678" s="71">
        <v>45291</v>
      </c>
      <c r="G678" s="15">
        <v>2023</v>
      </c>
      <c r="H678" s="6" t="s">
        <v>23</v>
      </c>
      <c r="I678" s="6" t="s">
        <v>28</v>
      </c>
      <c r="J678" s="5">
        <v>200</v>
      </c>
      <c r="K678" s="5">
        <v>217.97170868347001</v>
      </c>
      <c r="L678" s="14">
        <f t="shared" si="62"/>
        <v>1.08985854341735</v>
      </c>
      <c r="M678" s="14">
        <f t="shared" si="61"/>
        <v>1.08985854341735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1028</v>
      </c>
    </row>
    <row r="679" spans="1:18" hidden="1" x14ac:dyDescent="0.3">
      <c r="A679" s="5">
        <v>381</v>
      </c>
      <c r="B679" s="5" t="s">
        <v>1027</v>
      </c>
      <c r="C679" s="5" t="s">
        <v>1020</v>
      </c>
      <c r="D679" s="13" t="s">
        <v>27</v>
      </c>
      <c r="E679" s="5" t="s">
        <v>22</v>
      </c>
      <c r="F679" s="71">
        <v>45657</v>
      </c>
      <c r="G679" s="15">
        <v>2024</v>
      </c>
      <c r="H679" s="6" t="s">
        <v>23</v>
      </c>
      <c r="I679" s="6" t="s">
        <v>30</v>
      </c>
      <c r="J679" s="5">
        <v>200</v>
      </c>
      <c r="K679" s="10">
        <v>194.45</v>
      </c>
      <c r="L679" s="14">
        <f t="shared" si="62"/>
        <v>0.97224999999999995</v>
      </c>
      <c r="M679" s="14">
        <f t="shared" si="61"/>
        <v>0.97224999999999995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1029</v>
      </c>
    </row>
    <row r="680" spans="1:18" hidden="1" x14ac:dyDescent="0.3">
      <c r="A680" s="5">
        <v>381</v>
      </c>
      <c r="B680" s="5" t="s">
        <v>1027</v>
      </c>
      <c r="C680" s="5" t="s">
        <v>1020</v>
      </c>
      <c r="D680" s="13" t="s">
        <v>21</v>
      </c>
      <c r="E680" s="5" t="s">
        <v>22</v>
      </c>
      <c r="F680" s="71">
        <v>46022</v>
      </c>
      <c r="G680" s="15">
        <v>2025</v>
      </c>
      <c r="H680" s="6" t="s">
        <v>23</v>
      </c>
      <c r="I680" s="6" t="s">
        <v>32</v>
      </c>
      <c r="J680" s="5">
        <v>200</v>
      </c>
      <c r="K680" s="5">
        <v>211.88</v>
      </c>
      <c r="L680" s="14">
        <f t="shared" si="62"/>
        <v>1.0593999999999999</v>
      </c>
      <c r="M680" s="14">
        <f t="shared" si="61"/>
        <v>1.0593999999999999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1030</v>
      </c>
    </row>
    <row r="681" spans="1:18" hidden="1" x14ac:dyDescent="0.3">
      <c r="A681" s="5">
        <v>382</v>
      </c>
      <c r="B681" s="5" t="s">
        <v>1031</v>
      </c>
      <c r="C681" s="5" t="s">
        <v>1020</v>
      </c>
      <c r="D681" s="13" t="s">
        <v>27</v>
      </c>
      <c r="E681" s="5" t="s">
        <v>22</v>
      </c>
      <c r="F681" s="71">
        <v>45291</v>
      </c>
      <c r="G681" s="5">
        <v>2023</v>
      </c>
      <c r="H681" s="5" t="s">
        <v>23</v>
      </c>
      <c r="I681" s="6" t="s">
        <v>28</v>
      </c>
      <c r="J681" s="5">
        <v>200</v>
      </c>
      <c r="K681" s="5">
        <v>204.26041131951001</v>
      </c>
      <c r="L681" s="14">
        <f t="shared" si="62"/>
        <v>1.0213020565975501</v>
      </c>
      <c r="M681" s="14">
        <f t="shared" si="61"/>
        <v>1.0213020565975501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1032</v>
      </c>
    </row>
    <row r="682" spans="1:18" hidden="1" x14ac:dyDescent="0.3">
      <c r="A682" s="5">
        <v>382</v>
      </c>
      <c r="B682" s="5" t="s">
        <v>1031</v>
      </c>
      <c r="C682" s="5" t="s">
        <v>1020</v>
      </c>
      <c r="D682" s="13" t="s">
        <v>27</v>
      </c>
      <c r="E682" s="5" t="s">
        <v>22</v>
      </c>
      <c r="F682" s="71">
        <v>45657</v>
      </c>
      <c r="G682" s="5">
        <v>2024</v>
      </c>
      <c r="H682" s="5" t="s">
        <v>23</v>
      </c>
      <c r="I682" s="6" t="s">
        <v>30</v>
      </c>
      <c r="J682" s="5">
        <v>200</v>
      </c>
      <c r="K682" s="5">
        <v>191.83</v>
      </c>
      <c r="L682" s="14">
        <f t="shared" si="62"/>
        <v>0.95915000000000006</v>
      </c>
      <c r="M682" s="14">
        <f t="shared" si="61"/>
        <v>0.95915000000000006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1033</v>
      </c>
    </row>
    <row r="683" spans="1:18" hidden="1" x14ac:dyDescent="0.3">
      <c r="A683" s="5">
        <v>382</v>
      </c>
      <c r="B683" s="5" t="s">
        <v>1031</v>
      </c>
      <c r="C683" s="5" t="s">
        <v>1020</v>
      </c>
      <c r="D683" s="13" t="s">
        <v>21</v>
      </c>
      <c r="E683" s="5" t="s">
        <v>22</v>
      </c>
      <c r="F683" s="71">
        <v>46022</v>
      </c>
      <c r="G683" s="15">
        <v>2025</v>
      </c>
      <c r="H683" s="6" t="s">
        <v>23</v>
      </c>
      <c r="I683" s="6" t="s">
        <v>32</v>
      </c>
      <c r="J683" s="5">
        <v>200</v>
      </c>
      <c r="K683" s="5">
        <v>197.06</v>
      </c>
      <c r="L683" s="14">
        <f t="shared" si="62"/>
        <v>0.98530000000000006</v>
      </c>
      <c r="M683" s="14">
        <f t="shared" si="61"/>
        <v>0.98530000000000006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1034</v>
      </c>
    </row>
    <row r="684" spans="1:18" hidden="1" x14ac:dyDescent="0.3">
      <c r="A684" s="5">
        <v>383</v>
      </c>
      <c r="B684" s="5" t="s">
        <v>1035</v>
      </c>
      <c r="C684" s="5" t="s">
        <v>1020</v>
      </c>
      <c r="D684" s="13" t="s">
        <v>27</v>
      </c>
      <c r="E684" s="5" t="s">
        <v>22</v>
      </c>
      <c r="F684" s="71">
        <v>45291</v>
      </c>
      <c r="G684" s="15">
        <v>2023</v>
      </c>
      <c r="H684" s="6" t="s">
        <v>23</v>
      </c>
      <c r="I684" s="6" t="s">
        <v>28</v>
      </c>
      <c r="J684" s="5">
        <v>200</v>
      </c>
      <c r="K684" s="5">
        <v>258.04232994527001</v>
      </c>
      <c r="L684" s="14">
        <f t="shared" si="62"/>
        <v>1.2902116497263501</v>
      </c>
      <c r="M684" s="14">
        <f t="shared" si="61"/>
        <v>1.2902116497263501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1036</v>
      </c>
    </row>
    <row r="685" spans="1:18" hidden="1" x14ac:dyDescent="0.3">
      <c r="A685" s="5">
        <v>383</v>
      </c>
      <c r="B685" s="5" t="s">
        <v>1035</v>
      </c>
      <c r="C685" s="5" t="s">
        <v>1020</v>
      </c>
      <c r="D685" s="5" t="s">
        <v>27</v>
      </c>
      <c r="E685" s="5" t="s">
        <v>22</v>
      </c>
      <c r="F685" s="71">
        <v>45657</v>
      </c>
      <c r="G685" s="5">
        <v>2024</v>
      </c>
      <c r="H685" s="5" t="s">
        <v>23</v>
      </c>
      <c r="I685" s="6" t="s">
        <v>30</v>
      </c>
      <c r="J685" s="5">
        <v>200</v>
      </c>
      <c r="K685" s="5">
        <v>220.91</v>
      </c>
      <c r="L685" s="14">
        <f t="shared" si="62"/>
        <v>1.1045499999999999</v>
      </c>
      <c r="M685" s="14">
        <f t="shared" si="61"/>
        <v>1.1045499999999999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1037</v>
      </c>
    </row>
    <row r="686" spans="1:18" hidden="1" x14ac:dyDescent="0.3">
      <c r="A686" s="5">
        <v>383</v>
      </c>
      <c r="B686" s="5" t="s">
        <v>1035</v>
      </c>
      <c r="C686" s="5" t="s">
        <v>1020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200</v>
      </c>
      <c r="K686" s="5">
        <v>264.83</v>
      </c>
      <c r="L686" s="14">
        <f t="shared" si="62"/>
        <v>1.3</v>
      </c>
      <c r="M686" s="14">
        <f t="shared" si="61"/>
        <v>1.3241499999999999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1038</v>
      </c>
    </row>
    <row r="687" spans="1:18" hidden="1" x14ac:dyDescent="0.3">
      <c r="A687" s="5">
        <v>384</v>
      </c>
      <c r="B687" s="5" t="s">
        <v>1039</v>
      </c>
      <c r="C687" s="5" t="s">
        <v>1020</v>
      </c>
      <c r="D687" s="5" t="s">
        <v>27</v>
      </c>
      <c r="E687" s="5" t="s">
        <v>22</v>
      </c>
      <c r="F687" s="71">
        <v>45291</v>
      </c>
      <c r="G687" s="5">
        <v>2023</v>
      </c>
      <c r="H687" s="5" t="s">
        <v>23</v>
      </c>
      <c r="I687" s="6" t="s">
        <v>28</v>
      </c>
      <c r="J687" s="5">
        <v>200</v>
      </c>
      <c r="K687" s="5">
        <v>227.14470588235</v>
      </c>
      <c r="L687" s="14">
        <f t="shared" si="62"/>
        <v>1.13572352941175</v>
      </c>
      <c r="M687" s="14">
        <f t="shared" si="61"/>
        <v>1.13572352941175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1040</v>
      </c>
    </row>
    <row r="688" spans="1:18" hidden="1" x14ac:dyDescent="0.3">
      <c r="A688" s="5">
        <v>384</v>
      </c>
      <c r="B688" s="5" t="s">
        <v>1039</v>
      </c>
      <c r="C688" s="5" t="s">
        <v>1020</v>
      </c>
      <c r="D688" s="5" t="s">
        <v>27</v>
      </c>
      <c r="E688" s="5" t="s">
        <v>22</v>
      </c>
      <c r="F688" s="71">
        <v>45657</v>
      </c>
      <c r="G688" s="5">
        <v>2024</v>
      </c>
      <c r="H688" s="5" t="s">
        <v>23</v>
      </c>
      <c r="I688" s="6" t="s">
        <v>30</v>
      </c>
      <c r="J688" s="5">
        <v>200</v>
      </c>
      <c r="K688" s="10">
        <v>190.1</v>
      </c>
      <c r="L688" s="14">
        <f t="shared" si="62"/>
        <v>0.95050000000000001</v>
      </c>
      <c r="M688" s="14">
        <f t="shared" si="61"/>
        <v>0.95050000000000001</v>
      </c>
      <c r="N688" s="5" t="s">
        <v>128</v>
      </c>
      <c r="O688" s="5" t="s">
        <v>128</v>
      </c>
      <c r="P688" s="5">
        <v>0</v>
      </c>
      <c r="Q688" s="5">
        <v>0</v>
      </c>
      <c r="R688" s="5" t="s">
        <v>1041</v>
      </c>
    </row>
    <row r="689" spans="1:18" hidden="1" x14ac:dyDescent="0.3">
      <c r="A689" s="5">
        <v>384</v>
      </c>
      <c r="B689" s="5" t="s">
        <v>1039</v>
      </c>
      <c r="C689" s="5" t="s">
        <v>1020</v>
      </c>
      <c r="D689" s="5" t="s">
        <v>21</v>
      </c>
      <c r="E689" s="5" t="s">
        <v>22</v>
      </c>
      <c r="F689" s="71">
        <v>46022</v>
      </c>
      <c r="G689" s="5">
        <v>2025</v>
      </c>
      <c r="H689" s="5" t="s">
        <v>23</v>
      </c>
      <c r="I689" s="6" t="s">
        <v>32</v>
      </c>
      <c r="J689" s="5">
        <v>200</v>
      </c>
      <c r="K689" s="10">
        <v>204.16</v>
      </c>
      <c r="L689" s="14">
        <f t="shared" si="62"/>
        <v>1.0207999999999999</v>
      </c>
      <c r="M689" s="14">
        <f t="shared" si="61"/>
        <v>1.0207999999999999</v>
      </c>
      <c r="N689" s="5" t="s">
        <v>128</v>
      </c>
      <c r="O689" s="5" t="s">
        <v>128</v>
      </c>
      <c r="P689" s="5">
        <v>0</v>
      </c>
      <c r="Q689" s="5">
        <v>0</v>
      </c>
      <c r="R689" s="5" t="s">
        <v>1042</v>
      </c>
    </row>
    <row r="690" spans="1:18" hidden="1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100</v>
      </c>
      <c r="K690" s="10">
        <v>124.93</v>
      </c>
      <c r="L690" s="14">
        <f t="shared" si="62"/>
        <v>1.2493000000000001</v>
      </c>
      <c r="M690" s="14">
        <f t="shared" si="61"/>
        <v>1.2493000000000001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1045</v>
      </c>
    </row>
    <row r="691" spans="1:18" hidden="1" x14ac:dyDescent="0.3">
      <c r="A691" s="5">
        <v>385</v>
      </c>
      <c r="B691" s="5" t="s">
        <v>1043</v>
      </c>
      <c r="C691" s="5" t="s">
        <v>1044</v>
      </c>
      <c r="D691" s="5" t="s">
        <v>27</v>
      </c>
      <c r="E691" s="5" t="s">
        <v>22</v>
      </c>
      <c r="F691" s="71">
        <v>45657</v>
      </c>
      <c r="G691" s="5">
        <v>2024</v>
      </c>
      <c r="H691" s="5" t="s">
        <v>23</v>
      </c>
      <c r="I691" s="6" t="s">
        <v>30</v>
      </c>
      <c r="J691" s="5">
        <v>100</v>
      </c>
      <c r="K691" s="5">
        <v>88.56</v>
      </c>
      <c r="L691" s="14">
        <f t="shared" si="62"/>
        <v>0.88560000000000005</v>
      </c>
      <c r="M691" s="14">
        <f t="shared" si="61"/>
        <v>0.88560000000000005</v>
      </c>
      <c r="N691" s="5" t="s">
        <v>205</v>
      </c>
      <c r="O691" s="5" t="s">
        <v>205</v>
      </c>
      <c r="P691" s="5">
        <v>0</v>
      </c>
      <c r="Q691" s="5">
        <v>0</v>
      </c>
      <c r="R691" s="5" t="s">
        <v>1046</v>
      </c>
    </row>
    <row r="692" spans="1:18" hidden="1" x14ac:dyDescent="0.3">
      <c r="A692" s="5">
        <v>385</v>
      </c>
      <c r="B692" s="5" t="s">
        <v>1043</v>
      </c>
      <c r="C692" s="5" t="s">
        <v>1044</v>
      </c>
      <c r="D692" s="5" t="s">
        <v>27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32</v>
      </c>
      <c r="J692" s="5">
        <v>100</v>
      </c>
      <c r="K692" s="5">
        <v>108.89</v>
      </c>
      <c r="L692" s="14">
        <f t="shared" si="62"/>
        <v>1.0889</v>
      </c>
      <c r="M692" s="14">
        <f t="shared" si="61"/>
        <v>1.0889</v>
      </c>
      <c r="N692" s="5" t="s">
        <v>205</v>
      </c>
      <c r="O692" s="5" t="s">
        <v>205</v>
      </c>
      <c r="P692" s="5">
        <v>0</v>
      </c>
      <c r="Q692" s="5">
        <v>0</v>
      </c>
      <c r="R692" s="5" t="s">
        <v>1047</v>
      </c>
    </row>
    <row r="693" spans="1:18" hidden="1" x14ac:dyDescent="0.3">
      <c r="A693" s="5">
        <v>386</v>
      </c>
      <c r="B693" s="5" t="s">
        <v>1048</v>
      </c>
      <c r="C693" s="5" t="s">
        <v>1044</v>
      </c>
      <c r="D693" s="5" t="s">
        <v>27</v>
      </c>
      <c r="E693" s="5" t="s">
        <v>22</v>
      </c>
      <c r="F693" s="71">
        <v>45291</v>
      </c>
      <c r="G693" s="5">
        <v>2023</v>
      </c>
      <c r="H693" s="5" t="s">
        <v>23</v>
      </c>
      <c r="I693" s="6" t="s">
        <v>28</v>
      </c>
      <c r="J693" s="5">
        <v>200</v>
      </c>
      <c r="K693" s="5">
        <v>241.20486566654</v>
      </c>
      <c r="L693" s="14">
        <f t="shared" si="62"/>
        <v>1.2060243283326999</v>
      </c>
      <c r="M693" s="14">
        <f t="shared" si="61"/>
        <v>1.2060243283326999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1049</v>
      </c>
    </row>
    <row r="694" spans="1:18" hidden="1" x14ac:dyDescent="0.3">
      <c r="A694" s="5">
        <v>386</v>
      </c>
      <c r="B694" s="20" t="s">
        <v>1048</v>
      </c>
      <c r="C694" s="5" t="s">
        <v>1044</v>
      </c>
      <c r="D694" s="5" t="s">
        <v>27</v>
      </c>
      <c r="E694" s="5" t="s">
        <v>22</v>
      </c>
      <c r="F694" s="71">
        <v>45657</v>
      </c>
      <c r="G694" s="15">
        <v>2024</v>
      </c>
      <c r="H694" s="6" t="s">
        <v>23</v>
      </c>
      <c r="I694" s="6" t="s">
        <v>30</v>
      </c>
      <c r="J694">
        <v>200</v>
      </c>
      <c r="K694">
        <v>188.64</v>
      </c>
      <c r="L694" s="14">
        <f t="shared" si="62"/>
        <v>0.94319999999999993</v>
      </c>
      <c r="M694" s="14">
        <f t="shared" si="61"/>
        <v>0.94319999999999993</v>
      </c>
      <c r="N694" s="5" t="s">
        <v>25</v>
      </c>
      <c r="O694" s="5" t="s">
        <v>25</v>
      </c>
      <c r="P694" s="5">
        <v>0</v>
      </c>
      <c r="Q694" s="5">
        <v>0</v>
      </c>
      <c r="R694" s="5" t="s">
        <v>1050</v>
      </c>
    </row>
    <row r="695" spans="1:18" hidden="1" x14ac:dyDescent="0.3">
      <c r="A695" s="5">
        <v>386</v>
      </c>
      <c r="B695" s="5" t="s">
        <v>1048</v>
      </c>
      <c r="C695" s="5" t="s">
        <v>1044</v>
      </c>
      <c r="D695" s="5" t="s">
        <v>21</v>
      </c>
      <c r="E695" s="5" t="s">
        <v>22</v>
      </c>
      <c r="F695" s="71">
        <v>46022</v>
      </c>
      <c r="G695" s="15">
        <v>2025</v>
      </c>
      <c r="H695" s="6" t="s">
        <v>23</v>
      </c>
      <c r="I695" s="6" t="s">
        <v>32</v>
      </c>
      <c r="J695" s="5">
        <v>200</v>
      </c>
      <c r="K695" s="5">
        <v>225.46</v>
      </c>
      <c r="L695" s="14">
        <f t="shared" si="62"/>
        <v>1.1273</v>
      </c>
      <c r="M695" s="14">
        <f t="shared" si="61"/>
        <v>1.1273</v>
      </c>
      <c r="N695" s="5" t="s">
        <v>25</v>
      </c>
      <c r="O695" s="5" t="s">
        <v>25</v>
      </c>
      <c r="P695" s="5">
        <v>0</v>
      </c>
      <c r="Q695" s="5">
        <v>0</v>
      </c>
      <c r="R695" s="5" t="s">
        <v>1051</v>
      </c>
    </row>
    <row r="696" spans="1:18" hidden="1" x14ac:dyDescent="0.3">
      <c r="A696" s="5">
        <v>387</v>
      </c>
      <c r="B696" s="5" t="s">
        <v>1052</v>
      </c>
      <c r="C696" s="5" t="s">
        <v>549</v>
      </c>
      <c r="D696" s="5" t="s">
        <v>27</v>
      </c>
      <c r="E696" s="5" t="s">
        <v>22</v>
      </c>
      <c r="F696" s="71">
        <v>45291</v>
      </c>
      <c r="G696" s="15">
        <v>2023</v>
      </c>
      <c r="H696" s="6" t="s">
        <v>23</v>
      </c>
      <c r="I696" s="6" t="s">
        <v>28</v>
      </c>
      <c r="J696" s="5">
        <v>38</v>
      </c>
      <c r="K696" s="5">
        <v>38</v>
      </c>
      <c r="L696" s="14">
        <f t="shared" si="62"/>
        <v>1</v>
      </c>
      <c r="M696" s="14">
        <f t="shared" si="61"/>
        <v>1</v>
      </c>
      <c r="N696" s="5" t="s">
        <v>128</v>
      </c>
      <c r="O696" s="5" t="s">
        <v>128</v>
      </c>
      <c r="P696" s="5">
        <v>0</v>
      </c>
      <c r="Q696" s="5">
        <v>0</v>
      </c>
      <c r="R696" s="5" t="s">
        <v>1053</v>
      </c>
    </row>
    <row r="697" spans="1:18" hidden="1" x14ac:dyDescent="0.3">
      <c r="A697" s="5">
        <v>388</v>
      </c>
      <c r="B697" s="5" t="s">
        <v>1054</v>
      </c>
      <c r="C697" s="5" t="s">
        <v>549</v>
      </c>
      <c r="D697" s="5" t="s">
        <v>27</v>
      </c>
      <c r="E697" s="5" t="s">
        <v>22</v>
      </c>
      <c r="F697" s="71">
        <v>45291</v>
      </c>
      <c r="G697" s="5">
        <v>2023</v>
      </c>
      <c r="H697" s="5" t="s">
        <v>23</v>
      </c>
      <c r="I697" s="6" t="s">
        <v>28</v>
      </c>
      <c r="J697" s="5">
        <v>93</v>
      </c>
      <c r="K697" s="5">
        <v>93</v>
      </c>
      <c r="L697" s="14">
        <f t="shared" si="62"/>
        <v>1</v>
      </c>
      <c r="M697" s="14">
        <f t="shared" si="61"/>
        <v>1</v>
      </c>
      <c r="N697" s="5" t="s">
        <v>128</v>
      </c>
      <c r="O697" s="5" t="s">
        <v>128</v>
      </c>
      <c r="P697" s="5">
        <v>0</v>
      </c>
      <c r="Q697" s="5">
        <v>0</v>
      </c>
      <c r="R697" s="5" t="s">
        <v>1055</v>
      </c>
    </row>
    <row r="698" spans="1:18" hidden="1" x14ac:dyDescent="0.3">
      <c r="A698" s="5">
        <v>389</v>
      </c>
      <c r="B698" s="5" t="s">
        <v>1056</v>
      </c>
      <c r="C698" s="5" t="s">
        <v>536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91</v>
      </c>
      <c r="K698" s="5">
        <v>0</v>
      </c>
      <c r="L698" s="14">
        <f t="shared" si="62"/>
        <v>0</v>
      </c>
      <c r="M698" s="14">
        <f t="shared" si="61"/>
        <v>0</v>
      </c>
      <c r="N698" s="5" t="s">
        <v>25</v>
      </c>
      <c r="O698" s="5" t="s">
        <v>25</v>
      </c>
      <c r="P698" s="5">
        <v>0</v>
      </c>
      <c r="Q698" s="5">
        <v>0</v>
      </c>
      <c r="R698" s="5" t="s">
        <v>1057</v>
      </c>
    </row>
    <row r="699" spans="1:18" hidden="1" x14ac:dyDescent="0.3">
      <c r="A699">
        <v>389</v>
      </c>
      <c r="B699" t="s">
        <v>1056</v>
      </c>
      <c r="C699" t="s">
        <v>536</v>
      </c>
      <c r="D699" t="s">
        <v>27</v>
      </c>
      <c r="E699" t="s">
        <v>22</v>
      </c>
      <c r="F699" s="79">
        <v>45657</v>
      </c>
      <c r="G699">
        <v>2024</v>
      </c>
      <c r="H699" t="s">
        <v>23</v>
      </c>
      <c r="I699" t="s">
        <v>30</v>
      </c>
      <c r="J699">
        <v>85</v>
      </c>
      <c r="K699">
        <v>42.216666666666661</v>
      </c>
      <c r="L699" s="39">
        <f t="shared" si="62"/>
        <v>0.49666666666666659</v>
      </c>
      <c r="M699" s="39">
        <f t="shared" si="61"/>
        <v>0.49666666666666659</v>
      </c>
      <c r="N699" t="s">
        <v>25</v>
      </c>
      <c r="O699" t="s">
        <v>25</v>
      </c>
      <c r="P699">
        <v>0</v>
      </c>
      <c r="Q699">
        <v>0</v>
      </c>
      <c r="R699" t="s">
        <v>1058</v>
      </c>
    </row>
    <row r="700" spans="1:18" hidden="1" x14ac:dyDescent="0.3">
      <c r="A700">
        <v>389</v>
      </c>
      <c r="B700" t="s">
        <v>1056</v>
      </c>
      <c r="C700" t="s">
        <v>1059</v>
      </c>
      <c r="D700" t="s">
        <v>21</v>
      </c>
      <c r="E700" t="s">
        <v>22</v>
      </c>
      <c r="F700" s="79">
        <v>46022</v>
      </c>
      <c r="G700">
        <v>2025</v>
      </c>
      <c r="H700" t="s">
        <v>23</v>
      </c>
      <c r="I700" t="s">
        <v>32</v>
      </c>
      <c r="K700">
        <v>0</v>
      </c>
      <c r="L700" s="39"/>
      <c r="N700" t="s">
        <v>25</v>
      </c>
      <c r="O700" t="s">
        <v>25</v>
      </c>
      <c r="P700">
        <v>0</v>
      </c>
      <c r="Q700">
        <v>0</v>
      </c>
      <c r="R700" t="s">
        <v>1060</v>
      </c>
    </row>
    <row r="701" spans="1:18" hidden="1" x14ac:dyDescent="0.3">
      <c r="A701">
        <v>390</v>
      </c>
      <c r="B701" t="s">
        <v>1061</v>
      </c>
      <c r="C701" t="s">
        <v>1059</v>
      </c>
      <c r="D701" t="s">
        <v>21</v>
      </c>
      <c r="E701" t="s">
        <v>22</v>
      </c>
      <c r="F701" s="79">
        <v>45291</v>
      </c>
      <c r="G701">
        <v>2023</v>
      </c>
      <c r="H701" t="s">
        <v>23</v>
      </c>
      <c r="I701" t="s">
        <v>28</v>
      </c>
      <c r="J701">
        <v>100</v>
      </c>
      <c r="K701">
        <v>99.249166666666994</v>
      </c>
      <c r="L701" s="39">
        <f>IFERROR(IF(OR(J701=0,K701=""),"",IF(E701="Positivo",MIN(MAX(K701/J701,0),1),MIN(MAX(J701/K701,0),1))),"")</f>
        <v>0.99249166666666999</v>
      </c>
      <c r="M701" s="39">
        <f t="shared" ref="M701:M710" si="63">IFERROR(IF(OR(J701=0,K701=""),"",IF(E701="Positivo",MAX(K701/J701,0),MAX(J701/K701,0))),"")</f>
        <v>0.99249166666666999</v>
      </c>
      <c r="N701" t="s">
        <v>25</v>
      </c>
      <c r="O701" t="s">
        <v>25</v>
      </c>
      <c r="P701">
        <v>0</v>
      </c>
      <c r="Q701">
        <v>0</v>
      </c>
      <c r="R701" t="s">
        <v>1062</v>
      </c>
    </row>
    <row r="702" spans="1:18" hidden="1" x14ac:dyDescent="0.3">
      <c r="A702">
        <v>390</v>
      </c>
      <c r="B702" t="s">
        <v>1061</v>
      </c>
      <c r="C702" t="s">
        <v>1059</v>
      </c>
      <c r="D702" t="s">
        <v>21</v>
      </c>
      <c r="E702" t="s">
        <v>22</v>
      </c>
      <c r="F702" s="79">
        <v>45657</v>
      </c>
      <c r="G702">
        <v>2024</v>
      </c>
      <c r="H702" t="s">
        <v>23</v>
      </c>
      <c r="I702" t="s">
        <v>30</v>
      </c>
      <c r="J702">
        <v>100</v>
      </c>
      <c r="K702">
        <v>99.92</v>
      </c>
      <c r="L702" s="39">
        <f>IFERROR(IF(OR(J702=0,K702=""),"",IF(E702="Positivo",MIN(MAX(K702/J702,0),1),MIN(MAX(J702/K702,0),1))),"")</f>
        <v>0.99919999999999998</v>
      </c>
      <c r="M702" s="39">
        <f t="shared" si="63"/>
        <v>0.99919999999999998</v>
      </c>
      <c r="N702" t="s">
        <v>25</v>
      </c>
      <c r="O702" t="s">
        <v>25</v>
      </c>
      <c r="P702">
        <v>0</v>
      </c>
      <c r="Q702">
        <v>0</v>
      </c>
      <c r="R702" t="s">
        <v>1063</v>
      </c>
    </row>
    <row r="703" spans="1:18" hidden="1" x14ac:dyDescent="0.3">
      <c r="A703">
        <v>390</v>
      </c>
      <c r="B703" t="s">
        <v>1061</v>
      </c>
      <c r="C703" t="s">
        <v>567</v>
      </c>
      <c r="D703" t="s">
        <v>27</v>
      </c>
      <c r="E703" t="s">
        <v>22</v>
      </c>
      <c r="F703" s="79">
        <v>46022</v>
      </c>
      <c r="G703">
        <v>2025</v>
      </c>
      <c r="H703" t="s">
        <v>23</v>
      </c>
      <c r="I703" t="s">
        <v>32</v>
      </c>
      <c r="J703">
        <v>100</v>
      </c>
      <c r="K703">
        <v>99.78</v>
      </c>
      <c r="L703" s="39">
        <f>IFERROR(IF(OR(J703=0,K703=""),"",IF(E703="Positivo",MIN(MAX(K703/J703,0),1),MIN(MAX(J703/K703,0),1))),"")</f>
        <v>0.99780000000000002</v>
      </c>
      <c r="M703" s="39">
        <f t="shared" si="63"/>
        <v>0.99780000000000002</v>
      </c>
      <c r="N703" t="s">
        <v>25</v>
      </c>
      <c r="O703" t="s">
        <v>25</v>
      </c>
      <c r="P703">
        <v>0</v>
      </c>
      <c r="Q703">
        <v>0</v>
      </c>
      <c r="R703" t="s">
        <v>1064</v>
      </c>
    </row>
    <row r="704" spans="1:18" hidden="1" x14ac:dyDescent="0.3">
      <c r="A704">
        <v>391</v>
      </c>
      <c r="B704" t="s">
        <v>1065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93</v>
      </c>
      <c r="K704">
        <v>100</v>
      </c>
      <c r="L704" s="39">
        <f t="shared" ref="L704:L710" si="64">IFERROR(IF(OR(J704=0,K704=""),"",IF(E704="Positivo",MIN(MAX(K704/J704,0),1.3),MIN(MAX(J704/K704,0),1.3))),"")</f>
        <v>1.075268817204301</v>
      </c>
      <c r="M704" s="39">
        <f t="shared" si="63"/>
        <v>1.075268817204301</v>
      </c>
      <c r="N704" t="s">
        <v>25</v>
      </c>
      <c r="O704" t="s">
        <v>25</v>
      </c>
      <c r="P704">
        <v>0</v>
      </c>
      <c r="Q704">
        <v>0</v>
      </c>
      <c r="R704" t="s">
        <v>1067</v>
      </c>
    </row>
    <row r="705" spans="1:18" hidden="1" x14ac:dyDescent="0.3">
      <c r="A705">
        <v>391</v>
      </c>
      <c r="B705" t="s">
        <v>1065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96</v>
      </c>
      <c r="K705">
        <v>100</v>
      </c>
      <c r="L705" s="39">
        <f t="shared" si="64"/>
        <v>1.0416666666666667</v>
      </c>
      <c r="M705" s="39">
        <f t="shared" si="63"/>
        <v>1.0416666666666667</v>
      </c>
      <c r="N705" t="s">
        <v>25</v>
      </c>
      <c r="O705" t="s">
        <v>25</v>
      </c>
      <c r="P705">
        <v>0</v>
      </c>
      <c r="Q705">
        <v>0</v>
      </c>
      <c r="R705" t="s">
        <v>1068</v>
      </c>
    </row>
    <row r="706" spans="1:18" hidden="1" x14ac:dyDescent="0.3">
      <c r="A706">
        <v>392</v>
      </c>
      <c r="B706" t="s">
        <v>1069</v>
      </c>
      <c r="C706" t="s">
        <v>1066</v>
      </c>
      <c r="D706" t="s">
        <v>27</v>
      </c>
      <c r="E706" t="s">
        <v>22</v>
      </c>
      <c r="F706" s="79">
        <v>45291</v>
      </c>
      <c r="G706">
        <v>2023</v>
      </c>
      <c r="H706" t="s">
        <v>23</v>
      </c>
      <c r="I706" t="s">
        <v>28</v>
      </c>
      <c r="J706">
        <v>100</v>
      </c>
      <c r="K706">
        <v>147.38</v>
      </c>
      <c r="L706" s="39">
        <f t="shared" si="64"/>
        <v>1.3</v>
      </c>
      <c r="M706" s="39">
        <f t="shared" si="63"/>
        <v>1.4738</v>
      </c>
      <c r="N706" t="s">
        <v>205</v>
      </c>
      <c r="O706" t="s">
        <v>205</v>
      </c>
      <c r="P706">
        <v>0</v>
      </c>
      <c r="Q706">
        <v>0</v>
      </c>
      <c r="R706" t="s">
        <v>1070</v>
      </c>
    </row>
    <row r="707" spans="1:18" hidden="1" x14ac:dyDescent="0.3">
      <c r="A707">
        <v>392</v>
      </c>
      <c r="B707" t="s">
        <v>1069</v>
      </c>
      <c r="C707" t="s">
        <v>1066</v>
      </c>
      <c r="D707" t="s">
        <v>27</v>
      </c>
      <c r="E707" t="s">
        <v>22</v>
      </c>
      <c r="F707" s="79">
        <v>45657</v>
      </c>
      <c r="G707">
        <v>2024</v>
      </c>
      <c r="H707" t="s">
        <v>23</v>
      </c>
      <c r="I707" t="s">
        <v>30</v>
      </c>
      <c r="J707">
        <v>100</v>
      </c>
      <c r="K707">
        <v>145.21</v>
      </c>
      <c r="L707" s="39">
        <f t="shared" si="64"/>
        <v>1.3</v>
      </c>
      <c r="M707" s="39">
        <f t="shared" si="63"/>
        <v>1.4521000000000002</v>
      </c>
      <c r="N707" t="s">
        <v>205</v>
      </c>
      <c r="O707" t="s">
        <v>205</v>
      </c>
      <c r="P707">
        <v>0</v>
      </c>
      <c r="Q707">
        <v>0</v>
      </c>
      <c r="R707" t="s">
        <v>1071</v>
      </c>
    </row>
    <row r="708" spans="1:18" hidden="1" x14ac:dyDescent="0.3">
      <c r="A708">
        <v>392</v>
      </c>
      <c r="B708" t="s">
        <v>1069</v>
      </c>
      <c r="C708" t="s">
        <v>1066</v>
      </c>
      <c r="D708" t="s">
        <v>71</v>
      </c>
      <c r="E708" t="s">
        <v>22</v>
      </c>
      <c r="F708" s="79">
        <v>46022</v>
      </c>
      <c r="G708">
        <v>2025</v>
      </c>
      <c r="H708" t="s">
        <v>23</v>
      </c>
      <c r="I708" t="s">
        <v>32</v>
      </c>
      <c r="J708">
        <v>100</v>
      </c>
      <c r="K708">
        <v>100.8</v>
      </c>
      <c r="L708" s="39">
        <f t="shared" si="64"/>
        <v>1.008</v>
      </c>
      <c r="M708" s="39">
        <f t="shared" si="63"/>
        <v>1.008</v>
      </c>
      <c r="N708" t="s">
        <v>205</v>
      </c>
      <c r="O708" t="s">
        <v>205</v>
      </c>
      <c r="P708">
        <v>0</v>
      </c>
      <c r="Q708">
        <v>0</v>
      </c>
      <c r="R708" t="s">
        <v>1072</v>
      </c>
    </row>
    <row r="709" spans="1:18" hidden="1" x14ac:dyDescent="0.3">
      <c r="A709">
        <v>393</v>
      </c>
      <c r="B709" t="s">
        <v>1073</v>
      </c>
      <c r="C709" t="s">
        <v>1066</v>
      </c>
      <c r="D709" t="s">
        <v>71</v>
      </c>
      <c r="E709" t="s">
        <v>22</v>
      </c>
      <c r="F709" s="79">
        <v>45291</v>
      </c>
      <c r="G709">
        <v>2023</v>
      </c>
      <c r="H709" t="s">
        <v>23</v>
      </c>
      <c r="I709" t="s">
        <v>28</v>
      </c>
      <c r="J709">
        <v>15</v>
      </c>
      <c r="K709">
        <v>15.45</v>
      </c>
      <c r="L709" s="39">
        <f t="shared" si="64"/>
        <v>1.03</v>
      </c>
      <c r="M709" s="39">
        <f t="shared" si="63"/>
        <v>1.03</v>
      </c>
      <c r="N709" t="s">
        <v>128</v>
      </c>
      <c r="O709" t="s">
        <v>136</v>
      </c>
      <c r="P709">
        <v>1</v>
      </c>
      <c r="Q709">
        <v>1</v>
      </c>
      <c r="R709" t="s">
        <v>1074</v>
      </c>
    </row>
    <row r="710" spans="1:18" hidden="1" x14ac:dyDescent="0.3">
      <c r="A710">
        <v>393</v>
      </c>
      <c r="B710" t="s">
        <v>1073</v>
      </c>
      <c r="C710" t="s">
        <v>1066</v>
      </c>
      <c r="D710" t="s">
        <v>71</v>
      </c>
      <c r="E710" t="s">
        <v>41</v>
      </c>
      <c r="F710" s="79">
        <v>45657</v>
      </c>
      <c r="G710">
        <v>2024</v>
      </c>
      <c r="H710" t="s">
        <v>23</v>
      </c>
      <c r="I710" t="s">
        <v>30</v>
      </c>
      <c r="J710">
        <v>15</v>
      </c>
      <c r="K710">
        <v>13</v>
      </c>
      <c r="L710" s="39">
        <f t="shared" si="64"/>
        <v>1.1538461538461537</v>
      </c>
      <c r="M710" s="39">
        <f t="shared" si="63"/>
        <v>1.1538461538461537</v>
      </c>
      <c r="N710" t="s">
        <v>128</v>
      </c>
      <c r="O710" t="s">
        <v>136</v>
      </c>
      <c r="P710">
        <v>1</v>
      </c>
      <c r="Q710">
        <v>1</v>
      </c>
      <c r="R710" t="s">
        <v>1075</v>
      </c>
    </row>
    <row r="711" spans="1:18" hidden="1" x14ac:dyDescent="0.3">
      <c r="A711">
        <v>393</v>
      </c>
      <c r="B711" t="s">
        <v>1073</v>
      </c>
      <c r="C711" t="s">
        <v>1066</v>
      </c>
      <c r="D711" t="s">
        <v>71</v>
      </c>
      <c r="E711" t="s">
        <v>41</v>
      </c>
      <c r="F711" s="79">
        <v>46022</v>
      </c>
      <c r="G711">
        <v>2025</v>
      </c>
      <c r="H711" t="s">
        <v>23</v>
      </c>
      <c r="I711" t="s">
        <v>32</v>
      </c>
      <c r="K711">
        <v>12</v>
      </c>
      <c r="L711" s="39"/>
      <c r="N711" t="s">
        <v>128</v>
      </c>
      <c r="O711" t="s">
        <v>136</v>
      </c>
      <c r="P711">
        <v>1</v>
      </c>
      <c r="Q711">
        <v>1</v>
      </c>
      <c r="R711" t="s">
        <v>1076</v>
      </c>
    </row>
    <row r="712" spans="1:18" hidden="1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45291</v>
      </c>
      <c r="G712">
        <v>2023</v>
      </c>
      <c r="H712" t="s">
        <v>23</v>
      </c>
      <c r="I712" t="s">
        <v>28</v>
      </c>
      <c r="J712">
        <v>100</v>
      </c>
      <c r="K712">
        <v>312.569285714285</v>
      </c>
      <c r="L712" s="39">
        <f t="shared" ref="L712:L734" si="65">IFERROR(IF(OR(J712=0,K712=""),"",IF(E712="Positivo",MIN(MAX(K712/J712,0),1.3),MIN(MAX(J712/K712,0),1.3))),"")</f>
        <v>1.3</v>
      </c>
      <c r="M712" s="39">
        <f t="shared" ref="M712:M734" si="66">IFERROR(IF(OR(J712=0,K712=""),"",IF(E712="Positivo",MAX(K712/J712,0),MAX(J712/K712,0))),"")</f>
        <v>3.1256928571428499</v>
      </c>
      <c r="N712" t="s">
        <v>128</v>
      </c>
      <c r="O712" t="s">
        <v>128</v>
      </c>
      <c r="P712">
        <v>0</v>
      </c>
      <c r="Q712">
        <v>0</v>
      </c>
      <c r="R712" t="s">
        <v>1079</v>
      </c>
    </row>
    <row r="713" spans="1:18" hidden="1" x14ac:dyDescent="0.3">
      <c r="A713">
        <v>394</v>
      </c>
      <c r="B713" t="s">
        <v>1077</v>
      </c>
      <c r="C713" t="s">
        <v>1078</v>
      </c>
      <c r="D713" t="s">
        <v>27</v>
      </c>
      <c r="E713" t="s">
        <v>22</v>
      </c>
      <c r="F713" s="79">
        <v>45657</v>
      </c>
      <c r="G713">
        <v>2024</v>
      </c>
      <c r="H713" t="s">
        <v>23</v>
      </c>
      <c r="I713" t="s">
        <v>30</v>
      </c>
      <c r="J713">
        <v>100</v>
      </c>
      <c r="K713">
        <v>155.30000000000001</v>
      </c>
      <c r="L713" s="39">
        <f t="shared" si="65"/>
        <v>1.3</v>
      </c>
      <c r="M713" s="39">
        <f t="shared" si="66"/>
        <v>1.5530000000000002</v>
      </c>
      <c r="N713" t="s">
        <v>128</v>
      </c>
      <c r="O713" t="s">
        <v>128</v>
      </c>
      <c r="P713">
        <v>0</v>
      </c>
      <c r="Q713">
        <v>0</v>
      </c>
      <c r="R713" t="s">
        <v>1080</v>
      </c>
    </row>
    <row r="714" spans="1:18" hidden="1" x14ac:dyDescent="0.3">
      <c r="A714">
        <v>394</v>
      </c>
      <c r="B714" t="s">
        <v>1077</v>
      </c>
      <c r="C714" t="s">
        <v>1078</v>
      </c>
      <c r="D714" t="s">
        <v>27</v>
      </c>
      <c r="E714" t="s">
        <v>22</v>
      </c>
      <c r="F714" s="79">
        <v>46022</v>
      </c>
      <c r="G714">
        <v>2025</v>
      </c>
      <c r="H714" t="s">
        <v>23</v>
      </c>
      <c r="I714" t="s">
        <v>32</v>
      </c>
      <c r="J714">
        <v>100</v>
      </c>
      <c r="K714">
        <v>138.39250000000001</v>
      </c>
      <c r="L714" s="39">
        <f t="shared" si="65"/>
        <v>1.3</v>
      </c>
      <c r="M714" s="39">
        <f t="shared" si="66"/>
        <v>1.3839250000000001</v>
      </c>
      <c r="N714" t="s">
        <v>128</v>
      </c>
      <c r="O714" t="s">
        <v>128</v>
      </c>
      <c r="P714">
        <v>0</v>
      </c>
      <c r="Q714">
        <v>0</v>
      </c>
      <c r="R714" t="s">
        <v>1081</v>
      </c>
    </row>
    <row r="715" spans="1:18" hidden="1" x14ac:dyDescent="0.3">
      <c r="A715">
        <v>395</v>
      </c>
      <c r="B715" t="s">
        <v>1082</v>
      </c>
      <c r="C715" t="s">
        <v>1078</v>
      </c>
      <c r="D715" t="s">
        <v>27</v>
      </c>
      <c r="E715" t="s">
        <v>22</v>
      </c>
      <c r="F715" s="79">
        <v>45291</v>
      </c>
      <c r="G715">
        <v>2023</v>
      </c>
      <c r="H715" t="s">
        <v>23</v>
      </c>
      <c r="I715" t="s">
        <v>28</v>
      </c>
      <c r="J715">
        <v>100</v>
      </c>
      <c r="K715">
        <v>280.39382352940999</v>
      </c>
      <c r="L715" s="39">
        <f t="shared" si="65"/>
        <v>1.3</v>
      </c>
      <c r="M715" s="39">
        <f t="shared" si="66"/>
        <v>2.8039382352940998</v>
      </c>
      <c r="N715" t="s">
        <v>128</v>
      </c>
      <c r="O715" t="s">
        <v>128</v>
      </c>
      <c r="P715">
        <v>0</v>
      </c>
      <c r="Q715">
        <v>0</v>
      </c>
      <c r="R715" t="s">
        <v>1083</v>
      </c>
    </row>
    <row r="716" spans="1:18" hidden="1" x14ac:dyDescent="0.3">
      <c r="A716">
        <v>395</v>
      </c>
      <c r="B716" t="s">
        <v>1084</v>
      </c>
      <c r="C716" t="s">
        <v>1078</v>
      </c>
      <c r="D716" t="s">
        <v>27</v>
      </c>
      <c r="E716" t="s">
        <v>22</v>
      </c>
      <c r="F716" s="79">
        <v>45657</v>
      </c>
      <c r="G716">
        <v>2024</v>
      </c>
      <c r="H716" t="s">
        <v>23</v>
      </c>
      <c r="I716" t="s">
        <v>30</v>
      </c>
      <c r="J716">
        <v>100</v>
      </c>
      <c r="K716">
        <v>129.44499999999999</v>
      </c>
      <c r="L716" s="39">
        <f t="shared" si="65"/>
        <v>1.2944499999999999</v>
      </c>
      <c r="M716" s="39">
        <f t="shared" si="66"/>
        <v>1.2944499999999999</v>
      </c>
      <c r="N716" t="s">
        <v>128</v>
      </c>
      <c r="O716" t="s">
        <v>128</v>
      </c>
      <c r="P716">
        <v>0</v>
      </c>
      <c r="Q716">
        <v>0</v>
      </c>
      <c r="R716" t="s">
        <v>1085</v>
      </c>
    </row>
    <row r="717" spans="1:18" hidden="1" x14ac:dyDescent="0.3">
      <c r="A717">
        <v>395</v>
      </c>
      <c r="B717" t="s">
        <v>1084</v>
      </c>
      <c r="C717" t="s">
        <v>1078</v>
      </c>
      <c r="D717" t="s">
        <v>27</v>
      </c>
      <c r="E717" t="s">
        <v>22</v>
      </c>
      <c r="F717" s="79">
        <v>46022</v>
      </c>
      <c r="G717">
        <v>2025</v>
      </c>
      <c r="H717" t="s">
        <v>23</v>
      </c>
      <c r="I717" t="s">
        <v>32</v>
      </c>
      <c r="J717">
        <v>100</v>
      </c>
      <c r="K717">
        <v>204.41499999999999</v>
      </c>
      <c r="L717" s="39">
        <f t="shared" si="65"/>
        <v>1.3</v>
      </c>
      <c r="M717" s="39">
        <f t="shared" si="66"/>
        <v>2.0441500000000001</v>
      </c>
      <c r="N717" t="s">
        <v>128</v>
      </c>
      <c r="O717" t="s">
        <v>128</v>
      </c>
      <c r="P717">
        <v>0</v>
      </c>
      <c r="Q717">
        <v>0</v>
      </c>
      <c r="R717" t="s">
        <v>1086</v>
      </c>
    </row>
    <row r="718" spans="1:18" hidden="1" x14ac:dyDescent="0.3">
      <c r="A718">
        <v>396</v>
      </c>
      <c r="B718" t="s">
        <v>1087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88.89</v>
      </c>
      <c r="L718" s="39">
        <f t="shared" si="65"/>
        <v>1.1111249999999999</v>
      </c>
      <c r="M718" s="39">
        <f t="shared" si="66"/>
        <v>1.1111249999999999</v>
      </c>
      <c r="N718" t="s">
        <v>128</v>
      </c>
      <c r="O718" t="s">
        <v>136</v>
      </c>
      <c r="P718">
        <v>1</v>
      </c>
      <c r="Q718">
        <v>1</v>
      </c>
      <c r="R718" t="s">
        <v>1088</v>
      </c>
    </row>
    <row r="719" spans="1:18" hidden="1" x14ac:dyDescent="0.3">
      <c r="A719">
        <v>396</v>
      </c>
      <c r="B719" t="s">
        <v>1087</v>
      </c>
      <c r="C719" t="s">
        <v>1089</v>
      </c>
      <c r="D719" t="s">
        <v>27</v>
      </c>
      <c r="E719" t="s">
        <v>22</v>
      </c>
      <c r="F719" s="79">
        <v>45473</v>
      </c>
      <c r="G719">
        <v>2024</v>
      </c>
      <c r="H719" t="s">
        <v>699</v>
      </c>
      <c r="I719" t="s">
        <v>729</v>
      </c>
      <c r="J719">
        <v>80</v>
      </c>
      <c r="K719">
        <v>88.1</v>
      </c>
      <c r="L719" s="39">
        <f t="shared" si="65"/>
        <v>1.1012499999999998</v>
      </c>
      <c r="M719" s="39">
        <f t="shared" si="66"/>
        <v>1.1012499999999998</v>
      </c>
      <c r="N719" t="s">
        <v>128</v>
      </c>
      <c r="O719" t="s">
        <v>136</v>
      </c>
      <c r="P719">
        <v>1</v>
      </c>
      <c r="Q719">
        <v>1</v>
      </c>
      <c r="R719" t="s">
        <v>1090</v>
      </c>
    </row>
    <row r="720" spans="1:18" hidden="1" x14ac:dyDescent="0.3">
      <c r="A720">
        <v>397</v>
      </c>
      <c r="B720" t="s">
        <v>1091</v>
      </c>
      <c r="C720" t="s">
        <v>1066</v>
      </c>
      <c r="D720" t="s">
        <v>27</v>
      </c>
      <c r="E720" t="s">
        <v>22</v>
      </c>
      <c r="F720" s="79">
        <v>45291</v>
      </c>
      <c r="G720">
        <v>2023</v>
      </c>
      <c r="H720" t="s">
        <v>23</v>
      </c>
      <c r="I720" t="s">
        <v>28</v>
      </c>
      <c r="J720">
        <v>80</v>
      </c>
      <c r="K720">
        <v>92.015714285714495</v>
      </c>
      <c r="L720" s="39">
        <f t="shared" si="65"/>
        <v>1.1501964285714312</v>
      </c>
      <c r="M720" s="39">
        <f t="shared" si="66"/>
        <v>1.1501964285714312</v>
      </c>
      <c r="N720" t="s">
        <v>25</v>
      </c>
      <c r="O720" t="s">
        <v>25</v>
      </c>
      <c r="P720">
        <v>0</v>
      </c>
      <c r="Q720">
        <v>1</v>
      </c>
      <c r="R720" t="s">
        <v>1092</v>
      </c>
    </row>
    <row r="721" spans="1:18" hidden="1" x14ac:dyDescent="0.3">
      <c r="A721">
        <v>397</v>
      </c>
      <c r="B721" t="s">
        <v>1091</v>
      </c>
      <c r="C721" t="s">
        <v>1089</v>
      </c>
      <c r="D721" t="s">
        <v>27</v>
      </c>
      <c r="E721" t="s">
        <v>22</v>
      </c>
      <c r="F721" s="79">
        <v>45657</v>
      </c>
      <c r="G721">
        <v>2024</v>
      </c>
      <c r="H721" t="s">
        <v>23</v>
      </c>
      <c r="I721" t="s">
        <v>30</v>
      </c>
      <c r="J721">
        <v>80</v>
      </c>
      <c r="K721">
        <v>91.47999999999999</v>
      </c>
      <c r="L721" s="39">
        <f t="shared" si="65"/>
        <v>1.1435</v>
      </c>
      <c r="M721" s="39">
        <f t="shared" si="66"/>
        <v>1.1435</v>
      </c>
      <c r="N721" t="s">
        <v>25</v>
      </c>
      <c r="O721" t="s">
        <v>25</v>
      </c>
      <c r="P721">
        <v>0</v>
      </c>
      <c r="Q721">
        <v>1</v>
      </c>
      <c r="R721" t="s">
        <v>1093</v>
      </c>
    </row>
    <row r="722" spans="1:18" hidden="1" x14ac:dyDescent="0.3">
      <c r="A722">
        <v>397</v>
      </c>
      <c r="B722" t="s">
        <v>1094</v>
      </c>
      <c r="C722" t="s">
        <v>1089</v>
      </c>
      <c r="D722" t="s">
        <v>21</v>
      </c>
      <c r="E722" t="s">
        <v>22</v>
      </c>
      <c r="F722" s="79">
        <v>46022</v>
      </c>
      <c r="G722">
        <v>2025</v>
      </c>
      <c r="H722" t="s">
        <v>23</v>
      </c>
      <c r="I722" t="s">
        <v>32</v>
      </c>
      <c r="J722">
        <v>90</v>
      </c>
      <c r="K722">
        <v>95.7</v>
      </c>
      <c r="L722" s="39">
        <f t="shared" si="65"/>
        <v>1.0633333333333335</v>
      </c>
      <c r="M722" s="39">
        <f t="shared" si="66"/>
        <v>1.0633333333333335</v>
      </c>
      <c r="N722" t="s">
        <v>25</v>
      </c>
      <c r="O722" t="s">
        <v>25</v>
      </c>
      <c r="P722">
        <v>0</v>
      </c>
      <c r="Q722">
        <v>1</v>
      </c>
      <c r="R722" t="s">
        <v>1095</v>
      </c>
    </row>
    <row r="723" spans="1:18" hidden="1" x14ac:dyDescent="0.3">
      <c r="A723">
        <v>398</v>
      </c>
      <c r="B723" t="s">
        <v>1096</v>
      </c>
      <c r="C723" t="s">
        <v>1097</v>
      </c>
      <c r="D723" t="s">
        <v>27</v>
      </c>
      <c r="E723" t="s">
        <v>22</v>
      </c>
      <c r="F723" s="79">
        <v>45291</v>
      </c>
      <c r="G723">
        <v>2023</v>
      </c>
      <c r="H723" t="s">
        <v>23</v>
      </c>
      <c r="I723" t="s">
        <v>28</v>
      </c>
      <c r="J723">
        <v>200</v>
      </c>
      <c r="K723">
        <v>491.2</v>
      </c>
      <c r="L723" s="39">
        <f t="shared" si="65"/>
        <v>1.3</v>
      </c>
      <c r="M723" s="39">
        <f t="shared" si="66"/>
        <v>2.456</v>
      </c>
      <c r="N723" t="s">
        <v>128</v>
      </c>
      <c r="O723" t="s">
        <v>128</v>
      </c>
      <c r="P723">
        <v>0</v>
      </c>
      <c r="Q723">
        <v>0</v>
      </c>
      <c r="R723" t="s">
        <v>1098</v>
      </c>
    </row>
    <row r="724" spans="1:18" hidden="1" x14ac:dyDescent="0.3">
      <c r="A724">
        <v>398</v>
      </c>
      <c r="B724" t="s">
        <v>1096</v>
      </c>
      <c r="C724" t="s">
        <v>1097</v>
      </c>
      <c r="D724" t="s">
        <v>27</v>
      </c>
      <c r="E724" t="s">
        <v>22</v>
      </c>
      <c r="F724" s="79">
        <v>45657</v>
      </c>
      <c r="G724">
        <v>2024</v>
      </c>
      <c r="H724" t="s">
        <v>23</v>
      </c>
      <c r="I724" t="s">
        <v>30</v>
      </c>
      <c r="J724">
        <v>200</v>
      </c>
      <c r="K724">
        <v>443.92</v>
      </c>
      <c r="L724" s="39">
        <f t="shared" si="65"/>
        <v>1.3</v>
      </c>
      <c r="M724" s="39">
        <f t="shared" si="66"/>
        <v>2.2196000000000002</v>
      </c>
      <c r="N724" t="s">
        <v>128</v>
      </c>
      <c r="O724" t="s">
        <v>128</v>
      </c>
      <c r="P724">
        <v>0</v>
      </c>
      <c r="Q724">
        <v>0</v>
      </c>
      <c r="R724" t="s">
        <v>1099</v>
      </c>
    </row>
    <row r="725" spans="1:18" hidden="1" x14ac:dyDescent="0.3">
      <c r="A725">
        <v>398</v>
      </c>
      <c r="B725" t="s">
        <v>1096</v>
      </c>
      <c r="C725" t="s">
        <v>1097</v>
      </c>
      <c r="D725" t="s">
        <v>21</v>
      </c>
      <c r="E725" t="s">
        <v>22</v>
      </c>
      <c r="F725" s="79">
        <v>46022</v>
      </c>
      <c r="G725">
        <v>2025</v>
      </c>
      <c r="H725" t="s">
        <v>23</v>
      </c>
      <c r="I725" t="s">
        <v>32</v>
      </c>
      <c r="J725">
        <v>200</v>
      </c>
      <c r="K725">
        <v>328.21</v>
      </c>
      <c r="L725" s="39">
        <f t="shared" si="65"/>
        <v>1.3</v>
      </c>
      <c r="M725" s="39">
        <f t="shared" si="66"/>
        <v>1.6410499999999999</v>
      </c>
      <c r="N725" t="s">
        <v>128</v>
      </c>
      <c r="O725" t="s">
        <v>128</v>
      </c>
      <c r="P725">
        <v>0</v>
      </c>
      <c r="Q725">
        <v>0</v>
      </c>
      <c r="R725" t="s">
        <v>1100</v>
      </c>
    </row>
    <row r="726" spans="1:18" hidden="1" x14ac:dyDescent="0.3">
      <c r="A726">
        <v>399</v>
      </c>
      <c r="B726" t="s">
        <v>1101</v>
      </c>
      <c r="C726" t="s">
        <v>1097</v>
      </c>
      <c r="D726" t="s">
        <v>27</v>
      </c>
      <c r="E726" t="s">
        <v>22</v>
      </c>
      <c r="F726" s="79">
        <v>45291</v>
      </c>
      <c r="G726">
        <v>2023</v>
      </c>
      <c r="H726" t="s">
        <v>23</v>
      </c>
      <c r="I726" t="s">
        <v>28</v>
      </c>
      <c r="J726">
        <v>200</v>
      </c>
      <c r="K726">
        <v>266.8</v>
      </c>
      <c r="L726" s="39">
        <f t="shared" si="65"/>
        <v>1.3</v>
      </c>
      <c r="M726" s="39">
        <f t="shared" si="66"/>
        <v>1.3340000000000001</v>
      </c>
      <c r="N726" t="s">
        <v>128</v>
      </c>
      <c r="O726" t="s">
        <v>128</v>
      </c>
      <c r="P726">
        <v>0</v>
      </c>
      <c r="Q726">
        <v>0</v>
      </c>
      <c r="R726" t="s">
        <v>1102</v>
      </c>
    </row>
    <row r="727" spans="1:18" hidden="1" x14ac:dyDescent="0.3">
      <c r="A727">
        <v>399</v>
      </c>
      <c r="B727" t="s">
        <v>1101</v>
      </c>
      <c r="C727" t="s">
        <v>1097</v>
      </c>
      <c r="D727" t="s">
        <v>27</v>
      </c>
      <c r="E727" t="s">
        <v>22</v>
      </c>
      <c r="F727" s="79">
        <v>45657</v>
      </c>
      <c r="G727">
        <v>2024</v>
      </c>
      <c r="H727" t="s">
        <v>23</v>
      </c>
      <c r="I727" t="s">
        <v>30</v>
      </c>
      <c r="J727">
        <v>200</v>
      </c>
      <c r="K727">
        <v>222.72</v>
      </c>
      <c r="L727" s="39">
        <f t="shared" si="65"/>
        <v>1.1135999999999999</v>
      </c>
      <c r="M727" s="39">
        <f t="shared" si="66"/>
        <v>1.1135999999999999</v>
      </c>
      <c r="N727" t="s">
        <v>128</v>
      </c>
      <c r="O727" t="s">
        <v>128</v>
      </c>
      <c r="P727">
        <v>0</v>
      </c>
      <c r="Q727">
        <v>0</v>
      </c>
      <c r="R727" t="s">
        <v>1103</v>
      </c>
    </row>
    <row r="728" spans="1:18" hidden="1" x14ac:dyDescent="0.3">
      <c r="A728">
        <v>399</v>
      </c>
      <c r="B728" t="s">
        <v>1101</v>
      </c>
      <c r="C728" t="s">
        <v>1097</v>
      </c>
      <c r="D728" t="s">
        <v>21</v>
      </c>
      <c r="E728" t="s">
        <v>22</v>
      </c>
      <c r="F728" s="79">
        <v>46022</v>
      </c>
      <c r="G728">
        <v>2025</v>
      </c>
      <c r="H728" t="s">
        <v>23</v>
      </c>
      <c r="I728" t="s">
        <v>32</v>
      </c>
      <c r="J728">
        <v>200</v>
      </c>
      <c r="K728">
        <v>209.06</v>
      </c>
      <c r="L728" s="39">
        <f t="shared" si="65"/>
        <v>1.0453000000000001</v>
      </c>
      <c r="M728" s="39">
        <f t="shared" si="66"/>
        <v>1.0453000000000001</v>
      </c>
      <c r="N728" t="s">
        <v>128</v>
      </c>
      <c r="O728" t="s">
        <v>128</v>
      </c>
      <c r="P728">
        <v>0</v>
      </c>
      <c r="Q728">
        <v>0</v>
      </c>
      <c r="R728" t="s">
        <v>1104</v>
      </c>
    </row>
    <row r="729" spans="1:18" hidden="1" x14ac:dyDescent="0.3">
      <c r="A729">
        <v>400</v>
      </c>
      <c r="B729" t="s">
        <v>1105</v>
      </c>
      <c r="C729" t="s">
        <v>1097</v>
      </c>
      <c r="D729" t="s">
        <v>27</v>
      </c>
      <c r="E729" t="s">
        <v>22</v>
      </c>
      <c r="F729" s="79">
        <v>45291</v>
      </c>
      <c r="G729">
        <v>2023</v>
      </c>
      <c r="H729" t="s">
        <v>23</v>
      </c>
      <c r="I729" t="s">
        <v>28</v>
      </c>
      <c r="J729">
        <v>200</v>
      </c>
      <c r="K729">
        <v>502.86</v>
      </c>
      <c r="L729" s="39">
        <f t="shared" si="65"/>
        <v>1.3</v>
      </c>
      <c r="M729" s="39">
        <f t="shared" si="66"/>
        <v>2.5143</v>
      </c>
      <c r="N729" t="s">
        <v>128</v>
      </c>
      <c r="O729" t="s">
        <v>128</v>
      </c>
      <c r="P729">
        <v>0</v>
      </c>
      <c r="Q729">
        <v>0</v>
      </c>
      <c r="R729" t="s">
        <v>1106</v>
      </c>
    </row>
    <row r="730" spans="1:18" hidden="1" x14ac:dyDescent="0.3">
      <c r="A730">
        <v>400</v>
      </c>
      <c r="B730" t="s">
        <v>1105</v>
      </c>
      <c r="C730" t="s">
        <v>1097</v>
      </c>
      <c r="D730" t="s">
        <v>27</v>
      </c>
      <c r="E730" t="s">
        <v>22</v>
      </c>
      <c r="F730" s="79">
        <v>45657</v>
      </c>
      <c r="G730">
        <v>2024</v>
      </c>
      <c r="H730" t="s">
        <v>23</v>
      </c>
      <c r="I730" t="s">
        <v>30</v>
      </c>
      <c r="J730">
        <v>200</v>
      </c>
      <c r="K730">
        <v>668.18000000000006</v>
      </c>
      <c r="L730" s="39">
        <f t="shared" si="65"/>
        <v>1.3</v>
      </c>
      <c r="M730" s="39">
        <f t="shared" si="66"/>
        <v>3.3409000000000004</v>
      </c>
      <c r="N730" t="s">
        <v>128</v>
      </c>
      <c r="O730" t="s">
        <v>128</v>
      </c>
      <c r="P730">
        <v>0</v>
      </c>
      <c r="Q730">
        <v>0</v>
      </c>
      <c r="R730" t="s">
        <v>1107</v>
      </c>
    </row>
    <row r="731" spans="1:18" hidden="1" x14ac:dyDescent="0.3">
      <c r="A731">
        <v>400</v>
      </c>
      <c r="B731" t="s">
        <v>1105</v>
      </c>
      <c r="C731" t="s">
        <v>1097</v>
      </c>
      <c r="D731" t="s">
        <v>21</v>
      </c>
      <c r="E731" t="s">
        <v>22</v>
      </c>
      <c r="F731" s="79">
        <v>46022</v>
      </c>
      <c r="G731">
        <v>2025</v>
      </c>
      <c r="H731" t="s">
        <v>23</v>
      </c>
      <c r="I731" t="s">
        <v>32</v>
      </c>
      <c r="J731">
        <v>200</v>
      </c>
      <c r="K731">
        <v>250.14</v>
      </c>
      <c r="L731" s="39">
        <f t="shared" si="65"/>
        <v>1.2506999999999999</v>
      </c>
      <c r="M731" s="39">
        <f t="shared" si="66"/>
        <v>1.2506999999999999</v>
      </c>
      <c r="N731" t="s">
        <v>128</v>
      </c>
      <c r="O731" t="s">
        <v>128</v>
      </c>
      <c r="P731">
        <v>0</v>
      </c>
      <c r="Q731">
        <v>0</v>
      </c>
      <c r="R731" t="s">
        <v>1108</v>
      </c>
    </row>
    <row r="732" spans="1:18" hidden="1" x14ac:dyDescent="0.3">
      <c r="A732">
        <v>401</v>
      </c>
      <c r="B732" t="s">
        <v>1109</v>
      </c>
      <c r="C732" t="s">
        <v>1110</v>
      </c>
      <c r="D732" t="s">
        <v>27</v>
      </c>
      <c r="E732" t="s">
        <v>22</v>
      </c>
      <c r="F732" s="79">
        <v>45291</v>
      </c>
      <c r="G732">
        <v>2023</v>
      </c>
      <c r="H732" t="s">
        <v>23</v>
      </c>
      <c r="I732" t="s">
        <v>28</v>
      </c>
      <c r="J732">
        <v>180</v>
      </c>
      <c r="K732">
        <v>212.5</v>
      </c>
      <c r="L732" s="39">
        <f t="shared" si="65"/>
        <v>1.1805555555555556</v>
      </c>
      <c r="M732" s="39">
        <f t="shared" si="66"/>
        <v>1.1805555555555556</v>
      </c>
      <c r="N732" t="s">
        <v>128</v>
      </c>
      <c r="O732" t="s">
        <v>128</v>
      </c>
      <c r="P732">
        <v>0</v>
      </c>
      <c r="Q732">
        <v>0</v>
      </c>
      <c r="R732" t="s">
        <v>1111</v>
      </c>
    </row>
    <row r="733" spans="1:18" hidden="1" x14ac:dyDescent="0.3">
      <c r="A733">
        <v>401</v>
      </c>
      <c r="B733" t="s">
        <v>1109</v>
      </c>
      <c r="C733" t="s">
        <v>1110</v>
      </c>
      <c r="D733" t="s">
        <v>27</v>
      </c>
      <c r="E733" t="s">
        <v>22</v>
      </c>
      <c r="F733" s="79">
        <v>45657</v>
      </c>
      <c r="G733">
        <v>2024</v>
      </c>
      <c r="H733" t="s">
        <v>23</v>
      </c>
      <c r="I733" t="s">
        <v>30</v>
      </c>
      <c r="J733">
        <v>180</v>
      </c>
      <c r="K733">
        <v>212.5</v>
      </c>
      <c r="L733" s="39">
        <f t="shared" si="65"/>
        <v>1.1805555555555556</v>
      </c>
      <c r="M733" s="39">
        <f t="shared" si="66"/>
        <v>1.1805555555555556</v>
      </c>
      <c r="N733" t="s">
        <v>128</v>
      </c>
      <c r="O733" t="s">
        <v>128</v>
      </c>
      <c r="P733">
        <v>0</v>
      </c>
      <c r="Q733">
        <v>0</v>
      </c>
      <c r="R733" t="s">
        <v>1112</v>
      </c>
    </row>
    <row r="734" spans="1:18" hidden="1" x14ac:dyDescent="0.3">
      <c r="A734">
        <v>401</v>
      </c>
      <c r="B734" t="s">
        <v>1109</v>
      </c>
      <c r="C734" t="s">
        <v>1110</v>
      </c>
      <c r="D734" t="s">
        <v>21</v>
      </c>
      <c r="E734" t="s">
        <v>22</v>
      </c>
      <c r="F734" s="79">
        <v>46022</v>
      </c>
      <c r="G734">
        <v>2025</v>
      </c>
      <c r="H734" t="s">
        <v>23</v>
      </c>
      <c r="I734" t="s">
        <v>32</v>
      </c>
      <c r="J734">
        <v>200</v>
      </c>
      <c r="K734">
        <v>200</v>
      </c>
      <c r="L734" s="39">
        <f t="shared" si="65"/>
        <v>1</v>
      </c>
      <c r="M734" s="39">
        <f t="shared" si="66"/>
        <v>1</v>
      </c>
      <c r="N734" t="s">
        <v>128</v>
      </c>
      <c r="O734" t="s">
        <v>128</v>
      </c>
      <c r="P734">
        <v>0</v>
      </c>
      <c r="Q734">
        <v>0</v>
      </c>
      <c r="R734" t="s">
        <v>1113</v>
      </c>
    </row>
    <row r="735" spans="1:18" hidden="1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45291</v>
      </c>
      <c r="G735">
        <v>2023</v>
      </c>
      <c r="H735" t="s">
        <v>23</v>
      </c>
      <c r="I735" t="s">
        <v>28</v>
      </c>
      <c r="K735">
        <v>21000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1115</v>
      </c>
    </row>
    <row r="736" spans="1:18" hidden="1" x14ac:dyDescent="0.3">
      <c r="A736">
        <v>402</v>
      </c>
      <c r="B736" t="s">
        <v>1114</v>
      </c>
      <c r="C736" t="s">
        <v>1110</v>
      </c>
      <c r="D736" t="s">
        <v>71</v>
      </c>
      <c r="E736" t="s">
        <v>22</v>
      </c>
      <c r="F736" s="79">
        <v>45657</v>
      </c>
      <c r="G736">
        <v>2024</v>
      </c>
      <c r="H736" t="s">
        <v>23</v>
      </c>
      <c r="I736" t="s">
        <v>30</v>
      </c>
      <c r="J736">
        <v>3</v>
      </c>
      <c r="K736">
        <v>4.76</v>
      </c>
      <c r="L736" s="39">
        <f>IFERROR(IF(OR(J736=0,K736=""),"",IF(E736="Positivo",MIN(MAX(K736/J736,0),1.3),MIN(MAX(J736/K736,0),1.3))),"")</f>
        <v>1.3</v>
      </c>
      <c r="M736" s="39">
        <f>IFERROR(IF(OR(J736=0,K736=""),"",IF(E736="Positivo",MAX(K736/J736,0),MAX(J736/K736,0))),"")</f>
        <v>1.5866666666666667</v>
      </c>
      <c r="N736" t="s">
        <v>128</v>
      </c>
      <c r="O736" t="s">
        <v>128</v>
      </c>
      <c r="P736">
        <v>0</v>
      </c>
      <c r="Q736">
        <v>0</v>
      </c>
      <c r="R736" t="s">
        <v>1116</v>
      </c>
    </row>
    <row r="737" spans="1:19" hidden="1" x14ac:dyDescent="0.3">
      <c r="A737">
        <v>402</v>
      </c>
      <c r="B737" t="s">
        <v>1114</v>
      </c>
      <c r="C737" t="s">
        <v>1110</v>
      </c>
      <c r="D737" t="s">
        <v>71</v>
      </c>
      <c r="E737" t="s">
        <v>22</v>
      </c>
      <c r="F737" s="79">
        <v>46022</v>
      </c>
      <c r="G737">
        <v>2025</v>
      </c>
      <c r="H737" t="s">
        <v>23</v>
      </c>
      <c r="I737" t="s">
        <v>32</v>
      </c>
      <c r="K737">
        <v>22.73</v>
      </c>
      <c r="L737" s="39"/>
      <c r="N737" t="s">
        <v>128</v>
      </c>
      <c r="O737" t="s">
        <v>128</v>
      </c>
      <c r="P737">
        <v>0</v>
      </c>
      <c r="Q737">
        <v>0</v>
      </c>
      <c r="R737" t="s">
        <v>1117</v>
      </c>
    </row>
    <row r="738" spans="1:19" hidden="1" x14ac:dyDescent="0.3">
      <c r="A738">
        <v>403</v>
      </c>
      <c r="B738" t="s">
        <v>1118</v>
      </c>
      <c r="C738" t="s">
        <v>1110</v>
      </c>
      <c r="D738" t="s">
        <v>27</v>
      </c>
      <c r="E738" t="s">
        <v>22</v>
      </c>
      <c r="F738" s="79">
        <v>45291</v>
      </c>
      <c r="G738">
        <v>2023</v>
      </c>
      <c r="H738" t="s">
        <v>23</v>
      </c>
      <c r="I738" t="s">
        <v>28</v>
      </c>
      <c r="K738">
        <v>43009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1119</v>
      </c>
    </row>
    <row r="739" spans="1:19" hidden="1" x14ac:dyDescent="0.3">
      <c r="A739">
        <v>403</v>
      </c>
      <c r="B739" t="s">
        <v>1118</v>
      </c>
      <c r="C739" t="s">
        <v>1110</v>
      </c>
      <c r="D739" t="s">
        <v>27</v>
      </c>
      <c r="E739" t="s">
        <v>22</v>
      </c>
      <c r="F739" s="79">
        <v>45657</v>
      </c>
      <c r="G739">
        <v>2024</v>
      </c>
      <c r="H739" t="s">
        <v>23</v>
      </c>
      <c r="I739" t="s">
        <v>30</v>
      </c>
      <c r="K739">
        <v>29418</v>
      </c>
      <c r="L739" s="39"/>
      <c r="N739" t="s">
        <v>263</v>
      </c>
      <c r="O739" t="s">
        <v>128</v>
      </c>
      <c r="P739">
        <v>0</v>
      </c>
      <c r="Q739">
        <v>0</v>
      </c>
      <c r="R739" t="s">
        <v>1120</v>
      </c>
    </row>
    <row r="740" spans="1:19" hidden="1" x14ac:dyDescent="0.3">
      <c r="A740">
        <v>403</v>
      </c>
      <c r="B740" t="s">
        <v>1121</v>
      </c>
      <c r="C740" t="s">
        <v>1110</v>
      </c>
      <c r="D740" t="s">
        <v>21</v>
      </c>
      <c r="E740" t="s">
        <v>22</v>
      </c>
      <c r="F740" s="79">
        <v>46022</v>
      </c>
      <c r="G740">
        <v>2025</v>
      </c>
      <c r="H740" t="s">
        <v>23</v>
      </c>
      <c r="I740" t="s">
        <v>32</v>
      </c>
      <c r="K740">
        <v>26920</v>
      </c>
      <c r="L740" s="39"/>
      <c r="N740" t="s">
        <v>263</v>
      </c>
      <c r="O740" t="s">
        <v>128</v>
      </c>
      <c r="P740">
        <v>0</v>
      </c>
      <c r="Q740">
        <v>0</v>
      </c>
      <c r="R740" t="s">
        <v>1122</v>
      </c>
      <c r="S740" t="s">
        <v>263</v>
      </c>
    </row>
    <row r="741" spans="1:19" hidden="1" x14ac:dyDescent="0.3">
      <c r="A741">
        <v>404</v>
      </c>
      <c r="B741" t="s">
        <v>1123</v>
      </c>
      <c r="C741" t="s">
        <v>1110</v>
      </c>
      <c r="D741" t="s">
        <v>27</v>
      </c>
      <c r="E741" t="s">
        <v>41</v>
      </c>
      <c r="F741" s="79">
        <v>45291</v>
      </c>
      <c r="G741">
        <v>2023</v>
      </c>
      <c r="H741" t="s">
        <v>23</v>
      </c>
      <c r="I741" t="s">
        <v>28</v>
      </c>
      <c r="J741">
        <v>20</v>
      </c>
      <c r="K741">
        <v>1.7</v>
      </c>
      <c r="L741" s="39">
        <f t="shared" ref="L741:L747" si="67">IFERROR(IF(OR(J741=0,K741=""),"",IF(E741="Positivo",MIN(MAX(K741/J741,0),1.3),MIN(MAX(J741/K741,0),1.3))),"")</f>
        <v>1.3</v>
      </c>
      <c r="M741" s="39">
        <f t="shared" ref="M741:M747" si="68">IFERROR(IF(OR(J741=0,K741=""),"",IF(E741="Positivo",MAX(K741/J741,0),MAX(J741/K741,0))),"")</f>
        <v>11.764705882352942</v>
      </c>
      <c r="N741" t="s">
        <v>25</v>
      </c>
      <c r="O741" t="s">
        <v>25</v>
      </c>
      <c r="P741">
        <v>0</v>
      </c>
      <c r="Q741">
        <v>0</v>
      </c>
      <c r="R741" t="s">
        <v>1124</v>
      </c>
    </row>
    <row r="742" spans="1:19" hidden="1" x14ac:dyDescent="0.3">
      <c r="A742">
        <v>404</v>
      </c>
      <c r="B742" t="s">
        <v>1123</v>
      </c>
      <c r="C742" t="s">
        <v>1110</v>
      </c>
      <c r="D742" t="s">
        <v>27</v>
      </c>
      <c r="E742" t="s">
        <v>41</v>
      </c>
      <c r="F742" s="79">
        <v>45657</v>
      </c>
      <c r="G742">
        <v>2024</v>
      </c>
      <c r="H742" t="s">
        <v>23</v>
      </c>
      <c r="I742" t="s">
        <v>30</v>
      </c>
      <c r="J742">
        <v>10</v>
      </c>
      <c r="K742">
        <v>6.02</v>
      </c>
      <c r="L742" s="39">
        <f t="shared" si="67"/>
        <v>1.3</v>
      </c>
      <c r="M742" s="39">
        <f t="shared" si="68"/>
        <v>1.6611295681063125</v>
      </c>
      <c r="N742" t="s">
        <v>25</v>
      </c>
      <c r="O742" t="s">
        <v>25</v>
      </c>
      <c r="P742">
        <v>0</v>
      </c>
      <c r="Q742">
        <v>0</v>
      </c>
      <c r="R742" t="s">
        <v>1125</v>
      </c>
    </row>
    <row r="743" spans="1:19" hidden="1" x14ac:dyDescent="0.3">
      <c r="A743">
        <v>405</v>
      </c>
      <c r="B743" t="s">
        <v>1126</v>
      </c>
      <c r="C743" t="s">
        <v>1110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50</v>
      </c>
      <c r="K743">
        <v>62</v>
      </c>
      <c r="L743" s="39">
        <f t="shared" si="67"/>
        <v>1.24</v>
      </c>
      <c r="M743" s="39">
        <f t="shared" si="68"/>
        <v>1.24</v>
      </c>
      <c r="N743" t="s">
        <v>25</v>
      </c>
      <c r="O743" t="s">
        <v>25</v>
      </c>
      <c r="P743">
        <v>0</v>
      </c>
      <c r="Q743">
        <v>0</v>
      </c>
      <c r="R743" t="s">
        <v>1127</v>
      </c>
    </row>
    <row r="744" spans="1:19" hidden="1" x14ac:dyDescent="0.3">
      <c r="A744">
        <v>405</v>
      </c>
      <c r="B744" t="s">
        <v>1126</v>
      </c>
      <c r="C744" t="s">
        <v>1110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100</v>
      </c>
      <c r="K744">
        <v>98</v>
      </c>
      <c r="L744" s="39">
        <f t="shared" si="67"/>
        <v>0.98</v>
      </c>
      <c r="M744" s="39">
        <f t="shared" si="68"/>
        <v>0.98</v>
      </c>
      <c r="N744" t="s">
        <v>25</v>
      </c>
      <c r="O744" t="s">
        <v>25</v>
      </c>
      <c r="P744">
        <v>0</v>
      </c>
      <c r="Q744">
        <v>0</v>
      </c>
      <c r="R744" t="s">
        <v>1128</v>
      </c>
    </row>
    <row r="745" spans="1:19" hidden="1" x14ac:dyDescent="0.3">
      <c r="A745">
        <v>406</v>
      </c>
      <c r="B745" t="s">
        <v>1129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5</v>
      </c>
      <c r="K745">
        <v>5</v>
      </c>
      <c r="L745" s="39">
        <f t="shared" si="67"/>
        <v>1</v>
      </c>
      <c r="M745" s="39">
        <f t="shared" si="68"/>
        <v>1</v>
      </c>
      <c r="N745" t="s">
        <v>128</v>
      </c>
      <c r="O745" t="s">
        <v>128</v>
      </c>
      <c r="P745">
        <v>0</v>
      </c>
      <c r="Q745">
        <v>0</v>
      </c>
      <c r="R745" t="s">
        <v>1130</v>
      </c>
    </row>
    <row r="746" spans="1:19" hidden="1" x14ac:dyDescent="0.3">
      <c r="A746">
        <v>406</v>
      </c>
      <c r="B746" t="s">
        <v>1129</v>
      </c>
      <c r="C746" t="s">
        <v>644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J746">
        <v>3</v>
      </c>
      <c r="K746">
        <v>3</v>
      </c>
      <c r="L746" s="39">
        <f t="shared" si="67"/>
        <v>1</v>
      </c>
      <c r="M746" s="39">
        <f t="shared" si="68"/>
        <v>1</v>
      </c>
      <c r="N746" t="s">
        <v>128</v>
      </c>
      <c r="O746" t="s">
        <v>128</v>
      </c>
      <c r="P746">
        <v>0</v>
      </c>
      <c r="Q746">
        <v>0</v>
      </c>
      <c r="R746" t="s">
        <v>1131</v>
      </c>
    </row>
    <row r="747" spans="1:19" hidden="1" x14ac:dyDescent="0.3">
      <c r="A747">
        <v>407</v>
      </c>
      <c r="B747" t="s">
        <v>1132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3</v>
      </c>
      <c r="K747">
        <v>3</v>
      </c>
      <c r="L747" s="39">
        <f t="shared" si="67"/>
        <v>1</v>
      </c>
      <c r="M747" s="39">
        <f t="shared" si="68"/>
        <v>1</v>
      </c>
      <c r="N747" t="s">
        <v>128</v>
      </c>
      <c r="O747" t="s">
        <v>128</v>
      </c>
      <c r="P747">
        <v>0</v>
      </c>
      <c r="Q747">
        <v>0</v>
      </c>
      <c r="R747" t="s">
        <v>1133</v>
      </c>
    </row>
    <row r="748" spans="1:19" hidden="1" x14ac:dyDescent="0.3">
      <c r="A748">
        <v>407</v>
      </c>
      <c r="B748" t="s">
        <v>1132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L748" s="39"/>
      <c r="N748" t="s">
        <v>302</v>
      </c>
      <c r="O748" t="s">
        <v>302</v>
      </c>
      <c r="P748">
        <v>0</v>
      </c>
      <c r="Q748">
        <v>0</v>
      </c>
      <c r="R748" t="s">
        <v>1134</v>
      </c>
    </row>
    <row r="749" spans="1:19" hidden="1" x14ac:dyDescent="0.3">
      <c r="A749">
        <v>408</v>
      </c>
      <c r="B749" t="s">
        <v>1135</v>
      </c>
      <c r="C749" t="s">
        <v>819</v>
      </c>
      <c r="D749" t="s">
        <v>27</v>
      </c>
      <c r="E749" t="s">
        <v>22</v>
      </c>
      <c r="F749" s="79">
        <v>45291</v>
      </c>
      <c r="G749">
        <v>2023</v>
      </c>
      <c r="H749" t="s">
        <v>23</v>
      </c>
      <c r="I749" t="s">
        <v>28</v>
      </c>
      <c r="J749">
        <v>200</v>
      </c>
      <c r="K749">
        <v>100</v>
      </c>
      <c r="L749" s="39">
        <f t="shared" ref="L749:L758" si="69">IFERROR(IF(OR(J749=0,K749=""),"",IF(E749="Positivo",MIN(MAX(K749/J749,0),1.3),MIN(MAX(J749/K749,0),1.3))),"")</f>
        <v>0.5</v>
      </c>
      <c r="M749" s="39">
        <f t="shared" ref="M749:M758" si="70">IFERROR(IF(OR(J749=0,K749=""),"",IF(E749="Positivo",MAX(K749/J749,0),MAX(J749/K749,0))),"")</f>
        <v>0.5</v>
      </c>
      <c r="N749" t="s">
        <v>128</v>
      </c>
      <c r="O749" t="s">
        <v>128</v>
      </c>
      <c r="P749">
        <v>0</v>
      </c>
      <c r="Q749">
        <v>0</v>
      </c>
      <c r="R749" t="s">
        <v>1136</v>
      </c>
    </row>
    <row r="750" spans="1:19" hidden="1" x14ac:dyDescent="0.3">
      <c r="A750">
        <v>408</v>
      </c>
      <c r="B750" t="s">
        <v>1135</v>
      </c>
      <c r="C750" t="s">
        <v>819</v>
      </c>
      <c r="D750" t="s">
        <v>27</v>
      </c>
      <c r="E750" t="s">
        <v>22</v>
      </c>
      <c r="F750" s="79">
        <v>45657</v>
      </c>
      <c r="G750">
        <v>2024</v>
      </c>
      <c r="H750" t="s">
        <v>23</v>
      </c>
      <c r="I750" t="s">
        <v>30</v>
      </c>
      <c r="J750">
        <v>200</v>
      </c>
      <c r="K750">
        <v>100</v>
      </c>
      <c r="L750" s="39">
        <f t="shared" si="69"/>
        <v>0.5</v>
      </c>
      <c r="M750" s="39">
        <f t="shared" si="70"/>
        <v>0.5</v>
      </c>
      <c r="N750" t="s">
        <v>128</v>
      </c>
      <c r="O750" t="s">
        <v>128</v>
      </c>
      <c r="P750">
        <v>0</v>
      </c>
      <c r="Q750">
        <v>0</v>
      </c>
      <c r="R750" t="s">
        <v>1137</v>
      </c>
    </row>
    <row r="751" spans="1:19" hidden="1" x14ac:dyDescent="0.3">
      <c r="A751">
        <v>408</v>
      </c>
      <c r="B751" t="s">
        <v>1135</v>
      </c>
      <c r="C751" t="s">
        <v>819</v>
      </c>
      <c r="D751" t="s">
        <v>21</v>
      </c>
      <c r="E751" t="s">
        <v>22</v>
      </c>
      <c r="F751" s="79">
        <v>46022</v>
      </c>
      <c r="G751">
        <v>2025</v>
      </c>
      <c r="H751" t="s">
        <v>23</v>
      </c>
      <c r="I751" t="s">
        <v>32</v>
      </c>
      <c r="J751">
        <v>200</v>
      </c>
      <c r="K751">
        <v>200</v>
      </c>
      <c r="L751" s="39">
        <f t="shared" si="69"/>
        <v>1</v>
      </c>
      <c r="M751" s="39">
        <f t="shared" si="70"/>
        <v>1</v>
      </c>
      <c r="N751" t="s">
        <v>128</v>
      </c>
      <c r="O751" t="s">
        <v>128</v>
      </c>
      <c r="P751">
        <v>0</v>
      </c>
      <c r="Q751">
        <v>0</v>
      </c>
      <c r="R751" t="s">
        <v>1138</v>
      </c>
    </row>
    <row r="752" spans="1:19" hidden="1" x14ac:dyDescent="0.3">
      <c r="A752">
        <v>409</v>
      </c>
      <c r="B752" t="s">
        <v>1139</v>
      </c>
      <c r="C752" t="s">
        <v>595</v>
      </c>
      <c r="D752" t="s">
        <v>21</v>
      </c>
      <c r="E752" t="s">
        <v>22</v>
      </c>
      <c r="F752" s="79">
        <v>45291</v>
      </c>
      <c r="G752">
        <v>2023</v>
      </c>
      <c r="H752" t="s">
        <v>23</v>
      </c>
      <c r="I752" t="s">
        <v>28</v>
      </c>
      <c r="J752">
        <v>160</v>
      </c>
      <c r="K752">
        <v>203.71885459278539</v>
      </c>
      <c r="L752" s="39">
        <f t="shared" si="69"/>
        <v>1.2732428412049086</v>
      </c>
      <c r="M752" s="39">
        <f t="shared" si="70"/>
        <v>1.2732428412049086</v>
      </c>
      <c r="N752" t="s">
        <v>25</v>
      </c>
      <c r="O752" t="s">
        <v>25</v>
      </c>
      <c r="P752">
        <v>0</v>
      </c>
      <c r="Q752">
        <v>0</v>
      </c>
      <c r="R752" t="s">
        <v>1140</v>
      </c>
    </row>
    <row r="753" spans="1:18" hidden="1" x14ac:dyDescent="0.3">
      <c r="A753">
        <v>409</v>
      </c>
      <c r="B753" t="s">
        <v>1139</v>
      </c>
      <c r="C753" t="s">
        <v>595</v>
      </c>
      <c r="D753" t="s">
        <v>21</v>
      </c>
      <c r="E753" t="s">
        <v>22</v>
      </c>
      <c r="F753" s="79">
        <v>45657</v>
      </c>
      <c r="G753">
        <v>2024</v>
      </c>
      <c r="H753" t="s">
        <v>23</v>
      </c>
      <c r="I753" t="s">
        <v>30</v>
      </c>
      <c r="J753">
        <v>380</v>
      </c>
      <c r="K753">
        <v>390.09846852194312</v>
      </c>
      <c r="L753" s="39">
        <f t="shared" si="69"/>
        <v>1.0265749171630083</v>
      </c>
      <c r="M753" s="39">
        <f t="shared" si="70"/>
        <v>1.0265749171630083</v>
      </c>
      <c r="N753" t="s">
        <v>25</v>
      </c>
      <c r="O753" t="s">
        <v>25</v>
      </c>
      <c r="P753">
        <v>0</v>
      </c>
      <c r="Q753">
        <v>0</v>
      </c>
      <c r="R753" t="s">
        <v>1141</v>
      </c>
    </row>
    <row r="754" spans="1:18" hidden="1" x14ac:dyDescent="0.3">
      <c r="A754">
        <v>409</v>
      </c>
      <c r="B754" t="s">
        <v>1139</v>
      </c>
      <c r="C754" t="s">
        <v>595</v>
      </c>
      <c r="D754" t="s">
        <v>27</v>
      </c>
      <c r="E754" t="s">
        <v>22</v>
      </c>
      <c r="F754" s="79">
        <v>45838</v>
      </c>
      <c r="G754">
        <v>2025</v>
      </c>
      <c r="H754" t="s">
        <v>699</v>
      </c>
      <c r="I754" t="s">
        <v>700</v>
      </c>
      <c r="J754">
        <v>95</v>
      </c>
      <c r="K754">
        <v>100</v>
      </c>
      <c r="L754" s="39">
        <f t="shared" si="69"/>
        <v>1.0526315789473684</v>
      </c>
      <c r="M754" s="39">
        <f t="shared" si="70"/>
        <v>1.0526315789473684</v>
      </c>
      <c r="N754" t="s">
        <v>25</v>
      </c>
      <c r="O754" t="s">
        <v>25</v>
      </c>
      <c r="P754">
        <v>0</v>
      </c>
      <c r="Q754">
        <v>0</v>
      </c>
      <c r="R754" t="s">
        <v>1142</v>
      </c>
    </row>
    <row r="755" spans="1:18" hidden="1" x14ac:dyDescent="0.3">
      <c r="A755">
        <v>410</v>
      </c>
      <c r="B755" t="s">
        <v>1143</v>
      </c>
      <c r="C755" t="s">
        <v>595</v>
      </c>
      <c r="D755" t="s">
        <v>21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90</v>
      </c>
      <c r="K755">
        <v>100</v>
      </c>
      <c r="L755" s="39">
        <f t="shared" si="69"/>
        <v>1.1111111111111112</v>
      </c>
      <c r="M755" s="39">
        <f t="shared" si="70"/>
        <v>1.1111111111111112</v>
      </c>
      <c r="N755" t="s">
        <v>25</v>
      </c>
      <c r="O755" t="s">
        <v>25</v>
      </c>
      <c r="P755">
        <v>0</v>
      </c>
      <c r="Q755">
        <v>0</v>
      </c>
      <c r="R755" t="s">
        <v>1144</v>
      </c>
    </row>
    <row r="756" spans="1:18" hidden="1" x14ac:dyDescent="0.3">
      <c r="A756">
        <v>411</v>
      </c>
      <c r="B756" t="s">
        <v>1145</v>
      </c>
      <c r="C756" t="s">
        <v>1078</v>
      </c>
      <c r="D756" t="s">
        <v>27</v>
      </c>
      <c r="E756" t="s">
        <v>22</v>
      </c>
      <c r="F756" s="79">
        <v>45291</v>
      </c>
      <c r="G756">
        <v>2023</v>
      </c>
      <c r="H756" t="s">
        <v>23</v>
      </c>
      <c r="I756" t="s">
        <v>28</v>
      </c>
      <c r="J756">
        <v>100</v>
      </c>
      <c r="K756">
        <v>100</v>
      </c>
      <c r="L756" s="39">
        <f t="shared" si="69"/>
        <v>1</v>
      </c>
      <c r="M756" s="39">
        <f t="shared" si="70"/>
        <v>1</v>
      </c>
      <c r="N756" t="s">
        <v>25</v>
      </c>
      <c r="O756" t="s">
        <v>25</v>
      </c>
      <c r="P756">
        <v>0</v>
      </c>
      <c r="Q756">
        <v>0</v>
      </c>
      <c r="R756" t="s">
        <v>1146</v>
      </c>
    </row>
    <row r="757" spans="1:18" hidden="1" x14ac:dyDescent="0.3">
      <c r="A757">
        <v>412</v>
      </c>
      <c r="B757" t="s">
        <v>1147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J757">
        <v>100</v>
      </c>
      <c r="K757">
        <v>100</v>
      </c>
      <c r="L757" s="39">
        <f t="shared" si="69"/>
        <v>1</v>
      </c>
      <c r="M757" s="39">
        <f t="shared" si="70"/>
        <v>1</v>
      </c>
      <c r="N757" t="s">
        <v>25</v>
      </c>
      <c r="O757" t="s">
        <v>25</v>
      </c>
      <c r="P757">
        <v>0</v>
      </c>
      <c r="Q757">
        <v>0</v>
      </c>
      <c r="R757" t="s">
        <v>1148</v>
      </c>
    </row>
    <row r="758" spans="1:18" hidden="1" x14ac:dyDescent="0.3">
      <c r="A758">
        <v>412</v>
      </c>
      <c r="B758" t="s">
        <v>1149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 t="shared" si="69"/>
        <v>1</v>
      </c>
      <c r="M758" s="39">
        <f t="shared" si="70"/>
        <v>1</v>
      </c>
      <c r="N758" t="s">
        <v>25</v>
      </c>
      <c r="O758" t="s">
        <v>25</v>
      </c>
      <c r="P758">
        <v>0</v>
      </c>
      <c r="Q758">
        <v>0</v>
      </c>
      <c r="R758" t="s">
        <v>1150</v>
      </c>
    </row>
    <row r="759" spans="1:18" hidden="1" x14ac:dyDescent="0.3">
      <c r="A759">
        <v>413</v>
      </c>
      <c r="B759" t="s">
        <v>1151</v>
      </c>
      <c r="C759" t="s">
        <v>1078</v>
      </c>
      <c r="D759" t="s">
        <v>71</v>
      </c>
      <c r="E759" t="s">
        <v>22</v>
      </c>
      <c r="F759" s="79">
        <v>45291</v>
      </c>
      <c r="G759">
        <v>2023</v>
      </c>
      <c r="H759" t="s">
        <v>23</v>
      </c>
      <c r="I759" t="s">
        <v>28</v>
      </c>
      <c r="K759">
        <v>100</v>
      </c>
      <c r="L759" s="39"/>
      <c r="N759" t="s">
        <v>355</v>
      </c>
      <c r="O759" t="s">
        <v>128</v>
      </c>
      <c r="P759">
        <v>0</v>
      </c>
      <c r="Q759">
        <v>0</v>
      </c>
      <c r="R759" t="s">
        <v>1152</v>
      </c>
    </row>
    <row r="760" spans="1:18" hidden="1" x14ac:dyDescent="0.3">
      <c r="A760">
        <v>413</v>
      </c>
      <c r="B760" t="s">
        <v>1153</v>
      </c>
      <c r="C760" t="s">
        <v>1078</v>
      </c>
      <c r="D760" t="s">
        <v>71</v>
      </c>
      <c r="E760" t="s">
        <v>22</v>
      </c>
      <c r="F760" s="79">
        <v>45657</v>
      </c>
      <c r="G760">
        <v>2024</v>
      </c>
      <c r="H760" t="s">
        <v>23</v>
      </c>
      <c r="I760" t="s">
        <v>30</v>
      </c>
      <c r="J760">
        <v>100</v>
      </c>
      <c r="K760">
        <v>100</v>
      </c>
      <c r="L760" s="39">
        <f>IFERROR(IF(OR(J760=0,K760=""),"",IF(E760="Positivo",MIN(MAX(K760/J760,0),1.3),MIN(MAX(J760/K760,0),1.3))),"")</f>
        <v>1</v>
      </c>
      <c r="M760" s="39">
        <f t="shared" ref="M760:M793" si="71">IFERROR(IF(OR(J760=0,K760=""),"",IF(E760="Positivo",MAX(K760/J760,0),MAX(J760/K760,0))),"")</f>
        <v>1</v>
      </c>
      <c r="N760" t="s">
        <v>355</v>
      </c>
      <c r="O760" t="s">
        <v>128</v>
      </c>
      <c r="P760">
        <v>0</v>
      </c>
      <c r="Q760">
        <v>0</v>
      </c>
      <c r="R760" t="s">
        <v>1154</v>
      </c>
    </row>
    <row r="761" spans="1:18" hidden="1" x14ac:dyDescent="0.3">
      <c r="A761">
        <v>413</v>
      </c>
      <c r="B761" t="s">
        <v>1153</v>
      </c>
      <c r="C761" t="s">
        <v>1078</v>
      </c>
      <c r="D761" t="s">
        <v>71</v>
      </c>
      <c r="E761" t="s">
        <v>22</v>
      </c>
      <c r="F761" s="79">
        <v>46022</v>
      </c>
      <c r="G761">
        <v>2025</v>
      </c>
      <c r="H761" t="s">
        <v>23</v>
      </c>
      <c r="I761" t="s">
        <v>32</v>
      </c>
      <c r="J761">
        <v>100</v>
      </c>
      <c r="K761">
        <v>100</v>
      </c>
      <c r="L761" s="39">
        <f>IFERROR(IF(OR(J761=0,K761=""),"",IF(E761="Positivo",MIN(MAX(K761/J761,0),1.3),MIN(MAX(J761/K761,0),1.3))),"")</f>
        <v>1</v>
      </c>
      <c r="M761" s="39">
        <f t="shared" si="71"/>
        <v>1</v>
      </c>
      <c r="N761" t="s">
        <v>355</v>
      </c>
      <c r="O761" t="s">
        <v>128</v>
      </c>
      <c r="P761">
        <v>0</v>
      </c>
      <c r="Q761">
        <v>0</v>
      </c>
      <c r="R761" t="s">
        <v>1155</v>
      </c>
    </row>
    <row r="762" spans="1:18" hidden="1" x14ac:dyDescent="0.3">
      <c r="A762">
        <v>414</v>
      </c>
      <c r="B762" t="s">
        <v>1156</v>
      </c>
      <c r="C762" t="s">
        <v>567</v>
      </c>
      <c r="D762" t="s">
        <v>21</v>
      </c>
      <c r="E762" t="s">
        <v>22</v>
      </c>
      <c r="F762" s="79">
        <v>45291</v>
      </c>
      <c r="G762">
        <v>2023</v>
      </c>
      <c r="H762" t="s">
        <v>23</v>
      </c>
      <c r="I762" t="s">
        <v>28</v>
      </c>
      <c r="J762">
        <v>100</v>
      </c>
      <c r="K762">
        <v>96.28</v>
      </c>
      <c r="L762" s="39">
        <f t="shared" ref="L762:L776" si="72">IFERROR(IF(OR(J762=0,K762=""),"",IF(E762="Positivo",MIN(MAX(K762/J762,0),1),MIN(MAX(J762/K762,0),1))),"")</f>
        <v>0.96279999999999999</v>
      </c>
      <c r="M762" s="39">
        <f t="shared" si="71"/>
        <v>0.96279999999999999</v>
      </c>
      <c r="N762" t="s">
        <v>355</v>
      </c>
      <c r="O762" t="s">
        <v>128</v>
      </c>
      <c r="P762">
        <v>0</v>
      </c>
      <c r="Q762">
        <v>0</v>
      </c>
      <c r="R762" t="s">
        <v>1157</v>
      </c>
    </row>
    <row r="763" spans="1:18" hidden="1" x14ac:dyDescent="0.3">
      <c r="A763">
        <v>414</v>
      </c>
      <c r="B763" t="s">
        <v>1156</v>
      </c>
      <c r="C763" t="s">
        <v>567</v>
      </c>
      <c r="D763" t="s">
        <v>21</v>
      </c>
      <c r="E763" t="s">
        <v>22</v>
      </c>
      <c r="F763" s="79">
        <v>45657</v>
      </c>
      <c r="G763">
        <v>2024</v>
      </c>
      <c r="H763" t="s">
        <v>23</v>
      </c>
      <c r="I763" t="s">
        <v>30</v>
      </c>
      <c r="J763">
        <v>100</v>
      </c>
      <c r="K763">
        <v>98.78</v>
      </c>
      <c r="L763" s="39">
        <f t="shared" si="72"/>
        <v>0.98780000000000001</v>
      </c>
      <c r="M763" s="39">
        <f t="shared" si="71"/>
        <v>0.98780000000000001</v>
      </c>
      <c r="N763" t="s">
        <v>25</v>
      </c>
      <c r="O763" t="s">
        <v>25</v>
      </c>
      <c r="P763">
        <v>0</v>
      </c>
      <c r="Q763">
        <v>0</v>
      </c>
      <c r="R763" t="s">
        <v>1158</v>
      </c>
    </row>
    <row r="764" spans="1:18" hidden="1" x14ac:dyDescent="0.3">
      <c r="A764">
        <v>414</v>
      </c>
      <c r="B764" t="s">
        <v>1156</v>
      </c>
      <c r="C764" t="s">
        <v>567</v>
      </c>
      <c r="D764" t="s">
        <v>27</v>
      </c>
      <c r="E764" t="s">
        <v>22</v>
      </c>
      <c r="F764" s="79">
        <v>46022</v>
      </c>
      <c r="G764">
        <v>2025</v>
      </c>
      <c r="H764" t="s">
        <v>23</v>
      </c>
      <c r="I764" t="s">
        <v>32</v>
      </c>
      <c r="J764">
        <v>100</v>
      </c>
      <c r="K764">
        <v>98.87</v>
      </c>
      <c r="L764" s="39">
        <f t="shared" si="72"/>
        <v>0.98870000000000002</v>
      </c>
      <c r="M764" s="39">
        <f t="shared" si="71"/>
        <v>0.98870000000000002</v>
      </c>
      <c r="N764" t="s">
        <v>25</v>
      </c>
      <c r="O764" t="s">
        <v>25</v>
      </c>
      <c r="P764">
        <v>0</v>
      </c>
      <c r="Q764">
        <v>0</v>
      </c>
      <c r="R764" t="s">
        <v>1159</v>
      </c>
    </row>
    <row r="765" spans="1:18" hidden="1" x14ac:dyDescent="0.3">
      <c r="A765">
        <v>415</v>
      </c>
      <c r="B765" t="s">
        <v>1160</v>
      </c>
      <c r="C765" t="s">
        <v>567</v>
      </c>
      <c r="D765" t="s">
        <v>21</v>
      </c>
      <c r="E765" t="s">
        <v>22</v>
      </c>
      <c r="F765" s="79">
        <v>45291</v>
      </c>
      <c r="G765">
        <v>2023</v>
      </c>
      <c r="H765" t="s">
        <v>23</v>
      </c>
      <c r="I765" t="s">
        <v>28</v>
      </c>
      <c r="J765">
        <v>100</v>
      </c>
      <c r="K765">
        <v>96</v>
      </c>
      <c r="L765" s="39">
        <f t="shared" si="72"/>
        <v>0.96</v>
      </c>
      <c r="M765" s="39">
        <f t="shared" si="71"/>
        <v>0.96</v>
      </c>
      <c r="N765" t="s">
        <v>25</v>
      </c>
      <c r="O765" t="s">
        <v>25</v>
      </c>
      <c r="P765">
        <v>0</v>
      </c>
      <c r="Q765">
        <v>0</v>
      </c>
      <c r="R765" t="s">
        <v>1161</v>
      </c>
    </row>
    <row r="766" spans="1:18" hidden="1" x14ac:dyDescent="0.3">
      <c r="A766">
        <v>415</v>
      </c>
      <c r="B766" t="s">
        <v>1160</v>
      </c>
      <c r="C766" t="s">
        <v>567</v>
      </c>
      <c r="D766" t="s">
        <v>21</v>
      </c>
      <c r="E766" t="s">
        <v>22</v>
      </c>
      <c r="F766" s="79">
        <v>45657</v>
      </c>
      <c r="G766">
        <v>2024</v>
      </c>
      <c r="H766" t="s">
        <v>23</v>
      </c>
      <c r="I766" t="s">
        <v>30</v>
      </c>
      <c r="J766">
        <v>100</v>
      </c>
      <c r="K766">
        <v>98.36</v>
      </c>
      <c r="L766" s="39">
        <f t="shared" si="72"/>
        <v>0.98360000000000003</v>
      </c>
      <c r="M766" s="39">
        <f t="shared" si="71"/>
        <v>0.98360000000000003</v>
      </c>
      <c r="N766" t="s">
        <v>25</v>
      </c>
      <c r="O766" t="s">
        <v>25</v>
      </c>
      <c r="P766">
        <v>0</v>
      </c>
      <c r="Q766">
        <v>0</v>
      </c>
      <c r="R766" t="s">
        <v>1162</v>
      </c>
    </row>
    <row r="767" spans="1:18" hidden="1" x14ac:dyDescent="0.3">
      <c r="A767">
        <v>415</v>
      </c>
      <c r="B767" t="s">
        <v>1160</v>
      </c>
      <c r="C767" t="s">
        <v>567</v>
      </c>
      <c r="D767" t="s">
        <v>27</v>
      </c>
      <c r="E767" t="s">
        <v>22</v>
      </c>
      <c r="F767" s="79">
        <v>46022</v>
      </c>
      <c r="G767">
        <v>2025</v>
      </c>
      <c r="H767" t="s">
        <v>23</v>
      </c>
      <c r="I767" t="s">
        <v>32</v>
      </c>
      <c r="J767">
        <v>100</v>
      </c>
      <c r="K767">
        <v>99.3</v>
      </c>
      <c r="L767" s="39">
        <f t="shared" si="72"/>
        <v>0.99299999999999999</v>
      </c>
      <c r="M767" s="39">
        <f t="shared" si="71"/>
        <v>0.99299999999999999</v>
      </c>
      <c r="N767" t="s">
        <v>25</v>
      </c>
      <c r="O767" t="s">
        <v>25</v>
      </c>
      <c r="P767">
        <v>0</v>
      </c>
      <c r="Q767">
        <v>0</v>
      </c>
      <c r="R767" t="s">
        <v>1163</v>
      </c>
    </row>
    <row r="768" spans="1:18" hidden="1" x14ac:dyDescent="0.3">
      <c r="A768">
        <v>416</v>
      </c>
      <c r="B768" t="s">
        <v>1164</v>
      </c>
      <c r="C768" t="s">
        <v>567</v>
      </c>
      <c r="D768" t="s">
        <v>21</v>
      </c>
      <c r="E768" t="s">
        <v>22</v>
      </c>
      <c r="F768" s="79">
        <v>45291</v>
      </c>
      <c r="G768">
        <v>2023</v>
      </c>
      <c r="H768" t="s">
        <v>23</v>
      </c>
      <c r="I768" t="s">
        <v>28</v>
      </c>
      <c r="J768">
        <v>100</v>
      </c>
      <c r="K768">
        <v>98</v>
      </c>
      <c r="L768" s="39">
        <f t="shared" si="72"/>
        <v>0.98</v>
      </c>
      <c r="M768" s="39">
        <f t="shared" si="71"/>
        <v>0.98</v>
      </c>
      <c r="N768" t="s">
        <v>25</v>
      </c>
      <c r="O768" t="s">
        <v>25</v>
      </c>
      <c r="P768">
        <v>0</v>
      </c>
      <c r="Q768">
        <v>0</v>
      </c>
      <c r="R768" t="s">
        <v>1165</v>
      </c>
    </row>
    <row r="769" spans="1:18" hidden="1" x14ac:dyDescent="0.3">
      <c r="A769">
        <v>416</v>
      </c>
      <c r="B769" t="s">
        <v>1164</v>
      </c>
      <c r="C769" t="s">
        <v>567</v>
      </c>
      <c r="D769" t="s">
        <v>21</v>
      </c>
      <c r="E769" t="s">
        <v>22</v>
      </c>
      <c r="F769" s="79">
        <v>45657</v>
      </c>
      <c r="G769">
        <v>2024</v>
      </c>
      <c r="H769" t="s">
        <v>23</v>
      </c>
      <c r="I769" t="s">
        <v>30</v>
      </c>
      <c r="J769">
        <v>100</v>
      </c>
      <c r="K769">
        <v>100</v>
      </c>
      <c r="L769" s="39">
        <f t="shared" si="72"/>
        <v>1</v>
      </c>
      <c r="M769" s="39">
        <f t="shared" si="71"/>
        <v>1</v>
      </c>
      <c r="N769" t="s">
        <v>25</v>
      </c>
      <c r="O769" t="s">
        <v>25</v>
      </c>
      <c r="P769">
        <v>0</v>
      </c>
      <c r="Q769">
        <v>0</v>
      </c>
      <c r="R769" t="s">
        <v>1166</v>
      </c>
    </row>
    <row r="770" spans="1:18" hidden="1" x14ac:dyDescent="0.3">
      <c r="A770">
        <v>416</v>
      </c>
      <c r="B770" t="s">
        <v>1164</v>
      </c>
      <c r="C770" t="s">
        <v>567</v>
      </c>
      <c r="D770" t="s">
        <v>27</v>
      </c>
      <c r="E770" t="s">
        <v>22</v>
      </c>
      <c r="F770" s="79">
        <v>46022</v>
      </c>
      <c r="G770">
        <v>2025</v>
      </c>
      <c r="H770" t="s">
        <v>23</v>
      </c>
      <c r="I770" t="s">
        <v>32</v>
      </c>
      <c r="J770">
        <v>100</v>
      </c>
      <c r="K770">
        <v>100</v>
      </c>
      <c r="L770" s="39">
        <f t="shared" si="72"/>
        <v>1</v>
      </c>
      <c r="M770" s="39">
        <f t="shared" si="71"/>
        <v>1</v>
      </c>
      <c r="N770" t="s">
        <v>25</v>
      </c>
      <c r="O770" t="s">
        <v>25</v>
      </c>
      <c r="P770">
        <v>0</v>
      </c>
      <c r="Q770">
        <v>0</v>
      </c>
      <c r="R770" t="s">
        <v>1167</v>
      </c>
    </row>
    <row r="771" spans="1:18" hidden="1" x14ac:dyDescent="0.3">
      <c r="A771">
        <v>417</v>
      </c>
      <c r="B771" t="s">
        <v>1168</v>
      </c>
      <c r="C771" t="s">
        <v>567</v>
      </c>
      <c r="D771" t="s">
        <v>21</v>
      </c>
      <c r="E771" t="s">
        <v>22</v>
      </c>
      <c r="F771" s="79">
        <v>45291</v>
      </c>
      <c r="G771">
        <v>2023</v>
      </c>
      <c r="H771" t="s">
        <v>23</v>
      </c>
      <c r="I771" t="s">
        <v>28</v>
      </c>
      <c r="J771">
        <v>100</v>
      </c>
      <c r="K771">
        <v>94.39</v>
      </c>
      <c r="L771" s="39">
        <f t="shared" si="72"/>
        <v>0.94389999999999996</v>
      </c>
      <c r="M771" s="39">
        <f t="shared" si="71"/>
        <v>0.94389999999999996</v>
      </c>
      <c r="N771" t="s">
        <v>25</v>
      </c>
      <c r="O771" t="s">
        <v>25</v>
      </c>
      <c r="P771">
        <v>0</v>
      </c>
      <c r="Q771">
        <v>0</v>
      </c>
      <c r="R771" t="s">
        <v>1169</v>
      </c>
    </row>
    <row r="772" spans="1:18" hidden="1" x14ac:dyDescent="0.3">
      <c r="A772">
        <v>417</v>
      </c>
      <c r="B772" t="s">
        <v>1168</v>
      </c>
      <c r="C772" t="s">
        <v>567</v>
      </c>
      <c r="D772" t="s">
        <v>21</v>
      </c>
      <c r="E772" t="s">
        <v>22</v>
      </c>
      <c r="F772" s="79">
        <v>45657</v>
      </c>
      <c r="G772">
        <v>2024</v>
      </c>
      <c r="H772" t="s">
        <v>23</v>
      </c>
      <c r="I772" t="s">
        <v>30</v>
      </c>
      <c r="J772">
        <v>100</v>
      </c>
      <c r="K772">
        <v>98.83</v>
      </c>
      <c r="L772" s="39">
        <f t="shared" si="72"/>
        <v>0.98829999999999996</v>
      </c>
      <c r="M772" s="39">
        <f t="shared" si="71"/>
        <v>0.98829999999999996</v>
      </c>
      <c r="N772" t="s">
        <v>25</v>
      </c>
      <c r="O772" t="s">
        <v>25</v>
      </c>
      <c r="P772">
        <v>0</v>
      </c>
      <c r="Q772">
        <v>0</v>
      </c>
      <c r="R772" t="s">
        <v>1170</v>
      </c>
    </row>
    <row r="773" spans="1:18" hidden="1" x14ac:dyDescent="0.3">
      <c r="A773">
        <v>417</v>
      </c>
      <c r="B773" t="s">
        <v>1168</v>
      </c>
      <c r="C773" t="s">
        <v>567</v>
      </c>
      <c r="D773" t="s">
        <v>27</v>
      </c>
      <c r="E773" t="s">
        <v>22</v>
      </c>
      <c r="F773" s="79">
        <v>46022</v>
      </c>
      <c r="G773">
        <v>2025</v>
      </c>
      <c r="H773" t="s">
        <v>23</v>
      </c>
      <c r="I773" t="s">
        <v>32</v>
      </c>
      <c r="J773">
        <v>100</v>
      </c>
      <c r="K773">
        <v>97.99</v>
      </c>
      <c r="L773" s="39">
        <f t="shared" si="72"/>
        <v>0.97989999999999999</v>
      </c>
      <c r="M773" s="39">
        <f t="shared" si="71"/>
        <v>0.97989999999999999</v>
      </c>
      <c r="N773" t="s">
        <v>25</v>
      </c>
      <c r="O773" t="s">
        <v>25</v>
      </c>
      <c r="P773">
        <v>0</v>
      </c>
      <c r="Q773">
        <v>0</v>
      </c>
      <c r="R773" t="s">
        <v>1171</v>
      </c>
    </row>
    <row r="774" spans="1:18" hidden="1" x14ac:dyDescent="0.3">
      <c r="A774">
        <v>418</v>
      </c>
      <c r="B774" t="s">
        <v>1172</v>
      </c>
      <c r="C774" t="s">
        <v>567</v>
      </c>
      <c r="D774" t="s">
        <v>21</v>
      </c>
      <c r="E774" t="s">
        <v>22</v>
      </c>
      <c r="F774" s="79">
        <v>45291</v>
      </c>
      <c r="G774">
        <v>2023</v>
      </c>
      <c r="H774" t="s">
        <v>23</v>
      </c>
      <c r="I774" t="s">
        <v>28</v>
      </c>
      <c r="J774">
        <v>100</v>
      </c>
      <c r="K774">
        <v>95.802222222221999</v>
      </c>
      <c r="L774" s="39">
        <f t="shared" si="72"/>
        <v>0.95802222222222</v>
      </c>
      <c r="M774" s="39">
        <f t="shared" si="71"/>
        <v>0.95802222222222</v>
      </c>
      <c r="N774" t="s">
        <v>25</v>
      </c>
      <c r="O774" t="s">
        <v>25</v>
      </c>
      <c r="P774">
        <v>0</v>
      </c>
      <c r="Q774">
        <v>0</v>
      </c>
      <c r="R774" t="s">
        <v>1173</v>
      </c>
    </row>
    <row r="775" spans="1:18" hidden="1" x14ac:dyDescent="0.3">
      <c r="A775">
        <v>418</v>
      </c>
      <c r="B775" t="s">
        <v>1172</v>
      </c>
      <c r="C775" t="s">
        <v>567</v>
      </c>
      <c r="D775" t="s">
        <v>21</v>
      </c>
      <c r="E775" t="s">
        <v>22</v>
      </c>
      <c r="F775" s="79">
        <v>45657</v>
      </c>
      <c r="G775">
        <v>2024</v>
      </c>
      <c r="H775" t="s">
        <v>23</v>
      </c>
      <c r="I775" t="s">
        <v>30</v>
      </c>
      <c r="J775">
        <v>100</v>
      </c>
      <c r="K775">
        <v>97.78</v>
      </c>
      <c r="L775" s="39">
        <f t="shared" si="72"/>
        <v>0.9778</v>
      </c>
      <c r="M775" s="39">
        <f t="shared" si="71"/>
        <v>0.9778</v>
      </c>
      <c r="N775" t="s">
        <v>25</v>
      </c>
      <c r="O775" t="s">
        <v>25</v>
      </c>
      <c r="P775">
        <v>0</v>
      </c>
      <c r="Q775">
        <v>0</v>
      </c>
      <c r="R775" t="s">
        <v>1174</v>
      </c>
    </row>
    <row r="776" spans="1:18" hidden="1" x14ac:dyDescent="0.3">
      <c r="A776">
        <v>418</v>
      </c>
      <c r="B776" t="s">
        <v>1172</v>
      </c>
      <c r="C776" t="s">
        <v>567</v>
      </c>
      <c r="D776" t="s">
        <v>27</v>
      </c>
      <c r="E776" t="s">
        <v>22</v>
      </c>
      <c r="F776" s="79">
        <v>46022</v>
      </c>
      <c r="G776">
        <v>2025</v>
      </c>
      <c r="H776" t="s">
        <v>23</v>
      </c>
      <c r="I776" t="s">
        <v>32</v>
      </c>
      <c r="J776">
        <v>100</v>
      </c>
      <c r="K776">
        <v>99.61</v>
      </c>
      <c r="L776" s="39">
        <f t="shared" si="72"/>
        <v>0.99609999999999999</v>
      </c>
      <c r="M776" s="39">
        <f t="shared" si="71"/>
        <v>0.99609999999999999</v>
      </c>
      <c r="N776" t="s">
        <v>25</v>
      </c>
      <c r="O776" t="s">
        <v>25</v>
      </c>
      <c r="P776">
        <v>0</v>
      </c>
      <c r="Q776">
        <v>0</v>
      </c>
      <c r="R776" t="s">
        <v>1175</v>
      </c>
    </row>
    <row r="777" spans="1:18" hidden="1" x14ac:dyDescent="0.3">
      <c r="A777">
        <v>419</v>
      </c>
      <c r="B777" t="s">
        <v>1176</v>
      </c>
      <c r="C777" t="s">
        <v>567</v>
      </c>
      <c r="D777" t="s">
        <v>21</v>
      </c>
      <c r="E777" t="s">
        <v>22</v>
      </c>
      <c r="F777" s="79">
        <v>45291</v>
      </c>
      <c r="G777">
        <v>2023</v>
      </c>
      <c r="H777" t="s">
        <v>23</v>
      </c>
      <c r="I777" t="s">
        <v>28</v>
      </c>
      <c r="J777">
        <v>100</v>
      </c>
      <c r="K777">
        <v>93.56</v>
      </c>
      <c r="L777" s="39">
        <f>IFERROR(IF(OR(J777=0,K777=""),"",IF(E777="Positivo",MIN(MAX(K777/J777,0),1.3),MIN(MAX(J777/K777,0),1.3))),"")</f>
        <v>0.93559999999999999</v>
      </c>
      <c r="M777" s="39">
        <f t="shared" si="71"/>
        <v>0.93559999999999999</v>
      </c>
      <c r="N777" t="s">
        <v>25</v>
      </c>
      <c r="O777" t="s">
        <v>25</v>
      </c>
      <c r="P777">
        <v>0</v>
      </c>
      <c r="Q777">
        <v>0</v>
      </c>
      <c r="R777" t="s">
        <v>1177</v>
      </c>
    </row>
    <row r="778" spans="1:18" hidden="1" x14ac:dyDescent="0.3">
      <c r="A778">
        <v>420</v>
      </c>
      <c r="B778" t="s">
        <v>1178</v>
      </c>
      <c r="C778" t="s">
        <v>567</v>
      </c>
      <c r="D778" t="s">
        <v>21</v>
      </c>
      <c r="E778" t="s">
        <v>22</v>
      </c>
      <c r="F778" s="79">
        <v>45291</v>
      </c>
      <c r="G778">
        <v>2023</v>
      </c>
      <c r="H778" t="s">
        <v>23</v>
      </c>
      <c r="I778" t="s">
        <v>28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1"/>
        <v>1</v>
      </c>
      <c r="N778" t="s">
        <v>25</v>
      </c>
      <c r="O778" t="s">
        <v>25</v>
      </c>
      <c r="P778">
        <v>0</v>
      </c>
      <c r="Q778">
        <v>0</v>
      </c>
      <c r="R778" t="s">
        <v>1179</v>
      </c>
    </row>
    <row r="779" spans="1:18" hidden="1" x14ac:dyDescent="0.3">
      <c r="A779">
        <v>420</v>
      </c>
      <c r="B779" t="s">
        <v>1178</v>
      </c>
      <c r="C779" t="s">
        <v>567</v>
      </c>
      <c r="D779" t="s">
        <v>21</v>
      </c>
      <c r="E779" t="s">
        <v>22</v>
      </c>
      <c r="F779" s="79">
        <v>45657</v>
      </c>
      <c r="G779">
        <v>2024</v>
      </c>
      <c r="H779" t="s">
        <v>23</v>
      </c>
      <c r="I779" t="s">
        <v>30</v>
      </c>
      <c r="J779">
        <v>100</v>
      </c>
      <c r="K779">
        <v>96.67</v>
      </c>
      <c r="L779" s="39">
        <f>IFERROR(IF(OR(J779=0,K779=""),"",IF(E779="Positivo",MIN(MAX(K779/J779,0),1),MIN(MAX(J779/K779,0),1))),"")</f>
        <v>0.9667</v>
      </c>
      <c r="M779" s="39">
        <f t="shared" si="71"/>
        <v>0.9667</v>
      </c>
      <c r="N779" t="s">
        <v>25</v>
      </c>
      <c r="O779" t="s">
        <v>25</v>
      </c>
      <c r="P779">
        <v>0</v>
      </c>
      <c r="Q779">
        <v>0</v>
      </c>
      <c r="R779" t="s">
        <v>1180</v>
      </c>
    </row>
    <row r="780" spans="1:18" hidden="1" x14ac:dyDescent="0.3">
      <c r="A780">
        <v>420</v>
      </c>
      <c r="B780" t="s">
        <v>1178</v>
      </c>
      <c r="C780" t="s">
        <v>567</v>
      </c>
      <c r="D780" t="s">
        <v>27</v>
      </c>
      <c r="E780" t="s">
        <v>22</v>
      </c>
      <c r="F780" s="79">
        <v>46022</v>
      </c>
      <c r="G780">
        <v>2025</v>
      </c>
      <c r="H780" t="s">
        <v>23</v>
      </c>
      <c r="I780" t="s">
        <v>32</v>
      </c>
      <c r="J780">
        <v>100</v>
      </c>
      <c r="K780">
        <v>100</v>
      </c>
      <c r="L780" s="39">
        <f>IFERROR(IF(OR(J780=0,K780=""),"",IF(E780="Positivo",MIN(MAX(K780/J780,0),1),MIN(MAX(J780/K780,0),1))),"")</f>
        <v>1</v>
      </c>
      <c r="M780" s="39">
        <f t="shared" si="71"/>
        <v>1</v>
      </c>
      <c r="N780" t="s">
        <v>25</v>
      </c>
      <c r="O780" t="s">
        <v>25</v>
      </c>
      <c r="P780">
        <v>0</v>
      </c>
      <c r="Q780">
        <v>0</v>
      </c>
      <c r="R780" t="s">
        <v>1181</v>
      </c>
    </row>
    <row r="781" spans="1:18" hidden="1" x14ac:dyDescent="0.3">
      <c r="A781">
        <v>421</v>
      </c>
      <c r="B781" t="s">
        <v>1182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201272</v>
      </c>
      <c r="K781">
        <v>276201</v>
      </c>
      <c r="L781" s="39">
        <f t="shared" ref="L781:L793" si="73">IFERROR(IF(OR(J781=0,K781=""),"",IF(E781="Positivo",MIN(MAX(K781/J781,0),1.3),MIN(MAX(J781/K781,0),1.3))),"")</f>
        <v>1.3</v>
      </c>
      <c r="M781" s="39">
        <f t="shared" si="71"/>
        <v>1.3722773162685322</v>
      </c>
      <c r="N781" t="s">
        <v>128</v>
      </c>
      <c r="O781" t="s">
        <v>128</v>
      </c>
      <c r="P781">
        <v>0</v>
      </c>
      <c r="Q781">
        <v>0</v>
      </c>
      <c r="R781" t="s">
        <v>1184</v>
      </c>
    </row>
    <row r="782" spans="1:18" hidden="1" x14ac:dyDescent="0.3">
      <c r="A782">
        <v>421</v>
      </c>
      <c r="B782" t="s">
        <v>1182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100</v>
      </c>
      <c r="K782">
        <v>121.44</v>
      </c>
      <c r="L782" s="39">
        <f t="shared" si="73"/>
        <v>1.2143999999999999</v>
      </c>
      <c r="M782" s="39">
        <f t="shared" si="71"/>
        <v>1.2143999999999999</v>
      </c>
      <c r="N782" t="s">
        <v>128</v>
      </c>
      <c r="O782" t="s">
        <v>128</v>
      </c>
      <c r="P782">
        <v>0</v>
      </c>
      <c r="Q782">
        <v>0</v>
      </c>
      <c r="R782" t="s">
        <v>1185</v>
      </c>
    </row>
    <row r="783" spans="1:18" hidden="1" x14ac:dyDescent="0.3">
      <c r="A783">
        <v>422</v>
      </c>
      <c r="B783" t="s">
        <v>1186</v>
      </c>
      <c r="C783" t="s">
        <v>1183</v>
      </c>
      <c r="D783" t="s">
        <v>27</v>
      </c>
      <c r="E783" t="s">
        <v>22</v>
      </c>
      <c r="F783" s="79">
        <v>45291</v>
      </c>
      <c r="G783">
        <v>2023</v>
      </c>
      <c r="H783" t="s">
        <v>23</v>
      </c>
      <c r="I783" t="s">
        <v>28</v>
      </c>
      <c r="J783">
        <v>10.5</v>
      </c>
      <c r="K783">
        <v>11.04</v>
      </c>
      <c r="L783" s="39">
        <f t="shared" si="73"/>
        <v>1.0514285714285714</v>
      </c>
      <c r="M783" s="39">
        <f t="shared" si="71"/>
        <v>1.0514285714285714</v>
      </c>
      <c r="N783" t="s">
        <v>25</v>
      </c>
      <c r="O783" t="s">
        <v>25</v>
      </c>
      <c r="P783">
        <v>2</v>
      </c>
      <c r="Q783">
        <v>2</v>
      </c>
      <c r="R783" t="s">
        <v>1187</v>
      </c>
    </row>
    <row r="784" spans="1:18" hidden="1" x14ac:dyDescent="0.3">
      <c r="A784">
        <v>422</v>
      </c>
      <c r="B784" t="s">
        <v>1186</v>
      </c>
      <c r="C784" t="s">
        <v>1183</v>
      </c>
      <c r="D784" t="s">
        <v>27</v>
      </c>
      <c r="E784" t="s">
        <v>22</v>
      </c>
      <c r="F784" s="79">
        <v>45657</v>
      </c>
      <c r="G784">
        <v>2024</v>
      </c>
      <c r="H784" t="s">
        <v>23</v>
      </c>
      <c r="I784" t="s">
        <v>30</v>
      </c>
      <c r="J784">
        <v>8.01</v>
      </c>
      <c r="K784">
        <v>7.91</v>
      </c>
      <c r="L784" s="39">
        <f t="shared" si="73"/>
        <v>0.98751560549313366</v>
      </c>
      <c r="M784" s="39">
        <f t="shared" si="71"/>
        <v>0.98751560549313366</v>
      </c>
      <c r="N784" t="s">
        <v>25</v>
      </c>
      <c r="O784" t="s">
        <v>25</v>
      </c>
      <c r="P784">
        <v>2</v>
      </c>
      <c r="Q784">
        <v>2</v>
      </c>
      <c r="R784" t="s">
        <v>1188</v>
      </c>
    </row>
    <row r="785" spans="1:18" hidden="1" x14ac:dyDescent="0.3">
      <c r="A785">
        <v>422</v>
      </c>
      <c r="B785" t="s">
        <v>1186</v>
      </c>
      <c r="C785" t="s">
        <v>1183</v>
      </c>
      <c r="D785" t="s">
        <v>21</v>
      </c>
      <c r="E785" t="s">
        <v>22</v>
      </c>
      <c r="F785" s="79">
        <v>46022</v>
      </c>
      <c r="G785">
        <v>2025</v>
      </c>
      <c r="H785" t="s">
        <v>23</v>
      </c>
      <c r="I785" t="s">
        <v>32</v>
      </c>
      <c r="J785">
        <v>7.68</v>
      </c>
      <c r="K785">
        <v>7.87</v>
      </c>
      <c r="L785" s="39">
        <f t="shared" si="73"/>
        <v>1.0247395833333335</v>
      </c>
      <c r="M785" s="39">
        <f t="shared" si="71"/>
        <v>1.0247395833333335</v>
      </c>
      <c r="N785" t="s">
        <v>25</v>
      </c>
      <c r="O785" t="s">
        <v>25</v>
      </c>
      <c r="P785">
        <v>2</v>
      </c>
      <c r="Q785">
        <v>2</v>
      </c>
      <c r="R785" t="s">
        <v>1189</v>
      </c>
    </row>
    <row r="786" spans="1:18" hidden="1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45291</v>
      </c>
      <c r="G786">
        <v>2023</v>
      </c>
      <c r="H786" t="s">
        <v>23</v>
      </c>
      <c r="I786" t="s">
        <v>28</v>
      </c>
      <c r="J786">
        <v>8.4</v>
      </c>
      <c r="K786">
        <v>7.9</v>
      </c>
      <c r="L786" s="39">
        <f t="shared" si="73"/>
        <v>0.94047619047619047</v>
      </c>
      <c r="M786" s="39">
        <f t="shared" si="71"/>
        <v>0.94047619047619047</v>
      </c>
      <c r="N786" t="s">
        <v>136</v>
      </c>
      <c r="O786" t="s">
        <v>136</v>
      </c>
      <c r="P786">
        <v>1</v>
      </c>
      <c r="Q786">
        <v>1</v>
      </c>
      <c r="R786" t="s">
        <v>1191</v>
      </c>
    </row>
    <row r="787" spans="1:18" hidden="1" x14ac:dyDescent="0.3">
      <c r="A787">
        <v>423</v>
      </c>
      <c r="B787" t="s">
        <v>1190</v>
      </c>
      <c r="C787" t="s">
        <v>1183</v>
      </c>
      <c r="D787" t="s">
        <v>71</v>
      </c>
      <c r="E787" t="s">
        <v>22</v>
      </c>
      <c r="F787" s="79">
        <v>45657</v>
      </c>
      <c r="G787">
        <v>2024</v>
      </c>
      <c r="H787" t="s">
        <v>23</v>
      </c>
      <c r="I787" t="s">
        <v>30</v>
      </c>
      <c r="J787">
        <v>8.3000000000000007</v>
      </c>
      <c r="K787">
        <v>12.3</v>
      </c>
      <c r="L787" s="39">
        <f t="shared" si="73"/>
        <v>1.3</v>
      </c>
      <c r="M787" s="39">
        <f t="shared" si="71"/>
        <v>1.4819277108433735</v>
      </c>
      <c r="N787" t="s">
        <v>136</v>
      </c>
      <c r="O787" t="s">
        <v>136</v>
      </c>
      <c r="P787">
        <v>1</v>
      </c>
      <c r="Q787">
        <v>1</v>
      </c>
      <c r="R787" t="s">
        <v>1192</v>
      </c>
    </row>
    <row r="788" spans="1:18" hidden="1" x14ac:dyDescent="0.3">
      <c r="A788">
        <v>423</v>
      </c>
      <c r="B788" t="s">
        <v>1190</v>
      </c>
      <c r="C788" t="s">
        <v>1183</v>
      </c>
      <c r="D788" t="s">
        <v>71</v>
      </c>
      <c r="E788" t="s">
        <v>22</v>
      </c>
      <c r="F788" s="79">
        <v>46022</v>
      </c>
      <c r="G788">
        <v>2025</v>
      </c>
      <c r="H788" t="s">
        <v>23</v>
      </c>
      <c r="I788" t="s">
        <v>32</v>
      </c>
      <c r="J788">
        <v>12.3</v>
      </c>
      <c r="K788">
        <v>15.1</v>
      </c>
      <c r="L788" s="39">
        <f t="shared" si="73"/>
        <v>1.2276422764227641</v>
      </c>
      <c r="M788" s="39">
        <f t="shared" si="71"/>
        <v>1.2276422764227641</v>
      </c>
      <c r="N788" t="s">
        <v>136</v>
      </c>
      <c r="O788" t="s">
        <v>136</v>
      </c>
      <c r="P788">
        <v>1</v>
      </c>
      <c r="Q788">
        <v>1</v>
      </c>
      <c r="R788" t="s">
        <v>1193</v>
      </c>
    </row>
    <row r="789" spans="1:18" hidden="1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45291</v>
      </c>
      <c r="G789">
        <v>2023</v>
      </c>
      <c r="H789" t="s">
        <v>23</v>
      </c>
      <c r="I789" t="s">
        <v>28</v>
      </c>
      <c r="J789">
        <v>92</v>
      </c>
      <c r="K789">
        <v>6</v>
      </c>
      <c r="L789" s="39">
        <f t="shared" si="73"/>
        <v>6.5217391304347824E-2</v>
      </c>
      <c r="M789" s="39">
        <f t="shared" si="71"/>
        <v>6.5217391304347824E-2</v>
      </c>
      <c r="N789" t="s">
        <v>128</v>
      </c>
      <c r="O789" t="s">
        <v>128</v>
      </c>
      <c r="P789">
        <v>0</v>
      </c>
      <c r="Q789">
        <v>0</v>
      </c>
      <c r="R789" t="s">
        <v>1195</v>
      </c>
    </row>
    <row r="790" spans="1:18" hidden="1" x14ac:dyDescent="0.3">
      <c r="A790">
        <v>424</v>
      </c>
      <c r="B790" t="s">
        <v>1194</v>
      </c>
      <c r="C790" t="s">
        <v>1183</v>
      </c>
      <c r="D790" t="s">
        <v>71</v>
      </c>
      <c r="E790" t="s">
        <v>22</v>
      </c>
      <c r="F790" s="79">
        <v>45657</v>
      </c>
      <c r="G790">
        <v>2024</v>
      </c>
      <c r="H790" t="s">
        <v>23</v>
      </c>
      <c r="I790" t="s">
        <v>30</v>
      </c>
      <c r="J790">
        <v>7</v>
      </c>
      <c r="K790">
        <v>9</v>
      </c>
      <c r="L790" s="39">
        <f t="shared" si="73"/>
        <v>1.2857142857142858</v>
      </c>
      <c r="M790" s="39">
        <f t="shared" si="71"/>
        <v>1.2857142857142858</v>
      </c>
      <c r="N790" t="s">
        <v>128</v>
      </c>
      <c r="O790" t="s">
        <v>128</v>
      </c>
      <c r="P790">
        <v>0</v>
      </c>
      <c r="Q790">
        <v>0</v>
      </c>
      <c r="R790" t="s">
        <v>1196</v>
      </c>
    </row>
    <row r="791" spans="1:18" hidden="1" x14ac:dyDescent="0.3">
      <c r="A791">
        <v>424</v>
      </c>
      <c r="B791" t="s">
        <v>1194</v>
      </c>
      <c r="C791" t="s">
        <v>1183</v>
      </c>
      <c r="D791" t="s">
        <v>71</v>
      </c>
      <c r="E791" t="s">
        <v>22</v>
      </c>
      <c r="F791" s="79">
        <v>46022</v>
      </c>
      <c r="G791">
        <v>2025</v>
      </c>
      <c r="H791" t="s">
        <v>23</v>
      </c>
      <c r="I791" t="s">
        <v>32</v>
      </c>
      <c r="J791">
        <v>9</v>
      </c>
      <c r="K791">
        <v>11</v>
      </c>
      <c r="L791" s="39">
        <f t="shared" si="73"/>
        <v>1.2222222222222223</v>
      </c>
      <c r="M791" s="39">
        <f t="shared" si="71"/>
        <v>1.2222222222222223</v>
      </c>
      <c r="N791" t="s">
        <v>128</v>
      </c>
      <c r="O791" t="s">
        <v>128</v>
      </c>
      <c r="P791">
        <v>0</v>
      </c>
      <c r="Q791">
        <v>0</v>
      </c>
      <c r="R791" t="s">
        <v>1197</v>
      </c>
    </row>
    <row r="792" spans="1:18" hidden="1" x14ac:dyDescent="0.3">
      <c r="A792">
        <v>425</v>
      </c>
      <c r="B792" t="s">
        <v>1198</v>
      </c>
      <c r="C792" t="s">
        <v>1044</v>
      </c>
      <c r="D792" t="s">
        <v>71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J792">
        <v>5500</v>
      </c>
      <c r="K792">
        <v>5785</v>
      </c>
      <c r="L792" s="39">
        <f t="shared" si="73"/>
        <v>1.0518181818181818</v>
      </c>
      <c r="M792" s="39">
        <f t="shared" si="71"/>
        <v>1.0518181818181818</v>
      </c>
      <c r="N792" t="s">
        <v>128</v>
      </c>
      <c r="O792" t="s">
        <v>128</v>
      </c>
      <c r="P792">
        <v>0</v>
      </c>
      <c r="Q792">
        <v>0</v>
      </c>
      <c r="R792" t="s">
        <v>1199</v>
      </c>
    </row>
    <row r="793" spans="1:18" hidden="1" x14ac:dyDescent="0.3">
      <c r="A793">
        <v>425</v>
      </c>
      <c r="B793" t="s">
        <v>1198</v>
      </c>
      <c r="C793" t="s">
        <v>1044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100</v>
      </c>
      <c r="K793">
        <v>164.69</v>
      </c>
      <c r="L793" s="39">
        <f t="shared" si="73"/>
        <v>1.3</v>
      </c>
      <c r="M793" s="39">
        <f t="shared" si="71"/>
        <v>1.6469</v>
      </c>
      <c r="N793" t="s">
        <v>128</v>
      </c>
      <c r="O793" t="s">
        <v>128</v>
      </c>
      <c r="P793">
        <v>0</v>
      </c>
      <c r="Q793">
        <v>0</v>
      </c>
      <c r="R793" t="s">
        <v>1200</v>
      </c>
    </row>
    <row r="794" spans="1:18" hidden="1" x14ac:dyDescent="0.3">
      <c r="A794">
        <v>426</v>
      </c>
      <c r="B794" t="s">
        <v>1201</v>
      </c>
      <c r="C794" t="s">
        <v>149</v>
      </c>
      <c r="D794" t="s">
        <v>27</v>
      </c>
      <c r="E794" t="s">
        <v>22</v>
      </c>
      <c r="F794" s="79">
        <v>45291</v>
      </c>
      <c r="G794">
        <v>2023</v>
      </c>
      <c r="H794" t="s">
        <v>23</v>
      </c>
      <c r="I794" t="s">
        <v>28</v>
      </c>
      <c r="K794">
        <v>89.64500000000001</v>
      </c>
      <c r="L794" s="39"/>
      <c r="N794" t="s">
        <v>355</v>
      </c>
      <c r="O794" t="s">
        <v>25</v>
      </c>
      <c r="P794">
        <v>0</v>
      </c>
      <c r="Q794">
        <v>1</v>
      </c>
      <c r="R794" t="s">
        <v>1202</v>
      </c>
    </row>
    <row r="795" spans="1:18" hidden="1" x14ac:dyDescent="0.3">
      <c r="A795">
        <v>426</v>
      </c>
      <c r="B795" t="s">
        <v>1201</v>
      </c>
      <c r="C795" t="s">
        <v>149</v>
      </c>
      <c r="D795" t="s">
        <v>27</v>
      </c>
      <c r="E795" t="s">
        <v>22</v>
      </c>
      <c r="F795" s="79">
        <v>45657</v>
      </c>
      <c r="G795">
        <v>2024</v>
      </c>
      <c r="H795" t="s">
        <v>23</v>
      </c>
      <c r="I795" t="s">
        <v>30</v>
      </c>
      <c r="J795">
        <v>80</v>
      </c>
      <c r="K795">
        <v>73.495000000000005</v>
      </c>
      <c r="L795" s="39">
        <f t="shared" ref="L795:L839" si="74">IFERROR(IF(OR(J795=0,K795=""),"",IF(E795="Positivo",MIN(MAX(K795/J795,0),1.3),MIN(MAX(J795/K795,0),1.3))),"")</f>
        <v>0.9186875000000001</v>
      </c>
      <c r="M795" s="39">
        <f t="shared" ref="M795:M839" si="75">IFERROR(IF(OR(J795=0,K795=""),"",IF(E795="Positivo",MAX(K795/J795,0),MAX(J795/K795,0))),"")</f>
        <v>0.9186875000000001</v>
      </c>
      <c r="N795" t="s">
        <v>355</v>
      </c>
      <c r="O795" t="s">
        <v>25</v>
      </c>
      <c r="P795">
        <v>0</v>
      </c>
      <c r="Q795">
        <v>1</v>
      </c>
      <c r="R795" t="s">
        <v>1203</v>
      </c>
    </row>
    <row r="796" spans="1:18" hidden="1" x14ac:dyDescent="0.3">
      <c r="A796">
        <v>427</v>
      </c>
      <c r="B796" t="s">
        <v>1204</v>
      </c>
      <c r="C796" t="s">
        <v>190</v>
      </c>
      <c r="D796" t="s">
        <v>27</v>
      </c>
      <c r="E796" t="s">
        <v>41</v>
      </c>
      <c r="F796" s="79">
        <v>45291</v>
      </c>
      <c r="G796">
        <v>2023</v>
      </c>
      <c r="H796" t="s">
        <v>23</v>
      </c>
      <c r="I796" t="s">
        <v>28</v>
      </c>
      <c r="J796">
        <v>0.2</v>
      </c>
      <c r="K796">
        <v>0.168333333333335</v>
      </c>
      <c r="L796" s="39">
        <f t="shared" si="74"/>
        <v>1.1881188118811765</v>
      </c>
      <c r="M796" s="39">
        <f t="shared" si="75"/>
        <v>1.1881188118811765</v>
      </c>
      <c r="N796" t="s">
        <v>136</v>
      </c>
      <c r="O796" t="s">
        <v>136</v>
      </c>
      <c r="P796">
        <v>1</v>
      </c>
      <c r="Q796">
        <v>2</v>
      </c>
      <c r="R796" t="s">
        <v>1205</v>
      </c>
    </row>
    <row r="797" spans="1:18" hidden="1" x14ac:dyDescent="0.3">
      <c r="A797">
        <v>427</v>
      </c>
      <c r="B797" t="s">
        <v>1204</v>
      </c>
      <c r="C797" t="s">
        <v>190</v>
      </c>
      <c r="D797" t="s">
        <v>27</v>
      </c>
      <c r="E797" t="s">
        <v>41</v>
      </c>
      <c r="F797" s="79">
        <v>45657</v>
      </c>
      <c r="G797">
        <v>2024</v>
      </c>
      <c r="H797" t="s">
        <v>23</v>
      </c>
      <c r="I797" t="s">
        <v>30</v>
      </c>
      <c r="J797">
        <v>0.2</v>
      </c>
      <c r="K797">
        <v>0.17</v>
      </c>
      <c r="L797" s="39">
        <f t="shared" si="74"/>
        <v>1.1764705882352942</v>
      </c>
      <c r="M797" s="39">
        <f t="shared" si="75"/>
        <v>1.1764705882352942</v>
      </c>
      <c r="N797" t="s">
        <v>136</v>
      </c>
      <c r="O797" t="s">
        <v>136</v>
      </c>
      <c r="P797">
        <v>1</v>
      </c>
      <c r="Q797">
        <v>2</v>
      </c>
      <c r="R797" t="s">
        <v>1206</v>
      </c>
    </row>
    <row r="798" spans="1:18" hidden="1" x14ac:dyDescent="0.3">
      <c r="A798">
        <v>427</v>
      </c>
      <c r="B798" t="s">
        <v>1204</v>
      </c>
      <c r="C798" t="s">
        <v>190</v>
      </c>
      <c r="D798" t="s">
        <v>21</v>
      </c>
      <c r="E798" t="s">
        <v>41</v>
      </c>
      <c r="F798" s="79">
        <v>46022</v>
      </c>
      <c r="G798">
        <v>2025</v>
      </c>
      <c r="H798" t="s">
        <v>23</v>
      </c>
      <c r="I798" t="s">
        <v>32</v>
      </c>
      <c r="J798">
        <v>0.2</v>
      </c>
      <c r="K798">
        <v>0.14499999999999999</v>
      </c>
      <c r="L798" s="39">
        <f t="shared" si="74"/>
        <v>1.3</v>
      </c>
      <c r="M798" s="39">
        <f t="shared" si="75"/>
        <v>1.3793103448275863</v>
      </c>
      <c r="N798" t="s">
        <v>136</v>
      </c>
      <c r="O798" t="s">
        <v>136</v>
      </c>
      <c r="P798">
        <v>2</v>
      </c>
      <c r="Q798">
        <v>2</v>
      </c>
      <c r="R798" t="s">
        <v>1207</v>
      </c>
    </row>
    <row r="799" spans="1:18" hidden="1" x14ac:dyDescent="0.3">
      <c r="A799">
        <v>428</v>
      </c>
      <c r="B799" t="s">
        <v>1208</v>
      </c>
      <c r="C799" t="s">
        <v>190</v>
      </c>
      <c r="D799" t="s">
        <v>27</v>
      </c>
      <c r="E799" t="s">
        <v>41</v>
      </c>
      <c r="F799" s="79">
        <v>45291</v>
      </c>
      <c r="G799">
        <v>2023</v>
      </c>
      <c r="H799" t="s">
        <v>23</v>
      </c>
      <c r="I799" t="s">
        <v>28</v>
      </c>
      <c r="J799">
        <v>1</v>
      </c>
      <c r="K799">
        <v>18.11</v>
      </c>
      <c r="L799" s="39">
        <f t="shared" si="74"/>
        <v>5.5218111540585313E-2</v>
      </c>
      <c r="M799" s="39">
        <f t="shared" si="75"/>
        <v>5.5218111540585313E-2</v>
      </c>
      <c r="N799" t="s">
        <v>424</v>
      </c>
      <c r="O799" t="s">
        <v>424</v>
      </c>
      <c r="P799">
        <v>0</v>
      </c>
      <c r="Q799">
        <v>1</v>
      </c>
      <c r="R799" t="s">
        <v>1209</v>
      </c>
    </row>
    <row r="800" spans="1:18" hidden="1" x14ac:dyDescent="0.3">
      <c r="A800">
        <v>428</v>
      </c>
      <c r="B800" t="s">
        <v>1208</v>
      </c>
      <c r="C800" t="s">
        <v>190</v>
      </c>
      <c r="D800" t="s">
        <v>27</v>
      </c>
      <c r="E800" t="s">
        <v>41</v>
      </c>
      <c r="F800" s="79">
        <v>45657</v>
      </c>
      <c r="G800">
        <v>2024</v>
      </c>
      <c r="H800" t="s">
        <v>23</v>
      </c>
      <c r="I800" t="s">
        <v>30</v>
      </c>
      <c r="J800">
        <v>1</v>
      </c>
      <c r="K800">
        <v>17.555</v>
      </c>
      <c r="L800" s="39">
        <f t="shared" si="74"/>
        <v>5.6963827969239531E-2</v>
      </c>
      <c r="M800" s="39">
        <f t="shared" si="75"/>
        <v>5.6963827969239531E-2</v>
      </c>
      <c r="N800" t="s">
        <v>424</v>
      </c>
      <c r="O800" t="s">
        <v>424</v>
      </c>
      <c r="P800">
        <v>0</v>
      </c>
      <c r="Q800">
        <v>1</v>
      </c>
      <c r="R800" t="s">
        <v>1210</v>
      </c>
    </row>
    <row r="801" spans="1:18" hidden="1" x14ac:dyDescent="0.3">
      <c r="A801">
        <v>428</v>
      </c>
      <c r="B801" t="s">
        <v>1208</v>
      </c>
      <c r="C801" t="s">
        <v>190</v>
      </c>
      <c r="D801" t="s">
        <v>21</v>
      </c>
      <c r="E801" t="s">
        <v>41</v>
      </c>
      <c r="F801" s="79">
        <v>46022</v>
      </c>
      <c r="G801">
        <v>2025</v>
      </c>
      <c r="H801" t="s">
        <v>23</v>
      </c>
      <c r="I801" t="s">
        <v>32</v>
      </c>
      <c r="J801">
        <v>1</v>
      </c>
      <c r="K801">
        <v>16.5</v>
      </c>
      <c r="L801" s="39">
        <f t="shared" si="74"/>
        <v>6.0606060606060608E-2</v>
      </c>
      <c r="M801" s="39">
        <f t="shared" si="75"/>
        <v>6.0606060606060608E-2</v>
      </c>
      <c r="N801" t="s">
        <v>424</v>
      </c>
      <c r="O801" t="s">
        <v>424</v>
      </c>
      <c r="P801">
        <v>0</v>
      </c>
      <c r="Q801">
        <v>1</v>
      </c>
      <c r="R801" t="s">
        <v>1211</v>
      </c>
    </row>
    <row r="802" spans="1:18" hidden="1" x14ac:dyDescent="0.3">
      <c r="A802">
        <v>429</v>
      </c>
      <c r="B802" t="s">
        <v>1212</v>
      </c>
      <c r="C802" t="s">
        <v>190</v>
      </c>
      <c r="D802" t="s">
        <v>27</v>
      </c>
      <c r="E802" t="s">
        <v>41</v>
      </c>
      <c r="F802" s="79">
        <v>45291</v>
      </c>
      <c r="G802">
        <v>2023</v>
      </c>
      <c r="H802" t="s">
        <v>23</v>
      </c>
      <c r="I802" t="s">
        <v>28</v>
      </c>
      <c r="J802">
        <v>0.76</v>
      </c>
      <c r="K802">
        <v>0.53</v>
      </c>
      <c r="L802" s="39">
        <f t="shared" si="74"/>
        <v>1.3</v>
      </c>
      <c r="M802" s="39">
        <f t="shared" si="75"/>
        <v>1.4339622641509433</v>
      </c>
      <c r="N802" t="s">
        <v>136</v>
      </c>
      <c r="O802" t="s">
        <v>136</v>
      </c>
      <c r="P802">
        <v>2</v>
      </c>
      <c r="Q802">
        <v>2</v>
      </c>
      <c r="R802" t="s">
        <v>1213</v>
      </c>
    </row>
    <row r="803" spans="1:18" hidden="1" x14ac:dyDescent="0.3">
      <c r="A803">
        <v>429</v>
      </c>
      <c r="B803" t="s">
        <v>1212</v>
      </c>
      <c r="C803" t="s">
        <v>190</v>
      </c>
      <c r="D803" t="s">
        <v>27</v>
      </c>
      <c r="E803" t="s">
        <v>41</v>
      </c>
      <c r="F803" s="79">
        <v>45657</v>
      </c>
      <c r="G803">
        <v>2024</v>
      </c>
      <c r="H803" t="s">
        <v>23</v>
      </c>
      <c r="I803" t="s">
        <v>30</v>
      </c>
      <c r="J803">
        <v>0.76</v>
      </c>
      <c r="K803">
        <v>0.66500000000000004</v>
      </c>
      <c r="L803" s="39">
        <f t="shared" si="74"/>
        <v>1.1428571428571428</v>
      </c>
      <c r="M803" s="39">
        <f t="shared" si="75"/>
        <v>1.1428571428571428</v>
      </c>
      <c r="N803" t="s">
        <v>136</v>
      </c>
      <c r="O803" t="s">
        <v>136</v>
      </c>
      <c r="P803">
        <v>2</v>
      </c>
      <c r="Q803">
        <v>2</v>
      </c>
      <c r="R803" t="s">
        <v>1214</v>
      </c>
    </row>
    <row r="804" spans="1:18" hidden="1" x14ac:dyDescent="0.3">
      <c r="A804">
        <v>429</v>
      </c>
      <c r="B804" t="s">
        <v>1212</v>
      </c>
      <c r="C804" t="s">
        <v>190</v>
      </c>
      <c r="D804" t="s">
        <v>21</v>
      </c>
      <c r="E804" t="s">
        <v>41</v>
      </c>
      <c r="F804" s="79">
        <v>46022</v>
      </c>
      <c r="G804">
        <v>2025</v>
      </c>
      <c r="H804" t="s">
        <v>23</v>
      </c>
      <c r="I804" t="s">
        <v>32</v>
      </c>
      <c r="J804">
        <v>0.76</v>
      </c>
      <c r="K804">
        <v>0.55499999999999994</v>
      </c>
      <c r="L804" s="39">
        <f t="shared" si="74"/>
        <v>1.3</v>
      </c>
      <c r="M804" s="39">
        <f t="shared" si="75"/>
        <v>1.3693693693693696</v>
      </c>
      <c r="N804" t="s">
        <v>136</v>
      </c>
      <c r="O804" t="s">
        <v>136</v>
      </c>
      <c r="P804">
        <v>2</v>
      </c>
      <c r="Q804">
        <v>2</v>
      </c>
      <c r="R804" t="s">
        <v>1215</v>
      </c>
    </row>
    <row r="805" spans="1:18" hidden="1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45291</v>
      </c>
      <c r="G805">
        <v>2023</v>
      </c>
      <c r="H805" t="s">
        <v>23</v>
      </c>
      <c r="I805" t="s">
        <v>28</v>
      </c>
      <c r="J805">
        <v>95</v>
      </c>
      <c r="K805">
        <v>101.39526345983001</v>
      </c>
      <c r="L805" s="39">
        <f t="shared" si="74"/>
        <v>1.0673185627350528</v>
      </c>
      <c r="M805" s="39">
        <f t="shared" si="75"/>
        <v>1.0673185627350528</v>
      </c>
      <c r="N805" t="s">
        <v>25</v>
      </c>
      <c r="O805" t="s">
        <v>25</v>
      </c>
      <c r="P805">
        <v>0</v>
      </c>
      <c r="Q805">
        <v>0</v>
      </c>
      <c r="R805" t="s">
        <v>1217</v>
      </c>
    </row>
    <row r="806" spans="1:18" hidden="1" x14ac:dyDescent="0.3">
      <c r="A806">
        <v>430</v>
      </c>
      <c r="B806" t="s">
        <v>1216</v>
      </c>
      <c r="C806" t="s">
        <v>159</v>
      </c>
      <c r="D806" t="s">
        <v>27</v>
      </c>
      <c r="E806" t="s">
        <v>22</v>
      </c>
      <c r="F806" s="79">
        <v>45657</v>
      </c>
      <c r="G806">
        <v>2024</v>
      </c>
      <c r="H806" t="s">
        <v>23</v>
      </c>
      <c r="I806" t="s">
        <v>30</v>
      </c>
      <c r="J806">
        <v>95</v>
      </c>
      <c r="K806">
        <v>102.9374919710379</v>
      </c>
      <c r="L806" s="39">
        <f t="shared" si="74"/>
        <v>1.0835525470635567</v>
      </c>
      <c r="M806" s="39">
        <f t="shared" si="75"/>
        <v>1.0835525470635567</v>
      </c>
      <c r="N806" t="s">
        <v>25</v>
      </c>
      <c r="O806" t="s">
        <v>25</v>
      </c>
      <c r="P806">
        <v>0</v>
      </c>
      <c r="Q806">
        <v>0</v>
      </c>
      <c r="R806" t="s">
        <v>1218</v>
      </c>
    </row>
    <row r="807" spans="1:18" hidden="1" x14ac:dyDescent="0.3">
      <c r="A807">
        <v>430</v>
      </c>
      <c r="B807" t="s">
        <v>1216</v>
      </c>
      <c r="C807" t="s">
        <v>159</v>
      </c>
      <c r="D807" t="s">
        <v>27</v>
      </c>
      <c r="E807" t="s">
        <v>22</v>
      </c>
      <c r="F807" s="79">
        <v>46022</v>
      </c>
      <c r="G807">
        <v>2025</v>
      </c>
      <c r="H807" t="s">
        <v>23</v>
      </c>
      <c r="I807" t="s">
        <v>32</v>
      </c>
      <c r="J807">
        <v>95</v>
      </c>
      <c r="K807">
        <v>111.76</v>
      </c>
      <c r="L807" s="39">
        <f t="shared" si="74"/>
        <v>1.176421052631579</v>
      </c>
      <c r="M807" s="39">
        <f t="shared" si="75"/>
        <v>1.176421052631579</v>
      </c>
      <c r="N807" t="s">
        <v>25</v>
      </c>
      <c r="O807" t="s">
        <v>25</v>
      </c>
      <c r="P807">
        <v>0</v>
      </c>
      <c r="Q807">
        <v>0</v>
      </c>
      <c r="R807" t="s">
        <v>1219</v>
      </c>
    </row>
    <row r="808" spans="1:18" hidden="1" x14ac:dyDescent="0.3">
      <c r="A808">
        <v>431</v>
      </c>
      <c r="B808" t="s">
        <v>1220</v>
      </c>
      <c r="C808" t="s">
        <v>70</v>
      </c>
      <c r="D808" t="s">
        <v>21</v>
      </c>
      <c r="E808" t="s">
        <v>22</v>
      </c>
      <c r="F808" s="79">
        <v>45291</v>
      </c>
      <c r="G808">
        <v>2023</v>
      </c>
      <c r="H808" t="s">
        <v>23</v>
      </c>
      <c r="I808" t="s">
        <v>28</v>
      </c>
      <c r="J808">
        <v>100</v>
      </c>
      <c r="K808">
        <v>100</v>
      </c>
      <c r="L808" s="39">
        <f t="shared" si="74"/>
        <v>1</v>
      </c>
      <c r="M808" s="39">
        <f t="shared" si="75"/>
        <v>1</v>
      </c>
      <c r="N808" t="s">
        <v>25</v>
      </c>
      <c r="O808" t="s">
        <v>25</v>
      </c>
      <c r="P808">
        <v>0</v>
      </c>
      <c r="Q808">
        <v>0</v>
      </c>
      <c r="R808" t="s">
        <v>1221</v>
      </c>
    </row>
    <row r="809" spans="1:18" hidden="1" x14ac:dyDescent="0.3">
      <c r="A809">
        <v>431</v>
      </c>
      <c r="B809" t="s">
        <v>1220</v>
      </c>
      <c r="C809" t="s">
        <v>70</v>
      </c>
      <c r="D809" t="s">
        <v>21</v>
      </c>
      <c r="E809" t="s">
        <v>22</v>
      </c>
      <c r="F809" s="79">
        <v>45657</v>
      </c>
      <c r="G809">
        <v>2024</v>
      </c>
      <c r="H809" t="s">
        <v>23</v>
      </c>
      <c r="I809" t="s">
        <v>30</v>
      </c>
      <c r="J809">
        <v>100</v>
      </c>
      <c r="K809">
        <v>100</v>
      </c>
      <c r="L809" s="39">
        <f t="shared" si="74"/>
        <v>1</v>
      </c>
      <c r="M809" s="39">
        <f t="shared" si="75"/>
        <v>1</v>
      </c>
      <c r="N809" t="s">
        <v>25</v>
      </c>
      <c r="O809" t="s">
        <v>25</v>
      </c>
      <c r="P809">
        <v>0</v>
      </c>
      <c r="Q809">
        <v>0</v>
      </c>
      <c r="R809" t="s">
        <v>1222</v>
      </c>
    </row>
    <row r="810" spans="1:18" hidden="1" x14ac:dyDescent="0.3">
      <c r="A810">
        <v>431</v>
      </c>
      <c r="B810" t="s">
        <v>1220</v>
      </c>
      <c r="C810" t="s">
        <v>70</v>
      </c>
      <c r="D810" t="s">
        <v>27</v>
      </c>
      <c r="E810" t="s">
        <v>22</v>
      </c>
      <c r="F810" s="79">
        <v>46022</v>
      </c>
      <c r="G810">
        <v>2025</v>
      </c>
      <c r="H810" t="s">
        <v>23</v>
      </c>
      <c r="I810" t="s">
        <v>32</v>
      </c>
      <c r="J810">
        <v>100</v>
      </c>
      <c r="K810">
        <v>100</v>
      </c>
      <c r="L810" s="39">
        <f t="shared" si="74"/>
        <v>1</v>
      </c>
      <c r="M810" s="39">
        <f t="shared" si="75"/>
        <v>1</v>
      </c>
      <c r="N810" t="s">
        <v>25</v>
      </c>
      <c r="O810" t="s">
        <v>25</v>
      </c>
      <c r="P810">
        <v>0</v>
      </c>
      <c r="Q810">
        <v>0</v>
      </c>
      <c r="R810" t="s">
        <v>1223</v>
      </c>
    </row>
    <row r="811" spans="1:18" hidden="1" x14ac:dyDescent="0.3">
      <c r="A811">
        <v>432</v>
      </c>
      <c r="B811" t="s">
        <v>1224</v>
      </c>
      <c r="C811" t="s">
        <v>70</v>
      </c>
      <c r="D811" t="s">
        <v>21</v>
      </c>
      <c r="E811" t="s">
        <v>22</v>
      </c>
      <c r="F811" s="79">
        <v>45291</v>
      </c>
      <c r="G811">
        <v>2023</v>
      </c>
      <c r="H811" t="s">
        <v>23</v>
      </c>
      <c r="I811" t="s">
        <v>28</v>
      </c>
      <c r="J811">
        <v>90</v>
      </c>
      <c r="K811">
        <v>99.382777777778003</v>
      </c>
      <c r="L811" s="39">
        <f t="shared" si="74"/>
        <v>1.1042530864197555</v>
      </c>
      <c r="M811" s="39">
        <f t="shared" si="75"/>
        <v>1.1042530864197555</v>
      </c>
      <c r="N811" t="s">
        <v>25</v>
      </c>
      <c r="O811" t="s">
        <v>25</v>
      </c>
      <c r="P811">
        <v>0</v>
      </c>
      <c r="Q811">
        <v>1</v>
      </c>
      <c r="R811" t="s">
        <v>1225</v>
      </c>
    </row>
    <row r="812" spans="1:18" hidden="1" x14ac:dyDescent="0.3">
      <c r="A812">
        <v>432</v>
      </c>
      <c r="B812" t="s">
        <v>1224</v>
      </c>
      <c r="C812" t="s">
        <v>70</v>
      </c>
      <c r="D812" t="s">
        <v>21</v>
      </c>
      <c r="E812" t="s">
        <v>22</v>
      </c>
      <c r="F812" s="79">
        <v>45657</v>
      </c>
      <c r="G812">
        <v>2024</v>
      </c>
      <c r="H812" t="s">
        <v>23</v>
      </c>
      <c r="I812" t="s">
        <v>30</v>
      </c>
      <c r="J812">
        <v>90</v>
      </c>
      <c r="K812">
        <v>75</v>
      </c>
      <c r="L812" s="39">
        <f t="shared" si="74"/>
        <v>0.83333333333333337</v>
      </c>
      <c r="M812" s="39">
        <f t="shared" si="75"/>
        <v>0.83333333333333337</v>
      </c>
      <c r="N812" t="s">
        <v>25</v>
      </c>
      <c r="O812" t="s">
        <v>25</v>
      </c>
      <c r="P812">
        <v>0</v>
      </c>
      <c r="Q812">
        <v>0</v>
      </c>
      <c r="R812" t="s">
        <v>1226</v>
      </c>
    </row>
    <row r="813" spans="1:18" hidden="1" x14ac:dyDescent="0.3">
      <c r="A813">
        <v>432</v>
      </c>
      <c r="B813" t="s">
        <v>1224</v>
      </c>
      <c r="C813" t="s">
        <v>70</v>
      </c>
      <c r="D813" t="s">
        <v>27</v>
      </c>
      <c r="E813" t="s">
        <v>22</v>
      </c>
      <c r="F813" s="79">
        <v>46022</v>
      </c>
      <c r="G813">
        <v>2025</v>
      </c>
      <c r="H813" t="s">
        <v>23</v>
      </c>
      <c r="I813" t="s">
        <v>32</v>
      </c>
      <c r="J813">
        <v>90</v>
      </c>
      <c r="K813">
        <v>100</v>
      </c>
      <c r="L813" s="39">
        <f t="shared" si="74"/>
        <v>1.1111111111111112</v>
      </c>
      <c r="M813" s="39">
        <f t="shared" si="75"/>
        <v>1.1111111111111112</v>
      </c>
      <c r="N813" t="s">
        <v>25</v>
      </c>
      <c r="O813" t="s">
        <v>25</v>
      </c>
      <c r="P813">
        <v>0</v>
      </c>
      <c r="Q813">
        <v>0</v>
      </c>
      <c r="R813" t="s">
        <v>1227</v>
      </c>
    </row>
    <row r="814" spans="1:18" hidden="1" x14ac:dyDescent="0.3">
      <c r="A814">
        <v>433</v>
      </c>
      <c r="B814" t="s">
        <v>1228</v>
      </c>
      <c r="C814" t="s">
        <v>190</v>
      </c>
      <c r="D814" t="s">
        <v>27</v>
      </c>
      <c r="E814" t="s">
        <v>41</v>
      </c>
      <c r="F814" s="79">
        <v>45291</v>
      </c>
      <c r="G814">
        <v>2023</v>
      </c>
      <c r="H814" t="s">
        <v>23</v>
      </c>
      <c r="I814" t="s">
        <v>28</v>
      </c>
      <c r="J814">
        <v>0.05</v>
      </c>
      <c r="K814">
        <v>3.5000000000000003E-2</v>
      </c>
      <c r="L814" s="39">
        <f t="shared" si="74"/>
        <v>1.3</v>
      </c>
      <c r="M814" s="39">
        <f t="shared" si="75"/>
        <v>1.4285714285714286</v>
      </c>
      <c r="N814" t="s">
        <v>136</v>
      </c>
      <c r="O814" t="s">
        <v>136</v>
      </c>
      <c r="P814">
        <v>2</v>
      </c>
      <c r="Q814">
        <v>2</v>
      </c>
      <c r="R814" t="s">
        <v>1229</v>
      </c>
    </row>
    <row r="815" spans="1:18" hidden="1" x14ac:dyDescent="0.3">
      <c r="A815">
        <v>433</v>
      </c>
      <c r="B815" t="s">
        <v>1228</v>
      </c>
      <c r="C815" t="s">
        <v>190</v>
      </c>
      <c r="D815" t="s">
        <v>27</v>
      </c>
      <c r="E815" t="s">
        <v>41</v>
      </c>
      <c r="F815" s="79">
        <v>45657</v>
      </c>
      <c r="G815">
        <v>2024</v>
      </c>
      <c r="H815" t="s">
        <v>23</v>
      </c>
      <c r="I815" t="s">
        <v>30</v>
      </c>
      <c r="J815">
        <v>0.05</v>
      </c>
      <c r="K815">
        <v>0.105</v>
      </c>
      <c r="L815" s="39">
        <f t="shared" si="74"/>
        <v>0.47619047619047622</v>
      </c>
      <c r="M815" s="39">
        <f t="shared" si="75"/>
        <v>0.47619047619047622</v>
      </c>
      <c r="N815" t="s">
        <v>136</v>
      </c>
      <c r="O815" t="s">
        <v>136</v>
      </c>
      <c r="P815">
        <v>2</v>
      </c>
      <c r="Q815">
        <v>2</v>
      </c>
      <c r="R815" t="s">
        <v>1230</v>
      </c>
    </row>
    <row r="816" spans="1:18" hidden="1" x14ac:dyDescent="0.3">
      <c r="A816">
        <v>433</v>
      </c>
      <c r="B816" t="s">
        <v>1228</v>
      </c>
      <c r="C816" t="s">
        <v>190</v>
      </c>
      <c r="D816" t="s">
        <v>21</v>
      </c>
      <c r="E816" t="s">
        <v>41</v>
      </c>
      <c r="F816" s="79">
        <v>46022</v>
      </c>
      <c r="G816">
        <v>2025</v>
      </c>
      <c r="H816" t="s">
        <v>23</v>
      </c>
      <c r="I816" t="s">
        <v>32</v>
      </c>
      <c r="J816">
        <v>0.05</v>
      </c>
      <c r="K816">
        <v>9.5000000000000001E-2</v>
      </c>
      <c r="L816" s="39">
        <f t="shared" si="74"/>
        <v>0.52631578947368418</v>
      </c>
      <c r="M816" s="39">
        <f t="shared" si="75"/>
        <v>0.52631578947368418</v>
      </c>
      <c r="N816" t="s">
        <v>136</v>
      </c>
      <c r="O816" t="s">
        <v>136</v>
      </c>
      <c r="P816">
        <v>2</v>
      </c>
      <c r="Q816">
        <v>2</v>
      </c>
      <c r="R816" t="s">
        <v>1231</v>
      </c>
    </row>
    <row r="817" spans="1:18" hidden="1" x14ac:dyDescent="0.3">
      <c r="A817">
        <v>434</v>
      </c>
      <c r="B817" t="s">
        <v>1232</v>
      </c>
      <c r="C817" t="s">
        <v>190</v>
      </c>
      <c r="D817" t="s">
        <v>54</v>
      </c>
      <c r="E817" t="s">
        <v>41</v>
      </c>
      <c r="F817" s="79">
        <v>45291</v>
      </c>
      <c r="G817">
        <v>2023</v>
      </c>
      <c r="H817" t="s">
        <v>23</v>
      </c>
      <c r="I817" t="s">
        <v>28</v>
      </c>
      <c r="J817">
        <v>2400</v>
      </c>
      <c r="K817">
        <v>2294.13</v>
      </c>
      <c r="L817" s="39">
        <f t="shared" si="74"/>
        <v>1.0461482130480835</v>
      </c>
      <c r="M817" s="39">
        <f t="shared" si="75"/>
        <v>1.0461482130480835</v>
      </c>
      <c r="N817" t="s">
        <v>355</v>
      </c>
      <c r="O817" t="s">
        <v>403</v>
      </c>
      <c r="P817">
        <v>0</v>
      </c>
      <c r="Q817">
        <v>0</v>
      </c>
      <c r="R817" t="s">
        <v>1233</v>
      </c>
    </row>
    <row r="818" spans="1:18" hidden="1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79">
        <v>45657</v>
      </c>
      <c r="G818">
        <v>2024</v>
      </c>
      <c r="H818" t="s">
        <v>23</v>
      </c>
      <c r="I818" t="s">
        <v>30</v>
      </c>
      <c r="J818">
        <v>2400</v>
      </c>
      <c r="K818">
        <v>5427.24</v>
      </c>
      <c r="L818" s="39">
        <f t="shared" si="74"/>
        <v>0.44221372189179031</v>
      </c>
      <c r="M818" s="39">
        <f t="shared" si="75"/>
        <v>0.44221372189179031</v>
      </c>
      <c r="N818" t="s">
        <v>403</v>
      </c>
      <c r="O818" t="s">
        <v>403</v>
      </c>
      <c r="P818">
        <v>0</v>
      </c>
      <c r="Q818">
        <v>0</v>
      </c>
      <c r="R818" t="s">
        <v>1235</v>
      </c>
    </row>
    <row r="819" spans="1:18" hidden="1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79">
        <v>46022</v>
      </c>
      <c r="G819">
        <v>2025</v>
      </c>
      <c r="H819" t="s">
        <v>23</v>
      </c>
      <c r="I819" t="s">
        <v>32</v>
      </c>
      <c r="J819">
        <v>2400</v>
      </c>
      <c r="K819">
        <v>7783.5599999999986</v>
      </c>
      <c r="L819" s="39">
        <f t="shared" si="74"/>
        <v>0.3083421981715308</v>
      </c>
      <c r="M819" s="39">
        <f t="shared" si="75"/>
        <v>0.3083421981715308</v>
      </c>
      <c r="N819" t="s">
        <v>403</v>
      </c>
      <c r="O819" t="s">
        <v>403</v>
      </c>
      <c r="P819">
        <v>0</v>
      </c>
      <c r="Q819">
        <v>0</v>
      </c>
      <c r="R819" t="s">
        <v>1236</v>
      </c>
    </row>
    <row r="820" spans="1:18" hidden="1" x14ac:dyDescent="0.3">
      <c r="A820">
        <v>435</v>
      </c>
      <c r="B820" t="s">
        <v>1237</v>
      </c>
      <c r="C820" t="s">
        <v>190</v>
      </c>
      <c r="D820" t="s">
        <v>27</v>
      </c>
      <c r="E820" t="s">
        <v>22</v>
      </c>
      <c r="F820" s="79">
        <v>45291</v>
      </c>
      <c r="G820">
        <v>2023</v>
      </c>
      <c r="H820" t="s">
        <v>23</v>
      </c>
      <c r="I820" t="s">
        <v>28</v>
      </c>
      <c r="J820">
        <v>100</v>
      </c>
      <c r="K820">
        <v>-111.57</v>
      </c>
      <c r="L820" s="39">
        <f t="shared" si="74"/>
        <v>0</v>
      </c>
      <c r="M820" s="39">
        <f t="shared" si="75"/>
        <v>0</v>
      </c>
      <c r="N820" t="s">
        <v>25</v>
      </c>
      <c r="O820" t="s">
        <v>25</v>
      </c>
      <c r="P820">
        <v>2</v>
      </c>
      <c r="Q820">
        <v>2</v>
      </c>
      <c r="R820" t="s">
        <v>1238</v>
      </c>
    </row>
    <row r="821" spans="1:18" hidden="1" x14ac:dyDescent="0.3">
      <c r="A821">
        <v>435</v>
      </c>
      <c r="B821" t="s">
        <v>1237</v>
      </c>
      <c r="C821" t="s">
        <v>190</v>
      </c>
      <c r="D821" t="s">
        <v>27</v>
      </c>
      <c r="E821" t="s">
        <v>22</v>
      </c>
      <c r="F821" s="79">
        <v>45657</v>
      </c>
      <c r="G821">
        <v>2024</v>
      </c>
      <c r="H821" t="s">
        <v>23</v>
      </c>
      <c r="I821" t="s">
        <v>30</v>
      </c>
      <c r="J821">
        <v>100</v>
      </c>
      <c r="K821">
        <v>25.21</v>
      </c>
      <c r="L821" s="39">
        <f t="shared" si="74"/>
        <v>0.25209999999999999</v>
      </c>
      <c r="M821" s="39">
        <f t="shared" si="75"/>
        <v>0.25209999999999999</v>
      </c>
      <c r="N821" t="s">
        <v>25</v>
      </c>
      <c r="O821" t="s">
        <v>25</v>
      </c>
      <c r="P821">
        <v>2</v>
      </c>
      <c r="Q821">
        <v>2</v>
      </c>
      <c r="R821" t="s">
        <v>1239</v>
      </c>
    </row>
    <row r="822" spans="1:18" hidden="1" x14ac:dyDescent="0.3">
      <c r="A822">
        <v>435</v>
      </c>
      <c r="B822" t="s">
        <v>1237</v>
      </c>
      <c r="C822" t="s">
        <v>190</v>
      </c>
      <c r="D822" t="s">
        <v>21</v>
      </c>
      <c r="E822" t="s">
        <v>22</v>
      </c>
      <c r="F822" s="79">
        <v>46022</v>
      </c>
      <c r="G822">
        <v>2025</v>
      </c>
      <c r="H822" t="s">
        <v>23</v>
      </c>
      <c r="I822" t="s">
        <v>32</v>
      </c>
      <c r="J822">
        <v>1</v>
      </c>
      <c r="K822">
        <v>-317.995</v>
      </c>
      <c r="L822" s="39">
        <f t="shared" si="74"/>
        <v>0</v>
      </c>
      <c r="M822" s="39">
        <f t="shared" si="75"/>
        <v>0</v>
      </c>
      <c r="N822" t="s">
        <v>25</v>
      </c>
      <c r="O822" t="s">
        <v>25</v>
      </c>
      <c r="P822">
        <v>2</v>
      </c>
      <c r="Q822">
        <v>2</v>
      </c>
      <c r="R822" t="s">
        <v>1240</v>
      </c>
    </row>
    <row r="823" spans="1:18" hidden="1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45291</v>
      </c>
      <c r="G823">
        <v>2023</v>
      </c>
      <c r="H823" t="s">
        <v>23</v>
      </c>
      <c r="I823" t="s">
        <v>28</v>
      </c>
      <c r="J823">
        <v>21</v>
      </c>
      <c r="K823">
        <v>11.06833333333333</v>
      </c>
      <c r="L823" s="39">
        <f t="shared" si="74"/>
        <v>1.3</v>
      </c>
      <c r="M823" s="39">
        <f t="shared" si="75"/>
        <v>1.8973046227977721</v>
      </c>
      <c r="N823" t="s">
        <v>42</v>
      </c>
      <c r="O823" t="s">
        <v>42</v>
      </c>
      <c r="P823">
        <v>0</v>
      </c>
      <c r="Q823">
        <v>1</v>
      </c>
      <c r="R823" t="s">
        <v>1242</v>
      </c>
    </row>
    <row r="824" spans="1:18" hidden="1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45657</v>
      </c>
      <c r="G824">
        <v>2024</v>
      </c>
      <c r="H824" t="s">
        <v>23</v>
      </c>
      <c r="I824" t="s">
        <v>30</v>
      </c>
      <c r="J824">
        <v>14</v>
      </c>
      <c r="K824">
        <v>11.06416666666667</v>
      </c>
      <c r="L824" s="39">
        <f t="shared" si="74"/>
        <v>1.2653460872184976</v>
      </c>
      <c r="M824" s="39">
        <f t="shared" si="75"/>
        <v>1.2653460872184976</v>
      </c>
      <c r="N824" t="s">
        <v>42</v>
      </c>
      <c r="O824" t="s">
        <v>42</v>
      </c>
      <c r="P824">
        <v>0</v>
      </c>
      <c r="Q824">
        <v>1</v>
      </c>
      <c r="R824" t="s">
        <v>1243</v>
      </c>
    </row>
    <row r="825" spans="1:18" hidden="1" x14ac:dyDescent="0.3">
      <c r="A825">
        <v>436</v>
      </c>
      <c r="B825" t="s">
        <v>1241</v>
      </c>
      <c r="C825" t="s">
        <v>198</v>
      </c>
      <c r="D825" t="s">
        <v>54</v>
      </c>
      <c r="E825" t="s">
        <v>41</v>
      </c>
      <c r="F825" s="79">
        <v>46022</v>
      </c>
      <c r="G825">
        <v>2025</v>
      </c>
      <c r="H825" t="s">
        <v>23</v>
      </c>
      <c r="I825" t="s">
        <v>32</v>
      </c>
      <c r="J825">
        <v>14</v>
      </c>
      <c r="K825">
        <v>10.14</v>
      </c>
      <c r="L825" s="39">
        <f t="shared" si="74"/>
        <v>1.3</v>
      </c>
      <c r="M825" s="39">
        <f t="shared" si="75"/>
        <v>1.3806706114398422</v>
      </c>
      <c r="N825" t="s">
        <v>42</v>
      </c>
      <c r="O825" t="s">
        <v>42</v>
      </c>
      <c r="P825">
        <v>0</v>
      </c>
      <c r="Q825">
        <v>1</v>
      </c>
      <c r="R825" t="s">
        <v>1244</v>
      </c>
    </row>
    <row r="826" spans="1:18" hidden="1" x14ac:dyDescent="0.3">
      <c r="A826">
        <v>436</v>
      </c>
      <c r="B826" t="s">
        <v>1241</v>
      </c>
      <c r="C826" t="s">
        <v>198</v>
      </c>
      <c r="D826" t="s">
        <v>54</v>
      </c>
      <c r="E826" t="s">
        <v>41</v>
      </c>
      <c r="F826" s="79">
        <v>46081</v>
      </c>
      <c r="G826">
        <v>2026</v>
      </c>
      <c r="H826" t="s">
        <v>210</v>
      </c>
      <c r="I826" t="s">
        <v>60</v>
      </c>
      <c r="J826">
        <v>14</v>
      </c>
      <c r="K826">
        <v>9.57</v>
      </c>
      <c r="L826" s="39">
        <f t="shared" si="74"/>
        <v>1.3</v>
      </c>
      <c r="M826" s="39">
        <f t="shared" si="75"/>
        <v>1.4629049111807733</v>
      </c>
      <c r="N826" t="s">
        <v>42</v>
      </c>
      <c r="O826" t="s">
        <v>42</v>
      </c>
      <c r="P826">
        <v>0</v>
      </c>
      <c r="Q826">
        <v>1</v>
      </c>
      <c r="R826" t="s">
        <v>1245</v>
      </c>
    </row>
    <row r="827" spans="1:18" hidden="1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45291</v>
      </c>
      <c r="G827">
        <v>2023</v>
      </c>
      <c r="H827" t="s">
        <v>23</v>
      </c>
      <c r="I827" t="s">
        <v>28</v>
      </c>
      <c r="J827">
        <v>80</v>
      </c>
      <c r="K827">
        <v>96</v>
      </c>
      <c r="L827" s="39">
        <f t="shared" si="74"/>
        <v>1.2</v>
      </c>
      <c r="M827" s="39">
        <f t="shared" si="75"/>
        <v>1.2</v>
      </c>
      <c r="N827" t="s">
        <v>25</v>
      </c>
      <c r="O827" t="s">
        <v>25</v>
      </c>
      <c r="P827">
        <v>0</v>
      </c>
      <c r="Q827">
        <v>0</v>
      </c>
      <c r="R827" t="s">
        <v>1247</v>
      </c>
    </row>
    <row r="828" spans="1:18" hidden="1" x14ac:dyDescent="0.3">
      <c r="A828">
        <v>437</v>
      </c>
      <c r="B828" t="s">
        <v>1246</v>
      </c>
      <c r="C828" t="s">
        <v>732</v>
      </c>
      <c r="D828" t="s">
        <v>71</v>
      </c>
      <c r="E828" t="s">
        <v>22</v>
      </c>
      <c r="F828" s="79">
        <v>45657</v>
      </c>
      <c r="G828">
        <v>2024</v>
      </c>
      <c r="H828" t="s">
        <v>23</v>
      </c>
      <c r="I828" t="s">
        <v>30</v>
      </c>
      <c r="J828">
        <v>80</v>
      </c>
      <c r="K828">
        <v>84</v>
      </c>
      <c r="L828" s="39">
        <f t="shared" si="74"/>
        <v>1.05</v>
      </c>
      <c r="M828" s="39">
        <f t="shared" si="75"/>
        <v>1.05</v>
      </c>
      <c r="N828" t="s">
        <v>25</v>
      </c>
      <c r="O828" t="s">
        <v>25</v>
      </c>
      <c r="P828">
        <v>0</v>
      </c>
      <c r="Q828">
        <v>0</v>
      </c>
      <c r="R828" t="s">
        <v>1248</v>
      </c>
    </row>
    <row r="829" spans="1:18" hidden="1" x14ac:dyDescent="0.3">
      <c r="A829">
        <v>437</v>
      </c>
      <c r="B829" t="s">
        <v>1246</v>
      </c>
      <c r="C829" t="s">
        <v>732</v>
      </c>
      <c r="D829" t="s">
        <v>71</v>
      </c>
      <c r="E829" t="s">
        <v>22</v>
      </c>
      <c r="F829" s="79">
        <v>46022</v>
      </c>
      <c r="G829">
        <v>2025</v>
      </c>
      <c r="H829" t="s">
        <v>23</v>
      </c>
      <c r="I829" t="s">
        <v>32</v>
      </c>
      <c r="J829">
        <v>80</v>
      </c>
      <c r="K829">
        <v>99</v>
      </c>
      <c r="L829" s="39">
        <f t="shared" si="74"/>
        <v>1.2375</v>
      </c>
      <c r="M829" s="39">
        <f t="shared" si="75"/>
        <v>1.2375</v>
      </c>
      <c r="N829" t="s">
        <v>25</v>
      </c>
      <c r="O829" t="s">
        <v>25</v>
      </c>
      <c r="P829">
        <v>0</v>
      </c>
      <c r="Q829">
        <v>0</v>
      </c>
      <c r="R829" t="s">
        <v>1249</v>
      </c>
    </row>
    <row r="830" spans="1:18" hidden="1" x14ac:dyDescent="0.3">
      <c r="A830">
        <v>438</v>
      </c>
      <c r="B830" t="s">
        <v>1250</v>
      </c>
      <c r="C830" t="s">
        <v>956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J830">
        <v>100</v>
      </c>
      <c r="K830">
        <v>100</v>
      </c>
      <c r="L830" s="39">
        <f t="shared" si="74"/>
        <v>1</v>
      </c>
      <c r="M830" s="39">
        <f t="shared" si="75"/>
        <v>1</v>
      </c>
      <c r="N830" t="s">
        <v>128</v>
      </c>
      <c r="O830" t="s">
        <v>128</v>
      </c>
      <c r="P830">
        <v>0</v>
      </c>
      <c r="Q830">
        <v>0</v>
      </c>
      <c r="R830" t="s">
        <v>1251</v>
      </c>
    </row>
    <row r="831" spans="1:18" hidden="1" x14ac:dyDescent="0.3">
      <c r="A831">
        <v>439</v>
      </c>
      <c r="B831" t="s">
        <v>1252</v>
      </c>
      <c r="C831" t="s">
        <v>956</v>
      </c>
      <c r="D831" t="s">
        <v>27</v>
      </c>
      <c r="E831" t="s">
        <v>22</v>
      </c>
      <c r="F831" s="79">
        <v>45291</v>
      </c>
      <c r="G831">
        <v>2023</v>
      </c>
      <c r="H831" t="s">
        <v>23</v>
      </c>
      <c r="I831" t="s">
        <v>28</v>
      </c>
      <c r="J831">
        <v>100</v>
      </c>
      <c r="K831">
        <v>100</v>
      </c>
      <c r="L831" s="39">
        <f t="shared" si="74"/>
        <v>1</v>
      </c>
      <c r="M831" s="39">
        <f t="shared" si="75"/>
        <v>1</v>
      </c>
      <c r="N831" t="s">
        <v>25</v>
      </c>
      <c r="O831" t="s">
        <v>25</v>
      </c>
      <c r="P831">
        <v>0</v>
      </c>
      <c r="Q831">
        <v>0</v>
      </c>
      <c r="R831" t="s">
        <v>1253</v>
      </c>
    </row>
    <row r="832" spans="1:18" hidden="1" x14ac:dyDescent="0.3">
      <c r="A832">
        <v>439</v>
      </c>
      <c r="B832" t="s">
        <v>1252</v>
      </c>
      <c r="C832" t="s">
        <v>956</v>
      </c>
      <c r="D832" t="s">
        <v>27</v>
      </c>
      <c r="E832" t="s">
        <v>22</v>
      </c>
      <c r="F832" s="79">
        <v>45657</v>
      </c>
      <c r="G832">
        <v>2024</v>
      </c>
      <c r="H832" t="s">
        <v>23</v>
      </c>
      <c r="I832" t="s">
        <v>30</v>
      </c>
      <c r="J832">
        <v>100</v>
      </c>
      <c r="K832">
        <v>100</v>
      </c>
      <c r="L832" s="39">
        <f t="shared" si="74"/>
        <v>1</v>
      </c>
      <c r="M832" s="39">
        <f t="shared" si="75"/>
        <v>1</v>
      </c>
      <c r="N832" t="s">
        <v>25</v>
      </c>
      <c r="O832" t="s">
        <v>25</v>
      </c>
      <c r="P832">
        <v>0</v>
      </c>
      <c r="Q832">
        <v>0</v>
      </c>
      <c r="R832" t="s">
        <v>1254</v>
      </c>
    </row>
    <row r="833" spans="1:18" hidden="1" x14ac:dyDescent="0.3">
      <c r="A833">
        <v>439</v>
      </c>
      <c r="B833" t="s">
        <v>1252</v>
      </c>
      <c r="C833" t="s">
        <v>956</v>
      </c>
      <c r="D833" t="s">
        <v>21</v>
      </c>
      <c r="E833" t="s">
        <v>22</v>
      </c>
      <c r="F833" s="79">
        <v>46022</v>
      </c>
      <c r="G833">
        <v>2025</v>
      </c>
      <c r="H833" t="s">
        <v>23</v>
      </c>
      <c r="I833" t="s">
        <v>32</v>
      </c>
      <c r="J833">
        <v>100</v>
      </c>
      <c r="K833">
        <v>100</v>
      </c>
      <c r="L833" s="39">
        <f t="shared" si="74"/>
        <v>1</v>
      </c>
      <c r="M833" s="39">
        <f t="shared" si="75"/>
        <v>1</v>
      </c>
      <c r="N833" t="s">
        <v>25</v>
      </c>
      <c r="O833" t="s">
        <v>25</v>
      </c>
      <c r="P833">
        <v>0</v>
      </c>
      <c r="Q833">
        <v>0</v>
      </c>
      <c r="R833" t="s">
        <v>1255</v>
      </c>
    </row>
    <row r="834" spans="1:18" hidden="1" x14ac:dyDescent="0.3">
      <c r="A834">
        <v>440</v>
      </c>
      <c r="B834" t="s">
        <v>1256</v>
      </c>
      <c r="C834" t="s">
        <v>956</v>
      </c>
      <c r="D834" t="s">
        <v>27</v>
      </c>
      <c r="E834" t="s">
        <v>22</v>
      </c>
      <c r="F834" s="79">
        <v>45291</v>
      </c>
      <c r="G834">
        <v>2023</v>
      </c>
      <c r="H834" t="s">
        <v>23</v>
      </c>
      <c r="I834" t="s">
        <v>28</v>
      </c>
      <c r="J834">
        <v>98</v>
      </c>
      <c r="K834">
        <v>97.746062537526996</v>
      </c>
      <c r="L834" s="39">
        <f t="shared" si="74"/>
        <v>0.99740880140333665</v>
      </c>
      <c r="M834" s="39">
        <f t="shared" si="75"/>
        <v>0.99740880140333665</v>
      </c>
      <c r="N834" t="s">
        <v>25</v>
      </c>
      <c r="O834" t="s">
        <v>25</v>
      </c>
      <c r="P834">
        <v>0</v>
      </c>
      <c r="Q834">
        <v>1</v>
      </c>
      <c r="R834" t="s">
        <v>1257</v>
      </c>
    </row>
    <row r="835" spans="1:18" hidden="1" x14ac:dyDescent="0.3">
      <c r="A835">
        <v>440</v>
      </c>
      <c r="B835" t="s">
        <v>1256</v>
      </c>
      <c r="C835" t="s">
        <v>956</v>
      </c>
      <c r="D835" t="s">
        <v>27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196</v>
      </c>
      <c r="K835">
        <v>198.97</v>
      </c>
      <c r="L835" s="39">
        <f t="shared" si="74"/>
        <v>1.0151530612244899</v>
      </c>
      <c r="M835" s="39">
        <f t="shared" si="75"/>
        <v>1.0151530612244899</v>
      </c>
      <c r="N835" t="s">
        <v>25</v>
      </c>
      <c r="O835" t="s">
        <v>25</v>
      </c>
      <c r="P835">
        <v>0</v>
      </c>
      <c r="Q835">
        <v>1</v>
      </c>
      <c r="R835" t="s">
        <v>1258</v>
      </c>
    </row>
    <row r="836" spans="1:18" hidden="1" x14ac:dyDescent="0.3">
      <c r="A836">
        <v>440</v>
      </c>
      <c r="B836" t="s">
        <v>1256</v>
      </c>
      <c r="C836" t="s">
        <v>956</v>
      </c>
      <c r="D836" t="s">
        <v>21</v>
      </c>
      <c r="E836" t="s">
        <v>22</v>
      </c>
      <c r="F836" s="79">
        <v>46022</v>
      </c>
      <c r="G836">
        <v>2025</v>
      </c>
      <c r="H836" t="s">
        <v>23</v>
      </c>
      <c r="I836" t="s">
        <v>32</v>
      </c>
      <c r="J836">
        <v>196</v>
      </c>
      <c r="K836">
        <v>199.51</v>
      </c>
      <c r="L836" s="39">
        <f t="shared" si="74"/>
        <v>1.017908163265306</v>
      </c>
      <c r="M836" s="39">
        <f t="shared" si="75"/>
        <v>1.017908163265306</v>
      </c>
      <c r="N836" t="s">
        <v>25</v>
      </c>
      <c r="O836" t="s">
        <v>25</v>
      </c>
      <c r="P836">
        <v>0</v>
      </c>
      <c r="Q836">
        <v>1</v>
      </c>
      <c r="R836" t="s">
        <v>1259</v>
      </c>
    </row>
    <row r="837" spans="1:18" hidden="1" x14ac:dyDescent="0.3">
      <c r="A837">
        <v>441</v>
      </c>
      <c r="B837" t="s">
        <v>1260</v>
      </c>
      <c r="C837" t="s">
        <v>511</v>
      </c>
      <c r="D837" t="s">
        <v>54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90</v>
      </c>
      <c r="K837">
        <v>99.919935948759004</v>
      </c>
      <c r="L837" s="39">
        <f t="shared" si="74"/>
        <v>1.1102215105417668</v>
      </c>
      <c r="M837" s="39">
        <f t="shared" si="75"/>
        <v>1.1102215105417668</v>
      </c>
      <c r="P837">
        <v>0</v>
      </c>
      <c r="Q837">
        <v>0</v>
      </c>
      <c r="R837" t="s">
        <v>1261</v>
      </c>
    </row>
    <row r="838" spans="1:18" hidden="1" x14ac:dyDescent="0.3">
      <c r="A838">
        <v>442</v>
      </c>
      <c r="B838" t="s">
        <v>1262</v>
      </c>
      <c r="C838" t="s">
        <v>246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145</v>
      </c>
      <c r="L838" s="39">
        <f t="shared" si="74"/>
        <v>1.3</v>
      </c>
      <c r="M838" s="39">
        <f t="shared" si="75"/>
        <v>1.45</v>
      </c>
      <c r="P838">
        <v>0</v>
      </c>
      <c r="Q838">
        <v>0</v>
      </c>
      <c r="R838" t="s">
        <v>1263</v>
      </c>
    </row>
    <row r="839" spans="1:18" hidden="1" x14ac:dyDescent="0.3">
      <c r="A839">
        <v>443</v>
      </c>
      <c r="B839" t="s">
        <v>1264</v>
      </c>
      <c r="C839" t="s">
        <v>246</v>
      </c>
      <c r="D839" t="s">
        <v>27</v>
      </c>
      <c r="E839" t="s">
        <v>22</v>
      </c>
      <c r="F839" s="79">
        <v>45657</v>
      </c>
      <c r="G839">
        <v>2024</v>
      </c>
      <c r="H839" t="s">
        <v>23</v>
      </c>
      <c r="I839" t="s">
        <v>30</v>
      </c>
      <c r="J839">
        <v>100</v>
      </c>
      <c r="K839">
        <v>209</v>
      </c>
      <c r="L839" s="39">
        <f t="shared" si="74"/>
        <v>1.3</v>
      </c>
      <c r="M839" s="39">
        <f t="shared" si="75"/>
        <v>2.09</v>
      </c>
      <c r="P839">
        <v>0</v>
      </c>
      <c r="Q839">
        <v>0</v>
      </c>
      <c r="R839" t="s">
        <v>1265</v>
      </c>
    </row>
    <row r="840" spans="1:18" hidden="1" x14ac:dyDescent="0.3">
      <c r="A840">
        <v>444</v>
      </c>
      <c r="B840" t="s">
        <v>1266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K840">
        <v>2.1</v>
      </c>
      <c r="L840" s="39"/>
      <c r="N840" t="s">
        <v>355</v>
      </c>
      <c r="O840" t="s">
        <v>136</v>
      </c>
      <c r="P840">
        <v>0</v>
      </c>
      <c r="Q840">
        <v>1</v>
      </c>
      <c r="R840" t="s">
        <v>1267</v>
      </c>
    </row>
    <row r="841" spans="1:18" hidden="1" x14ac:dyDescent="0.3">
      <c r="A841">
        <v>444</v>
      </c>
      <c r="B841" t="s">
        <v>1266</v>
      </c>
      <c r="C841" t="s">
        <v>541</v>
      </c>
      <c r="D841" t="s">
        <v>21</v>
      </c>
      <c r="E841" t="s">
        <v>41</v>
      </c>
      <c r="F841" s="79">
        <v>46022</v>
      </c>
      <c r="G841">
        <v>2025</v>
      </c>
      <c r="H841" t="s">
        <v>23</v>
      </c>
      <c r="I841" t="s">
        <v>32</v>
      </c>
      <c r="J841">
        <v>3</v>
      </c>
      <c r="K841">
        <v>1.65</v>
      </c>
      <c r="L841" s="39">
        <f t="shared" ref="L841:L848" si="76">IFERROR(IF(OR(J841=0,K841=""),"",IF(E841="Positivo",MIN(MAX(K841/J841,0),1.3),MIN(MAX(J841/K841,0),1.3))),"")</f>
        <v>1.3</v>
      </c>
      <c r="M841" s="39">
        <f t="shared" ref="M841:M848" si="77">IFERROR(IF(OR(J841=0,K841=""),"",IF(E841="Positivo",MAX(K841/J841,0),MAX(J841/K841,0))),"")</f>
        <v>1.8181818181818183</v>
      </c>
      <c r="N841" t="s">
        <v>128</v>
      </c>
      <c r="O841" t="s">
        <v>136</v>
      </c>
      <c r="P841">
        <v>0</v>
      </c>
      <c r="Q841">
        <v>1</v>
      </c>
      <c r="R841" t="s">
        <v>1268</v>
      </c>
    </row>
    <row r="842" spans="1:18" hidden="1" x14ac:dyDescent="0.3">
      <c r="A842">
        <v>445</v>
      </c>
      <c r="B842" t="s">
        <v>1269</v>
      </c>
      <c r="C842" t="s">
        <v>541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67.5</v>
      </c>
      <c r="K842">
        <v>70.849999999999994</v>
      </c>
      <c r="L842" s="39">
        <f t="shared" si="76"/>
        <v>1.0496296296296295</v>
      </c>
      <c r="M842" s="39">
        <f t="shared" si="77"/>
        <v>1.0496296296296295</v>
      </c>
      <c r="N842" t="s">
        <v>25</v>
      </c>
      <c r="O842" t="s">
        <v>25</v>
      </c>
      <c r="P842">
        <v>0</v>
      </c>
      <c r="Q842">
        <v>0</v>
      </c>
      <c r="R842" t="s">
        <v>1270</v>
      </c>
    </row>
    <row r="843" spans="1:18" hidden="1" x14ac:dyDescent="0.3">
      <c r="A843">
        <v>445</v>
      </c>
      <c r="B843" t="s">
        <v>1269</v>
      </c>
      <c r="C843" t="s">
        <v>541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70</v>
      </c>
      <c r="K843">
        <v>80.5</v>
      </c>
      <c r="L843" s="39">
        <f t="shared" si="76"/>
        <v>1.1499999999999999</v>
      </c>
      <c r="M843" s="39">
        <f t="shared" si="77"/>
        <v>1.1499999999999999</v>
      </c>
      <c r="N843" t="s">
        <v>25</v>
      </c>
      <c r="O843" t="s">
        <v>25</v>
      </c>
      <c r="P843">
        <v>0</v>
      </c>
      <c r="Q843">
        <v>0</v>
      </c>
      <c r="R843" t="s">
        <v>1271</v>
      </c>
    </row>
    <row r="844" spans="1:18" hidden="1" x14ac:dyDescent="0.3">
      <c r="A844">
        <v>447</v>
      </c>
      <c r="B844" t="s">
        <v>724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15</v>
      </c>
      <c r="K844">
        <v>16.16</v>
      </c>
      <c r="L844" s="39">
        <f t="shared" si="76"/>
        <v>1.0773333333333333</v>
      </c>
      <c r="M844" s="39">
        <f t="shared" si="77"/>
        <v>1.0773333333333333</v>
      </c>
      <c r="N844" t="s">
        <v>25</v>
      </c>
      <c r="O844" t="s">
        <v>25</v>
      </c>
      <c r="P844">
        <v>0</v>
      </c>
      <c r="Q844">
        <v>0</v>
      </c>
      <c r="R844" t="s">
        <v>1272</v>
      </c>
    </row>
    <row r="845" spans="1:18" hidden="1" x14ac:dyDescent="0.3">
      <c r="A845">
        <v>447</v>
      </c>
      <c r="B845" t="s">
        <v>724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15</v>
      </c>
      <c r="K845">
        <v>15.01</v>
      </c>
      <c r="L845" s="39">
        <f t="shared" si="76"/>
        <v>1.0006666666666666</v>
      </c>
      <c r="M845" s="39">
        <f t="shared" si="77"/>
        <v>1.0006666666666666</v>
      </c>
      <c r="N845" t="s">
        <v>25</v>
      </c>
      <c r="O845" t="s">
        <v>25</v>
      </c>
      <c r="P845">
        <v>0</v>
      </c>
      <c r="Q845">
        <v>0</v>
      </c>
      <c r="R845" t="s">
        <v>1273</v>
      </c>
    </row>
    <row r="846" spans="1:18" hidden="1" x14ac:dyDescent="0.3">
      <c r="A846">
        <v>448</v>
      </c>
      <c r="B846" t="s">
        <v>1274</v>
      </c>
      <c r="C846" t="s">
        <v>254</v>
      </c>
      <c r="D846" t="s">
        <v>27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9</v>
      </c>
      <c r="K846">
        <v>9.32</v>
      </c>
      <c r="L846" s="39">
        <f t="shared" si="76"/>
        <v>1.0355555555555556</v>
      </c>
      <c r="M846" s="39">
        <f t="shared" si="77"/>
        <v>1.0355555555555556</v>
      </c>
      <c r="N846" t="s">
        <v>25</v>
      </c>
      <c r="O846" t="s">
        <v>25</v>
      </c>
      <c r="P846">
        <v>0</v>
      </c>
      <c r="Q846">
        <v>1</v>
      </c>
      <c r="R846" t="s">
        <v>1275</v>
      </c>
    </row>
    <row r="847" spans="1:18" hidden="1" x14ac:dyDescent="0.3">
      <c r="A847">
        <v>448</v>
      </c>
      <c r="B847" t="s">
        <v>1274</v>
      </c>
      <c r="C847" t="s">
        <v>254</v>
      </c>
      <c r="D847" t="s">
        <v>21</v>
      </c>
      <c r="E847" t="s">
        <v>22</v>
      </c>
      <c r="F847" s="79">
        <v>46022</v>
      </c>
      <c r="G847">
        <v>2025</v>
      </c>
      <c r="H847" t="s">
        <v>23</v>
      </c>
      <c r="I847" t="s">
        <v>32</v>
      </c>
      <c r="J847">
        <v>17</v>
      </c>
      <c r="K847">
        <v>59.36</v>
      </c>
      <c r="L847" s="39">
        <f t="shared" si="76"/>
        <v>1.3</v>
      </c>
      <c r="M847" s="39">
        <f t="shared" si="77"/>
        <v>3.4917647058823529</v>
      </c>
      <c r="N847" t="s">
        <v>25</v>
      </c>
      <c r="O847" t="s">
        <v>25</v>
      </c>
      <c r="P847">
        <v>0</v>
      </c>
      <c r="Q847">
        <v>1</v>
      </c>
      <c r="R847" t="s">
        <v>1276</v>
      </c>
    </row>
    <row r="848" spans="1:18" hidden="1" x14ac:dyDescent="0.3">
      <c r="A848">
        <v>449</v>
      </c>
      <c r="B848" t="s">
        <v>1277</v>
      </c>
      <c r="C848" t="s">
        <v>732</v>
      </c>
      <c r="D848" t="s">
        <v>21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J848">
        <v>100</v>
      </c>
      <c r="K848">
        <v>100</v>
      </c>
      <c r="L848" s="39">
        <f t="shared" si="76"/>
        <v>1</v>
      </c>
      <c r="M848" s="39">
        <f t="shared" si="77"/>
        <v>1</v>
      </c>
      <c r="N848" t="s">
        <v>25</v>
      </c>
      <c r="O848" t="s">
        <v>25</v>
      </c>
      <c r="P848">
        <v>0</v>
      </c>
      <c r="Q848">
        <v>0</v>
      </c>
      <c r="R848" t="s">
        <v>1278</v>
      </c>
    </row>
    <row r="849" spans="1:18" hidden="1" x14ac:dyDescent="0.3">
      <c r="A849">
        <v>451</v>
      </c>
      <c r="B849" t="s">
        <v>1279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K849">
        <v>38.799999999999997</v>
      </c>
      <c r="L849" s="39"/>
      <c r="N849" t="s">
        <v>355</v>
      </c>
      <c r="O849" t="s">
        <v>25</v>
      </c>
      <c r="P849">
        <v>0</v>
      </c>
      <c r="Q849">
        <v>0</v>
      </c>
      <c r="R849" t="s">
        <v>1280</v>
      </c>
    </row>
    <row r="850" spans="1:18" hidden="1" x14ac:dyDescent="0.3">
      <c r="A850">
        <v>451</v>
      </c>
      <c r="B850" t="s">
        <v>1281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125.15</v>
      </c>
      <c r="L850" s="39">
        <f t="shared" ref="L850:L861" si="78">IFERROR(IF(OR(J850=0,K850=""),"",IF(E850="Positivo",MIN(MAX(K850/J850,0),1.3),MIN(MAX(J850/K850,0),1.3))),"")</f>
        <v>1.2515000000000001</v>
      </c>
      <c r="M850" s="39">
        <f t="shared" ref="M850:M861" si="79">IFERROR(IF(OR(J850=0,K850=""),"",IF(E850="Positivo",MAX(K850/J850,0),MAX(J850/K850,0))),"")</f>
        <v>1.2515000000000001</v>
      </c>
      <c r="N850" t="s">
        <v>25</v>
      </c>
      <c r="O850" t="s">
        <v>25</v>
      </c>
      <c r="P850">
        <v>0</v>
      </c>
      <c r="Q850">
        <v>0</v>
      </c>
      <c r="R850" t="s">
        <v>1282</v>
      </c>
    </row>
    <row r="851" spans="1:18" hidden="1" x14ac:dyDescent="0.3">
      <c r="A851">
        <v>452</v>
      </c>
      <c r="B851" t="s">
        <v>1283</v>
      </c>
      <c r="C851" t="s">
        <v>1078</v>
      </c>
      <c r="D851" t="s">
        <v>27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100</v>
      </c>
      <c r="K851">
        <v>130</v>
      </c>
      <c r="L851" s="39">
        <f t="shared" si="78"/>
        <v>1.3</v>
      </c>
      <c r="M851" s="39">
        <f t="shared" si="79"/>
        <v>1.3</v>
      </c>
      <c r="N851" t="s">
        <v>25</v>
      </c>
      <c r="O851" t="s">
        <v>25</v>
      </c>
      <c r="P851">
        <v>0</v>
      </c>
      <c r="Q851">
        <v>0</v>
      </c>
      <c r="R851" t="s">
        <v>1284</v>
      </c>
    </row>
    <row r="852" spans="1:18" hidden="1" x14ac:dyDescent="0.3">
      <c r="A852">
        <v>452</v>
      </c>
      <c r="B852" t="s">
        <v>1283</v>
      </c>
      <c r="C852" t="s">
        <v>1078</v>
      </c>
      <c r="D852" t="s">
        <v>21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100</v>
      </c>
      <c r="K852">
        <v>151.13499999999999</v>
      </c>
      <c r="L852" s="39">
        <f t="shared" si="78"/>
        <v>1.3</v>
      </c>
      <c r="M852" s="39">
        <f t="shared" si="79"/>
        <v>1.51135</v>
      </c>
      <c r="N852" t="s">
        <v>25</v>
      </c>
      <c r="O852" t="s">
        <v>25</v>
      </c>
      <c r="P852">
        <v>0</v>
      </c>
      <c r="Q852">
        <v>0</v>
      </c>
      <c r="R852" t="s">
        <v>1285</v>
      </c>
    </row>
    <row r="853" spans="1:18" hidden="1" x14ac:dyDescent="0.3">
      <c r="A853">
        <v>453</v>
      </c>
      <c r="B853" t="s">
        <v>1286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300</v>
      </c>
      <c r="K853">
        <v>640</v>
      </c>
      <c r="L853" s="39">
        <f t="shared" si="78"/>
        <v>1.3</v>
      </c>
      <c r="M853" s="39">
        <f t="shared" si="79"/>
        <v>2.1333333333333333</v>
      </c>
      <c r="N853" t="s">
        <v>25</v>
      </c>
      <c r="O853" t="s">
        <v>25</v>
      </c>
      <c r="P853">
        <v>0</v>
      </c>
      <c r="Q853">
        <v>0</v>
      </c>
      <c r="R853" t="s">
        <v>1287</v>
      </c>
    </row>
    <row r="854" spans="1:18" hidden="1" x14ac:dyDescent="0.3">
      <c r="A854">
        <v>453</v>
      </c>
      <c r="B854" t="s">
        <v>1286</v>
      </c>
      <c r="C854" t="s">
        <v>1089</v>
      </c>
      <c r="D854" t="s">
        <v>27</v>
      </c>
      <c r="E854" t="s">
        <v>22</v>
      </c>
      <c r="F854" s="79">
        <v>46022</v>
      </c>
      <c r="G854">
        <v>2025</v>
      </c>
      <c r="H854" t="s">
        <v>23</v>
      </c>
      <c r="I854" t="s">
        <v>32</v>
      </c>
      <c r="J854">
        <v>400</v>
      </c>
      <c r="K854">
        <v>348</v>
      </c>
      <c r="L854" s="39">
        <f t="shared" si="78"/>
        <v>0.87</v>
      </c>
      <c r="M854" s="39">
        <f t="shared" si="79"/>
        <v>0.87</v>
      </c>
      <c r="N854" t="s">
        <v>25</v>
      </c>
      <c r="O854" t="s">
        <v>25</v>
      </c>
      <c r="P854">
        <v>0</v>
      </c>
      <c r="Q854">
        <v>0</v>
      </c>
      <c r="R854" t="s">
        <v>1288</v>
      </c>
    </row>
    <row r="855" spans="1:18" hidden="1" x14ac:dyDescent="0.3">
      <c r="A855">
        <v>454</v>
      </c>
      <c r="B855" t="s">
        <v>1289</v>
      </c>
      <c r="C855" t="s">
        <v>1089</v>
      </c>
      <c r="D855" t="s">
        <v>21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0</v>
      </c>
      <c r="K855">
        <v>88</v>
      </c>
      <c r="L855" s="39" t="str">
        <f t="shared" si="78"/>
        <v/>
      </c>
      <c r="M855" s="39" t="str">
        <f t="shared" si="79"/>
        <v/>
      </c>
      <c r="N855" t="s">
        <v>25</v>
      </c>
      <c r="O855" t="s">
        <v>25</v>
      </c>
      <c r="P855">
        <v>0</v>
      </c>
      <c r="Q855">
        <v>0</v>
      </c>
      <c r="R855" t="s">
        <v>1290</v>
      </c>
    </row>
    <row r="856" spans="1:18" hidden="1" x14ac:dyDescent="0.3">
      <c r="A856">
        <v>455</v>
      </c>
      <c r="B856" t="s">
        <v>1291</v>
      </c>
      <c r="C856" t="s">
        <v>1089</v>
      </c>
      <c r="D856" t="s">
        <v>21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90</v>
      </c>
      <c r="K856">
        <v>100</v>
      </c>
      <c r="L856" s="39">
        <f t="shared" si="78"/>
        <v>1.1111111111111112</v>
      </c>
      <c r="M856" s="39">
        <f t="shared" si="79"/>
        <v>1.1111111111111112</v>
      </c>
      <c r="N856" t="s">
        <v>25</v>
      </c>
      <c r="O856" t="s">
        <v>25</v>
      </c>
      <c r="P856">
        <v>0</v>
      </c>
      <c r="Q856">
        <v>0</v>
      </c>
      <c r="R856" t="s">
        <v>1292</v>
      </c>
    </row>
    <row r="857" spans="1:18" hidden="1" x14ac:dyDescent="0.3">
      <c r="A857">
        <v>455</v>
      </c>
      <c r="B857" t="s">
        <v>1291</v>
      </c>
      <c r="C857" t="s">
        <v>1089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100</v>
      </c>
      <c r="L857" s="39">
        <f t="shared" si="78"/>
        <v>1</v>
      </c>
      <c r="M857" s="39">
        <f t="shared" si="79"/>
        <v>1</v>
      </c>
      <c r="N857" t="s">
        <v>25</v>
      </c>
      <c r="O857" t="s">
        <v>25</v>
      </c>
      <c r="P857">
        <v>0</v>
      </c>
      <c r="Q857">
        <v>0</v>
      </c>
      <c r="R857" t="s">
        <v>1293</v>
      </c>
    </row>
    <row r="858" spans="1:18" hidden="1" x14ac:dyDescent="0.3">
      <c r="A858">
        <v>456</v>
      </c>
      <c r="B858" t="s">
        <v>1294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97.344999999999999</v>
      </c>
      <c r="L858" s="39">
        <f t="shared" si="78"/>
        <v>0.97345000000000004</v>
      </c>
      <c r="M858" s="39">
        <f t="shared" si="79"/>
        <v>0.97345000000000004</v>
      </c>
      <c r="N858" t="s">
        <v>25</v>
      </c>
      <c r="O858" t="s">
        <v>25</v>
      </c>
      <c r="P858">
        <v>0</v>
      </c>
      <c r="Q858">
        <v>0</v>
      </c>
      <c r="R858" t="s">
        <v>1295</v>
      </c>
    </row>
    <row r="859" spans="1:18" hidden="1" x14ac:dyDescent="0.3">
      <c r="A859">
        <v>456</v>
      </c>
      <c r="B859" t="s">
        <v>1294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111.5925</v>
      </c>
      <c r="L859" s="39">
        <f t="shared" si="78"/>
        <v>1.1159250000000001</v>
      </c>
      <c r="M859" s="39">
        <f t="shared" si="79"/>
        <v>1.1159250000000001</v>
      </c>
      <c r="N859" t="s">
        <v>25</v>
      </c>
      <c r="O859" t="s">
        <v>25</v>
      </c>
      <c r="P859">
        <v>0</v>
      </c>
      <c r="Q859">
        <v>0</v>
      </c>
      <c r="R859" t="s">
        <v>1296</v>
      </c>
    </row>
    <row r="860" spans="1:18" hidden="1" x14ac:dyDescent="0.3">
      <c r="A860">
        <v>457</v>
      </c>
      <c r="B860" t="s">
        <v>1297</v>
      </c>
      <c r="C860" t="s">
        <v>149</v>
      </c>
      <c r="D860" t="s">
        <v>27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K860">
        <v>80</v>
      </c>
      <c r="L860" s="39">
        <f t="shared" si="78"/>
        <v>0.8</v>
      </c>
      <c r="M860" s="39">
        <f t="shared" si="79"/>
        <v>0.8</v>
      </c>
      <c r="N860" t="s">
        <v>25</v>
      </c>
      <c r="O860" t="s">
        <v>25</v>
      </c>
      <c r="P860">
        <v>0</v>
      </c>
      <c r="Q860">
        <v>0</v>
      </c>
      <c r="R860" t="s">
        <v>1298</v>
      </c>
    </row>
    <row r="861" spans="1:18" hidden="1" x14ac:dyDescent="0.3">
      <c r="A861">
        <v>457</v>
      </c>
      <c r="B861" t="s">
        <v>1297</v>
      </c>
      <c r="C861" t="s">
        <v>149</v>
      </c>
      <c r="D861" t="s">
        <v>27</v>
      </c>
      <c r="E861" t="s">
        <v>22</v>
      </c>
      <c r="F861" s="79">
        <v>46022</v>
      </c>
      <c r="G861">
        <v>2025</v>
      </c>
      <c r="H861" t="s">
        <v>23</v>
      </c>
      <c r="I861" t="s">
        <v>32</v>
      </c>
      <c r="J861">
        <v>100</v>
      </c>
      <c r="K861">
        <v>113.0925</v>
      </c>
      <c r="L861" s="39">
        <f t="shared" si="78"/>
        <v>1.130925</v>
      </c>
      <c r="M861" s="39">
        <f t="shared" si="79"/>
        <v>1.130925</v>
      </c>
      <c r="N861" t="s">
        <v>25</v>
      </c>
      <c r="O861" t="s">
        <v>25</v>
      </c>
      <c r="P861">
        <v>0</v>
      </c>
      <c r="Q861">
        <v>0</v>
      </c>
      <c r="R861" t="s">
        <v>1299</v>
      </c>
    </row>
    <row r="862" spans="1:18" hidden="1" x14ac:dyDescent="0.3">
      <c r="A862">
        <v>459</v>
      </c>
      <c r="B862" t="s">
        <v>1300</v>
      </c>
      <c r="C862" t="s">
        <v>1078</v>
      </c>
      <c r="D862" t="s">
        <v>21</v>
      </c>
      <c r="E862" t="s">
        <v>22</v>
      </c>
      <c r="F862" s="79">
        <v>45657</v>
      </c>
      <c r="G862">
        <v>2024</v>
      </c>
      <c r="H862" t="s">
        <v>23</v>
      </c>
      <c r="I862" t="s">
        <v>30</v>
      </c>
      <c r="J862">
        <v>100</v>
      </c>
      <c r="L862" s="39"/>
      <c r="N862" t="s">
        <v>25</v>
      </c>
      <c r="O862" t="s">
        <v>25</v>
      </c>
      <c r="P862">
        <v>0</v>
      </c>
      <c r="Q862">
        <v>0</v>
      </c>
      <c r="R862" t="s">
        <v>1301</v>
      </c>
    </row>
    <row r="863" spans="1:18" hidden="1" x14ac:dyDescent="0.3">
      <c r="A863">
        <v>460</v>
      </c>
      <c r="B863" t="s">
        <v>1302</v>
      </c>
      <c r="C863" t="s">
        <v>40</v>
      </c>
      <c r="D863" t="s">
        <v>71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80</v>
      </c>
      <c r="K863">
        <v>91.439688715953324</v>
      </c>
      <c r="L863" s="39">
        <f t="shared" ref="L863:L873" si="80">IFERROR(IF(OR(J863=0,K863=""),"",IF(E863="Positivo",MIN(MAX(K863/J863,0),1.3),MIN(MAX(J863/K863,0),1.3))),"")</f>
        <v>1.1429961089494165</v>
      </c>
      <c r="M863" s="39">
        <f t="shared" ref="M863:M883" si="81">IFERROR(IF(OR(J863=0,K863=""),"",IF(E863="Positivo",MAX(K863/J863,0),MAX(J863/K863,0))),"")</f>
        <v>1.1429961089494165</v>
      </c>
      <c r="N863" t="s">
        <v>25</v>
      </c>
      <c r="O863" t="s">
        <v>25</v>
      </c>
      <c r="P863">
        <v>0</v>
      </c>
      <c r="Q863">
        <v>1</v>
      </c>
      <c r="R863" t="s">
        <v>1303</v>
      </c>
    </row>
    <row r="864" spans="1:18" hidden="1" x14ac:dyDescent="0.3">
      <c r="A864">
        <v>460</v>
      </c>
      <c r="B864" t="s">
        <v>1304</v>
      </c>
      <c r="C864" t="s">
        <v>40</v>
      </c>
      <c r="D864" t="s">
        <v>71</v>
      </c>
      <c r="E864" t="s">
        <v>22</v>
      </c>
      <c r="F864" s="79">
        <v>46022</v>
      </c>
      <c r="G864">
        <v>2025</v>
      </c>
      <c r="H864" t="s">
        <v>23</v>
      </c>
      <c r="I864" t="s">
        <v>32</v>
      </c>
      <c r="J864">
        <v>80</v>
      </c>
      <c r="K864">
        <v>84.18</v>
      </c>
      <c r="L864" s="39">
        <f t="shared" si="80"/>
        <v>1.0522500000000001</v>
      </c>
      <c r="M864" s="39">
        <f t="shared" si="81"/>
        <v>1.0522500000000001</v>
      </c>
      <c r="N864" t="s">
        <v>25</v>
      </c>
      <c r="O864" t="s">
        <v>25</v>
      </c>
      <c r="P864">
        <v>0</v>
      </c>
      <c r="Q864">
        <v>1</v>
      </c>
      <c r="R864" t="s">
        <v>1305</v>
      </c>
    </row>
    <row r="865" spans="1:18" hidden="1" x14ac:dyDescent="0.3">
      <c r="A865">
        <v>462</v>
      </c>
      <c r="B865" t="s">
        <v>1306</v>
      </c>
      <c r="C865" t="s">
        <v>308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85</v>
      </c>
      <c r="K865">
        <v>100</v>
      </c>
      <c r="L865" s="39">
        <f t="shared" si="80"/>
        <v>1.1764705882352942</v>
      </c>
      <c r="M865" s="39">
        <f t="shared" si="81"/>
        <v>1.1764705882352942</v>
      </c>
      <c r="N865" t="s">
        <v>25</v>
      </c>
      <c r="O865" t="s">
        <v>25</v>
      </c>
      <c r="P865">
        <v>0</v>
      </c>
      <c r="Q865">
        <v>0</v>
      </c>
      <c r="R865" t="s">
        <v>1307</v>
      </c>
    </row>
    <row r="866" spans="1:18" hidden="1" x14ac:dyDescent="0.3">
      <c r="A866">
        <v>463</v>
      </c>
      <c r="B866" t="s">
        <v>1308</v>
      </c>
      <c r="C866" t="s">
        <v>40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100</v>
      </c>
      <c r="L866" s="39">
        <f t="shared" si="80"/>
        <v>1</v>
      </c>
      <c r="M866" s="39">
        <f t="shared" si="81"/>
        <v>1</v>
      </c>
      <c r="N866" t="s">
        <v>25</v>
      </c>
      <c r="O866" t="s">
        <v>25</v>
      </c>
      <c r="P866">
        <v>0</v>
      </c>
      <c r="Q866">
        <v>0</v>
      </c>
      <c r="R866" t="s">
        <v>1309</v>
      </c>
    </row>
    <row r="867" spans="1:18" x14ac:dyDescent="0.3">
      <c r="A867">
        <v>465</v>
      </c>
      <c r="B867" t="s">
        <v>1310</v>
      </c>
      <c r="C867" t="s">
        <v>922</v>
      </c>
      <c r="D867" t="s">
        <v>27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56.83</v>
      </c>
      <c r="L867" s="39">
        <f t="shared" si="80"/>
        <v>0.56830000000000003</v>
      </c>
      <c r="M867" s="39">
        <f t="shared" si="81"/>
        <v>0.56830000000000003</v>
      </c>
      <c r="N867" t="s">
        <v>25</v>
      </c>
      <c r="O867" t="s">
        <v>25</v>
      </c>
      <c r="P867">
        <v>0</v>
      </c>
      <c r="Q867">
        <v>0</v>
      </c>
      <c r="R867" t="s">
        <v>1311</v>
      </c>
    </row>
    <row r="868" spans="1:18" hidden="1" x14ac:dyDescent="0.3">
      <c r="A868">
        <v>466</v>
      </c>
      <c r="B868" t="s">
        <v>1312</v>
      </c>
      <c r="C868" t="s">
        <v>333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113.4</v>
      </c>
      <c r="L868" s="39">
        <f t="shared" si="80"/>
        <v>1.1340000000000001</v>
      </c>
      <c r="M868" s="39">
        <f t="shared" si="81"/>
        <v>1.1340000000000001</v>
      </c>
      <c r="N868" t="s">
        <v>128</v>
      </c>
      <c r="O868" t="s">
        <v>136</v>
      </c>
      <c r="P868">
        <v>1</v>
      </c>
      <c r="Q868">
        <v>1</v>
      </c>
      <c r="R868" t="s">
        <v>1313</v>
      </c>
    </row>
    <row r="869" spans="1:18" hidden="1" x14ac:dyDescent="0.3">
      <c r="A869">
        <v>466</v>
      </c>
      <c r="B869" t="s">
        <v>1312</v>
      </c>
      <c r="C869" t="s">
        <v>333</v>
      </c>
      <c r="D869" t="s">
        <v>27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106.55</v>
      </c>
      <c r="L869" s="39">
        <f t="shared" si="80"/>
        <v>1.0654999999999999</v>
      </c>
      <c r="M869" s="39">
        <f t="shared" si="81"/>
        <v>1.0654999999999999</v>
      </c>
      <c r="N869" t="s">
        <v>128</v>
      </c>
      <c r="O869" t="s">
        <v>136</v>
      </c>
      <c r="P869">
        <v>1</v>
      </c>
      <c r="Q869">
        <v>1</v>
      </c>
      <c r="R869" t="s">
        <v>1314</v>
      </c>
    </row>
    <row r="870" spans="1:18" hidden="1" x14ac:dyDescent="0.3">
      <c r="A870">
        <v>467</v>
      </c>
      <c r="B870" t="s">
        <v>1315</v>
      </c>
      <c r="C870" t="s">
        <v>653</v>
      </c>
      <c r="D870" t="s">
        <v>27</v>
      </c>
      <c r="E870" t="s">
        <v>22</v>
      </c>
      <c r="F870" s="79">
        <v>45657</v>
      </c>
      <c r="G870">
        <v>2024</v>
      </c>
      <c r="H870" t="s">
        <v>23</v>
      </c>
      <c r="I870" t="s">
        <v>30</v>
      </c>
      <c r="J870">
        <v>100</v>
      </c>
      <c r="K870">
        <v>121.54</v>
      </c>
      <c r="L870" s="39">
        <f t="shared" si="80"/>
        <v>1.2154</v>
      </c>
      <c r="M870" s="39">
        <f t="shared" si="81"/>
        <v>1.2154</v>
      </c>
      <c r="N870" t="s">
        <v>128</v>
      </c>
      <c r="O870" t="s">
        <v>136</v>
      </c>
      <c r="P870">
        <v>0</v>
      </c>
      <c r="Q870">
        <v>1</v>
      </c>
      <c r="R870" t="s">
        <v>1316</v>
      </c>
    </row>
    <row r="871" spans="1:18" hidden="1" x14ac:dyDescent="0.3">
      <c r="A871">
        <v>467</v>
      </c>
      <c r="B871" t="s">
        <v>1315</v>
      </c>
      <c r="C871" t="s">
        <v>653</v>
      </c>
      <c r="D871" t="s">
        <v>21</v>
      </c>
      <c r="E871" t="s">
        <v>22</v>
      </c>
      <c r="F871" s="79">
        <v>46022</v>
      </c>
      <c r="G871">
        <v>2025</v>
      </c>
      <c r="H871" t="s">
        <v>23</v>
      </c>
      <c r="I871" t="s">
        <v>32</v>
      </c>
      <c r="J871">
        <v>100</v>
      </c>
      <c r="K871">
        <v>108.75</v>
      </c>
      <c r="L871" s="39">
        <f t="shared" si="80"/>
        <v>1.0874999999999999</v>
      </c>
      <c r="M871" s="39">
        <f t="shared" si="81"/>
        <v>1.0874999999999999</v>
      </c>
      <c r="N871" t="s">
        <v>128</v>
      </c>
      <c r="O871" t="s">
        <v>136</v>
      </c>
      <c r="P871">
        <v>0</v>
      </c>
      <c r="Q871">
        <v>1</v>
      </c>
      <c r="R871" t="s">
        <v>1317</v>
      </c>
    </row>
    <row r="872" spans="1:18" hidden="1" x14ac:dyDescent="0.3">
      <c r="A872">
        <v>468</v>
      </c>
      <c r="B872" t="s">
        <v>1318</v>
      </c>
      <c r="C872" t="s">
        <v>653</v>
      </c>
      <c r="D872" t="s">
        <v>27</v>
      </c>
      <c r="E872" t="s">
        <v>41</v>
      </c>
      <c r="F872" s="79">
        <v>45657</v>
      </c>
      <c r="G872">
        <v>2024</v>
      </c>
      <c r="H872" t="s">
        <v>23</v>
      </c>
      <c r="I872" t="s">
        <v>30</v>
      </c>
      <c r="J872">
        <v>3</v>
      </c>
      <c r="K872">
        <v>2.7250000000000001</v>
      </c>
      <c r="L872" s="39">
        <f t="shared" si="80"/>
        <v>1.1009174311926606</v>
      </c>
      <c r="M872" s="39">
        <f t="shared" si="81"/>
        <v>1.1009174311926606</v>
      </c>
      <c r="N872" t="s">
        <v>128</v>
      </c>
      <c r="O872" t="s">
        <v>136</v>
      </c>
      <c r="P872">
        <v>0</v>
      </c>
      <c r="Q872">
        <v>1</v>
      </c>
      <c r="R872" t="s">
        <v>1319</v>
      </c>
    </row>
    <row r="873" spans="1:18" hidden="1" x14ac:dyDescent="0.3">
      <c r="A873">
        <v>468</v>
      </c>
      <c r="B873" t="s">
        <v>1318</v>
      </c>
      <c r="C873" t="s">
        <v>653</v>
      </c>
      <c r="D873" t="s">
        <v>21</v>
      </c>
      <c r="E873" t="s">
        <v>41</v>
      </c>
      <c r="F873" s="79">
        <v>46022</v>
      </c>
      <c r="G873">
        <v>2025</v>
      </c>
      <c r="H873" t="s">
        <v>23</v>
      </c>
      <c r="I873" t="s">
        <v>32</v>
      </c>
      <c r="J873">
        <v>2.5</v>
      </c>
      <c r="K873">
        <v>2.25</v>
      </c>
      <c r="L873" s="39">
        <f t="shared" si="80"/>
        <v>1.1111111111111112</v>
      </c>
      <c r="M873" s="39">
        <f t="shared" si="81"/>
        <v>1.1111111111111112</v>
      </c>
      <c r="N873" t="s">
        <v>136</v>
      </c>
      <c r="O873" t="s">
        <v>136</v>
      </c>
      <c r="P873">
        <v>1</v>
      </c>
      <c r="Q873">
        <v>1</v>
      </c>
      <c r="R873" t="s">
        <v>1320</v>
      </c>
    </row>
    <row r="874" spans="1:18" hidden="1" x14ac:dyDescent="0.3">
      <c r="A874">
        <v>469</v>
      </c>
      <c r="B874" t="s">
        <v>1176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99.7</v>
      </c>
      <c r="L874" s="39">
        <f t="shared" ref="L874:L879" si="82">IFERROR(IF(OR(J874=0,K874=""),"",IF(E874="Positivo",MIN(MAX(K874/J874,0),1),MIN(MAX(J874/K874,0),1))),"")</f>
        <v>0.997</v>
      </c>
      <c r="M874" s="39">
        <f t="shared" si="81"/>
        <v>0.997</v>
      </c>
      <c r="N874" t="s">
        <v>25</v>
      </c>
      <c r="O874" t="s">
        <v>25</v>
      </c>
      <c r="P874">
        <v>1</v>
      </c>
      <c r="Q874">
        <v>1</v>
      </c>
      <c r="R874" t="s">
        <v>1321</v>
      </c>
    </row>
    <row r="875" spans="1:18" hidden="1" x14ac:dyDescent="0.3">
      <c r="A875">
        <v>469</v>
      </c>
      <c r="B875" t="s">
        <v>1176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99.13</v>
      </c>
      <c r="L875" s="39">
        <f t="shared" si="82"/>
        <v>0.99129999999999996</v>
      </c>
      <c r="M875" s="39">
        <f t="shared" si="81"/>
        <v>0.99129999999999996</v>
      </c>
      <c r="N875" t="s">
        <v>25</v>
      </c>
      <c r="O875" t="s">
        <v>25</v>
      </c>
      <c r="P875">
        <v>0</v>
      </c>
      <c r="Q875">
        <v>0</v>
      </c>
      <c r="R875" t="s">
        <v>1322</v>
      </c>
    </row>
    <row r="876" spans="1:18" hidden="1" x14ac:dyDescent="0.3">
      <c r="A876">
        <v>470</v>
      </c>
      <c r="B876" t="s">
        <v>1323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100</v>
      </c>
      <c r="L876" s="39">
        <f t="shared" si="82"/>
        <v>1</v>
      </c>
      <c r="M876" s="39">
        <f t="shared" si="81"/>
        <v>1</v>
      </c>
      <c r="N876" t="s">
        <v>25</v>
      </c>
      <c r="O876" t="s">
        <v>25</v>
      </c>
      <c r="P876">
        <v>0</v>
      </c>
      <c r="Q876">
        <v>0</v>
      </c>
      <c r="R876" t="s">
        <v>1324</v>
      </c>
    </row>
    <row r="877" spans="1:18" hidden="1" x14ac:dyDescent="0.3">
      <c r="A877">
        <v>470</v>
      </c>
      <c r="B877" t="s">
        <v>1323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100</v>
      </c>
      <c r="L877" s="39">
        <f t="shared" si="82"/>
        <v>1</v>
      </c>
      <c r="M877" s="39">
        <f t="shared" si="81"/>
        <v>1</v>
      </c>
      <c r="N877" t="s">
        <v>25</v>
      </c>
      <c r="O877" t="s">
        <v>25</v>
      </c>
      <c r="P877">
        <v>0</v>
      </c>
      <c r="Q877">
        <v>0</v>
      </c>
      <c r="R877" t="s">
        <v>1325</v>
      </c>
    </row>
    <row r="878" spans="1:18" hidden="1" x14ac:dyDescent="0.3">
      <c r="A878">
        <v>471</v>
      </c>
      <c r="B878" t="s">
        <v>1326</v>
      </c>
      <c r="C878" t="s">
        <v>567</v>
      </c>
      <c r="D878" t="s">
        <v>21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99</v>
      </c>
      <c r="L878" s="39">
        <f t="shared" si="82"/>
        <v>0.99</v>
      </c>
      <c r="M878" s="39">
        <f t="shared" si="81"/>
        <v>0.99</v>
      </c>
      <c r="N878" t="s">
        <v>25</v>
      </c>
      <c r="O878" t="s">
        <v>25</v>
      </c>
      <c r="P878">
        <v>0</v>
      </c>
      <c r="Q878">
        <v>0</v>
      </c>
      <c r="R878" t="s">
        <v>1327</v>
      </c>
    </row>
    <row r="879" spans="1:18" hidden="1" x14ac:dyDescent="0.3">
      <c r="A879">
        <v>471</v>
      </c>
      <c r="B879" t="s">
        <v>1326</v>
      </c>
      <c r="C879" t="s">
        <v>567</v>
      </c>
      <c r="D879" t="s">
        <v>27</v>
      </c>
      <c r="E879" t="s">
        <v>22</v>
      </c>
      <c r="F879" s="79">
        <v>46022</v>
      </c>
      <c r="G879">
        <v>2025</v>
      </c>
      <c r="H879" t="s">
        <v>23</v>
      </c>
      <c r="I879" t="s">
        <v>32</v>
      </c>
      <c r="J879">
        <v>100</v>
      </c>
      <c r="K879">
        <v>99.86</v>
      </c>
      <c r="L879" s="39">
        <f t="shared" si="82"/>
        <v>0.99860000000000004</v>
      </c>
      <c r="M879" s="39">
        <f t="shared" si="81"/>
        <v>0.99860000000000004</v>
      </c>
      <c r="N879" t="s">
        <v>25</v>
      </c>
      <c r="O879" t="s">
        <v>25</v>
      </c>
      <c r="P879">
        <v>0</v>
      </c>
      <c r="Q879">
        <v>0</v>
      </c>
      <c r="R879" t="s">
        <v>1328</v>
      </c>
    </row>
    <row r="880" spans="1:18" x14ac:dyDescent="0.3">
      <c r="A880">
        <v>472</v>
      </c>
      <c r="B880" t="s">
        <v>1329</v>
      </c>
      <c r="C880" t="s">
        <v>922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1"/>
        <v>1</v>
      </c>
      <c r="N880" t="s">
        <v>25</v>
      </c>
      <c r="O880" t="s">
        <v>25</v>
      </c>
      <c r="P880">
        <v>0</v>
      </c>
      <c r="Q880">
        <v>0</v>
      </c>
      <c r="R880" t="s">
        <v>1330</v>
      </c>
    </row>
    <row r="881" spans="1:18" hidden="1" x14ac:dyDescent="0.3">
      <c r="A881">
        <v>473</v>
      </c>
      <c r="B881" t="s">
        <v>1331</v>
      </c>
      <c r="C881" t="s">
        <v>549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1"/>
        <v>1</v>
      </c>
      <c r="N881" t="s">
        <v>128</v>
      </c>
      <c r="O881" t="s">
        <v>128</v>
      </c>
      <c r="P881">
        <v>0</v>
      </c>
      <c r="Q881">
        <v>0</v>
      </c>
      <c r="R881" t="s">
        <v>1332</v>
      </c>
    </row>
    <row r="882" spans="1:18" hidden="1" x14ac:dyDescent="0.3">
      <c r="A882">
        <v>473</v>
      </c>
      <c r="B882" t="s">
        <v>1331</v>
      </c>
      <c r="C882" t="s">
        <v>549</v>
      </c>
      <c r="D882" t="s">
        <v>27</v>
      </c>
      <c r="E882" t="s">
        <v>22</v>
      </c>
      <c r="F882" s="79">
        <v>45838</v>
      </c>
      <c r="G882">
        <v>2025</v>
      </c>
      <c r="H882" t="s">
        <v>699</v>
      </c>
      <c r="I882" t="s">
        <v>700</v>
      </c>
      <c r="J882">
        <v>100</v>
      </c>
      <c r="K882">
        <v>100</v>
      </c>
      <c r="L882" s="39">
        <f>IFERROR(IF(OR(J882=0,K882=""),"",IF(E882="Positivo",MIN(MAX(K882/J882,0),1.3),MIN(MAX(J882/K882,0),1.3))),"")</f>
        <v>1</v>
      </c>
      <c r="M882" s="39">
        <f t="shared" si="81"/>
        <v>1</v>
      </c>
      <c r="N882" t="s">
        <v>128</v>
      </c>
      <c r="O882" t="s">
        <v>128</v>
      </c>
      <c r="P882">
        <v>0</v>
      </c>
      <c r="Q882">
        <v>0</v>
      </c>
      <c r="R882" t="s">
        <v>1333</v>
      </c>
    </row>
    <row r="883" spans="1:18" hidden="1" x14ac:dyDescent="0.3">
      <c r="A883">
        <v>474</v>
      </c>
      <c r="B883" t="s">
        <v>1334</v>
      </c>
      <c r="C883" t="s">
        <v>1059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100</v>
      </c>
      <c r="K883">
        <v>100</v>
      </c>
      <c r="L883" s="39">
        <f>IFERROR(IF(OR(J883=0,K883=""),"",IF(E883="Positivo",MIN(MAX(K883/J883,0),1.3),MIN(MAX(J883/K883,0),1.3))),"")</f>
        <v>1</v>
      </c>
      <c r="M883" s="39">
        <f t="shared" si="81"/>
        <v>1</v>
      </c>
      <c r="N883" t="s">
        <v>128</v>
      </c>
      <c r="O883" t="s">
        <v>128</v>
      </c>
      <c r="P883">
        <v>0</v>
      </c>
      <c r="Q883">
        <v>0</v>
      </c>
      <c r="R883" t="s">
        <v>1335</v>
      </c>
    </row>
    <row r="884" spans="1:18" hidden="1" x14ac:dyDescent="0.3">
      <c r="A884">
        <v>474</v>
      </c>
      <c r="B884" t="s">
        <v>1334</v>
      </c>
      <c r="C884" t="s">
        <v>1059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K884">
        <v>0</v>
      </c>
      <c r="L884" s="39"/>
      <c r="N884" t="s">
        <v>128</v>
      </c>
      <c r="O884" t="s">
        <v>128</v>
      </c>
      <c r="P884">
        <v>0</v>
      </c>
      <c r="Q884">
        <v>0</v>
      </c>
      <c r="R884" t="s">
        <v>1336</v>
      </c>
    </row>
    <row r="885" spans="1:18" hidden="1" x14ac:dyDescent="0.3">
      <c r="A885">
        <v>475</v>
      </c>
      <c r="B885" t="s">
        <v>1337</v>
      </c>
      <c r="C885" t="s">
        <v>819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200</v>
      </c>
      <c r="K885">
        <v>140</v>
      </c>
      <c r="L885" s="39">
        <f t="shared" ref="L885:L890" si="83">IFERROR(IF(OR(J885=0,K885=""),"",IF(E885="Positivo",MIN(MAX(K885/J885,0),1.3),MIN(MAX(J885/K885,0),1.3))),"")</f>
        <v>0.7</v>
      </c>
      <c r="M885" s="39">
        <f t="shared" ref="M885:M890" si="84">IFERROR(IF(OR(J885=0,K885=""),"",IF(E885="Positivo",MAX(K885/J885,0),MAX(J885/K885,0))),"")</f>
        <v>0.7</v>
      </c>
      <c r="N885" t="s">
        <v>128</v>
      </c>
      <c r="O885" t="s">
        <v>128</v>
      </c>
      <c r="P885">
        <v>0</v>
      </c>
      <c r="Q885">
        <v>0</v>
      </c>
      <c r="R885" t="s">
        <v>1338</v>
      </c>
    </row>
    <row r="886" spans="1:18" hidden="1" x14ac:dyDescent="0.3">
      <c r="A886">
        <v>475</v>
      </c>
      <c r="B886" t="s">
        <v>1337</v>
      </c>
      <c r="C886" t="s">
        <v>819</v>
      </c>
      <c r="D886" t="s">
        <v>21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200</v>
      </c>
      <c r="K886">
        <v>100</v>
      </c>
      <c r="L886" s="39">
        <f t="shared" si="83"/>
        <v>0.5</v>
      </c>
      <c r="M886" s="39">
        <f t="shared" si="84"/>
        <v>0.5</v>
      </c>
      <c r="N886" t="s">
        <v>128</v>
      </c>
      <c r="O886" t="s">
        <v>128</v>
      </c>
      <c r="P886">
        <v>0</v>
      </c>
      <c r="Q886">
        <v>0</v>
      </c>
      <c r="R886" t="s">
        <v>1339</v>
      </c>
    </row>
    <row r="887" spans="1:18" hidden="1" x14ac:dyDescent="0.3">
      <c r="A887">
        <v>476</v>
      </c>
      <c r="B887" t="s">
        <v>1340</v>
      </c>
      <c r="C887" t="s">
        <v>549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100</v>
      </c>
      <c r="K887">
        <v>100</v>
      </c>
      <c r="L887" s="39">
        <f t="shared" si="83"/>
        <v>1</v>
      </c>
      <c r="M887" s="39">
        <f t="shared" si="84"/>
        <v>1</v>
      </c>
      <c r="N887" t="s">
        <v>128</v>
      </c>
      <c r="O887" t="s">
        <v>128</v>
      </c>
      <c r="P887">
        <v>0</v>
      </c>
      <c r="Q887">
        <v>0</v>
      </c>
      <c r="R887" t="s">
        <v>1341</v>
      </c>
    </row>
    <row r="888" spans="1:18" hidden="1" x14ac:dyDescent="0.3">
      <c r="A888">
        <v>476</v>
      </c>
      <c r="B888" t="s">
        <v>1340</v>
      </c>
      <c r="C888" t="s">
        <v>549</v>
      </c>
      <c r="D888" t="s">
        <v>27</v>
      </c>
      <c r="E888" t="s">
        <v>22</v>
      </c>
      <c r="F888" s="79">
        <v>46022</v>
      </c>
      <c r="G888">
        <v>2025</v>
      </c>
      <c r="H888" t="s">
        <v>23</v>
      </c>
      <c r="I888" t="s">
        <v>32</v>
      </c>
      <c r="J888">
        <v>100</v>
      </c>
      <c r="K888">
        <v>100</v>
      </c>
      <c r="L888" s="39">
        <f t="shared" si="83"/>
        <v>1</v>
      </c>
      <c r="M888" s="39">
        <f t="shared" si="84"/>
        <v>1</v>
      </c>
      <c r="N888" t="s">
        <v>128</v>
      </c>
      <c r="O888" t="s">
        <v>128</v>
      </c>
      <c r="P888">
        <v>0</v>
      </c>
      <c r="Q888">
        <v>0</v>
      </c>
      <c r="R888" t="s">
        <v>1342</v>
      </c>
    </row>
    <row r="889" spans="1:18" hidden="1" x14ac:dyDescent="0.3">
      <c r="A889">
        <v>477</v>
      </c>
      <c r="B889" t="s">
        <v>1343</v>
      </c>
      <c r="C889" t="s">
        <v>1059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200</v>
      </c>
      <c r="K889">
        <v>200</v>
      </c>
      <c r="L889" s="39">
        <f t="shared" si="83"/>
        <v>1</v>
      </c>
      <c r="M889" s="39">
        <f t="shared" si="84"/>
        <v>1</v>
      </c>
      <c r="N889" t="s">
        <v>128</v>
      </c>
      <c r="O889" t="s">
        <v>128</v>
      </c>
      <c r="P889">
        <v>0</v>
      </c>
      <c r="Q889">
        <v>0</v>
      </c>
      <c r="R889" t="s">
        <v>1344</v>
      </c>
    </row>
    <row r="890" spans="1:18" hidden="1" x14ac:dyDescent="0.3">
      <c r="A890">
        <v>478</v>
      </c>
      <c r="B890" t="s">
        <v>1345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100</v>
      </c>
      <c r="L890" s="39">
        <f t="shared" si="83"/>
        <v>0.5</v>
      </c>
      <c r="M890" s="39">
        <f t="shared" si="84"/>
        <v>0.5</v>
      </c>
      <c r="N890" t="s">
        <v>128</v>
      </c>
      <c r="O890" t="s">
        <v>128</v>
      </c>
      <c r="P890">
        <v>0</v>
      </c>
      <c r="Q890">
        <v>0</v>
      </c>
      <c r="R890" t="s">
        <v>1346</v>
      </c>
    </row>
    <row r="891" spans="1:18" hidden="1" x14ac:dyDescent="0.3">
      <c r="A891">
        <v>478</v>
      </c>
      <c r="B891" t="s">
        <v>1345</v>
      </c>
      <c r="C891" t="s">
        <v>1059</v>
      </c>
      <c r="D891" t="s">
        <v>21</v>
      </c>
      <c r="E891" t="s">
        <v>22</v>
      </c>
      <c r="F891" s="79">
        <v>46022</v>
      </c>
      <c r="G891">
        <v>2025</v>
      </c>
      <c r="H891" t="s">
        <v>23</v>
      </c>
      <c r="I891" t="s">
        <v>32</v>
      </c>
      <c r="K891">
        <v>0</v>
      </c>
      <c r="L891" s="39"/>
      <c r="N891" t="s">
        <v>128</v>
      </c>
      <c r="O891" t="s">
        <v>128</v>
      </c>
      <c r="P891">
        <v>0</v>
      </c>
      <c r="Q891">
        <v>0</v>
      </c>
      <c r="R891" t="s">
        <v>1347</v>
      </c>
    </row>
    <row r="892" spans="1:18" hidden="1" x14ac:dyDescent="0.3">
      <c r="A892">
        <v>479</v>
      </c>
      <c r="B892" t="s">
        <v>1348</v>
      </c>
      <c r="C892" t="s">
        <v>1059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200</v>
      </c>
      <c r="K892">
        <v>200</v>
      </c>
      <c r="L892" s="39">
        <f t="shared" ref="L892:L901" si="85">IFERROR(IF(OR(J892=0,K892=""),"",IF(E892="Positivo",MIN(MAX(K892/J892,0),1.3),MIN(MAX(J892/K892,0),1.3))),"")</f>
        <v>1</v>
      </c>
      <c r="M892" s="39">
        <f t="shared" ref="M892:M901" si="86">IFERROR(IF(OR(J892=0,K892=""),"",IF(E892="Positivo",MAX(K892/J892,0),MAX(J892/K892,0))),"")</f>
        <v>1</v>
      </c>
      <c r="N892" t="s">
        <v>128</v>
      </c>
      <c r="O892" t="s">
        <v>128</v>
      </c>
      <c r="P892">
        <v>0</v>
      </c>
      <c r="Q892">
        <v>0</v>
      </c>
      <c r="R892" t="s">
        <v>1349</v>
      </c>
    </row>
    <row r="893" spans="1:18" hidden="1" x14ac:dyDescent="0.3">
      <c r="A893">
        <v>480</v>
      </c>
      <c r="B893" t="s">
        <v>1350</v>
      </c>
      <c r="C893" t="s">
        <v>1059</v>
      </c>
      <c r="D893" t="s">
        <v>27</v>
      </c>
      <c r="E893" t="s">
        <v>22</v>
      </c>
      <c r="F893" s="79">
        <v>45657</v>
      </c>
      <c r="G893">
        <v>2024</v>
      </c>
      <c r="H893" t="s">
        <v>23</v>
      </c>
      <c r="I893" t="s">
        <v>30</v>
      </c>
      <c r="J893">
        <v>200</v>
      </c>
      <c r="K893">
        <v>200</v>
      </c>
      <c r="L893" s="39">
        <f t="shared" si="85"/>
        <v>1</v>
      </c>
      <c r="M893" s="39">
        <f t="shared" si="86"/>
        <v>1</v>
      </c>
      <c r="N893" t="s">
        <v>128</v>
      </c>
      <c r="O893" t="s">
        <v>128</v>
      </c>
      <c r="P893">
        <v>0</v>
      </c>
      <c r="Q893">
        <v>0</v>
      </c>
      <c r="R893" t="s">
        <v>1351</v>
      </c>
    </row>
    <row r="894" spans="1:18" hidden="1" x14ac:dyDescent="0.3">
      <c r="A894">
        <v>481</v>
      </c>
      <c r="B894" t="s">
        <v>1352</v>
      </c>
      <c r="C894" t="s">
        <v>549</v>
      </c>
      <c r="D894" t="s">
        <v>27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100</v>
      </c>
      <c r="K894">
        <v>100</v>
      </c>
      <c r="L894" s="39">
        <f t="shared" si="85"/>
        <v>1</v>
      </c>
      <c r="M894" s="39">
        <f t="shared" si="86"/>
        <v>1</v>
      </c>
      <c r="N894" t="s">
        <v>25</v>
      </c>
      <c r="O894" t="s">
        <v>25</v>
      </c>
      <c r="P894">
        <v>0</v>
      </c>
      <c r="Q894">
        <v>0</v>
      </c>
      <c r="R894" t="s">
        <v>1353</v>
      </c>
    </row>
    <row r="895" spans="1:18" hidden="1" x14ac:dyDescent="0.3">
      <c r="A895">
        <v>481</v>
      </c>
      <c r="B895" t="s">
        <v>1352</v>
      </c>
      <c r="C895" t="s">
        <v>549</v>
      </c>
      <c r="D895" t="s">
        <v>21</v>
      </c>
      <c r="E895" t="s">
        <v>22</v>
      </c>
      <c r="F895" s="79">
        <v>46022</v>
      </c>
      <c r="G895">
        <v>2025</v>
      </c>
      <c r="H895" t="s">
        <v>23</v>
      </c>
      <c r="I895" t="s">
        <v>32</v>
      </c>
      <c r="J895">
        <v>100</v>
      </c>
      <c r="K895">
        <v>100</v>
      </c>
      <c r="L895" s="39">
        <f t="shared" si="85"/>
        <v>1</v>
      </c>
      <c r="M895" s="39">
        <f t="shared" si="86"/>
        <v>1</v>
      </c>
      <c r="N895" t="s">
        <v>25</v>
      </c>
      <c r="O895" t="s">
        <v>25</v>
      </c>
      <c r="P895">
        <v>0</v>
      </c>
      <c r="Q895">
        <v>0</v>
      </c>
      <c r="R895" t="s">
        <v>1354</v>
      </c>
    </row>
    <row r="896" spans="1:18" hidden="1" x14ac:dyDescent="0.3">
      <c r="A896">
        <v>483</v>
      </c>
      <c r="B896" t="s">
        <v>1355</v>
      </c>
      <c r="C896" t="s">
        <v>1066</v>
      </c>
      <c r="D896" t="s">
        <v>71</v>
      </c>
      <c r="E896" t="s">
        <v>22</v>
      </c>
      <c r="F896" s="79">
        <v>45657</v>
      </c>
      <c r="G896">
        <v>2024</v>
      </c>
      <c r="H896" t="s">
        <v>23</v>
      </c>
      <c r="I896" t="s">
        <v>30</v>
      </c>
      <c r="J896">
        <v>10</v>
      </c>
      <c r="K896">
        <v>91.65</v>
      </c>
      <c r="L896" s="39">
        <f t="shared" si="85"/>
        <v>1.3</v>
      </c>
      <c r="M896" s="39">
        <f t="shared" si="86"/>
        <v>9.1650000000000009</v>
      </c>
      <c r="N896" t="s">
        <v>128</v>
      </c>
      <c r="O896" t="s">
        <v>128</v>
      </c>
      <c r="P896">
        <v>0</v>
      </c>
      <c r="Q896">
        <v>0</v>
      </c>
      <c r="R896" t="s">
        <v>1356</v>
      </c>
    </row>
    <row r="897" spans="1:18" hidden="1" x14ac:dyDescent="0.3">
      <c r="A897">
        <v>484</v>
      </c>
      <c r="B897" t="s">
        <v>1357</v>
      </c>
      <c r="C897" t="s">
        <v>70</v>
      </c>
      <c r="D897" t="s">
        <v>21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90</v>
      </c>
      <c r="K897">
        <v>100</v>
      </c>
      <c r="L897" s="39">
        <f t="shared" si="85"/>
        <v>1.1111111111111112</v>
      </c>
      <c r="M897" s="39">
        <f t="shared" si="86"/>
        <v>1.1111111111111112</v>
      </c>
      <c r="N897" t="s">
        <v>25</v>
      </c>
      <c r="O897" t="s">
        <v>25</v>
      </c>
      <c r="P897">
        <v>0</v>
      </c>
      <c r="Q897">
        <v>0</v>
      </c>
      <c r="R897" t="s">
        <v>1358</v>
      </c>
    </row>
    <row r="898" spans="1:18" hidden="1" x14ac:dyDescent="0.3">
      <c r="A898">
        <v>484</v>
      </c>
      <c r="B898" t="s">
        <v>1357</v>
      </c>
      <c r="C898" t="s">
        <v>70</v>
      </c>
      <c r="D898" t="s">
        <v>27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90</v>
      </c>
      <c r="K898">
        <v>100</v>
      </c>
      <c r="L898" s="39">
        <f t="shared" si="85"/>
        <v>1.1111111111111112</v>
      </c>
      <c r="M898" s="39">
        <f t="shared" si="86"/>
        <v>1.1111111111111112</v>
      </c>
      <c r="N898" t="s">
        <v>25</v>
      </c>
      <c r="O898" t="s">
        <v>25</v>
      </c>
      <c r="P898">
        <v>0</v>
      </c>
      <c r="Q898">
        <v>0</v>
      </c>
      <c r="R898" t="s">
        <v>1359</v>
      </c>
    </row>
    <row r="899" spans="1:18" hidden="1" x14ac:dyDescent="0.3">
      <c r="A899">
        <v>485</v>
      </c>
      <c r="B899" t="s">
        <v>1360</v>
      </c>
      <c r="C899" t="s">
        <v>198</v>
      </c>
      <c r="D899" t="s">
        <v>54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80</v>
      </c>
      <c r="K899">
        <v>91.666666666666657</v>
      </c>
      <c r="L899" s="39">
        <f t="shared" si="85"/>
        <v>1.1458333333333333</v>
      </c>
      <c r="M899" s="39">
        <f t="shared" si="86"/>
        <v>1.1458333333333333</v>
      </c>
      <c r="N899" t="s">
        <v>25</v>
      </c>
      <c r="O899" t="s">
        <v>25</v>
      </c>
      <c r="P899">
        <v>0</v>
      </c>
      <c r="Q899">
        <v>0</v>
      </c>
      <c r="R899" t="s">
        <v>1361</v>
      </c>
    </row>
    <row r="900" spans="1:18" hidden="1" x14ac:dyDescent="0.3">
      <c r="A900">
        <v>485</v>
      </c>
      <c r="B900" t="s">
        <v>1360</v>
      </c>
      <c r="C900" t="s">
        <v>198</v>
      </c>
      <c r="D900" t="s">
        <v>54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J900">
        <v>80</v>
      </c>
      <c r="K900">
        <v>80.140909090909091</v>
      </c>
      <c r="L900" s="39">
        <f t="shared" si="85"/>
        <v>1.0017613636363636</v>
      </c>
      <c r="M900" s="39">
        <f t="shared" si="86"/>
        <v>1.0017613636363636</v>
      </c>
      <c r="N900" t="s">
        <v>25</v>
      </c>
      <c r="O900" t="s">
        <v>25</v>
      </c>
      <c r="P900">
        <v>0</v>
      </c>
      <c r="Q900">
        <v>0</v>
      </c>
      <c r="R900" t="s">
        <v>1362</v>
      </c>
    </row>
    <row r="901" spans="1:18" hidden="1" x14ac:dyDescent="0.3">
      <c r="A901">
        <v>486</v>
      </c>
      <c r="B901" t="s">
        <v>1363</v>
      </c>
      <c r="C901" t="s">
        <v>149</v>
      </c>
      <c r="D901" t="s">
        <v>27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0</v>
      </c>
      <c r="K901">
        <v>7600000</v>
      </c>
      <c r="L901" s="39" t="str">
        <f t="shared" si="85"/>
        <v/>
      </c>
      <c r="M901" s="39" t="str">
        <f t="shared" si="86"/>
        <v/>
      </c>
      <c r="N901" t="s">
        <v>25</v>
      </c>
      <c r="O901" t="s">
        <v>25</v>
      </c>
      <c r="P901">
        <v>0</v>
      </c>
      <c r="Q901">
        <v>0</v>
      </c>
      <c r="R901" t="s">
        <v>1364</v>
      </c>
    </row>
    <row r="902" spans="1:18" hidden="1" x14ac:dyDescent="0.3">
      <c r="A902">
        <v>486</v>
      </c>
      <c r="B902" t="s">
        <v>1363</v>
      </c>
      <c r="C902" t="s">
        <v>149</v>
      </c>
      <c r="D902" t="s">
        <v>21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K902">
        <v>5594551</v>
      </c>
      <c r="L902" s="39"/>
      <c r="N902" t="s">
        <v>25</v>
      </c>
      <c r="O902" t="s">
        <v>25</v>
      </c>
      <c r="P902">
        <v>0</v>
      </c>
      <c r="Q902">
        <v>0</v>
      </c>
      <c r="R902" t="s">
        <v>1365</v>
      </c>
    </row>
    <row r="903" spans="1:18" hidden="1" x14ac:dyDescent="0.3">
      <c r="A903">
        <v>487</v>
      </c>
      <c r="B903" t="s">
        <v>1366</v>
      </c>
      <c r="C903" t="s">
        <v>619</v>
      </c>
      <c r="D903" t="s">
        <v>71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20</v>
      </c>
      <c r="K903">
        <v>6.06</v>
      </c>
      <c r="L903" s="39">
        <f>IFERROR(IF(OR(J903=0,K903=""),"",IF(E903="Positivo",MIN(MAX(K903/J903,0),1.3),MIN(MAX(J903/K903,0),1.3))),"")</f>
        <v>0.30299999999999999</v>
      </c>
      <c r="M903" s="39">
        <f>IFERROR(IF(OR(J903=0,K903=""),"",IF(E903="Positivo",MAX(K903/J903,0),MAX(J903/K903,0))),"")</f>
        <v>0.30299999999999999</v>
      </c>
      <c r="N903" t="s">
        <v>25</v>
      </c>
      <c r="O903" t="s">
        <v>25</v>
      </c>
      <c r="P903">
        <v>0</v>
      </c>
      <c r="Q903">
        <v>0</v>
      </c>
      <c r="R903" t="s">
        <v>1367</v>
      </c>
    </row>
    <row r="904" spans="1:18" hidden="1" x14ac:dyDescent="0.3">
      <c r="A904">
        <v>487</v>
      </c>
      <c r="B904" t="s">
        <v>1366</v>
      </c>
      <c r="C904" t="s">
        <v>619</v>
      </c>
      <c r="D904" t="s">
        <v>71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20</v>
      </c>
      <c r="K904">
        <v>58.86</v>
      </c>
      <c r="L904" s="39">
        <f>IFERROR(IF(OR(J904=0,K904=""),"",IF(E904="Positivo",MIN(MAX(K904/J904,0),1.3),MIN(MAX(J904/K904,0),1.3))),"")</f>
        <v>1.3</v>
      </c>
      <c r="M904" s="39">
        <f>IFERROR(IF(OR(J904=0,K904=""),"",IF(E904="Positivo",MAX(K904/J904,0),MAX(J904/K904,0))),"")</f>
        <v>2.9430000000000001</v>
      </c>
      <c r="N904" t="s">
        <v>25</v>
      </c>
      <c r="O904" t="s">
        <v>25</v>
      </c>
      <c r="P904">
        <v>0</v>
      </c>
      <c r="Q904">
        <v>0</v>
      </c>
      <c r="R904" t="s">
        <v>1368</v>
      </c>
    </row>
    <row r="905" spans="1:18" hidden="1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45657</v>
      </c>
      <c r="G905">
        <v>2024</v>
      </c>
      <c r="H905" t="s">
        <v>23</v>
      </c>
      <c r="I905" t="s">
        <v>30</v>
      </c>
      <c r="J905">
        <v>85</v>
      </c>
      <c r="K905">
        <v>92.961288460795018</v>
      </c>
      <c r="L905" s="39">
        <f>IFERROR(IF(OR(J905=0,K905=""),"",IF(E905="Positivo",MIN(MAX(K905/J905,0),1.3),MIN(MAX(J905/K905,0),1.3))),"")</f>
        <v>1.0936622171858237</v>
      </c>
      <c r="M905" s="39">
        <f>IFERROR(IF(OR(J905=0,K905=""),"",IF(E905="Positivo",MAX(K905/J905,0),MAX(J905/K905,0))),"")</f>
        <v>1.0936622171858237</v>
      </c>
      <c r="N905" t="s">
        <v>25</v>
      </c>
      <c r="O905" t="s">
        <v>25</v>
      </c>
      <c r="P905">
        <v>0</v>
      </c>
      <c r="Q905">
        <v>0</v>
      </c>
      <c r="R905" t="s">
        <v>1370</v>
      </c>
    </row>
    <row r="906" spans="1:18" hidden="1" x14ac:dyDescent="0.3">
      <c r="A906">
        <v>488</v>
      </c>
      <c r="B906" t="s">
        <v>1369</v>
      </c>
      <c r="C906" t="s">
        <v>198</v>
      </c>
      <c r="D906" t="s">
        <v>54</v>
      </c>
      <c r="E906" t="s">
        <v>22</v>
      </c>
      <c r="F906" s="79">
        <v>46022</v>
      </c>
      <c r="G906">
        <v>2025</v>
      </c>
      <c r="H906" t="s">
        <v>23</v>
      </c>
      <c r="I906" t="s">
        <v>32</v>
      </c>
      <c r="J906">
        <v>85</v>
      </c>
      <c r="K906">
        <v>77.20042389461328</v>
      </c>
      <c r="L906" s="39">
        <f>IFERROR(IF(OR(J906=0,K906=""),"",IF(E906="Positivo",MIN(MAX(K906/J906,0),1.3),MIN(MAX(J906/K906,0),1.3))),"")</f>
        <v>0.9082402811130974</v>
      </c>
      <c r="M906" s="39">
        <f>IFERROR(IF(OR(J906=0,K906=""),"",IF(E906="Positivo",MAX(K906/J906,0),MAX(J906/K906,0))),"")</f>
        <v>0.9082402811130974</v>
      </c>
      <c r="N906" t="s">
        <v>25</v>
      </c>
      <c r="O906" t="s">
        <v>25</v>
      </c>
      <c r="P906">
        <v>0</v>
      </c>
      <c r="Q906">
        <v>0</v>
      </c>
      <c r="R906" t="s">
        <v>1371</v>
      </c>
    </row>
    <row r="907" spans="1:18" hidden="1" x14ac:dyDescent="0.3">
      <c r="A907">
        <v>488</v>
      </c>
      <c r="B907" t="s">
        <v>1369</v>
      </c>
      <c r="C907" t="s">
        <v>198</v>
      </c>
      <c r="D907" t="s">
        <v>54</v>
      </c>
      <c r="E907" t="s">
        <v>22</v>
      </c>
      <c r="F907" s="79">
        <v>46081</v>
      </c>
      <c r="G907">
        <v>2026</v>
      </c>
      <c r="H907" t="s">
        <v>210</v>
      </c>
      <c r="I907" t="s">
        <v>60</v>
      </c>
      <c r="K907">
        <v>72.16</v>
      </c>
      <c r="L907" s="39"/>
      <c r="N907" t="s">
        <v>25</v>
      </c>
      <c r="O907" t="s">
        <v>25</v>
      </c>
      <c r="P907">
        <v>0</v>
      </c>
      <c r="Q907">
        <v>0</v>
      </c>
      <c r="R907" t="s">
        <v>1372</v>
      </c>
    </row>
    <row r="908" spans="1:18" hidden="1" x14ac:dyDescent="0.3">
      <c r="A908">
        <v>489</v>
      </c>
      <c r="B908" t="s">
        <v>1373</v>
      </c>
      <c r="C908" t="s">
        <v>198</v>
      </c>
      <c r="D908" t="s">
        <v>54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80</v>
      </c>
      <c r="K908">
        <v>100</v>
      </c>
      <c r="L908" s="39">
        <f t="shared" ref="L908:L946" si="87">IFERROR(IF(OR(J908=0,K908=""),"",IF(E908="Positivo",MIN(MAX(K908/J908,0),1.3),MIN(MAX(J908/K908,0),1.3))),"")</f>
        <v>1.25</v>
      </c>
      <c r="M908" s="39">
        <f t="shared" ref="M908:M946" si="88">IFERROR(IF(OR(J908=0,K908=""),"",IF(E908="Positivo",MAX(K908/J908,0),MAX(J908/K908,0))),"")</f>
        <v>1.25</v>
      </c>
      <c r="N908" t="s">
        <v>25</v>
      </c>
      <c r="O908" t="s">
        <v>25</v>
      </c>
      <c r="P908">
        <v>0</v>
      </c>
      <c r="Q908">
        <v>0</v>
      </c>
      <c r="R908" t="s">
        <v>1374</v>
      </c>
    </row>
    <row r="909" spans="1:18" hidden="1" x14ac:dyDescent="0.3">
      <c r="A909">
        <v>490</v>
      </c>
      <c r="B909" t="s">
        <v>1375</v>
      </c>
      <c r="C909" t="s">
        <v>567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7"/>
        <v>1.1000000000000001</v>
      </c>
      <c r="M909" s="39">
        <f t="shared" si="88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1376</v>
      </c>
    </row>
    <row r="910" spans="1:18" hidden="1" x14ac:dyDescent="0.3">
      <c r="A910">
        <v>490</v>
      </c>
      <c r="B910" t="s">
        <v>1375</v>
      </c>
      <c r="C910" t="s">
        <v>567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7"/>
        <v>1.25</v>
      </c>
      <c r="M910" s="39">
        <f t="shared" si="88"/>
        <v>1.25</v>
      </c>
      <c r="N910" t="s">
        <v>25</v>
      </c>
      <c r="O910" t="s">
        <v>25</v>
      </c>
      <c r="P910">
        <v>0</v>
      </c>
      <c r="Q910">
        <v>0</v>
      </c>
      <c r="R910" t="s">
        <v>1377</v>
      </c>
    </row>
    <row r="911" spans="1:18" hidden="1" x14ac:dyDescent="0.3">
      <c r="A911">
        <v>491</v>
      </c>
      <c r="B911" t="s">
        <v>1378</v>
      </c>
      <c r="C911" t="s">
        <v>511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88</v>
      </c>
      <c r="L911" s="39">
        <f t="shared" si="87"/>
        <v>1.1000000000000001</v>
      </c>
      <c r="M911" s="39">
        <f t="shared" si="88"/>
        <v>1.1000000000000001</v>
      </c>
      <c r="N911" t="s">
        <v>25</v>
      </c>
      <c r="O911" t="s">
        <v>25</v>
      </c>
      <c r="P911">
        <v>0</v>
      </c>
      <c r="Q911">
        <v>0</v>
      </c>
      <c r="R911" t="s">
        <v>1379</v>
      </c>
    </row>
    <row r="912" spans="1:18" hidden="1" x14ac:dyDescent="0.3">
      <c r="A912">
        <v>491</v>
      </c>
      <c r="B912" t="s">
        <v>1378</v>
      </c>
      <c r="C912" t="s">
        <v>511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100</v>
      </c>
      <c r="L912" s="39">
        <f t="shared" si="87"/>
        <v>1.25</v>
      </c>
      <c r="M912" s="39">
        <f t="shared" si="88"/>
        <v>1.25</v>
      </c>
      <c r="N912" t="s">
        <v>25</v>
      </c>
      <c r="O912" t="s">
        <v>25</v>
      </c>
      <c r="P912">
        <v>0</v>
      </c>
      <c r="Q912">
        <v>0</v>
      </c>
      <c r="R912" t="s">
        <v>1380</v>
      </c>
    </row>
    <row r="913" spans="1:19" hidden="1" x14ac:dyDescent="0.3">
      <c r="A913">
        <v>492</v>
      </c>
      <c r="B913" t="s">
        <v>1381</v>
      </c>
      <c r="C913" t="s">
        <v>554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83</v>
      </c>
      <c r="L913" s="39">
        <f t="shared" si="87"/>
        <v>1.0375000000000001</v>
      </c>
      <c r="M913" s="39">
        <f t="shared" si="88"/>
        <v>1.0375000000000001</v>
      </c>
      <c r="N913" t="s">
        <v>25</v>
      </c>
      <c r="O913" t="s">
        <v>25</v>
      </c>
      <c r="P913">
        <v>0</v>
      </c>
      <c r="Q913">
        <v>0</v>
      </c>
      <c r="R913" t="s">
        <v>1382</v>
      </c>
    </row>
    <row r="914" spans="1:19" hidden="1" x14ac:dyDescent="0.3">
      <c r="A914">
        <v>492</v>
      </c>
      <c r="B914" t="s">
        <v>1381</v>
      </c>
      <c r="C914" t="s">
        <v>554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95</v>
      </c>
      <c r="L914" s="39">
        <f t="shared" si="87"/>
        <v>1.1875</v>
      </c>
      <c r="M914" s="39">
        <f t="shared" si="88"/>
        <v>1.1875</v>
      </c>
      <c r="N914" t="s">
        <v>25</v>
      </c>
      <c r="O914" t="s">
        <v>25</v>
      </c>
      <c r="P914">
        <v>0</v>
      </c>
      <c r="Q914">
        <v>0</v>
      </c>
      <c r="R914" t="s">
        <v>1383</v>
      </c>
    </row>
    <row r="915" spans="1:19" hidden="1" x14ac:dyDescent="0.3">
      <c r="A915">
        <v>493</v>
      </c>
      <c r="B915" t="s">
        <v>1384</v>
      </c>
      <c r="C915" t="s">
        <v>595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81</v>
      </c>
      <c r="L915" s="39">
        <f t="shared" si="87"/>
        <v>1.0125</v>
      </c>
      <c r="M915" s="39">
        <f t="shared" si="88"/>
        <v>1.0125</v>
      </c>
      <c r="N915" t="s">
        <v>25</v>
      </c>
      <c r="O915" t="s">
        <v>25</v>
      </c>
      <c r="P915">
        <v>0</v>
      </c>
      <c r="Q915">
        <v>0</v>
      </c>
      <c r="R915" t="s">
        <v>1385</v>
      </c>
    </row>
    <row r="916" spans="1:19" hidden="1" x14ac:dyDescent="0.3">
      <c r="A916">
        <v>493</v>
      </c>
      <c r="B916" t="s">
        <v>1384</v>
      </c>
      <c r="C916" t="s">
        <v>595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77</v>
      </c>
      <c r="L916" s="39">
        <f t="shared" si="87"/>
        <v>0.96250000000000002</v>
      </c>
      <c r="M916" s="39">
        <f t="shared" si="88"/>
        <v>0.96250000000000002</v>
      </c>
      <c r="N916" t="s">
        <v>25</v>
      </c>
      <c r="O916" t="s">
        <v>25</v>
      </c>
      <c r="P916">
        <v>0</v>
      </c>
      <c r="Q916">
        <v>0</v>
      </c>
      <c r="R916" t="s">
        <v>1386</v>
      </c>
    </row>
    <row r="917" spans="1:19" hidden="1" x14ac:dyDescent="0.3">
      <c r="A917">
        <v>494</v>
      </c>
      <c r="B917" t="s">
        <v>1387</v>
      </c>
      <c r="C917" t="s">
        <v>739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89</v>
      </c>
      <c r="L917" s="39">
        <f t="shared" si="87"/>
        <v>1.1125</v>
      </c>
      <c r="M917" s="39">
        <f t="shared" si="88"/>
        <v>1.1125</v>
      </c>
      <c r="N917" t="s">
        <v>25</v>
      </c>
      <c r="O917" t="s">
        <v>25</v>
      </c>
      <c r="P917">
        <v>0</v>
      </c>
      <c r="Q917">
        <v>0</v>
      </c>
      <c r="R917" t="s">
        <v>1388</v>
      </c>
    </row>
    <row r="918" spans="1:19" hidden="1" x14ac:dyDescent="0.3">
      <c r="A918">
        <v>494</v>
      </c>
      <c r="B918" t="s">
        <v>1387</v>
      </c>
      <c r="C918" t="s">
        <v>739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93</v>
      </c>
      <c r="L918" s="39">
        <f t="shared" si="87"/>
        <v>1.1625000000000001</v>
      </c>
      <c r="M918" s="39">
        <f t="shared" si="88"/>
        <v>1.1625000000000001</v>
      </c>
      <c r="N918" t="s">
        <v>25</v>
      </c>
      <c r="O918" t="s">
        <v>25</v>
      </c>
      <c r="P918">
        <v>0</v>
      </c>
      <c r="Q918">
        <v>0</v>
      </c>
      <c r="R918" t="s">
        <v>1389</v>
      </c>
    </row>
    <row r="919" spans="1:19" hidden="1" x14ac:dyDescent="0.3">
      <c r="A919">
        <v>495</v>
      </c>
      <c r="B919" t="s">
        <v>1390</v>
      </c>
      <c r="C919" t="s">
        <v>901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92</v>
      </c>
      <c r="L919" s="39">
        <f t="shared" si="87"/>
        <v>1.1499999999999999</v>
      </c>
      <c r="M919" s="39">
        <f t="shared" si="88"/>
        <v>1.1499999999999999</v>
      </c>
      <c r="N919" t="s">
        <v>25</v>
      </c>
      <c r="O919" t="s">
        <v>25</v>
      </c>
      <c r="P919">
        <v>0</v>
      </c>
      <c r="Q919">
        <v>0</v>
      </c>
      <c r="R919" t="s">
        <v>1391</v>
      </c>
    </row>
    <row r="920" spans="1:19" hidden="1" x14ac:dyDescent="0.3">
      <c r="A920">
        <v>495</v>
      </c>
      <c r="B920" t="s">
        <v>1390</v>
      </c>
      <c r="C920" t="s">
        <v>901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63</v>
      </c>
      <c r="L920" s="39">
        <f t="shared" si="87"/>
        <v>0.78749999999999998</v>
      </c>
      <c r="M920" s="39">
        <f t="shared" si="88"/>
        <v>0.78749999999999998</v>
      </c>
      <c r="N920" t="s">
        <v>25</v>
      </c>
      <c r="O920" t="s">
        <v>25</v>
      </c>
      <c r="P920">
        <v>0</v>
      </c>
      <c r="Q920">
        <v>0</v>
      </c>
      <c r="R920" t="s">
        <v>1392</v>
      </c>
    </row>
    <row r="921" spans="1:19" hidden="1" x14ac:dyDescent="0.3">
      <c r="A921">
        <v>496</v>
      </c>
      <c r="B921" t="s">
        <v>1393</v>
      </c>
      <c r="C921" t="s">
        <v>159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88</v>
      </c>
      <c r="L921" s="39">
        <f t="shared" si="87"/>
        <v>1.1000000000000001</v>
      </c>
      <c r="M921" s="39">
        <f t="shared" si="88"/>
        <v>1.1000000000000001</v>
      </c>
      <c r="N921" t="s">
        <v>25</v>
      </c>
      <c r="O921" t="s">
        <v>25</v>
      </c>
      <c r="P921">
        <v>0</v>
      </c>
      <c r="Q921">
        <v>0</v>
      </c>
      <c r="R921" t="s">
        <v>1394</v>
      </c>
    </row>
    <row r="922" spans="1:19" hidden="1" x14ac:dyDescent="0.3">
      <c r="A922">
        <v>496</v>
      </c>
      <c r="B922" t="s">
        <v>1393</v>
      </c>
      <c r="C922" t="s">
        <v>159</v>
      </c>
      <c r="D922" t="s">
        <v>71</v>
      </c>
      <c r="E922" t="s">
        <v>22</v>
      </c>
      <c r="F922" s="79">
        <v>46022</v>
      </c>
      <c r="G922">
        <v>2025</v>
      </c>
      <c r="H922" t="s">
        <v>23</v>
      </c>
      <c r="I922" t="s">
        <v>32</v>
      </c>
      <c r="J922">
        <v>80</v>
      </c>
      <c r="K922">
        <v>100</v>
      </c>
      <c r="L922" s="39">
        <f t="shared" si="87"/>
        <v>1.25</v>
      </c>
      <c r="M922" s="39">
        <f t="shared" si="88"/>
        <v>1.25</v>
      </c>
      <c r="N922" t="s">
        <v>25</v>
      </c>
      <c r="O922" t="s">
        <v>25</v>
      </c>
      <c r="P922">
        <v>0</v>
      </c>
      <c r="Q922">
        <v>0</v>
      </c>
      <c r="R922" t="s">
        <v>1395</v>
      </c>
    </row>
    <row r="923" spans="1:19" hidden="1" x14ac:dyDescent="0.3">
      <c r="A923">
        <v>497</v>
      </c>
      <c r="B923" t="s">
        <v>1396</v>
      </c>
      <c r="C923" t="s">
        <v>927</v>
      </c>
      <c r="D923" t="s">
        <v>71</v>
      </c>
      <c r="E923" t="s">
        <v>22</v>
      </c>
      <c r="F923" s="79">
        <v>45657</v>
      </c>
      <c r="G923">
        <v>2024</v>
      </c>
      <c r="H923" t="s">
        <v>23</v>
      </c>
      <c r="I923" t="s">
        <v>30</v>
      </c>
      <c r="J923">
        <v>80</v>
      </c>
      <c r="K923">
        <v>83</v>
      </c>
      <c r="L923" s="39">
        <f t="shared" si="87"/>
        <v>1.0375000000000001</v>
      </c>
      <c r="M923" s="39">
        <f t="shared" si="88"/>
        <v>1.0375000000000001</v>
      </c>
      <c r="N923" t="s">
        <v>25</v>
      </c>
      <c r="O923" t="s">
        <v>25</v>
      </c>
      <c r="P923">
        <v>0</v>
      </c>
      <c r="Q923">
        <v>0</v>
      </c>
      <c r="R923" t="s">
        <v>1397</v>
      </c>
    </row>
    <row r="924" spans="1:19" hidden="1" x14ac:dyDescent="0.3">
      <c r="A924">
        <v>498</v>
      </c>
      <c r="B924" t="s">
        <v>1398</v>
      </c>
      <c r="C924" t="s">
        <v>619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92</v>
      </c>
      <c r="L924" s="39">
        <f t="shared" si="87"/>
        <v>1.1499999999999999</v>
      </c>
      <c r="M924" s="39">
        <f t="shared" si="88"/>
        <v>1.1499999999999999</v>
      </c>
      <c r="N924" t="s">
        <v>25</v>
      </c>
      <c r="O924" t="s">
        <v>25</v>
      </c>
      <c r="P924">
        <v>0</v>
      </c>
      <c r="Q924">
        <v>0</v>
      </c>
      <c r="R924" t="s">
        <v>1399</v>
      </c>
    </row>
    <row r="925" spans="1:19" hidden="1" x14ac:dyDescent="0.3">
      <c r="A925">
        <v>498</v>
      </c>
      <c r="B925" t="s">
        <v>1398</v>
      </c>
      <c r="C925" t="s">
        <v>619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J925">
        <v>80</v>
      </c>
      <c r="K925">
        <v>95</v>
      </c>
      <c r="L925" s="39">
        <f t="shared" si="87"/>
        <v>1.1875</v>
      </c>
      <c r="M925" s="39">
        <f t="shared" si="88"/>
        <v>1.1875</v>
      </c>
      <c r="N925" t="s">
        <v>25</v>
      </c>
      <c r="O925" t="s">
        <v>25</v>
      </c>
      <c r="P925">
        <v>0</v>
      </c>
      <c r="Q925">
        <v>0</v>
      </c>
      <c r="R925" t="s">
        <v>1400</v>
      </c>
    </row>
    <row r="926" spans="1:19" x14ac:dyDescent="0.3">
      <c r="A926">
        <v>499</v>
      </c>
      <c r="B926" t="s">
        <v>1401</v>
      </c>
      <c r="C926" t="s">
        <v>922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87</v>
      </c>
      <c r="L926" s="39">
        <f t="shared" si="87"/>
        <v>1.0874999999999999</v>
      </c>
      <c r="M926" s="39">
        <f t="shared" si="88"/>
        <v>1.0874999999999999</v>
      </c>
      <c r="N926" t="s">
        <v>25</v>
      </c>
      <c r="O926" t="s">
        <v>25</v>
      </c>
      <c r="P926">
        <v>0</v>
      </c>
      <c r="Q926">
        <v>0</v>
      </c>
      <c r="R926" t="s">
        <v>1402</v>
      </c>
    </row>
    <row r="927" spans="1:19" x14ac:dyDescent="0.3">
      <c r="A927">
        <v>499</v>
      </c>
      <c r="B927" t="s">
        <v>1401</v>
      </c>
      <c r="C927" t="s">
        <v>922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L927" s="39" t="str">
        <f t="shared" si="87"/>
        <v/>
      </c>
      <c r="M927" s="39" t="str">
        <f t="shared" si="88"/>
        <v/>
      </c>
      <c r="N927" t="s">
        <v>25</v>
      </c>
      <c r="O927" t="s">
        <v>25</v>
      </c>
      <c r="P927">
        <v>0</v>
      </c>
      <c r="Q927">
        <v>0</v>
      </c>
      <c r="R927" t="s">
        <v>1403</v>
      </c>
      <c r="S927" t="s">
        <v>302</v>
      </c>
    </row>
    <row r="928" spans="1:19" hidden="1" x14ac:dyDescent="0.3">
      <c r="A928">
        <v>500</v>
      </c>
      <c r="B928" t="s">
        <v>1404</v>
      </c>
      <c r="C928" t="s">
        <v>753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89</v>
      </c>
      <c r="L928" s="39">
        <f t="shared" si="87"/>
        <v>1.1125</v>
      </c>
      <c r="M928" s="39">
        <f t="shared" si="88"/>
        <v>1.1125</v>
      </c>
      <c r="N928" t="s">
        <v>25</v>
      </c>
      <c r="O928" t="s">
        <v>25</v>
      </c>
      <c r="P928">
        <v>0</v>
      </c>
      <c r="Q928">
        <v>0</v>
      </c>
      <c r="R928" t="s">
        <v>1405</v>
      </c>
    </row>
    <row r="929" spans="1:18" hidden="1" x14ac:dyDescent="0.3">
      <c r="A929">
        <v>500</v>
      </c>
      <c r="B929" t="s">
        <v>1404</v>
      </c>
      <c r="C929" t="s">
        <v>753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7"/>
        <v>1.25</v>
      </c>
      <c r="M929" s="39">
        <f t="shared" si="88"/>
        <v>1.25</v>
      </c>
      <c r="N929" t="s">
        <v>25</v>
      </c>
      <c r="O929" t="s">
        <v>25</v>
      </c>
      <c r="P929">
        <v>0</v>
      </c>
      <c r="Q929">
        <v>0</v>
      </c>
      <c r="R929" t="s">
        <v>1406</v>
      </c>
    </row>
    <row r="930" spans="1:18" hidden="1" x14ac:dyDescent="0.3">
      <c r="A930">
        <v>501</v>
      </c>
      <c r="B930" t="s">
        <v>1407</v>
      </c>
      <c r="C930" t="s">
        <v>549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88</v>
      </c>
      <c r="L930" s="39">
        <f t="shared" si="87"/>
        <v>1.1000000000000001</v>
      </c>
      <c r="M930" s="39">
        <f t="shared" si="88"/>
        <v>1.1000000000000001</v>
      </c>
      <c r="N930" t="s">
        <v>25</v>
      </c>
      <c r="O930" t="s">
        <v>25</v>
      </c>
      <c r="P930">
        <v>0</v>
      </c>
      <c r="Q930">
        <v>0</v>
      </c>
      <c r="R930" t="s">
        <v>1408</v>
      </c>
    </row>
    <row r="931" spans="1:18" hidden="1" x14ac:dyDescent="0.3">
      <c r="A931">
        <v>501</v>
      </c>
      <c r="B931" t="s">
        <v>1407</v>
      </c>
      <c r="C931" t="s">
        <v>549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100</v>
      </c>
      <c r="L931" s="39">
        <f t="shared" si="87"/>
        <v>1.25</v>
      </c>
      <c r="M931" s="39">
        <f t="shared" si="88"/>
        <v>1.25</v>
      </c>
      <c r="N931" t="s">
        <v>25</v>
      </c>
      <c r="O931" t="s">
        <v>25</v>
      </c>
      <c r="P931">
        <v>0</v>
      </c>
      <c r="Q931">
        <v>0</v>
      </c>
      <c r="R931" t="s">
        <v>1409</v>
      </c>
    </row>
    <row r="932" spans="1:18" hidden="1" x14ac:dyDescent="0.3">
      <c r="A932">
        <v>502</v>
      </c>
      <c r="B932" t="s">
        <v>1410</v>
      </c>
      <c r="C932" t="s">
        <v>274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90</v>
      </c>
      <c r="L932" s="39">
        <f t="shared" si="87"/>
        <v>1.125</v>
      </c>
      <c r="M932" s="39">
        <f t="shared" si="88"/>
        <v>1.125</v>
      </c>
      <c r="N932" t="s">
        <v>25</v>
      </c>
      <c r="O932" t="s">
        <v>25</v>
      </c>
      <c r="P932">
        <v>0</v>
      </c>
      <c r="Q932">
        <v>0</v>
      </c>
      <c r="R932" t="s">
        <v>1411</v>
      </c>
    </row>
    <row r="933" spans="1:18" hidden="1" x14ac:dyDescent="0.3">
      <c r="A933">
        <v>502</v>
      </c>
      <c r="B933" t="s">
        <v>1410</v>
      </c>
      <c r="C933" t="s">
        <v>274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97</v>
      </c>
      <c r="L933" s="39">
        <f t="shared" si="87"/>
        <v>1.2124999999999999</v>
      </c>
      <c r="M933" s="39">
        <f t="shared" si="88"/>
        <v>1.2124999999999999</v>
      </c>
      <c r="N933" t="s">
        <v>25</v>
      </c>
      <c r="O933" t="s">
        <v>25</v>
      </c>
      <c r="P933">
        <v>0</v>
      </c>
      <c r="Q933">
        <v>0</v>
      </c>
      <c r="R933" t="s">
        <v>1412</v>
      </c>
    </row>
    <row r="934" spans="1:18" hidden="1" x14ac:dyDescent="0.3">
      <c r="A934">
        <v>503</v>
      </c>
      <c r="B934" t="s">
        <v>1413</v>
      </c>
      <c r="C934" t="s">
        <v>1059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86</v>
      </c>
      <c r="L934" s="39">
        <f t="shared" si="87"/>
        <v>1.075</v>
      </c>
      <c r="M934" s="39">
        <f t="shared" si="88"/>
        <v>1.075</v>
      </c>
      <c r="N934" t="s">
        <v>25</v>
      </c>
      <c r="O934" t="s">
        <v>25</v>
      </c>
      <c r="P934">
        <v>0</v>
      </c>
      <c r="Q934">
        <v>0</v>
      </c>
      <c r="R934" t="s">
        <v>1414</v>
      </c>
    </row>
    <row r="935" spans="1:18" hidden="1" x14ac:dyDescent="0.3">
      <c r="A935">
        <v>503</v>
      </c>
      <c r="B935" t="s">
        <v>1413</v>
      </c>
      <c r="C935" t="s">
        <v>1059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94</v>
      </c>
      <c r="L935" s="39">
        <f t="shared" si="87"/>
        <v>1.175</v>
      </c>
      <c r="M935" s="39">
        <f t="shared" si="88"/>
        <v>1.175</v>
      </c>
      <c r="N935" t="s">
        <v>25</v>
      </c>
      <c r="O935" t="s">
        <v>25</v>
      </c>
      <c r="P935">
        <v>0</v>
      </c>
      <c r="Q935">
        <v>0</v>
      </c>
      <c r="R935" t="s">
        <v>1415</v>
      </c>
    </row>
    <row r="936" spans="1:18" hidden="1" x14ac:dyDescent="0.3">
      <c r="A936">
        <v>504</v>
      </c>
      <c r="B936" t="s">
        <v>1416</v>
      </c>
      <c r="C936" t="s">
        <v>1110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88</v>
      </c>
      <c r="L936" s="39">
        <f t="shared" si="87"/>
        <v>1.1000000000000001</v>
      </c>
      <c r="M936" s="39">
        <f t="shared" si="88"/>
        <v>1.1000000000000001</v>
      </c>
      <c r="N936" t="s">
        <v>25</v>
      </c>
      <c r="O936" t="s">
        <v>25</v>
      </c>
      <c r="P936">
        <v>0</v>
      </c>
      <c r="Q936">
        <v>0</v>
      </c>
      <c r="R936" t="s">
        <v>1417</v>
      </c>
    </row>
    <row r="937" spans="1:18" hidden="1" x14ac:dyDescent="0.3">
      <c r="A937">
        <v>504</v>
      </c>
      <c r="B937" t="s">
        <v>1416</v>
      </c>
      <c r="C937" t="s">
        <v>1110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88</v>
      </c>
      <c r="L937" s="39">
        <f t="shared" si="87"/>
        <v>1.1000000000000001</v>
      </c>
      <c r="M937" s="39">
        <f t="shared" si="88"/>
        <v>1.1000000000000001</v>
      </c>
      <c r="N937" t="s">
        <v>25</v>
      </c>
      <c r="O937" t="s">
        <v>25</v>
      </c>
      <c r="P937">
        <v>0</v>
      </c>
      <c r="Q937">
        <v>0</v>
      </c>
      <c r="R937" t="s">
        <v>1418</v>
      </c>
    </row>
    <row r="938" spans="1:18" hidden="1" x14ac:dyDescent="0.3">
      <c r="A938">
        <v>505</v>
      </c>
      <c r="B938" t="s">
        <v>1419</v>
      </c>
      <c r="C938" t="s">
        <v>1183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85</v>
      </c>
      <c r="L938" s="39">
        <f t="shared" si="87"/>
        <v>1.0625</v>
      </c>
      <c r="M938" s="39">
        <f t="shared" si="88"/>
        <v>1.0625</v>
      </c>
      <c r="N938" t="s">
        <v>25</v>
      </c>
      <c r="O938" t="s">
        <v>25</v>
      </c>
      <c r="P938">
        <v>0</v>
      </c>
      <c r="Q938">
        <v>0</v>
      </c>
      <c r="R938" t="s">
        <v>1420</v>
      </c>
    </row>
    <row r="939" spans="1:18" hidden="1" x14ac:dyDescent="0.3">
      <c r="A939">
        <v>505</v>
      </c>
      <c r="B939" t="s">
        <v>1419</v>
      </c>
      <c r="C939" t="s">
        <v>1183</v>
      </c>
      <c r="D939" t="s">
        <v>71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86</v>
      </c>
      <c r="L939" s="39">
        <f t="shared" si="87"/>
        <v>1.075</v>
      </c>
      <c r="M939" s="39">
        <f t="shared" si="88"/>
        <v>1.075</v>
      </c>
      <c r="N939" t="s">
        <v>25</v>
      </c>
      <c r="O939" t="s">
        <v>25</v>
      </c>
      <c r="P939">
        <v>0</v>
      </c>
      <c r="Q939">
        <v>0</v>
      </c>
      <c r="R939" t="s">
        <v>1421</v>
      </c>
    </row>
    <row r="940" spans="1:18" hidden="1" x14ac:dyDescent="0.3">
      <c r="A940">
        <v>506</v>
      </c>
      <c r="B940" t="s">
        <v>1422</v>
      </c>
      <c r="C940" t="s">
        <v>941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67</v>
      </c>
      <c r="L940" s="39">
        <f t="shared" si="87"/>
        <v>0.83750000000000002</v>
      </c>
      <c r="M940" s="39">
        <f t="shared" si="88"/>
        <v>0.83750000000000002</v>
      </c>
      <c r="N940" t="s">
        <v>25</v>
      </c>
      <c r="O940" t="s">
        <v>25</v>
      </c>
      <c r="P940">
        <v>0</v>
      </c>
      <c r="Q940">
        <v>0</v>
      </c>
      <c r="R940" t="s">
        <v>1423</v>
      </c>
    </row>
    <row r="941" spans="1:18" hidden="1" x14ac:dyDescent="0.3">
      <c r="A941">
        <v>506</v>
      </c>
      <c r="B941" t="s">
        <v>1422</v>
      </c>
      <c r="C941" t="s">
        <v>941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92.5</v>
      </c>
      <c r="L941" s="39">
        <f t="shared" si="87"/>
        <v>1.15625</v>
      </c>
      <c r="M941" s="39">
        <f t="shared" si="88"/>
        <v>1.15625</v>
      </c>
      <c r="N941" t="s">
        <v>25</v>
      </c>
      <c r="O941" t="s">
        <v>25</v>
      </c>
      <c r="P941">
        <v>0</v>
      </c>
      <c r="Q941">
        <v>0</v>
      </c>
      <c r="R941" t="s">
        <v>1424</v>
      </c>
    </row>
    <row r="942" spans="1:18" hidden="1" x14ac:dyDescent="0.3">
      <c r="A942">
        <v>507</v>
      </c>
      <c r="B942" t="s">
        <v>1425</v>
      </c>
      <c r="C942" t="s">
        <v>711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77</v>
      </c>
      <c r="L942" s="39">
        <f t="shared" si="87"/>
        <v>0.96250000000000002</v>
      </c>
      <c r="M942" s="39">
        <f t="shared" si="88"/>
        <v>0.96250000000000002</v>
      </c>
      <c r="N942" t="s">
        <v>25</v>
      </c>
      <c r="O942" t="s">
        <v>25</v>
      </c>
      <c r="P942">
        <v>0</v>
      </c>
      <c r="Q942">
        <v>0</v>
      </c>
      <c r="R942" t="s">
        <v>1426</v>
      </c>
    </row>
    <row r="943" spans="1:18" hidden="1" x14ac:dyDescent="0.3">
      <c r="A943">
        <v>507</v>
      </c>
      <c r="B943" t="s">
        <v>1425</v>
      </c>
      <c r="C943" t="s">
        <v>711</v>
      </c>
      <c r="D943" t="s">
        <v>21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99</v>
      </c>
      <c r="L943" s="39">
        <f t="shared" si="87"/>
        <v>1.2375</v>
      </c>
      <c r="M943" s="39">
        <f t="shared" si="88"/>
        <v>1.2375</v>
      </c>
      <c r="N943" t="s">
        <v>25</v>
      </c>
      <c r="O943" t="s">
        <v>25</v>
      </c>
      <c r="P943">
        <v>0</v>
      </c>
      <c r="Q943">
        <v>0</v>
      </c>
      <c r="R943" t="s">
        <v>1427</v>
      </c>
    </row>
    <row r="944" spans="1:18" hidden="1" x14ac:dyDescent="0.3">
      <c r="A944">
        <v>508</v>
      </c>
      <c r="B944" t="s">
        <v>1428</v>
      </c>
      <c r="C944" t="s">
        <v>1089</v>
      </c>
      <c r="D944" t="s">
        <v>71</v>
      </c>
      <c r="E944" t="s">
        <v>22</v>
      </c>
      <c r="F944" s="79">
        <v>45657</v>
      </c>
      <c r="G944">
        <v>2024</v>
      </c>
      <c r="H944" t="s">
        <v>23</v>
      </c>
      <c r="I944" t="s">
        <v>30</v>
      </c>
      <c r="J944">
        <v>80</v>
      </c>
      <c r="K944">
        <v>88</v>
      </c>
      <c r="L944" s="39">
        <f t="shared" si="87"/>
        <v>1.1000000000000001</v>
      </c>
      <c r="M944" s="39">
        <f t="shared" si="88"/>
        <v>1.1000000000000001</v>
      </c>
      <c r="N944" t="s">
        <v>25</v>
      </c>
      <c r="O944" t="s">
        <v>25</v>
      </c>
      <c r="P944">
        <v>0</v>
      </c>
      <c r="Q944">
        <v>0</v>
      </c>
      <c r="R944" t="s">
        <v>1429</v>
      </c>
    </row>
    <row r="945" spans="1:18" hidden="1" x14ac:dyDescent="0.3">
      <c r="A945">
        <v>508</v>
      </c>
      <c r="B945" t="s">
        <v>1428</v>
      </c>
      <c r="C945" t="s">
        <v>1089</v>
      </c>
      <c r="D945" t="s">
        <v>71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J945">
        <v>80</v>
      </c>
      <c r="K945">
        <v>89</v>
      </c>
      <c r="L945" s="39">
        <f t="shared" si="87"/>
        <v>1.1125</v>
      </c>
      <c r="M945" s="39">
        <f t="shared" si="88"/>
        <v>1.1125</v>
      </c>
      <c r="N945" t="s">
        <v>25</v>
      </c>
      <c r="O945" t="s">
        <v>25</v>
      </c>
      <c r="P945">
        <v>0</v>
      </c>
      <c r="Q945">
        <v>0</v>
      </c>
      <c r="R945" t="s">
        <v>1430</v>
      </c>
    </row>
    <row r="946" spans="1:18" hidden="1" x14ac:dyDescent="0.3">
      <c r="A946">
        <v>509</v>
      </c>
      <c r="B946" t="s">
        <v>1431</v>
      </c>
      <c r="C946" t="s">
        <v>511</v>
      </c>
      <c r="D946" t="s">
        <v>54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J946">
        <v>90</v>
      </c>
      <c r="K946">
        <v>97.33</v>
      </c>
      <c r="L946" s="39">
        <f t="shared" si="87"/>
        <v>1.0814444444444444</v>
      </c>
      <c r="M946" s="39">
        <f t="shared" si="88"/>
        <v>1.0814444444444444</v>
      </c>
      <c r="N946" t="s">
        <v>25</v>
      </c>
      <c r="O946" t="s">
        <v>25</v>
      </c>
      <c r="P946">
        <v>0</v>
      </c>
      <c r="Q946">
        <v>0</v>
      </c>
      <c r="R946" t="s">
        <v>1432</v>
      </c>
    </row>
    <row r="947" spans="1:18" hidden="1" x14ac:dyDescent="0.3">
      <c r="A947">
        <v>510</v>
      </c>
      <c r="B947" t="s">
        <v>1433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0</v>
      </c>
      <c r="L947" s="39"/>
      <c r="N947" t="s">
        <v>355</v>
      </c>
      <c r="O947" t="s">
        <v>25</v>
      </c>
      <c r="P947">
        <v>0</v>
      </c>
      <c r="Q947">
        <v>0</v>
      </c>
      <c r="R947" t="s">
        <v>1434</v>
      </c>
    </row>
    <row r="948" spans="1:18" hidden="1" x14ac:dyDescent="0.3">
      <c r="A948">
        <v>511</v>
      </c>
      <c r="B948" t="s">
        <v>1435</v>
      </c>
      <c r="C948" t="s">
        <v>732</v>
      </c>
      <c r="D948" t="s">
        <v>27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K948">
        <v>257.48</v>
      </c>
      <c r="L948" s="39"/>
      <c r="N948" t="s">
        <v>355</v>
      </c>
      <c r="O948" t="s">
        <v>25</v>
      </c>
      <c r="P948">
        <v>0</v>
      </c>
      <c r="Q948">
        <v>0</v>
      </c>
      <c r="R948" t="s">
        <v>1436</v>
      </c>
    </row>
    <row r="949" spans="1:18" hidden="1" x14ac:dyDescent="0.3">
      <c r="A949">
        <v>513</v>
      </c>
      <c r="B949" t="s">
        <v>1437</v>
      </c>
      <c r="C949" t="s">
        <v>732</v>
      </c>
      <c r="D949" t="s">
        <v>27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100</v>
      </c>
      <c r="N949" t="s">
        <v>355</v>
      </c>
      <c r="O949" t="s">
        <v>25</v>
      </c>
      <c r="P949">
        <v>0</v>
      </c>
      <c r="Q949">
        <v>0</v>
      </c>
      <c r="R949" t="s">
        <v>1438</v>
      </c>
    </row>
    <row r="950" spans="1:18" hidden="1" x14ac:dyDescent="0.3">
      <c r="A950">
        <v>514</v>
      </c>
      <c r="B950" t="s">
        <v>1439</v>
      </c>
      <c r="C950" t="s">
        <v>732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J950">
        <v>70</v>
      </c>
      <c r="K950">
        <v>68.89</v>
      </c>
      <c r="L950" s="39">
        <f>IFERROR(IF(OR(J950=0,K950=""),"",IF(E950="Positivo",MIN(MAX(K950/J950,0),1.3),MIN(MAX(J950/K950,0),1.3))),"")</f>
        <v>0.9841428571428571</v>
      </c>
      <c r="M950" s="39">
        <f>IFERROR(IF(OR(J950=0,K950=""),"",IF(E950="Positivo",MAX(K950/J950,0),MAX(J950/K950,0))),"")</f>
        <v>0.9841428571428571</v>
      </c>
      <c r="N950" t="s">
        <v>25</v>
      </c>
      <c r="O950" t="s">
        <v>25</v>
      </c>
      <c r="P950">
        <v>0</v>
      </c>
      <c r="Q950">
        <v>0</v>
      </c>
      <c r="R950" t="s">
        <v>1440</v>
      </c>
    </row>
    <row r="951" spans="1:18" hidden="1" x14ac:dyDescent="0.3">
      <c r="A951">
        <v>515</v>
      </c>
      <c r="B951" t="s">
        <v>1441</v>
      </c>
      <c r="C951" t="s">
        <v>53</v>
      </c>
      <c r="D951" t="s">
        <v>21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K951">
        <v>66.67</v>
      </c>
      <c r="L951" s="39"/>
      <c r="N951" t="s">
        <v>25</v>
      </c>
      <c r="O951" t="s">
        <v>25</v>
      </c>
      <c r="P951">
        <v>0</v>
      </c>
      <c r="Q951">
        <v>0</v>
      </c>
      <c r="R951" t="s">
        <v>1442</v>
      </c>
    </row>
    <row r="952" spans="1:18" hidden="1" x14ac:dyDescent="0.3">
      <c r="A952">
        <v>516</v>
      </c>
      <c r="B952" t="s">
        <v>1443</v>
      </c>
      <c r="C952" t="s">
        <v>53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K952">
        <v>315.79000000000002</v>
      </c>
      <c r="L952" s="39"/>
      <c r="N952" t="s">
        <v>25</v>
      </c>
      <c r="O952" t="s">
        <v>25</v>
      </c>
      <c r="P952">
        <v>0</v>
      </c>
      <c r="Q952">
        <v>0</v>
      </c>
      <c r="R952" t="s">
        <v>1444</v>
      </c>
    </row>
    <row r="953" spans="1:18" hidden="1" x14ac:dyDescent="0.3">
      <c r="A953">
        <v>518</v>
      </c>
      <c r="B953" t="s">
        <v>62</v>
      </c>
      <c r="C953" t="s">
        <v>63</v>
      </c>
      <c r="D953" t="s">
        <v>27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100</v>
      </c>
      <c r="K953">
        <v>137.5</v>
      </c>
      <c r="L953" s="39">
        <f t="shared" ref="L953:L973" si="89">IFERROR(IF(OR(J953=0,K953=""),"",IF(E953="Positivo",MIN(MAX(K953/J953,0),1.3),MIN(MAX(J953/K953,0),1.3))),"")</f>
        <v>1.3</v>
      </c>
      <c r="M953" s="39">
        <f t="shared" ref="M953:M973" si="90">IFERROR(IF(OR(J953=0,K953=""),"",IF(E953="Positivo",MAX(K953/J953,0),MAX(J953/K953,0))),"")</f>
        <v>1.375</v>
      </c>
      <c r="N953" t="s">
        <v>25</v>
      </c>
      <c r="O953" t="s">
        <v>25</v>
      </c>
      <c r="P953">
        <v>0</v>
      </c>
      <c r="Q953">
        <v>0</v>
      </c>
      <c r="R953" t="s">
        <v>1445</v>
      </c>
    </row>
    <row r="954" spans="1:18" hidden="1" x14ac:dyDescent="0.3">
      <c r="A954">
        <v>519</v>
      </c>
      <c r="B954" t="s">
        <v>1446</v>
      </c>
      <c r="C954" t="s">
        <v>1078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100</v>
      </c>
      <c r="K954">
        <v>281.29000000000002</v>
      </c>
      <c r="L954" s="39">
        <f t="shared" si="89"/>
        <v>1.3</v>
      </c>
      <c r="M954" s="39">
        <f t="shared" si="90"/>
        <v>2.8129000000000004</v>
      </c>
      <c r="N954" t="s">
        <v>25</v>
      </c>
      <c r="O954" t="s">
        <v>25</v>
      </c>
      <c r="P954">
        <v>0</v>
      </c>
      <c r="Q954">
        <v>0</v>
      </c>
      <c r="R954" t="s">
        <v>1447</v>
      </c>
    </row>
    <row r="955" spans="1:18" hidden="1" x14ac:dyDescent="0.3">
      <c r="A955">
        <v>522</v>
      </c>
      <c r="B955" t="s">
        <v>1448</v>
      </c>
      <c r="C955" t="s">
        <v>549</v>
      </c>
      <c r="D955" t="s">
        <v>71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</v>
      </c>
      <c r="K955">
        <v>100</v>
      </c>
      <c r="L955" s="39">
        <f t="shared" si="89"/>
        <v>1.3</v>
      </c>
      <c r="M955" s="39">
        <f t="shared" si="90"/>
        <v>5</v>
      </c>
      <c r="N955" t="s">
        <v>25</v>
      </c>
      <c r="O955" t="s">
        <v>25</v>
      </c>
      <c r="P955">
        <v>0</v>
      </c>
      <c r="Q955">
        <v>0</v>
      </c>
      <c r="R955" t="s">
        <v>1449</v>
      </c>
    </row>
    <row r="956" spans="1:18" hidden="1" x14ac:dyDescent="0.3">
      <c r="A956">
        <v>523</v>
      </c>
      <c r="B956" t="s">
        <v>1043</v>
      </c>
      <c r="C956" t="s">
        <v>159</v>
      </c>
      <c r="D956" t="s">
        <v>21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K956">
        <v>95.76</v>
      </c>
      <c r="L956" s="39">
        <f t="shared" si="89"/>
        <v>1.008</v>
      </c>
      <c r="M956" s="39">
        <f t="shared" si="90"/>
        <v>1.008</v>
      </c>
      <c r="N956" t="s">
        <v>25</v>
      </c>
      <c r="O956" t="s">
        <v>25</v>
      </c>
      <c r="P956">
        <v>0</v>
      </c>
      <c r="Q956">
        <v>0</v>
      </c>
      <c r="R956" t="s">
        <v>1450</v>
      </c>
    </row>
    <row r="957" spans="1:18" hidden="1" x14ac:dyDescent="0.3">
      <c r="A957">
        <v>524</v>
      </c>
      <c r="B957" t="s">
        <v>1182</v>
      </c>
      <c r="C957" t="s">
        <v>1183</v>
      </c>
      <c r="D957" t="s">
        <v>21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200</v>
      </c>
      <c r="K957">
        <v>205.45</v>
      </c>
      <c r="L957" s="39">
        <f t="shared" si="89"/>
        <v>1.02725</v>
      </c>
      <c r="M957" s="39">
        <f t="shared" si="90"/>
        <v>1.02725</v>
      </c>
      <c r="N957" t="s">
        <v>128</v>
      </c>
      <c r="O957" t="s">
        <v>128</v>
      </c>
      <c r="P957">
        <v>0</v>
      </c>
      <c r="Q957">
        <v>0</v>
      </c>
      <c r="R957" t="s">
        <v>1451</v>
      </c>
    </row>
    <row r="958" spans="1:18" hidden="1" x14ac:dyDescent="0.3">
      <c r="A958">
        <v>526</v>
      </c>
      <c r="B958" t="s">
        <v>1452</v>
      </c>
      <c r="C958" t="s">
        <v>706</v>
      </c>
      <c r="D958" t="s">
        <v>27</v>
      </c>
      <c r="E958" t="s">
        <v>22</v>
      </c>
      <c r="F958" s="79">
        <v>45930</v>
      </c>
      <c r="G958">
        <v>2025</v>
      </c>
      <c r="H958" t="s">
        <v>162</v>
      </c>
      <c r="I958" t="s">
        <v>32</v>
      </c>
      <c r="J958">
        <v>95</v>
      </c>
      <c r="K958">
        <v>96.6</v>
      </c>
      <c r="L958" s="39">
        <f t="shared" si="89"/>
        <v>1.0168421052631578</v>
      </c>
      <c r="M958" s="39">
        <f t="shared" si="90"/>
        <v>1.0168421052631578</v>
      </c>
      <c r="N958" t="s">
        <v>25</v>
      </c>
      <c r="O958" t="s">
        <v>25</v>
      </c>
      <c r="P958">
        <v>0</v>
      </c>
      <c r="Q958">
        <v>0</v>
      </c>
      <c r="R958" t="s">
        <v>1453</v>
      </c>
    </row>
    <row r="959" spans="1:18" hidden="1" x14ac:dyDescent="0.3">
      <c r="A959">
        <v>527</v>
      </c>
      <c r="B959" t="s">
        <v>1454</v>
      </c>
      <c r="C959" t="s">
        <v>567</v>
      </c>
      <c r="D959" t="s">
        <v>71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100</v>
      </c>
      <c r="K959">
        <v>197.94</v>
      </c>
      <c r="L959" s="39">
        <f t="shared" si="89"/>
        <v>1.3</v>
      </c>
      <c r="M959" s="39">
        <f t="shared" si="90"/>
        <v>1.9794</v>
      </c>
      <c r="N959" t="s">
        <v>25</v>
      </c>
      <c r="O959" t="s">
        <v>25</v>
      </c>
      <c r="P959">
        <v>0</v>
      </c>
      <c r="Q959">
        <v>0</v>
      </c>
      <c r="R959" t="s">
        <v>1455</v>
      </c>
    </row>
    <row r="960" spans="1:18" hidden="1" x14ac:dyDescent="0.3">
      <c r="A960">
        <v>528</v>
      </c>
      <c r="B960" t="s">
        <v>1456</v>
      </c>
      <c r="C960" t="s">
        <v>567</v>
      </c>
      <c r="D960" t="s">
        <v>71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100</v>
      </c>
      <c r="K960">
        <v>1158</v>
      </c>
      <c r="L960" s="39">
        <f t="shared" si="89"/>
        <v>1.3</v>
      </c>
      <c r="M960" s="39">
        <f t="shared" si="90"/>
        <v>11.58</v>
      </c>
      <c r="N960" t="s">
        <v>128</v>
      </c>
      <c r="O960" t="s">
        <v>128</v>
      </c>
      <c r="P960">
        <v>0</v>
      </c>
      <c r="Q960">
        <v>0</v>
      </c>
      <c r="R960" t="s">
        <v>1457</v>
      </c>
    </row>
    <row r="961" spans="1:19" hidden="1" x14ac:dyDescent="0.3">
      <c r="A961">
        <v>529</v>
      </c>
      <c r="B961" t="s">
        <v>1458</v>
      </c>
      <c r="C961" t="s">
        <v>167</v>
      </c>
      <c r="D961" t="s">
        <v>27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180</v>
      </c>
      <c r="K961">
        <v>294.16000000000003</v>
      </c>
      <c r="L961" s="39">
        <f t="shared" si="89"/>
        <v>1.3</v>
      </c>
      <c r="M961" s="39">
        <f t="shared" si="90"/>
        <v>1.6342222222222225</v>
      </c>
      <c r="N961" t="s">
        <v>25</v>
      </c>
      <c r="O961" t="s">
        <v>25</v>
      </c>
      <c r="P961">
        <v>0</v>
      </c>
      <c r="Q961">
        <v>0</v>
      </c>
      <c r="R961" t="s">
        <v>1459</v>
      </c>
    </row>
    <row r="962" spans="1:19" hidden="1" x14ac:dyDescent="0.3">
      <c r="A962">
        <v>530</v>
      </c>
      <c r="B962" t="s">
        <v>1460</v>
      </c>
      <c r="C962" t="s">
        <v>53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97</v>
      </c>
      <c r="K962">
        <v>85.56</v>
      </c>
      <c r="L962" s="39">
        <f t="shared" si="89"/>
        <v>0.88206185567010309</v>
      </c>
      <c r="M962" s="39">
        <f t="shared" si="90"/>
        <v>0.88206185567010309</v>
      </c>
      <c r="N962" t="s">
        <v>25</v>
      </c>
      <c r="O962" t="s">
        <v>25</v>
      </c>
      <c r="P962">
        <v>0</v>
      </c>
      <c r="Q962">
        <v>0</v>
      </c>
      <c r="R962" t="s">
        <v>1461</v>
      </c>
    </row>
    <row r="963" spans="1:19" hidden="1" x14ac:dyDescent="0.3">
      <c r="A963">
        <v>531</v>
      </c>
      <c r="B963" t="s">
        <v>1462</v>
      </c>
      <c r="C963" t="s">
        <v>53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90</v>
      </c>
      <c r="K963">
        <v>93.94</v>
      </c>
      <c r="L963" s="39">
        <f t="shared" si="89"/>
        <v>1.0437777777777777</v>
      </c>
      <c r="M963" s="39">
        <f t="shared" si="90"/>
        <v>1.0437777777777777</v>
      </c>
      <c r="N963" t="s">
        <v>25</v>
      </c>
      <c r="O963" t="s">
        <v>25</v>
      </c>
      <c r="P963">
        <v>0</v>
      </c>
      <c r="Q963">
        <v>0</v>
      </c>
      <c r="R963" t="s">
        <v>1463</v>
      </c>
    </row>
    <row r="964" spans="1:19" hidden="1" x14ac:dyDescent="0.3">
      <c r="A964">
        <v>532</v>
      </c>
      <c r="B964" t="s">
        <v>1464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267.93</v>
      </c>
      <c r="L964" s="39">
        <f t="shared" si="89"/>
        <v>1.3</v>
      </c>
      <c r="M964" s="39">
        <f t="shared" si="90"/>
        <v>1.33965</v>
      </c>
      <c r="N964" t="s">
        <v>25</v>
      </c>
      <c r="O964" t="s">
        <v>25</v>
      </c>
      <c r="P964">
        <v>0</v>
      </c>
      <c r="Q964">
        <v>0</v>
      </c>
      <c r="R964" t="s">
        <v>1465</v>
      </c>
    </row>
    <row r="965" spans="1:19" hidden="1" x14ac:dyDescent="0.3">
      <c r="A965">
        <v>533</v>
      </c>
      <c r="B965" t="s">
        <v>1466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302.83999999999997</v>
      </c>
      <c r="L965" s="39">
        <f t="shared" si="89"/>
        <v>1.3</v>
      </c>
      <c r="M965" s="39">
        <f t="shared" si="90"/>
        <v>1.5141999999999998</v>
      </c>
      <c r="N965" t="s">
        <v>25</v>
      </c>
      <c r="O965" t="s">
        <v>25</v>
      </c>
      <c r="P965">
        <v>0</v>
      </c>
      <c r="Q965">
        <v>0</v>
      </c>
      <c r="R965" t="s">
        <v>1467</v>
      </c>
    </row>
    <row r="966" spans="1:19" hidden="1" x14ac:dyDescent="0.3">
      <c r="A966">
        <v>534</v>
      </c>
      <c r="B966" t="s">
        <v>1468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268.62</v>
      </c>
      <c r="L966" s="39">
        <f t="shared" si="89"/>
        <v>1.3</v>
      </c>
      <c r="M966" s="39">
        <f t="shared" si="90"/>
        <v>1.3431</v>
      </c>
      <c r="N966" t="s">
        <v>25</v>
      </c>
      <c r="O966" t="s">
        <v>25</v>
      </c>
      <c r="P966">
        <v>0</v>
      </c>
      <c r="Q966">
        <v>0</v>
      </c>
      <c r="R966" t="s">
        <v>1469</v>
      </c>
    </row>
    <row r="967" spans="1:19" hidden="1" x14ac:dyDescent="0.3">
      <c r="A967">
        <v>535</v>
      </c>
      <c r="B967" t="s">
        <v>1470</v>
      </c>
      <c r="C967" t="s">
        <v>246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200</v>
      </c>
      <c r="K967">
        <v>342.3</v>
      </c>
      <c r="L967" s="39">
        <f t="shared" si="89"/>
        <v>1.3</v>
      </c>
      <c r="M967" s="39">
        <f t="shared" si="90"/>
        <v>1.7115</v>
      </c>
      <c r="N967" t="s">
        <v>25</v>
      </c>
      <c r="O967" t="s">
        <v>25</v>
      </c>
      <c r="P967">
        <v>0</v>
      </c>
      <c r="Q967">
        <v>0</v>
      </c>
      <c r="R967" t="s">
        <v>1471</v>
      </c>
    </row>
    <row r="968" spans="1:19" hidden="1" x14ac:dyDescent="0.3">
      <c r="A968">
        <v>536</v>
      </c>
      <c r="B968" t="s">
        <v>1472</v>
      </c>
      <c r="C968" t="s">
        <v>246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200</v>
      </c>
      <c r="K968">
        <v>370.08</v>
      </c>
      <c r="L968" s="39">
        <f t="shared" si="89"/>
        <v>1.3</v>
      </c>
      <c r="M968" s="39">
        <f t="shared" si="90"/>
        <v>1.8503999999999998</v>
      </c>
      <c r="N968" t="s">
        <v>25</v>
      </c>
      <c r="O968" t="s">
        <v>25</v>
      </c>
      <c r="P968">
        <v>0</v>
      </c>
      <c r="Q968">
        <v>0</v>
      </c>
      <c r="R968" t="s">
        <v>1473</v>
      </c>
    </row>
    <row r="969" spans="1:19" hidden="1" x14ac:dyDescent="0.3">
      <c r="A969">
        <v>537</v>
      </c>
      <c r="B969" t="s">
        <v>1474</v>
      </c>
      <c r="C969" t="s">
        <v>333</v>
      </c>
      <c r="D969" t="s">
        <v>21</v>
      </c>
      <c r="E969" t="s">
        <v>22</v>
      </c>
      <c r="F969" s="79">
        <v>46022</v>
      </c>
      <c r="G969">
        <v>2025</v>
      </c>
      <c r="H969" t="s">
        <v>23</v>
      </c>
      <c r="I969" t="s">
        <v>32</v>
      </c>
      <c r="J969">
        <v>65</v>
      </c>
      <c r="K969">
        <v>64.3</v>
      </c>
      <c r="L969" s="39">
        <f t="shared" si="89"/>
        <v>0.98923076923076914</v>
      </c>
      <c r="M969" s="39">
        <f t="shared" si="90"/>
        <v>0.98923076923076914</v>
      </c>
      <c r="N969" t="s">
        <v>128</v>
      </c>
      <c r="O969" t="s">
        <v>128</v>
      </c>
      <c r="P969">
        <v>0</v>
      </c>
      <c r="Q969">
        <v>0</v>
      </c>
      <c r="R969" t="s">
        <v>1475</v>
      </c>
    </row>
    <row r="970" spans="1:19" hidden="1" x14ac:dyDescent="0.3">
      <c r="A970">
        <v>538</v>
      </c>
      <c r="B970" t="s">
        <v>1476</v>
      </c>
      <c r="C970" t="s">
        <v>541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90</v>
      </c>
      <c r="K970">
        <v>100</v>
      </c>
      <c r="L970" s="39">
        <f t="shared" si="89"/>
        <v>1.1111111111111112</v>
      </c>
      <c r="M970" s="39">
        <f t="shared" si="90"/>
        <v>1.1111111111111112</v>
      </c>
      <c r="N970" t="s">
        <v>25</v>
      </c>
      <c r="O970" t="s">
        <v>25</v>
      </c>
      <c r="P970">
        <v>0</v>
      </c>
      <c r="Q970">
        <v>0</v>
      </c>
      <c r="R970" t="s">
        <v>1477</v>
      </c>
    </row>
    <row r="971" spans="1:19" hidden="1" x14ac:dyDescent="0.3">
      <c r="A971">
        <v>539</v>
      </c>
      <c r="B971" t="s">
        <v>1478</v>
      </c>
      <c r="C971" t="s">
        <v>541</v>
      </c>
      <c r="D971" t="s">
        <v>21</v>
      </c>
      <c r="E971" t="s">
        <v>41</v>
      </c>
      <c r="F971" s="79">
        <v>46022</v>
      </c>
      <c r="G971">
        <v>2025</v>
      </c>
      <c r="H971" t="s">
        <v>23</v>
      </c>
      <c r="I971" t="s">
        <v>32</v>
      </c>
      <c r="J971">
        <v>2.5</v>
      </c>
      <c r="K971">
        <v>2.5</v>
      </c>
      <c r="L971" s="39">
        <f t="shared" si="89"/>
        <v>1</v>
      </c>
      <c r="M971" s="39">
        <f t="shared" si="90"/>
        <v>1</v>
      </c>
      <c r="N971" t="s">
        <v>25</v>
      </c>
      <c r="O971" t="s">
        <v>25</v>
      </c>
      <c r="P971">
        <v>0</v>
      </c>
      <c r="Q971">
        <v>0</v>
      </c>
      <c r="R971" t="s">
        <v>1479</v>
      </c>
    </row>
    <row r="972" spans="1:19" x14ac:dyDescent="0.3">
      <c r="A972">
        <v>540</v>
      </c>
      <c r="B972" t="s">
        <v>1480</v>
      </c>
      <c r="C972" t="s">
        <v>922</v>
      </c>
      <c r="D972" t="s">
        <v>21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J972">
        <v>97</v>
      </c>
      <c r="K972">
        <v>97.615000000000009</v>
      </c>
      <c r="L972" s="39">
        <f t="shared" si="89"/>
        <v>1.0063402061855671</v>
      </c>
      <c r="M972" s="39">
        <f t="shared" si="90"/>
        <v>1.0063402061855671</v>
      </c>
      <c r="N972" t="s">
        <v>25</v>
      </c>
      <c r="O972" t="s">
        <v>25</v>
      </c>
      <c r="P972">
        <v>0</v>
      </c>
      <c r="Q972">
        <v>0</v>
      </c>
      <c r="R972" t="s">
        <v>1481</v>
      </c>
    </row>
    <row r="973" spans="1:19" hidden="1" x14ac:dyDescent="0.3">
      <c r="A973">
        <v>541</v>
      </c>
      <c r="B973" t="s">
        <v>1482</v>
      </c>
      <c r="C973" t="s">
        <v>842</v>
      </c>
      <c r="D973" t="s">
        <v>71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J973">
        <v>4</v>
      </c>
      <c r="K973">
        <v>6.99</v>
      </c>
      <c r="L973" s="39">
        <f t="shared" si="89"/>
        <v>1.3</v>
      </c>
      <c r="M973" s="39">
        <f t="shared" si="90"/>
        <v>1.7475000000000001</v>
      </c>
      <c r="N973" t="s">
        <v>25</v>
      </c>
      <c r="O973" t="s">
        <v>25</v>
      </c>
      <c r="P973">
        <v>0</v>
      </c>
      <c r="Q973">
        <v>0</v>
      </c>
      <c r="R973" t="s">
        <v>1483</v>
      </c>
    </row>
    <row r="974" spans="1:19" hidden="1" x14ac:dyDescent="0.3">
      <c r="A974">
        <v>542</v>
      </c>
      <c r="B974" t="s">
        <v>1484</v>
      </c>
      <c r="C974" t="s">
        <v>842</v>
      </c>
      <c r="D974" t="s">
        <v>71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K974">
        <v>81.239999999999995</v>
      </c>
      <c r="L974" s="39"/>
      <c r="N974" t="s">
        <v>25</v>
      </c>
      <c r="O974" t="s">
        <v>25</v>
      </c>
      <c r="P974">
        <v>0</v>
      </c>
      <c r="Q974">
        <v>0</v>
      </c>
      <c r="R974" t="s">
        <v>1485</v>
      </c>
      <c r="S974" t="s">
        <v>263</v>
      </c>
    </row>
    <row r="975" spans="1:19" hidden="1" x14ac:dyDescent="0.3">
      <c r="A975">
        <v>543</v>
      </c>
      <c r="B975" t="s">
        <v>1486</v>
      </c>
      <c r="C975" t="s">
        <v>308</v>
      </c>
      <c r="D975" t="s">
        <v>21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K975">
        <v>14.2</v>
      </c>
      <c r="L975" s="39"/>
      <c r="N975" t="s">
        <v>128</v>
      </c>
      <c r="O975" t="s">
        <v>128</v>
      </c>
      <c r="P975">
        <v>0</v>
      </c>
      <c r="Q975">
        <v>0</v>
      </c>
      <c r="R975" t="s">
        <v>1487</v>
      </c>
    </row>
    <row r="976" spans="1:19" hidden="1" x14ac:dyDescent="0.3">
      <c r="A976">
        <v>544</v>
      </c>
      <c r="B976" t="s">
        <v>1488</v>
      </c>
      <c r="C976" t="s">
        <v>1110</v>
      </c>
      <c r="D976" t="s">
        <v>21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J976">
        <v>100</v>
      </c>
      <c r="K976">
        <v>206.25</v>
      </c>
      <c r="L976" s="39">
        <f>IFERROR(IF(OR(J976=0,K976=""),"",IF(E976="Positivo",MIN(MAX(K976/J976,0),1.3),MIN(MAX(J976/K976,0),1.3))),"")</f>
        <v>1.3</v>
      </c>
      <c r="M976" s="39">
        <f>IFERROR(IF(OR(J976=0,K976=""),"",IF(E976="Positivo",MAX(K976/J976,0),MAX(J976/K976,0))),"")</f>
        <v>2.0625</v>
      </c>
      <c r="N976" t="s">
        <v>128</v>
      </c>
      <c r="O976" t="s">
        <v>128</v>
      </c>
      <c r="P976">
        <v>0</v>
      </c>
      <c r="Q976">
        <v>0</v>
      </c>
      <c r="R976" t="s">
        <v>1489</v>
      </c>
    </row>
    <row r="977" spans="1:18" hidden="1" x14ac:dyDescent="0.3">
      <c r="A977">
        <v>546</v>
      </c>
      <c r="B977" t="s">
        <v>1490</v>
      </c>
      <c r="C977" t="s">
        <v>842</v>
      </c>
      <c r="D977" t="s">
        <v>71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100</v>
      </c>
      <c r="K977">
        <v>113.38</v>
      </c>
      <c r="L977" s="39">
        <f>IFERROR(IF(OR(J977=0,K977=""),"",IF(E977="Positivo",MIN(MAX(K977/J977,0),1.3),MIN(MAX(J977/K977,0),1.3))),"")</f>
        <v>1.1337999999999999</v>
      </c>
      <c r="M977" s="39">
        <f>IFERROR(IF(OR(J977=0,K977=""),"",IF(E977="Positivo",MAX(K977/J977,0),MAX(J977/K977,0))),"")</f>
        <v>1.1337999999999999</v>
      </c>
      <c r="N977" t="s">
        <v>25</v>
      </c>
      <c r="O977" t="s">
        <v>25</v>
      </c>
      <c r="P977">
        <v>0</v>
      </c>
      <c r="Q977">
        <v>0</v>
      </c>
      <c r="R977" t="s">
        <v>1491</v>
      </c>
    </row>
    <row r="978" spans="1:18" hidden="1" x14ac:dyDescent="0.3">
      <c r="A978">
        <v>547</v>
      </c>
      <c r="B978" t="s">
        <v>1492</v>
      </c>
      <c r="C978" t="s">
        <v>842</v>
      </c>
      <c r="D978" t="s">
        <v>71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K978">
        <v>92</v>
      </c>
      <c r="L978" s="39"/>
      <c r="N978" t="s">
        <v>25</v>
      </c>
      <c r="O978" t="s">
        <v>25</v>
      </c>
      <c r="P978">
        <v>0</v>
      </c>
      <c r="Q978">
        <v>0</v>
      </c>
      <c r="R978" t="s">
        <v>1493</v>
      </c>
    </row>
    <row r="979" spans="1:18" hidden="1" x14ac:dyDescent="0.3">
      <c r="A979">
        <v>550</v>
      </c>
      <c r="B979" t="s">
        <v>1494</v>
      </c>
      <c r="C979" t="s">
        <v>1097</v>
      </c>
      <c r="D979" t="s">
        <v>21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95.5</v>
      </c>
      <c r="L979" s="39">
        <f t="shared" ref="L979:L985" si="91">IFERROR(IF(OR(J979=0,K979=""),"",IF(E979="Positivo",MIN(MAX(K979/J979,0),1.3),MIN(MAX(J979/K979,0),1.3))),"")</f>
        <v>1.1937500000000001</v>
      </c>
      <c r="M979" s="39">
        <f t="shared" ref="M979:M985" si="92">IFERROR(IF(OR(J979=0,K979=""),"",IF(E979="Positivo",MAX(K979/J979,0),MAX(J979/K979,0))),"")</f>
        <v>1.1937500000000001</v>
      </c>
      <c r="N979" t="s">
        <v>25</v>
      </c>
      <c r="O979" t="s">
        <v>25</v>
      </c>
      <c r="P979">
        <v>0</v>
      </c>
      <c r="Q979">
        <v>0</v>
      </c>
      <c r="R979" t="s">
        <v>1495</v>
      </c>
    </row>
    <row r="980" spans="1:18" hidden="1" x14ac:dyDescent="0.3">
      <c r="A980">
        <v>551</v>
      </c>
      <c r="B980" t="s">
        <v>1496</v>
      </c>
      <c r="C980" t="s">
        <v>1097</v>
      </c>
      <c r="D980" t="s">
        <v>21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4</v>
      </c>
      <c r="K980">
        <v>5</v>
      </c>
      <c r="L980" s="39">
        <f t="shared" si="91"/>
        <v>1.25</v>
      </c>
      <c r="M980" s="39">
        <f t="shared" si="92"/>
        <v>1.25</v>
      </c>
      <c r="N980" t="s">
        <v>25</v>
      </c>
      <c r="O980" t="s">
        <v>25</v>
      </c>
      <c r="P980">
        <v>0</v>
      </c>
      <c r="Q980">
        <v>0</v>
      </c>
      <c r="R980" t="s">
        <v>1497</v>
      </c>
    </row>
    <row r="981" spans="1:18" hidden="1" x14ac:dyDescent="0.3">
      <c r="A981">
        <v>552</v>
      </c>
      <c r="B981" t="s">
        <v>1498</v>
      </c>
      <c r="C981" t="s">
        <v>951</v>
      </c>
      <c r="D981" t="s">
        <v>71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92</v>
      </c>
      <c r="L981" s="39">
        <f t="shared" si="91"/>
        <v>1.1499999999999999</v>
      </c>
      <c r="M981" s="39">
        <f t="shared" si="92"/>
        <v>1.1499999999999999</v>
      </c>
      <c r="N981" t="s">
        <v>25</v>
      </c>
      <c r="O981" t="s">
        <v>25</v>
      </c>
      <c r="P981">
        <v>0</v>
      </c>
      <c r="Q981">
        <v>0</v>
      </c>
      <c r="R981" t="s">
        <v>1499</v>
      </c>
    </row>
    <row r="982" spans="1:18" hidden="1" x14ac:dyDescent="0.3">
      <c r="A982">
        <v>553</v>
      </c>
      <c r="B982" t="s">
        <v>1500</v>
      </c>
      <c r="C982" t="s">
        <v>1020</v>
      </c>
      <c r="D982" t="s">
        <v>71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83</v>
      </c>
      <c r="L982" s="39">
        <f t="shared" si="91"/>
        <v>1.0375000000000001</v>
      </c>
      <c r="M982" s="39">
        <f t="shared" si="92"/>
        <v>1.0375000000000001</v>
      </c>
      <c r="N982" t="s">
        <v>25</v>
      </c>
      <c r="O982" t="s">
        <v>25</v>
      </c>
      <c r="P982">
        <v>0</v>
      </c>
      <c r="Q982">
        <v>0</v>
      </c>
      <c r="R982" t="s">
        <v>1501</v>
      </c>
    </row>
    <row r="983" spans="1:18" hidden="1" x14ac:dyDescent="0.3">
      <c r="A983">
        <v>554</v>
      </c>
      <c r="B983" t="s">
        <v>1502</v>
      </c>
      <c r="C983" t="s">
        <v>536</v>
      </c>
      <c r="D983" t="s">
        <v>21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80</v>
      </c>
      <c r="K983">
        <v>95</v>
      </c>
      <c r="L983" s="39">
        <f t="shared" si="91"/>
        <v>1.1875</v>
      </c>
      <c r="M983" s="39">
        <f t="shared" si="92"/>
        <v>1.1875</v>
      </c>
      <c r="N983" t="s">
        <v>25</v>
      </c>
      <c r="O983" t="s">
        <v>25</v>
      </c>
      <c r="P983">
        <v>0</v>
      </c>
      <c r="Q983">
        <v>0</v>
      </c>
      <c r="R983" t="s">
        <v>1503</v>
      </c>
    </row>
    <row r="984" spans="1:18" hidden="1" x14ac:dyDescent="0.3">
      <c r="A984">
        <v>555</v>
      </c>
      <c r="B984" t="s">
        <v>1504</v>
      </c>
      <c r="C984" t="s">
        <v>1044</v>
      </c>
      <c r="D984" t="s">
        <v>21</v>
      </c>
      <c r="E984" t="s">
        <v>22</v>
      </c>
      <c r="F984" s="79">
        <v>46022</v>
      </c>
      <c r="G984">
        <v>2025</v>
      </c>
      <c r="H984" t="s">
        <v>23</v>
      </c>
      <c r="I984" t="s">
        <v>32</v>
      </c>
      <c r="J984">
        <v>80</v>
      </c>
      <c r="K984">
        <v>100</v>
      </c>
      <c r="L984" s="39">
        <f t="shared" si="91"/>
        <v>1.25</v>
      </c>
      <c r="M984" s="39">
        <f t="shared" si="92"/>
        <v>1.25</v>
      </c>
      <c r="N984" t="s">
        <v>25</v>
      </c>
      <c r="O984" t="s">
        <v>25</v>
      </c>
      <c r="P984">
        <v>0</v>
      </c>
      <c r="Q984">
        <v>0</v>
      </c>
      <c r="R984" t="s">
        <v>1505</v>
      </c>
    </row>
    <row r="985" spans="1:18" hidden="1" x14ac:dyDescent="0.3">
      <c r="A985">
        <v>556</v>
      </c>
      <c r="B985" t="s">
        <v>1506</v>
      </c>
      <c r="C985" t="s">
        <v>40</v>
      </c>
      <c r="D985" t="s">
        <v>71</v>
      </c>
      <c r="E985" t="s">
        <v>22</v>
      </c>
      <c r="F985" s="79">
        <v>46022</v>
      </c>
      <c r="G985">
        <v>2025</v>
      </c>
      <c r="H985" t="s">
        <v>23</v>
      </c>
      <c r="I985" t="s">
        <v>32</v>
      </c>
      <c r="J985">
        <v>70</v>
      </c>
      <c r="K985">
        <v>113.75</v>
      </c>
      <c r="L985" s="39">
        <f t="shared" si="91"/>
        <v>1.3</v>
      </c>
      <c r="M985" s="39">
        <f t="shared" si="92"/>
        <v>1.625</v>
      </c>
      <c r="N985" t="s">
        <v>25</v>
      </c>
      <c r="O985" t="s">
        <v>25</v>
      </c>
      <c r="P985">
        <v>0</v>
      </c>
      <c r="Q985">
        <v>0</v>
      </c>
      <c r="R985" t="s">
        <v>1507</v>
      </c>
    </row>
  </sheetData>
  <autoFilter ref="A1:S985" xr:uid="{00000000-0001-0000-0200-000000000000}">
    <filterColumn colId="2">
      <filters>
        <filter val="DATOS Y ANALÍTICA"/>
      </filters>
    </filterColumn>
  </autoFilter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86" t="s">
        <v>3269</v>
      </c>
      <c r="D1" s="87"/>
      <c r="E1" s="87"/>
      <c r="F1" s="87"/>
      <c r="H1" s="88" t="s">
        <v>3270</v>
      </c>
      <c r="I1" s="89"/>
      <c r="J1" s="89"/>
      <c r="K1" s="90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3" t="s">
        <v>3278</v>
      </c>
      <c r="B3" s="83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4"/>
      <c r="B4" s="84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4"/>
      <c r="B5" s="85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4"/>
      <c r="B6" s="83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4"/>
      <c r="B7" s="85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4"/>
      <c r="B8" s="83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85"/>
      <c r="B9" s="85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2026-04-15T22:40:30Z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